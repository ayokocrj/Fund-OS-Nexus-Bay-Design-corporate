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esktop\Growth equity files\SaaS course\"/>
    </mc:Choice>
  </mc:AlternateContent>
  <xr:revisionPtr revIDLastSave="0" documentId="13_ncr:1_{F2E36F58-35BF-4A21-A654-FA8B4D2DF07F}" xr6:coauthVersionLast="47" xr6:coauthVersionMax="47" xr10:uidLastSave="{00000000-0000-0000-0000-000000000000}"/>
  <bookViews>
    <workbookView xWindow="-98" yWindow="-98" windowWidth="38596" windowHeight="21795" tabRatio="923" xr2:uid="{149DA278-98FA-47F8-A916-DD05CF127C47}"/>
  </bookViews>
  <sheets>
    <sheet name="Resources" sheetId="97" r:id="rId1"/>
    <sheet name="Model" sheetId="99" r:id="rId2"/>
    <sheet name="Primary Assumptions" sheetId="98" r:id="rId3"/>
    <sheet name="Raw Customer ARR" sheetId="85" r:id="rId4"/>
  </sheets>
  <definedNames>
    <definedName name="different">#REF!</definedName>
    <definedName name="mike">#REF!</definedName>
    <definedName name="_xlnm.Print_Area" localSheetId="1">Model!$B$1:$H$4</definedName>
    <definedName name="unit" localSheetId="1">Model!#REF!</definedName>
    <definedName name="unit">#REF!</definedName>
  </definedNames>
  <calcPr calcId="191029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9" i="99" l="1"/>
  <c r="N53" i="99"/>
  <c r="B23" i="99"/>
  <c r="N22" i="99"/>
  <c r="M22" i="99"/>
  <c r="L22" i="99"/>
  <c r="K22" i="99"/>
  <c r="J22" i="99"/>
  <c r="I22" i="99"/>
  <c r="H22" i="99"/>
  <c r="G22" i="99"/>
  <c r="F22" i="99"/>
  <c r="E22" i="99"/>
  <c r="D22" i="99"/>
  <c r="C22" i="99"/>
  <c r="B22" i="99"/>
  <c r="N21" i="99"/>
  <c r="M21" i="99"/>
  <c r="L21" i="99"/>
  <c r="K21" i="99"/>
  <c r="J21" i="99"/>
  <c r="I21" i="99"/>
  <c r="H21" i="99"/>
  <c r="G21" i="99"/>
  <c r="F21" i="99"/>
  <c r="E21" i="99"/>
  <c r="D21" i="99"/>
  <c r="C21" i="99"/>
  <c r="B21" i="99"/>
  <c r="N20" i="99"/>
  <c r="M20" i="99"/>
  <c r="L20" i="99"/>
  <c r="K20" i="99"/>
  <c r="J20" i="99"/>
  <c r="I20" i="99"/>
  <c r="H20" i="99"/>
  <c r="G20" i="99"/>
  <c r="F20" i="99"/>
  <c r="E20" i="99"/>
  <c r="D20" i="99"/>
  <c r="C20" i="99"/>
  <c r="B20" i="99"/>
  <c r="N19" i="99"/>
  <c r="N23" i="99" s="1"/>
  <c r="M19" i="99"/>
  <c r="M23" i="99" s="1"/>
  <c r="L19" i="99"/>
  <c r="L23" i="99" s="1"/>
  <c r="K19" i="99"/>
  <c r="K23" i="99" s="1"/>
  <c r="J19" i="99"/>
  <c r="J23" i="99" s="1"/>
  <c r="I19" i="99"/>
  <c r="I23" i="99" s="1"/>
  <c r="H19" i="99"/>
  <c r="H23" i="99" s="1"/>
  <c r="G19" i="99"/>
  <c r="G23" i="99" s="1"/>
  <c r="F19" i="99"/>
  <c r="F23" i="99" s="1"/>
  <c r="E19" i="99"/>
  <c r="E23" i="99" s="1"/>
  <c r="D19" i="99"/>
  <c r="D23" i="99" s="1"/>
  <c r="C19" i="99"/>
  <c r="C23" i="99" s="1"/>
  <c r="N12" i="99"/>
  <c r="M12" i="99"/>
  <c r="L12" i="99"/>
  <c r="K12" i="99"/>
  <c r="J12" i="99"/>
  <c r="I12" i="99"/>
  <c r="H12" i="99"/>
  <c r="H25" i="99" s="1"/>
  <c r="G12" i="99"/>
  <c r="F12" i="99"/>
  <c r="F13" i="99" s="1"/>
  <c r="E12" i="99"/>
  <c r="E13" i="99" s="1"/>
  <c r="D12" i="99"/>
  <c r="C12" i="99"/>
  <c r="N8" i="99"/>
  <c r="M8" i="99"/>
  <c r="L8" i="99"/>
  <c r="K8" i="99"/>
  <c r="J8" i="99"/>
  <c r="I8" i="99"/>
  <c r="H8" i="99"/>
  <c r="G8" i="99"/>
  <c r="F8" i="99"/>
  <c r="N6" i="99"/>
  <c r="M6" i="99"/>
  <c r="L6" i="99"/>
  <c r="K6" i="99"/>
  <c r="J6" i="99"/>
  <c r="I6" i="99"/>
  <c r="H6" i="99"/>
  <c r="G6" i="99"/>
  <c r="D4" i="99"/>
  <c r="E4" i="99" s="1"/>
  <c r="F4" i="99" s="1"/>
  <c r="C3" i="99"/>
  <c r="G25" i="99" l="1"/>
  <c r="G33" i="99" s="1"/>
  <c r="G38" i="99" s="1"/>
  <c r="G39" i="99" s="1"/>
  <c r="I25" i="99"/>
  <c r="J25" i="99"/>
  <c r="J33" i="99" s="1"/>
  <c r="J38" i="99" s="1"/>
  <c r="J39" i="99" s="1"/>
  <c r="K25" i="99"/>
  <c r="K33" i="99" s="1"/>
  <c r="K38" i="99" s="1"/>
  <c r="K39" i="99" s="1"/>
  <c r="D25" i="99"/>
  <c r="D26" i="99" s="1"/>
  <c r="C25" i="99"/>
  <c r="C26" i="99" s="1"/>
  <c r="E25" i="99"/>
  <c r="E26" i="99" s="1"/>
  <c r="L25" i="99"/>
  <c r="L26" i="99" s="1"/>
  <c r="M25" i="99"/>
  <c r="M26" i="99" s="1"/>
  <c r="H13" i="99"/>
  <c r="N60" i="99"/>
  <c r="G13" i="99"/>
  <c r="I13" i="99"/>
  <c r="M13" i="99"/>
  <c r="G4" i="99"/>
  <c r="F3" i="99"/>
  <c r="H33" i="99"/>
  <c r="H38" i="99" s="1"/>
  <c r="H39" i="99" s="1"/>
  <c r="H26" i="99"/>
  <c r="H29" i="99"/>
  <c r="H30" i="99" s="1"/>
  <c r="I33" i="99"/>
  <c r="I38" i="99" s="1"/>
  <c r="I39" i="99" s="1"/>
  <c r="I29" i="99"/>
  <c r="I30" i="99" s="1"/>
  <c r="I26" i="99"/>
  <c r="N25" i="99"/>
  <c r="N13" i="99"/>
  <c r="E3" i="99"/>
  <c r="F25" i="99"/>
  <c r="J26" i="99"/>
  <c r="K29" i="99"/>
  <c r="K30" i="99" s="1"/>
  <c r="J13" i="99"/>
  <c r="C13" i="99"/>
  <c r="K13" i="99"/>
  <c r="D3" i="99"/>
  <c r="D13" i="99"/>
  <c r="L13" i="99"/>
  <c r="G29" i="99" l="1"/>
  <c r="G30" i="99" s="1"/>
  <c r="G26" i="99"/>
  <c r="J29" i="99"/>
  <c r="J30" i="99" s="1"/>
  <c r="K26" i="99"/>
  <c r="L29" i="99"/>
  <c r="L30" i="99" s="1"/>
  <c r="M33" i="99"/>
  <c r="M38" i="99" s="1"/>
  <c r="M39" i="99" s="1"/>
  <c r="M29" i="99"/>
  <c r="M30" i="99" s="1"/>
  <c r="L33" i="99"/>
  <c r="L38" i="99" s="1"/>
  <c r="L39" i="99" s="1"/>
  <c r="H4" i="99"/>
  <c r="G3" i="99"/>
  <c r="N26" i="99"/>
  <c r="N33" i="99"/>
  <c r="N38" i="99" s="1"/>
  <c r="N39" i="99" s="1"/>
  <c r="N29" i="99"/>
  <c r="N30" i="99" s="1"/>
  <c r="F26" i="99"/>
  <c r="F29" i="99"/>
  <c r="F30" i="99" s="1"/>
  <c r="F33" i="99"/>
  <c r="F38" i="99" s="1"/>
  <c r="F39" i="99" s="1"/>
  <c r="B1" i="85"/>
  <c r="D1" i="85"/>
  <c r="E1" i="85" s="1"/>
  <c r="F1" i="85" s="1"/>
  <c r="G1" i="85" s="1"/>
  <c r="H1" i="85" s="1"/>
  <c r="I1" i="85" s="1"/>
  <c r="J1" i="85" s="1"/>
  <c r="K1" i="85" s="1"/>
  <c r="L1" i="85" s="1"/>
  <c r="M1" i="85" s="1"/>
  <c r="N1" i="85" s="1"/>
  <c r="B13" i="97"/>
  <c r="H3" i="99" l="1"/>
  <c r="I4" i="99"/>
  <c r="J4" i="99" l="1"/>
  <c r="I3" i="99"/>
  <c r="K4" i="99" l="1"/>
  <c r="J3" i="99"/>
  <c r="A3" i="85"/>
  <c r="A4" i="85" s="1"/>
  <c r="A5" i="85" s="1"/>
  <c r="A6" i="85" s="1"/>
  <c r="A7" i="85" s="1"/>
  <c r="A8" i="85" s="1"/>
  <c r="A9" i="85" s="1"/>
  <c r="A10" i="85" s="1"/>
  <c r="A11" i="85" s="1"/>
  <c r="A12" i="85" s="1"/>
  <c r="A13" i="85" s="1"/>
  <c r="A14" i="85" s="1"/>
  <c r="A15" i="85" s="1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A35" i="85" s="1"/>
  <c r="A36" i="85" s="1"/>
  <c r="A37" i="85" s="1"/>
  <c r="A38" i="85" s="1"/>
  <c r="A39" i="85" s="1"/>
  <c r="A40" i="85" s="1"/>
  <c r="A41" i="85" s="1"/>
  <c r="A42" i="85" s="1"/>
  <c r="A43" i="85" s="1"/>
  <c r="A44" i="85" s="1"/>
  <c r="A45" i="85" s="1"/>
  <c r="A46" i="85" s="1"/>
  <c r="A47" i="85" s="1"/>
  <c r="A48" i="85" s="1"/>
  <c r="A49" i="85" s="1"/>
  <c r="A50" i="85" s="1"/>
  <c r="A51" i="85" s="1"/>
  <c r="A52" i="85" s="1"/>
  <c r="A53" i="85" s="1"/>
  <c r="A54" i="85" s="1"/>
  <c r="A55" i="85" s="1"/>
  <c r="A56" i="85" s="1"/>
  <c r="A57" i="85" s="1"/>
  <c r="A58" i="85" s="1"/>
  <c r="A59" i="85" s="1"/>
  <c r="A60" i="85" s="1"/>
  <c r="A61" i="85" s="1"/>
  <c r="A62" i="85" s="1"/>
  <c r="A63" i="85" s="1"/>
  <c r="A64" i="85" s="1"/>
  <c r="A65" i="85" s="1"/>
  <c r="A66" i="85" s="1"/>
  <c r="A67" i="85" s="1"/>
  <c r="A68" i="85" s="1"/>
  <c r="A69" i="85" s="1"/>
  <c r="A70" i="85" s="1"/>
  <c r="A71" i="85" s="1"/>
  <c r="A72" i="85" s="1"/>
  <c r="A73" i="85" s="1"/>
  <c r="A74" i="85" s="1"/>
  <c r="A75" i="85" s="1"/>
  <c r="A76" i="85" s="1"/>
  <c r="A77" i="85" s="1"/>
  <c r="A78" i="85" s="1"/>
  <c r="A79" i="85" s="1"/>
  <c r="A80" i="85" s="1"/>
  <c r="A81" i="85" s="1"/>
  <c r="A82" i="85" s="1"/>
  <c r="A83" i="85" s="1"/>
  <c r="A84" i="85" s="1"/>
  <c r="A85" i="85" s="1"/>
  <c r="A86" i="85" s="1"/>
  <c r="A87" i="85" s="1"/>
  <c r="A88" i="85" s="1"/>
  <c r="A89" i="85" s="1"/>
  <c r="A90" i="85" s="1"/>
  <c r="A91" i="85" s="1"/>
  <c r="A92" i="85" s="1"/>
  <c r="A93" i="85" s="1"/>
  <c r="A94" i="85" s="1"/>
  <c r="A95" i="85" s="1"/>
  <c r="A96" i="85" s="1"/>
  <c r="A97" i="85" s="1"/>
  <c r="A98" i="85" s="1"/>
  <c r="A99" i="85" s="1"/>
  <c r="A100" i="85" s="1"/>
  <c r="A101" i="85" s="1"/>
  <c r="A102" i="85" s="1"/>
  <c r="A103" i="85" s="1"/>
  <c r="A104" i="85" s="1"/>
  <c r="A105" i="85" s="1"/>
  <c r="A106" i="85" s="1"/>
  <c r="A107" i="85" s="1"/>
  <c r="A108" i="85" s="1"/>
  <c r="A109" i="85" s="1"/>
  <c r="A110" i="85" s="1"/>
  <c r="A111" i="85" s="1"/>
  <c r="A112" i="85" s="1"/>
  <c r="A113" i="85" s="1"/>
  <c r="A114" i="85" s="1"/>
  <c r="A115" i="85" s="1"/>
  <c r="A116" i="85" s="1"/>
  <c r="A117" i="85" s="1"/>
  <c r="A118" i="85" s="1"/>
  <c r="A119" i="85" s="1"/>
  <c r="A120" i="85" s="1"/>
  <c r="A121" i="85" s="1"/>
  <c r="A122" i="85" s="1"/>
  <c r="A123" i="85" s="1"/>
  <c r="A124" i="85" s="1"/>
  <c r="A125" i="85" s="1"/>
  <c r="A126" i="85" s="1"/>
  <c r="A127" i="85" s="1"/>
  <c r="A128" i="85" s="1"/>
  <c r="A129" i="85" s="1"/>
  <c r="A130" i="85" s="1"/>
  <c r="A131" i="85" s="1"/>
  <c r="A132" i="85" s="1"/>
  <c r="A133" i="85" s="1"/>
  <c r="A134" i="85" s="1"/>
  <c r="A135" i="85" s="1"/>
  <c r="A136" i="85" s="1"/>
  <c r="A137" i="85" s="1"/>
  <c r="A138" i="85" s="1"/>
  <c r="A139" i="85" s="1"/>
  <c r="A140" i="85" s="1"/>
  <c r="A141" i="85" s="1"/>
  <c r="A142" i="85" s="1"/>
  <c r="A143" i="85" s="1"/>
  <c r="A144" i="85" s="1"/>
  <c r="A145" i="85" s="1"/>
  <c r="A146" i="85" s="1"/>
  <c r="A147" i="85" s="1"/>
  <c r="A148" i="85" s="1"/>
  <c r="A149" i="85" s="1"/>
  <c r="A150" i="85" s="1"/>
  <c r="A151" i="85" s="1"/>
  <c r="A152" i="85" s="1"/>
  <c r="A153" i="85" s="1"/>
  <c r="A154" i="85" s="1"/>
  <c r="A155" i="85" s="1"/>
  <c r="A156" i="85" s="1"/>
  <c r="A157" i="85" s="1"/>
  <c r="A158" i="85" s="1"/>
  <c r="A159" i="85" s="1"/>
  <c r="A160" i="85" s="1"/>
  <c r="A161" i="85" s="1"/>
  <c r="A162" i="85" s="1"/>
  <c r="A163" i="85" s="1"/>
  <c r="A164" i="85" s="1"/>
  <c r="A165" i="85" s="1"/>
  <c r="A166" i="85" s="1"/>
  <c r="A167" i="85" s="1"/>
  <c r="A168" i="85" s="1"/>
  <c r="A169" i="85" s="1"/>
  <c r="A170" i="85" s="1"/>
  <c r="A171" i="85" s="1"/>
  <c r="A172" i="85" s="1"/>
  <c r="A173" i="85" s="1"/>
  <c r="A174" i="85" s="1"/>
  <c r="A175" i="85" s="1"/>
  <c r="A176" i="85" s="1"/>
  <c r="A177" i="85" s="1"/>
  <c r="A178" i="85" s="1"/>
  <c r="A179" i="85" s="1"/>
  <c r="A180" i="85" s="1"/>
  <c r="A181" i="85" s="1"/>
  <c r="A182" i="85" s="1"/>
  <c r="A183" i="85" s="1"/>
  <c r="A184" i="85" s="1"/>
  <c r="A185" i="85" s="1"/>
  <c r="A186" i="85" s="1"/>
  <c r="A187" i="85" s="1"/>
  <c r="A188" i="85" s="1"/>
  <c r="A189" i="85" s="1"/>
  <c r="A190" i="85" s="1"/>
  <c r="A191" i="85" s="1"/>
  <c r="A192" i="85" s="1"/>
  <c r="A193" i="85" s="1"/>
  <c r="A194" i="85" s="1"/>
  <c r="A195" i="85" s="1"/>
  <c r="A196" i="85" s="1"/>
  <c r="A197" i="85" s="1"/>
  <c r="A198" i="85" s="1"/>
  <c r="A199" i="85" s="1"/>
  <c r="A200" i="85" s="1"/>
  <c r="A201" i="85" s="1"/>
  <c r="A202" i="85" s="1"/>
  <c r="A203" i="85" s="1"/>
  <c r="A204" i="85" s="1"/>
  <c r="A205" i="85" s="1"/>
  <c r="A206" i="85" s="1"/>
  <c r="A207" i="85" s="1"/>
  <c r="A208" i="85" s="1"/>
  <c r="A209" i="85" s="1"/>
  <c r="A210" i="85" s="1"/>
  <c r="A211" i="85" s="1"/>
  <c r="A212" i="85" s="1"/>
  <c r="A213" i="85" s="1"/>
  <c r="A214" i="85" s="1"/>
  <c r="A215" i="85" s="1"/>
  <c r="A216" i="85" s="1"/>
  <c r="A217" i="85" s="1"/>
  <c r="A218" i="85" s="1"/>
  <c r="A219" i="85" s="1"/>
  <c r="A220" i="85" s="1"/>
  <c r="A221" i="85" s="1"/>
  <c r="A222" i="85" s="1"/>
  <c r="A223" i="85" s="1"/>
  <c r="A224" i="85" s="1"/>
  <c r="A225" i="85" s="1"/>
  <c r="A226" i="85" s="1"/>
  <c r="A227" i="85" s="1"/>
  <c r="A228" i="85" s="1"/>
  <c r="A229" i="85" s="1"/>
  <c r="A230" i="85" s="1"/>
  <c r="A231" i="85" s="1"/>
  <c r="A232" i="85" s="1"/>
  <c r="A233" i="85" s="1"/>
  <c r="A234" i="85" s="1"/>
  <c r="A235" i="85" s="1"/>
  <c r="A236" i="85" s="1"/>
  <c r="A237" i="85" s="1"/>
  <c r="A238" i="85" s="1"/>
  <c r="A239" i="85" s="1"/>
  <c r="A240" i="85" s="1"/>
  <c r="A241" i="85" s="1"/>
  <c r="A242" i="85" s="1"/>
  <c r="A243" i="85" s="1"/>
  <c r="A244" i="85" s="1"/>
  <c r="A245" i="85" s="1"/>
  <c r="A246" i="85" s="1"/>
  <c r="A247" i="85" s="1"/>
  <c r="A248" i="85" s="1"/>
  <c r="A249" i="85" s="1"/>
  <c r="A250" i="85" s="1"/>
  <c r="A251" i="85" s="1"/>
  <c r="A252" i="85" s="1"/>
  <c r="A253" i="85" s="1"/>
  <c r="A254" i="85" s="1"/>
  <c r="A255" i="85" s="1"/>
  <c r="A256" i="85" s="1"/>
  <c r="A257" i="85" s="1"/>
  <c r="A258" i="85" s="1"/>
  <c r="A259" i="85" s="1"/>
  <c r="A260" i="85" s="1"/>
  <c r="A261" i="85" s="1"/>
  <c r="A262" i="85" s="1"/>
  <c r="A263" i="85" s="1"/>
  <c r="A264" i="85" s="1"/>
  <c r="A265" i="85" s="1"/>
  <c r="A266" i="85" s="1"/>
  <c r="A267" i="85" s="1"/>
  <c r="A268" i="85" s="1"/>
  <c r="A269" i="85" s="1"/>
  <c r="A270" i="85" s="1"/>
  <c r="A271" i="85" s="1"/>
  <c r="A272" i="85" s="1"/>
  <c r="A273" i="85" s="1"/>
  <c r="A274" i="85" s="1"/>
  <c r="A275" i="85" s="1"/>
  <c r="A276" i="85" s="1"/>
  <c r="A277" i="85" s="1"/>
  <c r="A278" i="85" s="1"/>
  <c r="A279" i="85" s="1"/>
  <c r="A280" i="85" s="1"/>
  <c r="A281" i="85" s="1"/>
  <c r="A282" i="85" s="1"/>
  <c r="A283" i="85" s="1"/>
  <c r="A284" i="85" s="1"/>
  <c r="A285" i="85" s="1"/>
  <c r="A286" i="85" s="1"/>
  <c r="A287" i="85" s="1"/>
  <c r="A288" i="85" s="1"/>
  <c r="A289" i="85" s="1"/>
  <c r="A290" i="85" s="1"/>
  <c r="A291" i="85" s="1"/>
  <c r="A292" i="85" s="1"/>
  <c r="A293" i="85" s="1"/>
  <c r="A294" i="85" s="1"/>
  <c r="A295" i="85" s="1"/>
  <c r="A296" i="85" s="1"/>
  <c r="A297" i="85" s="1"/>
  <c r="A298" i="85" s="1"/>
  <c r="A299" i="85" s="1"/>
  <c r="A300" i="85" s="1"/>
  <c r="A301" i="85" s="1"/>
  <c r="A302" i="85" s="1"/>
  <c r="A303" i="85" s="1"/>
  <c r="A304" i="85" s="1"/>
  <c r="A305" i="85" s="1"/>
  <c r="A306" i="85" s="1"/>
  <c r="A307" i="85" s="1"/>
  <c r="A308" i="85" s="1"/>
  <c r="A309" i="85" s="1"/>
  <c r="A310" i="85" s="1"/>
  <c r="A311" i="85" s="1"/>
  <c r="A312" i="85" s="1"/>
  <c r="A313" i="85" s="1"/>
  <c r="A314" i="85" s="1"/>
  <c r="A315" i="85" s="1"/>
  <c r="A316" i="85" s="1"/>
  <c r="A317" i="85" s="1"/>
  <c r="A318" i="85" s="1"/>
  <c r="A319" i="85" s="1"/>
  <c r="A320" i="85" s="1"/>
  <c r="A321" i="85" s="1"/>
  <c r="A322" i="85" s="1"/>
  <c r="A323" i="85" s="1"/>
  <c r="A324" i="85" s="1"/>
  <c r="A325" i="85" s="1"/>
  <c r="A326" i="85" s="1"/>
  <c r="A327" i="85" s="1"/>
  <c r="A328" i="85" s="1"/>
  <c r="A329" i="85" s="1"/>
  <c r="A330" i="85" s="1"/>
  <c r="A331" i="85" s="1"/>
  <c r="A332" i="85" s="1"/>
  <c r="A333" i="85" s="1"/>
  <c r="A334" i="85" s="1"/>
  <c r="A335" i="85" s="1"/>
  <c r="A336" i="85" s="1"/>
  <c r="A337" i="85" s="1"/>
  <c r="A338" i="85" s="1"/>
  <c r="A339" i="85" s="1"/>
  <c r="A340" i="85" s="1"/>
  <c r="A341" i="85" s="1"/>
  <c r="A342" i="85" s="1"/>
  <c r="A343" i="85" s="1"/>
  <c r="A344" i="85" s="1"/>
  <c r="A345" i="85" s="1"/>
  <c r="A346" i="85" s="1"/>
  <c r="A347" i="85" s="1"/>
  <c r="A348" i="85" s="1"/>
  <c r="A349" i="85" s="1"/>
  <c r="A350" i="85" s="1"/>
  <c r="A351" i="85" s="1"/>
  <c r="A352" i="85" s="1"/>
  <c r="A353" i="85" s="1"/>
  <c r="A354" i="85" s="1"/>
  <c r="A355" i="85" s="1"/>
  <c r="A356" i="85" s="1"/>
  <c r="A357" i="85" s="1"/>
  <c r="A358" i="85" s="1"/>
  <c r="A359" i="85" s="1"/>
  <c r="A360" i="85" s="1"/>
  <c r="A361" i="85" s="1"/>
  <c r="A362" i="85" s="1"/>
  <c r="A363" i="85" s="1"/>
  <c r="A364" i="85" s="1"/>
  <c r="A365" i="85" s="1"/>
  <c r="A366" i="85" s="1"/>
  <c r="A367" i="85" s="1"/>
  <c r="A368" i="85" s="1"/>
  <c r="A369" i="85" s="1"/>
  <c r="A370" i="85" s="1"/>
  <c r="A371" i="85" s="1"/>
  <c r="A372" i="85" s="1"/>
  <c r="A373" i="85" s="1"/>
  <c r="A374" i="85" s="1"/>
  <c r="A375" i="85" s="1"/>
  <c r="A376" i="85" s="1"/>
  <c r="A377" i="85" s="1"/>
  <c r="A378" i="85" s="1"/>
  <c r="A379" i="85" s="1"/>
  <c r="A380" i="85" s="1"/>
  <c r="A381" i="85" s="1"/>
  <c r="A382" i="85" s="1"/>
  <c r="A383" i="85" s="1"/>
  <c r="A384" i="85" s="1"/>
  <c r="A385" i="85" s="1"/>
  <c r="A386" i="85" s="1"/>
  <c r="A387" i="85" s="1"/>
  <c r="A388" i="85" s="1"/>
  <c r="A389" i="85" s="1"/>
  <c r="A390" i="85" s="1"/>
  <c r="A391" i="85" s="1"/>
  <c r="A392" i="85" s="1"/>
  <c r="A393" i="85" s="1"/>
  <c r="A394" i="85" s="1"/>
  <c r="A395" i="85" s="1"/>
  <c r="A396" i="85" s="1"/>
  <c r="A397" i="85" s="1"/>
  <c r="A398" i="85" s="1"/>
  <c r="A399" i="85" s="1"/>
  <c r="A400" i="85" s="1"/>
  <c r="A401" i="85" s="1"/>
  <c r="A402" i="85" s="1"/>
  <c r="A403" i="85" s="1"/>
  <c r="A404" i="85" s="1"/>
  <c r="A405" i="85" s="1"/>
  <c r="A406" i="85" s="1"/>
  <c r="A407" i="85" s="1"/>
  <c r="A408" i="85" s="1"/>
  <c r="A409" i="85" s="1"/>
  <c r="A410" i="85" s="1"/>
  <c r="A411" i="85" s="1"/>
  <c r="A412" i="85" s="1"/>
  <c r="A413" i="85" s="1"/>
  <c r="A414" i="85" s="1"/>
  <c r="A415" i="85" s="1"/>
  <c r="A416" i="85" s="1"/>
  <c r="A417" i="85" s="1"/>
  <c r="A418" i="85" s="1"/>
  <c r="A419" i="85" s="1"/>
  <c r="A420" i="85" s="1"/>
  <c r="A421" i="85" s="1"/>
  <c r="A422" i="85" s="1"/>
  <c r="K3" i="99" l="1"/>
  <c r="L4" i="99"/>
  <c r="M4" i="99" l="1"/>
  <c r="L3" i="99"/>
  <c r="N4" i="99" l="1"/>
  <c r="M3" i="99"/>
  <c r="N46" i="99" l="1"/>
  <c r="O4" i="99"/>
  <c r="N3" i="99"/>
  <c r="O3" i="99" l="1"/>
  <c r="O46" i="99"/>
  <c r="P4" i="99"/>
  <c r="P3" i="99" l="1"/>
  <c r="P46" i="99"/>
  <c r="Q4" i="99"/>
  <c r="Q46" i="99" l="1"/>
  <c r="R4" i="99"/>
  <c r="Q3" i="99"/>
  <c r="S4" i="99" l="1"/>
  <c r="R3" i="99"/>
  <c r="R46" i="99"/>
  <c r="S3" i="99" l="1"/>
  <c r="T4" i="99"/>
  <c r="S46" i="99"/>
  <c r="U4" i="99" l="1"/>
  <c r="T3" i="99"/>
  <c r="T46" i="99"/>
  <c r="U46" i="99" l="1"/>
  <c r="U3" i="99"/>
  <c r="V4" i="99"/>
  <c r="V3" i="99" l="1"/>
  <c r="W4" i="99"/>
  <c r="V46" i="99"/>
  <c r="W46" i="99" l="1"/>
  <c r="X4" i="99"/>
  <c r="W3" i="99"/>
  <c r="X46" i="99" l="1"/>
  <c r="Y4" i="99"/>
  <c r="X3" i="99"/>
  <c r="Y46" i="99" l="1"/>
  <c r="Z4" i="99"/>
  <c r="Y3" i="99"/>
  <c r="Z46" i="99" l="1"/>
  <c r="AA4" i="99"/>
  <c r="Z3" i="99"/>
  <c r="AA3" i="99" l="1"/>
  <c r="AB4" i="99"/>
  <c r="AA46" i="99"/>
  <c r="AC4" i="99" l="1"/>
  <c r="AB3" i="99"/>
  <c r="AB46" i="99"/>
  <c r="AC46" i="99" l="1"/>
  <c r="AC3" i="99"/>
  <c r="AD4" i="99"/>
  <c r="AD3" i="99" l="1"/>
  <c r="AE4" i="99"/>
  <c r="AD46" i="99"/>
  <c r="AE3" i="99" l="1"/>
  <c r="AF4" i="99"/>
  <c r="AE46" i="99"/>
  <c r="AF46" i="99" l="1"/>
  <c r="AF3" i="99"/>
  <c r="AG4" i="99"/>
  <c r="AG3" i="99" l="1"/>
  <c r="AH4" i="99"/>
  <c r="AG46" i="99"/>
  <c r="AH46" i="99" l="1"/>
  <c r="AH3" i="99"/>
</calcChain>
</file>

<file path=xl/sharedStrings.xml><?xml version="1.0" encoding="utf-8"?>
<sst xmlns="http://schemas.openxmlformats.org/spreadsheetml/2006/main" count="70" uniqueCount="56">
  <si>
    <t>Taxes</t>
  </si>
  <si>
    <t>Customer</t>
  </si>
  <si>
    <t>Upsell ARR</t>
  </si>
  <si>
    <t>Downsell ARR</t>
  </si>
  <si>
    <t>Churn ARR</t>
  </si>
  <si>
    <t>Check?</t>
  </si>
  <si>
    <t>Deferred Revenue</t>
  </si>
  <si>
    <t>S&amp;M</t>
  </si>
  <si>
    <t>Accounts Receivable</t>
  </si>
  <si>
    <t>% YoY Growth</t>
  </si>
  <si>
    <t>Gross Profit</t>
  </si>
  <si>
    <t>GAAP Revenue</t>
  </si>
  <si>
    <t>R&amp;D</t>
  </si>
  <si>
    <t>G&amp;A</t>
  </si>
  <si>
    <t>Operating Expenses</t>
  </si>
  <si>
    <t>Interest Expense</t>
  </si>
  <si>
    <t>Taxable Income</t>
  </si>
  <si>
    <t>Tax Rate</t>
  </si>
  <si>
    <t>Net Income</t>
  </si>
  <si>
    <t>Operating Income</t>
  </si>
  <si>
    <t>Income Statement</t>
  </si>
  <si>
    <t>Balance Sheet</t>
  </si>
  <si>
    <t>Cash</t>
  </si>
  <si>
    <t>Net PP&amp;E</t>
  </si>
  <si>
    <t>Debt</t>
  </si>
  <si>
    <t>Equity</t>
  </si>
  <si>
    <t>Total Assets</t>
  </si>
  <si>
    <t>Total Liabilities &amp; Equity</t>
  </si>
  <si>
    <t>Accounts Payable</t>
  </si>
  <si>
    <t>D&amp;A</t>
  </si>
  <si>
    <t>% Margin</t>
  </si>
  <si>
    <t>Deferred Commissions</t>
  </si>
  <si>
    <t>Prepaid Expenses</t>
  </si>
  <si>
    <t>Capitalized Software Costs</t>
  </si>
  <si>
    <t>LTM GAAP Revenue</t>
  </si>
  <si>
    <t>EBITDA</t>
  </si>
  <si>
    <t>COGS</t>
  </si>
  <si>
    <t>GO, GO, GO!</t>
  </si>
  <si>
    <t>Practice really does make perfect!</t>
  </si>
  <si>
    <t>You got this!  :-)</t>
  </si>
  <si>
    <t>For more video courses and tutorials:</t>
  </si>
  <si>
    <t>All rights reserved. Growth Equity Interview Guide.</t>
  </si>
  <si>
    <t xml:space="preserve">This template is part of a comprehensive course for SaaS investing roles &amp; interviews. </t>
  </si>
  <si>
    <t>Gross Margin %</t>
  </si>
  <si>
    <t>% of beginning quarterly ARR balance</t>
  </si>
  <si>
    <t>Unit</t>
  </si>
  <si>
    <t>"</t>
  </si>
  <si>
    <t>Assumption</t>
  </si>
  <si>
    <t>% of quarterly GAAP revenue</t>
  </si>
  <si>
    <t>New logo ARR</t>
  </si>
  <si>
    <t>$ in thousands, except noted</t>
  </si>
  <si>
    <t>Note:</t>
  </si>
  <si>
    <t>Prior Year Renewal ARR for Billing</t>
  </si>
  <si>
    <t>Note:  See prompt for complete list of assumptions</t>
  </si>
  <si>
    <t>Calendar Year</t>
  </si>
  <si>
    <t>Quarter 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</si>
</sst>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0.0%"/>
    <numFmt numFmtId="166" formatCode="#,##0.000_);\(#,##0.000\)"/>
    <numFmt numFmtId="169" formatCode="[$-409]mmm\-yy;@"/>
    <numFmt numFmtId="171" formatCode="m/d/yy"/>
    <numFmt numFmtId="174" formatCode="&quot;$&quot;#,##0_);\(&quot;$&quot;#,##0\);\ &quot;-&quot;_)"/>
    <numFmt numFmtId="177" formatCode="0%_);\(0%\);&quot;-&quot;_)"/>
    <numFmt numFmtId="195" formatCode="0.0%_);\(0.0%\);&quot;-&quot;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Garamond"/>
      <family val="1"/>
    </font>
    <font>
      <b/>
      <sz val="10"/>
      <color theme="0"/>
      <name val="Garamond"/>
      <family val="1"/>
    </font>
    <font>
      <sz val="10"/>
      <color rgb="FF0000FF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i/>
      <sz val="10"/>
      <color theme="1"/>
      <name val="Garamond"/>
      <family val="1"/>
    </font>
    <font>
      <i/>
      <sz val="10"/>
      <name val="Garamond"/>
      <family val="1"/>
    </font>
    <font>
      <i/>
      <sz val="10"/>
      <color rgb="FF0000FF"/>
      <name val="Garamond"/>
      <family val="1"/>
    </font>
    <font>
      <b/>
      <sz val="10"/>
      <color rgb="FF0000FF"/>
      <name val="Garamond"/>
      <family val="1"/>
    </font>
    <font>
      <b/>
      <sz val="10"/>
      <color theme="1"/>
      <name val="Arial"/>
      <family val="2"/>
    </font>
    <font>
      <b/>
      <sz val="10"/>
      <name val="Garamond"/>
      <family val="1"/>
    </font>
    <font>
      <sz val="10"/>
      <color rgb="FF00B050"/>
      <name val="Garamond"/>
      <family val="1"/>
    </font>
    <font>
      <b/>
      <u/>
      <sz val="10"/>
      <color theme="1"/>
      <name val="Garamond"/>
      <family val="1"/>
    </font>
    <font>
      <sz val="10"/>
      <color rgb="FF000000"/>
      <name val="Calibri"/>
      <family val="2"/>
      <scheme val="minor"/>
    </font>
    <font>
      <sz val="8"/>
      <name val="Verdan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8"/>
      <color indexed="12"/>
      <name val="Verdana"/>
      <family val="2"/>
    </font>
    <font>
      <b/>
      <sz val="10"/>
      <color rgb="FF00B050"/>
      <name val="Garamond"/>
      <family val="1"/>
    </font>
    <font>
      <b/>
      <sz val="10"/>
      <color rgb="FFFF0000"/>
      <name val="Garamond"/>
      <family val="1"/>
    </font>
    <font>
      <sz val="10"/>
      <color theme="0"/>
      <name val="Garamond"/>
      <family val="1"/>
    </font>
    <font>
      <sz val="10"/>
      <name val="Arial"/>
      <family val="2"/>
    </font>
    <font>
      <sz val="11"/>
      <color theme="1"/>
      <name val="Inter"/>
    </font>
    <font>
      <b/>
      <sz val="10"/>
      <color theme="7" tint="0.39997558519241921"/>
      <name val="Inter"/>
    </font>
    <font>
      <sz val="22"/>
      <color theme="0"/>
      <name val="Inter"/>
    </font>
    <font>
      <i/>
      <sz val="11"/>
      <color theme="7" tint="0.39997558519241921"/>
      <name val="Inter"/>
    </font>
    <font>
      <sz val="11"/>
      <color theme="0"/>
      <name val="Inter"/>
    </font>
    <font>
      <u/>
      <sz val="11"/>
      <color theme="10"/>
      <name val="Calibri"/>
      <family val="2"/>
      <scheme val="minor"/>
    </font>
    <font>
      <i/>
      <u/>
      <sz val="11"/>
      <color rgb="FF00B0F0"/>
      <name val="Inter"/>
    </font>
    <font>
      <u/>
      <sz val="30"/>
      <color theme="7" tint="0.39997558519241921"/>
      <name val="Inter"/>
    </font>
    <font>
      <i/>
      <sz val="9"/>
      <color theme="0"/>
      <name val="Inter"/>
    </font>
    <font>
      <b/>
      <sz val="11"/>
      <color theme="1"/>
      <name val="Garamond"/>
      <family val="1"/>
    </font>
    <font>
      <sz val="8"/>
      <name val="Garamond"/>
      <family val="1"/>
    </font>
    <font>
      <b/>
      <sz val="11"/>
      <name val="Garamond"/>
      <family val="1"/>
    </font>
    <font>
      <sz val="11"/>
      <color theme="1"/>
      <name val="Garamond"/>
      <family val="1"/>
    </font>
    <font>
      <b/>
      <sz val="11"/>
      <color theme="0"/>
      <name val="Garamond"/>
      <family val="1"/>
    </font>
    <font>
      <i/>
      <sz val="10"/>
      <color theme="0"/>
      <name val="Garamond"/>
      <family val="1"/>
    </font>
    <font>
      <u/>
      <sz val="10"/>
      <color theme="1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31" fillId="0" borderId="0" applyNumberFormat="0" applyFill="0" applyBorder="0" applyAlignment="0" applyProtection="0"/>
  </cellStyleXfs>
  <cellXfs count="142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3" fillId="3" borderId="0" xfId="0" applyFont="1" applyFill="1"/>
    <xf numFmtId="0" fontId="8" fillId="0" borderId="0" xfId="0" applyFont="1" applyAlignment="1">
      <alignment horizontal="left" indent="1"/>
    </xf>
    <xf numFmtId="0" fontId="8" fillId="0" borderId="0" xfId="0" applyFont="1"/>
    <xf numFmtId="0" fontId="7" fillId="0" borderId="1" xfId="0" applyFont="1" applyBorder="1"/>
    <xf numFmtId="0" fontId="12" fillId="0" borderId="0" xfId="0" applyFont="1"/>
    <xf numFmtId="166" fontId="9" fillId="0" borderId="0" xfId="0" applyNumberFormat="1" applyFont="1"/>
    <xf numFmtId="0" fontId="15" fillId="0" borderId="0" xfId="0" applyFont="1"/>
    <xf numFmtId="5" fontId="3" fillId="0" borderId="0" xfId="0" applyNumberFormat="1" applyFont="1"/>
    <xf numFmtId="169" fontId="3" fillId="3" borderId="0" xfId="0" applyNumberFormat="1" applyFont="1" applyFill="1" applyAlignment="1">
      <alignment horizontal="right"/>
    </xf>
    <xf numFmtId="5" fontId="13" fillId="0" borderId="1" xfId="0" applyNumberFormat="1" applyFont="1" applyBorder="1"/>
    <xf numFmtId="169" fontId="3" fillId="0" borderId="0" xfId="0" applyNumberFormat="1" applyFont="1" applyAlignment="1">
      <alignment horizontal="left"/>
    </xf>
    <xf numFmtId="0" fontId="3" fillId="3" borderId="0" xfId="0" applyFont="1" applyFill="1" applyAlignment="1">
      <alignment horizontal="right"/>
    </xf>
    <xf numFmtId="171" fontId="6" fillId="2" borderId="0" xfId="0" applyNumberFormat="1" applyFont="1" applyFill="1"/>
    <xf numFmtId="0" fontId="18" fillId="4" borderId="0" xfId="4" applyFont="1" applyFill="1"/>
    <xf numFmtId="0" fontId="19" fillId="4" borderId="0" xfId="4" applyFont="1" applyFill="1"/>
    <xf numFmtId="0" fontId="1" fillId="4" borderId="0" xfId="4" applyFont="1" applyFill="1"/>
    <xf numFmtId="177" fontId="9" fillId="0" borderId="0" xfId="1" applyNumberFormat="1" applyFont="1" applyBorder="1"/>
    <xf numFmtId="174" fontId="6" fillId="0" borderId="0" xfId="0" applyNumberFormat="1" applyFont="1"/>
    <xf numFmtId="174" fontId="5" fillId="0" borderId="0" xfId="0" applyNumberFormat="1" applyFont="1"/>
    <xf numFmtId="5" fontId="13" fillId="0" borderId="0" xfId="0" applyNumberFormat="1" applyFont="1"/>
    <xf numFmtId="5" fontId="6" fillId="0" borderId="0" xfId="0" applyNumberFormat="1" applyFont="1"/>
    <xf numFmtId="169" fontId="7" fillId="0" borderId="1" xfId="0" applyNumberFormat="1" applyFont="1" applyBorder="1" applyAlignment="1">
      <alignment horizontal="left"/>
    </xf>
    <xf numFmtId="169" fontId="7" fillId="0" borderId="0" xfId="0" applyNumberFormat="1" applyFont="1" applyAlignment="1">
      <alignment horizontal="left"/>
    </xf>
    <xf numFmtId="5" fontId="7" fillId="0" borderId="0" xfId="0" applyNumberFormat="1" applyFont="1"/>
    <xf numFmtId="5" fontId="14" fillId="0" borderId="0" xfId="0" applyNumberFormat="1" applyFont="1"/>
    <xf numFmtId="177" fontId="9" fillId="0" borderId="0" xfId="1" applyNumberFormat="1" applyFont="1" applyFill="1" applyBorder="1"/>
    <xf numFmtId="5" fontId="5" fillId="0" borderId="0" xfId="0" applyNumberFormat="1" applyFont="1"/>
    <xf numFmtId="0" fontId="3" fillId="0" borderId="5" xfId="0" applyFont="1" applyBorder="1"/>
    <xf numFmtId="0" fontId="8" fillId="0" borderId="7" xfId="0" applyFont="1" applyBorder="1"/>
    <xf numFmtId="171" fontId="6" fillId="2" borderId="5" xfId="0" applyNumberFormat="1" applyFont="1" applyFill="1" applyBorder="1"/>
    <xf numFmtId="171" fontId="6" fillId="2" borderId="7" xfId="0" applyNumberFormat="1" applyFont="1" applyFill="1" applyBorder="1"/>
    <xf numFmtId="169" fontId="3" fillId="3" borderId="5" xfId="0" applyNumberFormat="1" applyFont="1" applyFill="1" applyBorder="1" applyAlignment="1">
      <alignment horizontal="right"/>
    </xf>
    <xf numFmtId="5" fontId="13" fillId="0" borderId="4" xfId="0" applyNumberFormat="1" applyFont="1" applyBorder="1"/>
    <xf numFmtId="0" fontId="3" fillId="0" borderId="7" xfId="0" applyFont="1" applyBorder="1"/>
    <xf numFmtId="169" fontId="6" fillId="3" borderId="0" xfId="0" applyNumberFormat="1" applyFont="1" applyFill="1" applyAlignment="1">
      <alignment horizontal="right"/>
    </xf>
    <xf numFmtId="166" fontId="9" fillId="0" borderId="5" xfId="0" applyNumberFormat="1" applyFont="1" applyBorder="1"/>
    <xf numFmtId="5" fontId="5" fillId="0" borderId="5" xfId="0" applyNumberFormat="1" applyFont="1" applyBorder="1"/>
    <xf numFmtId="5" fontId="13" fillId="0" borderId="5" xfId="0" applyNumberFormat="1" applyFont="1" applyBorder="1"/>
    <xf numFmtId="9" fontId="10" fillId="0" borderId="0" xfId="0" applyNumberFormat="1" applyFont="1"/>
    <xf numFmtId="169" fontId="3" fillId="0" borderId="0" xfId="0" applyNumberFormat="1" applyFont="1" applyAlignment="1">
      <alignment horizontal="right"/>
    </xf>
    <xf numFmtId="1" fontId="6" fillId="3" borderId="0" xfId="0" applyNumberFormat="1" applyFont="1" applyFill="1" applyAlignment="1">
      <alignment horizontal="right"/>
    </xf>
    <xf numFmtId="5" fontId="5" fillId="0" borderId="2" xfId="0" applyNumberFormat="1" applyFont="1" applyBorder="1"/>
    <xf numFmtId="174" fontId="5" fillId="0" borderId="5" xfId="0" applyNumberFormat="1" applyFont="1" applyBorder="1"/>
    <xf numFmtId="171" fontId="6" fillId="0" borderId="0" xfId="0" applyNumberFormat="1" applyFont="1"/>
    <xf numFmtId="1" fontId="6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5" fontId="11" fillId="0" borderId="5" xfId="0" applyNumberFormat="1" applyFont="1" applyBorder="1"/>
    <xf numFmtId="1" fontId="6" fillId="5" borderId="7" xfId="0" applyNumberFormat="1" applyFont="1" applyFill="1" applyBorder="1" applyAlignment="1">
      <alignment horizontal="right"/>
    </xf>
    <xf numFmtId="169" fontId="3" fillId="5" borderId="7" xfId="0" applyNumberFormat="1" applyFont="1" applyFill="1" applyBorder="1" applyAlignment="1">
      <alignment horizontal="right"/>
    </xf>
    <xf numFmtId="0" fontId="24" fillId="4" borderId="0" xfId="0" applyFont="1" applyFill="1"/>
    <xf numFmtId="171" fontId="24" fillId="2" borderId="0" xfId="0" applyNumberFormat="1" applyFont="1" applyFill="1" applyAlignment="1">
      <alignment horizontal="right"/>
    </xf>
    <xf numFmtId="9" fontId="25" fillId="4" borderId="0" xfId="1" applyFont="1" applyFill="1"/>
    <xf numFmtId="0" fontId="25" fillId="0" borderId="0" xfId="0" applyFont="1"/>
    <xf numFmtId="9" fontId="25" fillId="0" borderId="0" xfId="1" applyFont="1" applyFill="1"/>
    <xf numFmtId="5" fontId="22" fillId="0" borderId="5" xfId="0" applyNumberFormat="1" applyFont="1" applyBorder="1"/>
    <xf numFmtId="0" fontId="26" fillId="2" borderId="0" xfId="0" applyFont="1" applyFill="1"/>
    <xf numFmtId="0" fontId="0" fillId="2" borderId="0" xfId="0" applyFill="1"/>
    <xf numFmtId="0" fontId="27" fillId="2" borderId="0" xfId="0" applyFont="1" applyFill="1"/>
    <xf numFmtId="0" fontId="28" fillId="2" borderId="0" xfId="0" applyFont="1" applyFill="1"/>
    <xf numFmtId="0" fontId="29" fillId="2" borderId="0" xfId="0" applyFont="1" applyFill="1"/>
    <xf numFmtId="0" fontId="30" fillId="2" borderId="0" xfId="0" applyFont="1" applyFill="1"/>
    <xf numFmtId="0" fontId="32" fillId="2" borderId="0" xfId="9" applyFont="1" applyFill="1"/>
    <xf numFmtId="0" fontId="33" fillId="2" borderId="0" xfId="9" applyFont="1" applyFill="1"/>
    <xf numFmtId="0" fontId="34" fillId="2" borderId="0" xfId="0" applyFont="1" applyFill="1"/>
    <xf numFmtId="169" fontId="23" fillId="3" borderId="0" xfId="0" applyNumberFormat="1" applyFont="1" applyFill="1" applyAlignment="1">
      <alignment horizontal="right"/>
    </xf>
    <xf numFmtId="169" fontId="37" fillId="0" borderId="0" xfId="4" applyNumberFormat="1" applyFont="1" applyFill="1"/>
    <xf numFmtId="6" fontId="6" fillId="0" borderId="0" xfId="0" applyNumberFormat="1" applyFont="1" applyFill="1" applyAlignment="1">
      <alignment horizontal="right" wrapText="1"/>
    </xf>
    <xf numFmtId="0" fontId="6" fillId="0" borderId="0" xfId="4" applyFont="1" applyFill="1" applyAlignment="1">
      <alignment horizontal="right"/>
    </xf>
    <xf numFmtId="0" fontId="2" fillId="0" borderId="0" xfId="0" applyFont="1" applyBorder="1"/>
    <xf numFmtId="169" fontId="7" fillId="0" borderId="0" xfId="0" applyNumberFormat="1" applyFont="1" applyBorder="1" applyAlignment="1">
      <alignment horizontal="left"/>
    </xf>
    <xf numFmtId="5" fontId="13" fillId="0" borderId="0" xfId="0" applyNumberFormat="1" applyFont="1" applyBorder="1"/>
    <xf numFmtId="195" fontId="9" fillId="0" borderId="0" xfId="1" applyNumberFormat="1" applyFont="1" applyBorder="1"/>
    <xf numFmtId="195" fontId="9" fillId="0" borderId="7" xfId="1" applyNumberFormat="1" applyFont="1" applyFill="1" applyBorder="1"/>
    <xf numFmtId="195" fontId="9" fillId="0" borderId="0" xfId="1" applyNumberFormat="1" applyFont="1" applyFill="1" applyBorder="1"/>
    <xf numFmtId="195" fontId="9" fillId="0" borderId="5" xfId="1" applyNumberFormat="1" applyFont="1" applyBorder="1"/>
    <xf numFmtId="165" fontId="10" fillId="0" borderId="0" xfId="0" applyNumberFormat="1" applyFont="1"/>
    <xf numFmtId="174" fontId="6" fillId="0" borderId="7" xfId="0" applyNumberFormat="1" applyFont="1" applyFill="1" applyBorder="1"/>
    <xf numFmtId="0" fontId="2" fillId="0" borderId="0" xfId="0" applyFont="1" applyFill="1"/>
    <xf numFmtId="5" fontId="13" fillId="0" borderId="0" xfId="0" applyNumberFormat="1" applyFont="1" applyFill="1"/>
    <xf numFmtId="5" fontId="5" fillId="0" borderId="7" xfId="0" applyNumberFormat="1" applyFont="1" applyFill="1" applyBorder="1"/>
    <xf numFmtId="5" fontId="5" fillId="0" borderId="0" xfId="0" applyNumberFormat="1" applyFont="1" applyFill="1" applyBorder="1"/>
    <xf numFmtId="5" fontId="6" fillId="0" borderId="7" xfId="0" applyNumberFormat="1" applyFont="1" applyFill="1" applyBorder="1"/>
    <xf numFmtId="5" fontId="6" fillId="0" borderId="0" xfId="0" applyNumberFormat="1" applyFont="1" applyFill="1"/>
    <xf numFmtId="165" fontId="13" fillId="0" borderId="0" xfId="1" applyNumberFormat="1" applyFont="1"/>
    <xf numFmtId="5" fontId="11" fillId="0" borderId="0" xfId="0" applyNumberFormat="1" applyFont="1" applyBorder="1"/>
    <xf numFmtId="5" fontId="6" fillId="0" borderId="8" xfId="0" applyNumberFormat="1" applyFont="1" applyFill="1" applyBorder="1"/>
    <xf numFmtId="5" fontId="6" fillId="0" borderId="2" xfId="0" applyNumberFormat="1" applyFont="1" applyFill="1" applyBorder="1"/>
    <xf numFmtId="1" fontId="6" fillId="3" borderId="5" xfId="0" applyNumberFormat="1" applyFont="1" applyFill="1" applyBorder="1" applyAlignment="1">
      <alignment horizontal="right"/>
    </xf>
    <xf numFmtId="195" fontId="9" fillId="0" borderId="5" xfId="1" applyNumberFormat="1" applyFont="1" applyFill="1" applyBorder="1"/>
    <xf numFmtId="5" fontId="5" fillId="0" borderId="9" xfId="0" applyNumberFormat="1" applyFont="1" applyBorder="1"/>
    <xf numFmtId="165" fontId="13" fillId="0" borderId="5" xfId="1" applyNumberFormat="1" applyFont="1" applyBorder="1"/>
    <xf numFmtId="165" fontId="10" fillId="0" borderId="5" xfId="0" applyNumberFormat="1" applyFont="1" applyBorder="1"/>
    <xf numFmtId="171" fontId="24" fillId="2" borderId="5" xfId="0" applyNumberFormat="1" applyFont="1" applyFill="1" applyBorder="1" applyAlignment="1">
      <alignment horizontal="right"/>
    </xf>
    <xf numFmtId="0" fontId="3" fillId="0" borderId="0" xfId="0" applyFont="1" applyBorder="1"/>
    <xf numFmtId="171" fontId="6" fillId="2" borderId="0" xfId="0" applyNumberFormat="1" applyFont="1" applyFill="1" applyBorder="1"/>
    <xf numFmtId="1" fontId="6" fillId="5" borderId="0" xfId="0" applyNumberFormat="1" applyFont="1" applyFill="1" applyBorder="1" applyAlignment="1">
      <alignment horizontal="right"/>
    </xf>
    <xf numFmtId="169" fontId="3" fillId="5" borderId="0" xfId="0" applyNumberFormat="1" applyFont="1" applyFill="1" applyBorder="1" applyAlignment="1">
      <alignment horizontal="right"/>
    </xf>
    <xf numFmtId="174" fontId="6" fillId="0" borderId="0" xfId="0" applyNumberFormat="1" applyFont="1" applyFill="1" applyBorder="1"/>
    <xf numFmtId="5" fontId="6" fillId="0" borderId="0" xfId="0" applyNumberFormat="1" applyFont="1" applyFill="1" applyBorder="1"/>
    <xf numFmtId="5" fontId="14" fillId="0" borderId="7" xfId="0" applyNumberFormat="1" applyFont="1" applyFill="1" applyBorder="1"/>
    <xf numFmtId="5" fontId="14" fillId="0" borderId="0" xfId="0" applyNumberFormat="1" applyFont="1" applyFill="1" applyBorder="1"/>
    <xf numFmtId="0" fontId="38" fillId="0" borderId="0" xfId="0" applyFont="1"/>
    <xf numFmtId="0" fontId="39" fillId="2" borderId="0" xfId="0" applyFont="1" applyFill="1"/>
    <xf numFmtId="165" fontId="38" fillId="0" borderId="0" xfId="1" applyNumberFormat="1" applyFont="1"/>
    <xf numFmtId="9" fontId="38" fillId="0" borderId="0" xfId="1" applyFont="1"/>
    <xf numFmtId="0" fontId="38" fillId="0" borderId="0" xfId="0" quotePrefix="1" applyFont="1"/>
    <xf numFmtId="171" fontId="40" fillId="2" borderId="0" xfId="0" applyNumberFormat="1" applyFont="1" applyFill="1" applyAlignment="1">
      <alignment horizontal="right"/>
    </xf>
    <xf numFmtId="5" fontId="13" fillId="0" borderId="7" xfId="0" applyNumberFormat="1" applyFont="1" applyFill="1" applyBorder="1"/>
    <xf numFmtId="5" fontId="13" fillId="0" borderId="0" xfId="0" applyNumberFormat="1" applyFont="1" applyFill="1" applyBorder="1"/>
    <xf numFmtId="0" fontId="2" fillId="0" borderId="0" xfId="0" applyFont="1" applyFill="1" applyBorder="1"/>
    <xf numFmtId="165" fontId="10" fillId="0" borderId="7" xfId="0" applyNumberFormat="1" applyFont="1" applyFill="1" applyBorder="1"/>
    <xf numFmtId="165" fontId="10" fillId="0" borderId="0" xfId="0" applyNumberFormat="1" applyFont="1" applyFill="1" applyBorder="1"/>
    <xf numFmtId="0" fontId="3" fillId="0" borderId="7" xfId="0" applyFont="1" applyFill="1" applyBorder="1"/>
    <xf numFmtId="174" fontId="6" fillId="0" borderId="0" xfId="0" applyNumberFormat="1" applyFont="1" applyFill="1"/>
    <xf numFmtId="5" fontId="13" fillId="0" borderId="3" xfId="0" applyNumberFormat="1" applyFont="1" applyFill="1" applyBorder="1"/>
    <xf numFmtId="5" fontId="13" fillId="0" borderId="1" xfId="0" applyNumberFormat="1" applyFont="1" applyFill="1" applyBorder="1"/>
    <xf numFmtId="174" fontId="14" fillId="0" borderId="0" xfId="0" applyNumberFormat="1" applyFont="1" applyFill="1"/>
    <xf numFmtId="165" fontId="13" fillId="0" borderId="7" xfId="1" applyNumberFormat="1" applyFont="1" applyFill="1" applyBorder="1"/>
    <xf numFmtId="165" fontId="13" fillId="0" borderId="0" xfId="1" applyNumberFormat="1" applyFont="1" applyFill="1" applyBorder="1"/>
    <xf numFmtId="5" fontId="5" fillId="0" borderId="2" xfId="0" applyNumberFormat="1" applyFont="1" applyFill="1" applyBorder="1"/>
    <xf numFmtId="5" fontId="5" fillId="0" borderId="0" xfId="0" applyNumberFormat="1" applyFont="1" applyFill="1"/>
    <xf numFmtId="9" fontId="10" fillId="0" borderId="0" xfId="0" applyNumberFormat="1" applyFont="1" applyFill="1"/>
    <xf numFmtId="5" fontId="3" fillId="0" borderId="7" xfId="0" applyNumberFormat="1" applyFont="1" applyFill="1" applyBorder="1"/>
    <xf numFmtId="5" fontId="3" fillId="0" borderId="0" xfId="0" applyNumberFormat="1" applyFont="1" applyFill="1" applyBorder="1"/>
    <xf numFmtId="0" fontId="3" fillId="0" borderId="0" xfId="0" applyFont="1" applyFill="1" applyBorder="1"/>
    <xf numFmtId="5" fontId="3" fillId="0" borderId="8" xfId="0" applyNumberFormat="1" applyFont="1" applyFill="1" applyBorder="1"/>
    <xf numFmtId="5" fontId="3" fillId="0" borderId="2" xfId="0" applyNumberFormat="1" applyFont="1" applyFill="1" applyBorder="1"/>
    <xf numFmtId="166" fontId="9" fillId="0" borderId="7" xfId="0" applyNumberFormat="1" applyFont="1" applyFill="1" applyBorder="1"/>
    <xf numFmtId="166" fontId="9" fillId="0" borderId="0" xfId="0" applyNumberFormat="1" applyFont="1" applyFill="1" applyBorder="1"/>
    <xf numFmtId="5" fontId="7" fillId="0" borderId="7" xfId="0" applyNumberFormat="1" applyFont="1" applyFill="1" applyBorder="1"/>
    <xf numFmtId="5" fontId="7" fillId="0" borderId="0" xfId="0" applyNumberFormat="1" applyFont="1" applyFill="1" applyBorder="1"/>
    <xf numFmtId="169" fontId="6" fillId="5" borderId="7" xfId="0" applyNumberFormat="1" applyFont="1" applyFill="1" applyBorder="1" applyAlignment="1">
      <alignment horizontal="right"/>
    </xf>
    <xf numFmtId="169" fontId="6" fillId="5" borderId="0" xfId="0" applyNumberFormat="1" applyFont="1" applyFill="1" applyBorder="1" applyAlignment="1">
      <alignment horizontal="right"/>
    </xf>
    <xf numFmtId="0" fontId="41" fillId="0" borderId="0" xfId="0" applyFont="1" applyAlignment="1"/>
    <xf numFmtId="0" fontId="35" fillId="0" borderId="0" xfId="0" applyFont="1"/>
    <xf numFmtId="0" fontId="7" fillId="0" borderId="6" xfId="4" applyFont="1" applyFill="1" applyBorder="1" applyAlignment="1">
      <alignment horizontal="right"/>
    </xf>
    <xf numFmtId="0" fontId="3" fillId="0" borderId="0" xfId="4" applyFont="1" applyFill="1" applyAlignment="1">
      <alignment horizontal="right" vertical="top" wrapText="1"/>
    </xf>
    <xf numFmtId="0" fontId="36" fillId="0" borderId="0" xfId="4" applyFont="1" applyFill="1"/>
  </cellXfs>
  <cellStyles count="10">
    <cellStyle name="Comma 3" xfId="5" xr:uid="{7CDBA429-6087-4AF3-8976-7F423C9ED004}"/>
    <cellStyle name="Currency 2" xfId="6" xr:uid="{1CA0318B-91D4-48EC-B2A0-B8A6123BCAC5}"/>
    <cellStyle name="Hyperlink" xfId="9" builtinId="8"/>
    <cellStyle name="Hyperlink 2" xfId="7" xr:uid="{E9ADBCD8-CC82-4217-825D-699B90D9D76D}"/>
    <cellStyle name="Normal" xfId="0" builtinId="0"/>
    <cellStyle name="Normal 2" xfId="2" xr:uid="{FE34F453-BE46-4638-A718-6F04F1594BE6}"/>
    <cellStyle name="Normal 2 2" xfId="4" xr:uid="{2D6046CD-B46A-45DC-A207-46183422FDC3}"/>
    <cellStyle name="Normal 3" xfId="3" xr:uid="{C4C2660B-A95D-4D3F-80DF-AACE7148632D}"/>
    <cellStyle name="Normal 4" xfId="8" xr:uid="{3A510677-FB36-430B-9978-D756C309F239}"/>
    <cellStyle name="Percent" xfId="1" builtinId="5"/>
  </cellStyles>
  <dxfs count="0"/>
  <tableStyles count="0" defaultTableStyle="TableStyleMedium2" defaultPivotStyle="PivotStyleLight16"/>
  <colors>
    <mruColors>
      <color rgb="FF0000FF"/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7A26-2D6E-4295-99F5-02276544AE94}">
  <sheetPr>
    <tabColor theme="7"/>
  </sheetPr>
  <dimension ref="A1:AJ269"/>
  <sheetViews>
    <sheetView tabSelected="1" workbookViewId="0"/>
  </sheetViews>
  <sheetFormatPr defaultRowHeight="14.25"/>
  <sheetData>
    <row r="1" spans="1:36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</row>
    <row r="2" spans="1:36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</row>
    <row r="3" spans="1:36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</row>
    <row r="4" spans="1:36" ht="13.15" customHeight="1">
      <c r="A4" s="59"/>
      <c r="B4" s="61" t="s">
        <v>37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</row>
    <row r="5" spans="1:36" ht="37.15" customHeight="1">
      <c r="A5" s="59"/>
      <c r="B5" s="62" t="s">
        <v>38</v>
      </c>
      <c r="C5" s="63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</row>
    <row r="6" spans="1:36" ht="27.4">
      <c r="A6" s="59"/>
      <c r="B6" s="62" t="s">
        <v>39</v>
      </c>
      <c r="C6" s="63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</row>
    <row r="7" spans="1:36">
      <c r="A7" s="59"/>
      <c r="B7" s="63"/>
      <c r="C7" s="63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</row>
    <row r="8" spans="1:36">
      <c r="A8" s="59"/>
      <c r="B8" s="64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</row>
    <row r="9" spans="1:36">
      <c r="A9" s="59"/>
      <c r="B9" s="64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</row>
    <row r="10" spans="1:36">
      <c r="A10" s="59"/>
      <c r="B10" s="64" t="s">
        <v>42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</row>
    <row r="11" spans="1:36">
      <c r="A11" s="59"/>
      <c r="B11" s="64" t="s">
        <v>40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</row>
    <row r="12" spans="1:36" ht="8.75" customHeight="1">
      <c r="A12" s="59"/>
      <c r="B12" s="64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</row>
    <row r="13" spans="1:36">
      <c r="A13" s="59"/>
      <c r="B13" s="65" t="str">
        <f>HYPERLINK("https://GrowthEquityInterviewGuide.com", "GrowthEquityInterviewGuide.com")</f>
        <v>GrowthEquityInterviewGuide.com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</row>
    <row r="14" spans="1:36" ht="4.9000000000000004" customHeight="1">
      <c r="A14" s="59"/>
      <c r="B14" s="66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</row>
    <row r="15" spans="1:36" ht="14.65" customHeight="1">
      <c r="A15" s="59"/>
      <c r="B15" s="67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</row>
    <row r="16" spans="1:36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</row>
    <row r="17" spans="1:36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</row>
    <row r="18" spans="1:36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</row>
    <row r="19" spans="1:36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</row>
    <row r="20" spans="1:36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</row>
    <row r="21" spans="1:36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</row>
    <row r="22" spans="1:36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</row>
    <row r="23" spans="1:36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</row>
    <row r="24" spans="1:36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</row>
    <row r="25" spans="1:36">
      <c r="A25" s="59"/>
      <c r="B25" s="67" t="s">
        <v>41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</row>
    <row r="26" spans="1:36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</row>
    <row r="27" spans="1:36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</row>
    <row r="28" spans="1:36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</row>
    <row r="29" spans="1:36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</row>
    <row r="30" spans="1:36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</row>
    <row r="31" spans="1:36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</row>
    <row r="32" spans="1:36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</row>
    <row r="33" spans="1:36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</row>
    <row r="34" spans="1:36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</row>
    <row r="35" spans="1:36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</row>
    <row r="36" spans="1: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</row>
    <row r="37" spans="1:36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</row>
    <row r="38" spans="1:36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</row>
    <row r="39" spans="1:36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</row>
    <row r="40" spans="1:36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</row>
    <row r="41" spans="1:36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</row>
    <row r="42" spans="1:36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</row>
    <row r="43" spans="1:36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</row>
    <row r="44" spans="1:36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</row>
    <row r="45" spans="1:36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</row>
    <row r="46" spans="1:3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</row>
    <row r="47" spans="1:36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</row>
    <row r="48" spans="1:36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</row>
    <row r="49" spans="1:36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</row>
    <row r="50" spans="1:36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</row>
    <row r="51" spans="1:36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</row>
    <row r="52" spans="1:36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</row>
    <row r="53" spans="1:36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</row>
    <row r="54" spans="1:36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</row>
    <row r="55" spans="1:36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</row>
    <row r="56" spans="1:3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</row>
    <row r="57" spans="1:36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</row>
    <row r="58" spans="1:36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</row>
    <row r="59" spans="1:36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</row>
    <row r="60" spans="1:36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</row>
    <row r="61" spans="1:36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</row>
    <row r="62" spans="1:36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</row>
    <row r="63" spans="1:36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</row>
    <row r="64" spans="1:36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</row>
    <row r="65" spans="1:36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</row>
    <row r="66" spans="1:3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</row>
    <row r="67" spans="1:36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</row>
    <row r="68" spans="1:36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</row>
    <row r="69" spans="1:36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</row>
    <row r="70" spans="1:36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</row>
    <row r="71" spans="1:36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</row>
    <row r="72" spans="1:36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</row>
    <row r="73" spans="1:36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</row>
    <row r="74" spans="1:36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</row>
    <row r="75" spans="1:36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</row>
    <row r="76" spans="1:3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</row>
    <row r="77" spans="1:36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</row>
    <row r="78" spans="1:36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</row>
    <row r="79" spans="1:36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</row>
    <row r="80" spans="1:36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</row>
    <row r="81" spans="1:36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</row>
    <row r="82" spans="1:36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</row>
    <row r="83" spans="1:36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</row>
    <row r="84" spans="1:36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</row>
    <row r="85" spans="1:36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</row>
    <row r="86" spans="1:3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</row>
    <row r="87" spans="1:36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</row>
    <row r="88" spans="1:36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</row>
    <row r="89" spans="1:36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</row>
    <row r="90" spans="1:36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</row>
    <row r="91" spans="1:36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</row>
    <row r="92" spans="1:36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</row>
    <row r="93" spans="1:36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</row>
    <row r="94" spans="1:36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</row>
    <row r="95" spans="1:36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</row>
    <row r="96" spans="1:3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</row>
    <row r="97" spans="1:36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</row>
    <row r="98" spans="1:36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</row>
    <row r="99" spans="1:36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</row>
    <row r="100" spans="1:36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</row>
    <row r="101" spans="1:36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</row>
    <row r="102" spans="1:36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</row>
    <row r="103" spans="1:36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</row>
    <row r="104" spans="1:36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</row>
    <row r="105" spans="1:36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</row>
    <row r="106" spans="1:3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</row>
    <row r="107" spans="1:36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</row>
    <row r="108" spans="1:36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</row>
    <row r="109" spans="1:36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</row>
    <row r="110" spans="1:36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</row>
    <row r="111" spans="1:36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</row>
    <row r="112" spans="1:36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</row>
    <row r="113" spans="1:36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</row>
    <row r="114" spans="1:36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</row>
    <row r="115" spans="1:36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</row>
    <row r="116" spans="1:3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</row>
    <row r="117" spans="1:36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</row>
    <row r="118" spans="1:36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</row>
    <row r="119" spans="1:36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</row>
    <row r="120" spans="1:36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</row>
    <row r="121" spans="1:36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</row>
    <row r="122" spans="1:36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</row>
    <row r="123" spans="1:36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</row>
    <row r="124" spans="1:36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</row>
    <row r="125" spans="1:36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</row>
    <row r="126" spans="1:3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</row>
    <row r="127" spans="1:36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</row>
    <row r="128" spans="1:36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</row>
    <row r="129" spans="1:36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</row>
    <row r="130" spans="1:36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</row>
    <row r="131" spans="1:36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</row>
    <row r="132" spans="1:36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</row>
    <row r="133" spans="1:36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</row>
    <row r="134" spans="1:36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</row>
    <row r="135" spans="1:36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</row>
    <row r="136" spans="1: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</row>
    <row r="137" spans="1:36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</row>
    <row r="138" spans="1:36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</row>
    <row r="139" spans="1:36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</row>
    <row r="140" spans="1:36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</row>
    <row r="141" spans="1:36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</row>
    <row r="142" spans="1:36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</row>
    <row r="143" spans="1:36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</row>
    <row r="144" spans="1:36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</row>
    <row r="145" spans="1:36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</row>
    <row r="146" spans="1:3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</row>
    <row r="147" spans="1:36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</row>
    <row r="148" spans="1:36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</row>
    <row r="149" spans="1:36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</row>
    <row r="150" spans="1:36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</row>
    <row r="151" spans="1:36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</row>
    <row r="152" spans="1:36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</row>
    <row r="153" spans="1:36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</row>
    <row r="154" spans="1:36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</row>
    <row r="155" spans="1:36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</row>
    <row r="156" spans="1:3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</row>
    <row r="157" spans="1:36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</row>
    <row r="158" spans="1:36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</row>
    <row r="159" spans="1:36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</row>
    <row r="160" spans="1:36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</row>
    <row r="161" spans="1:36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</row>
    <row r="162" spans="1:36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</row>
    <row r="163" spans="1:36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</row>
    <row r="164" spans="1:36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</row>
    <row r="165" spans="1:36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</row>
    <row r="166" spans="1:3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</row>
    <row r="167" spans="1:36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</row>
    <row r="168" spans="1:36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</row>
    <row r="169" spans="1:36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</row>
    <row r="170" spans="1:36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</row>
    <row r="171" spans="1:36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</row>
    <row r="172" spans="1:36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</row>
    <row r="173" spans="1:36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</row>
    <row r="174" spans="1:36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</row>
    <row r="175" spans="1:36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</row>
    <row r="176" spans="1:3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</row>
    <row r="177" spans="1:36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</row>
    <row r="178" spans="1:36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</row>
    <row r="179" spans="1:36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</row>
    <row r="180" spans="1:36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</row>
    <row r="181" spans="1:36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</row>
    <row r="182" spans="1:36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</row>
    <row r="183" spans="1:36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</row>
    <row r="184" spans="1:36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</row>
    <row r="185" spans="1:36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</row>
    <row r="186" spans="1:3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</row>
    <row r="187" spans="1:36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</row>
    <row r="188" spans="1:36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</row>
    <row r="189" spans="1:36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</row>
    <row r="190" spans="1:36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</row>
    <row r="191" spans="1:36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</row>
    <row r="192" spans="1:36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</row>
    <row r="193" spans="1:36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</row>
    <row r="194" spans="1:36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</row>
    <row r="195" spans="1:36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</row>
    <row r="196" spans="1:3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</row>
    <row r="197" spans="1:36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</row>
    <row r="198" spans="1:36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</row>
    <row r="199" spans="1:36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</row>
    <row r="200" spans="1:36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</row>
    <row r="201" spans="1:36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</row>
    <row r="202" spans="1:36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</row>
    <row r="203" spans="1:36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</row>
    <row r="204" spans="1:36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</row>
    <row r="205" spans="1:36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</row>
    <row r="206" spans="1:3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</row>
    <row r="207" spans="1:36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</row>
    <row r="208" spans="1:36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</row>
    <row r="209" spans="1:36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</row>
    <row r="210" spans="1:36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</row>
    <row r="211" spans="1:36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</row>
    <row r="212" spans="1:36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</row>
    <row r="213" spans="1:36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</row>
    <row r="214" spans="1:36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</row>
    <row r="215" spans="1:36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</row>
    <row r="216" spans="1:3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</row>
    <row r="217" spans="1:36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</row>
    <row r="218" spans="1:36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</row>
    <row r="219" spans="1:36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</row>
    <row r="220" spans="1:36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</row>
    <row r="221" spans="1:36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</row>
    <row r="222" spans="1:36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</row>
    <row r="223" spans="1:36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</row>
    <row r="224" spans="1:36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</row>
    <row r="225" spans="1:36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</row>
    <row r="226" spans="1:3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</row>
    <row r="227" spans="1:36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</row>
    <row r="228" spans="1:36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</row>
    <row r="229" spans="1:36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</row>
    <row r="230" spans="1:36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</row>
    <row r="231" spans="1:36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</row>
    <row r="232" spans="1:36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</row>
    <row r="233" spans="1:36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</row>
    <row r="234" spans="1:36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</row>
    <row r="235" spans="1:36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</row>
    <row r="236" spans="1: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</row>
    <row r="237" spans="1:36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</row>
    <row r="238" spans="1:36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</row>
    <row r="239" spans="1:36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</row>
    <row r="240" spans="1:36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</row>
    <row r="241" spans="1:36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</row>
    <row r="242" spans="1:36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</row>
    <row r="243" spans="1:36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</row>
    <row r="244" spans="1:36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</row>
    <row r="245" spans="1:36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</row>
    <row r="246" spans="1:3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</row>
    <row r="247" spans="1:36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</row>
    <row r="248" spans="1:36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</row>
    <row r="249" spans="1:36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</row>
    <row r="250" spans="1:36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</row>
    <row r="251" spans="1:36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</row>
    <row r="252" spans="1:36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</row>
    <row r="253" spans="1:36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</row>
    <row r="254" spans="1:36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</row>
    <row r="255" spans="1:36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</row>
    <row r="256" spans="1:3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</row>
    <row r="257" spans="1:36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</row>
    <row r="258" spans="1:36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</row>
    <row r="259" spans="1:36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</row>
    <row r="260" spans="1:36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</row>
    <row r="261" spans="1:36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</row>
    <row r="262" spans="1:36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</row>
    <row r="263" spans="1:36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</row>
    <row r="264" spans="1:36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</row>
    <row r="265" spans="1:36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</row>
    <row r="266" spans="1:3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</row>
    <row r="267" spans="1:36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</row>
    <row r="268" spans="1:36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</row>
    <row r="269" spans="1:36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9E41-EF18-4F3F-8972-77D7372ACFCC}">
  <dimension ref="A1:AP62"/>
  <sheetViews>
    <sheetView showGridLines="0" zoomScale="120" zoomScaleNormal="120" zoomScaleSheetLayoutView="13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ColWidth="9.1328125" defaultRowHeight="13.15"/>
  <cols>
    <col min="1" max="1" width="3.59765625" style="1" customWidth="1"/>
    <col min="2" max="2" width="38.6640625" style="2" customWidth="1"/>
    <col min="3" max="13" width="7.796875" style="2" customWidth="1"/>
    <col min="14" max="14" width="7.9296875" style="31" customWidth="1"/>
    <col min="15" max="15" width="7.796875" style="37" customWidth="1"/>
    <col min="16" max="34" width="7.796875" style="72" customWidth="1"/>
    <col min="35" max="35" width="7.86328125" style="1" customWidth="1"/>
    <col min="36" max="16384" width="9.1328125" style="1"/>
  </cols>
  <sheetData>
    <row r="1" spans="2:42" s="2" customFormat="1">
      <c r="B1" s="6"/>
      <c r="N1" s="31"/>
      <c r="O1" s="32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</row>
    <row r="2" spans="2:42" s="2" customFormat="1">
      <c r="B2" s="3" t="s">
        <v>20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33"/>
      <c r="O2" s="34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110" t="s">
        <v>50</v>
      </c>
      <c r="AI2" s="47"/>
    </row>
    <row r="3" spans="2:42" s="2" customFormat="1">
      <c r="B3" s="15" t="s">
        <v>54</v>
      </c>
      <c r="C3" s="44">
        <f t="shared" ref="C3:AH3" si="0">YEAR(C4)</f>
        <v>2020</v>
      </c>
      <c r="D3" s="44">
        <f t="shared" si="0"/>
        <v>2020</v>
      </c>
      <c r="E3" s="44">
        <f t="shared" si="0"/>
        <v>2020</v>
      </c>
      <c r="F3" s="44">
        <f t="shared" si="0"/>
        <v>2020</v>
      </c>
      <c r="G3" s="44">
        <f t="shared" si="0"/>
        <v>2021</v>
      </c>
      <c r="H3" s="44">
        <f t="shared" si="0"/>
        <v>2021</v>
      </c>
      <c r="I3" s="44">
        <f t="shared" si="0"/>
        <v>2021</v>
      </c>
      <c r="J3" s="44">
        <f t="shared" si="0"/>
        <v>2021</v>
      </c>
      <c r="K3" s="44">
        <f t="shared" si="0"/>
        <v>2022</v>
      </c>
      <c r="L3" s="44">
        <f t="shared" si="0"/>
        <v>2022</v>
      </c>
      <c r="M3" s="44">
        <f t="shared" si="0"/>
        <v>2022</v>
      </c>
      <c r="N3" s="91">
        <f t="shared" si="0"/>
        <v>2022</v>
      </c>
      <c r="O3" s="51">
        <f t="shared" si="0"/>
        <v>2023</v>
      </c>
      <c r="P3" s="99">
        <f t="shared" si="0"/>
        <v>2023</v>
      </c>
      <c r="Q3" s="99">
        <f t="shared" si="0"/>
        <v>2023</v>
      </c>
      <c r="R3" s="99">
        <f t="shared" si="0"/>
        <v>2023</v>
      </c>
      <c r="S3" s="99">
        <f t="shared" si="0"/>
        <v>2024</v>
      </c>
      <c r="T3" s="99">
        <f t="shared" si="0"/>
        <v>2024</v>
      </c>
      <c r="U3" s="99">
        <f t="shared" si="0"/>
        <v>2024</v>
      </c>
      <c r="V3" s="99">
        <f t="shared" si="0"/>
        <v>2024</v>
      </c>
      <c r="W3" s="99">
        <f t="shared" si="0"/>
        <v>2025</v>
      </c>
      <c r="X3" s="99">
        <f t="shared" si="0"/>
        <v>2025</v>
      </c>
      <c r="Y3" s="99">
        <f t="shared" si="0"/>
        <v>2025</v>
      </c>
      <c r="Z3" s="99">
        <f t="shared" si="0"/>
        <v>2025</v>
      </c>
      <c r="AA3" s="99">
        <f t="shared" si="0"/>
        <v>2026</v>
      </c>
      <c r="AB3" s="99">
        <f t="shared" si="0"/>
        <v>2026</v>
      </c>
      <c r="AC3" s="99">
        <f t="shared" si="0"/>
        <v>2026</v>
      </c>
      <c r="AD3" s="99">
        <f t="shared" si="0"/>
        <v>2026</v>
      </c>
      <c r="AE3" s="99">
        <f t="shared" si="0"/>
        <v>2027</v>
      </c>
      <c r="AF3" s="99">
        <f t="shared" si="0"/>
        <v>2027</v>
      </c>
      <c r="AG3" s="99">
        <f t="shared" si="0"/>
        <v>2027</v>
      </c>
      <c r="AH3" s="99">
        <f t="shared" si="0"/>
        <v>2027</v>
      </c>
      <c r="AI3" s="48"/>
    </row>
    <row r="4" spans="2:42" s="2" customFormat="1">
      <c r="B4" s="15" t="s">
        <v>55</v>
      </c>
      <c r="C4" s="68">
        <v>43921</v>
      </c>
      <c r="D4" s="12">
        <f t="shared" ref="D4:AH4" si="1">EOMONTH(C4, 3)</f>
        <v>44012</v>
      </c>
      <c r="E4" s="12">
        <f t="shared" si="1"/>
        <v>44104</v>
      </c>
      <c r="F4" s="12">
        <f t="shared" si="1"/>
        <v>44196</v>
      </c>
      <c r="G4" s="12">
        <f t="shared" si="1"/>
        <v>44286</v>
      </c>
      <c r="H4" s="12">
        <f t="shared" si="1"/>
        <v>44377</v>
      </c>
      <c r="I4" s="12">
        <f t="shared" si="1"/>
        <v>44469</v>
      </c>
      <c r="J4" s="12">
        <f t="shared" si="1"/>
        <v>44561</v>
      </c>
      <c r="K4" s="12">
        <f t="shared" si="1"/>
        <v>44651</v>
      </c>
      <c r="L4" s="12">
        <f t="shared" si="1"/>
        <v>44742</v>
      </c>
      <c r="M4" s="12">
        <f t="shared" si="1"/>
        <v>44834</v>
      </c>
      <c r="N4" s="35">
        <f t="shared" si="1"/>
        <v>44926</v>
      </c>
      <c r="O4" s="52">
        <f t="shared" si="1"/>
        <v>45016</v>
      </c>
      <c r="P4" s="100">
        <f t="shared" si="1"/>
        <v>45107</v>
      </c>
      <c r="Q4" s="100">
        <f t="shared" si="1"/>
        <v>45199</v>
      </c>
      <c r="R4" s="100">
        <f t="shared" si="1"/>
        <v>45291</v>
      </c>
      <c r="S4" s="100">
        <f t="shared" si="1"/>
        <v>45382</v>
      </c>
      <c r="T4" s="100">
        <f t="shared" si="1"/>
        <v>45473</v>
      </c>
      <c r="U4" s="100">
        <f t="shared" si="1"/>
        <v>45565</v>
      </c>
      <c r="V4" s="100">
        <f t="shared" si="1"/>
        <v>45657</v>
      </c>
      <c r="W4" s="100">
        <f t="shared" si="1"/>
        <v>45747</v>
      </c>
      <c r="X4" s="100">
        <f t="shared" si="1"/>
        <v>45838</v>
      </c>
      <c r="Y4" s="100">
        <f t="shared" si="1"/>
        <v>45930</v>
      </c>
      <c r="Z4" s="100">
        <f t="shared" si="1"/>
        <v>46022</v>
      </c>
      <c r="AA4" s="100">
        <f t="shared" si="1"/>
        <v>46112</v>
      </c>
      <c r="AB4" s="100">
        <f t="shared" si="1"/>
        <v>46203</v>
      </c>
      <c r="AC4" s="100">
        <f t="shared" si="1"/>
        <v>46295</v>
      </c>
      <c r="AD4" s="100">
        <f t="shared" si="1"/>
        <v>46387</v>
      </c>
      <c r="AE4" s="100">
        <f t="shared" si="1"/>
        <v>46477</v>
      </c>
      <c r="AF4" s="100">
        <f t="shared" si="1"/>
        <v>46568</v>
      </c>
      <c r="AG4" s="100">
        <f t="shared" si="1"/>
        <v>46660</v>
      </c>
      <c r="AH4" s="100">
        <f t="shared" si="1"/>
        <v>46752</v>
      </c>
      <c r="AI4" s="43"/>
    </row>
    <row r="5" spans="2:42" s="72" customFormat="1">
      <c r="B5" s="73" t="s">
        <v>11</v>
      </c>
      <c r="C5" s="88">
        <v>2198.9787169971642</v>
      </c>
      <c r="D5" s="88">
        <v>2784.2487323102555</v>
      </c>
      <c r="E5" s="88">
        <v>3286.6843501780072</v>
      </c>
      <c r="F5" s="88">
        <v>4387.6529028517034</v>
      </c>
      <c r="G5" s="88">
        <v>5236.4888056163036</v>
      </c>
      <c r="H5" s="88">
        <v>6301.1026693484109</v>
      </c>
      <c r="I5" s="88">
        <v>7833.5467643579886</v>
      </c>
      <c r="J5" s="88">
        <v>9427.8556090420225</v>
      </c>
      <c r="K5" s="88">
        <v>10932.176950479708</v>
      </c>
      <c r="L5" s="88">
        <v>12966.669053697065</v>
      </c>
      <c r="M5" s="88">
        <v>14824.425708711953</v>
      </c>
      <c r="N5" s="50">
        <v>17887.812562499999</v>
      </c>
      <c r="O5" s="111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3"/>
      <c r="AK5" s="113"/>
      <c r="AL5" s="113"/>
      <c r="AM5" s="113"/>
      <c r="AN5" s="113"/>
      <c r="AO5" s="113"/>
      <c r="AP5" s="113"/>
    </row>
    <row r="6" spans="2:42">
      <c r="B6" s="5" t="s">
        <v>9</v>
      </c>
      <c r="C6" s="20"/>
      <c r="D6" s="20"/>
      <c r="E6" s="20"/>
      <c r="F6" s="20"/>
      <c r="G6" s="75">
        <f>G5/C5-1</f>
        <v>1.3813276432102262</v>
      </c>
      <c r="H6" s="75">
        <f>H5/D5-1</f>
        <v>1.2631249127372373</v>
      </c>
      <c r="I6" s="75">
        <f>I5/E5-1</f>
        <v>1.3834192547068667</v>
      </c>
      <c r="J6" s="75">
        <f>J5/F5-1</f>
        <v>1.1487241169223981</v>
      </c>
      <c r="K6" s="75">
        <f>K5/G5-1</f>
        <v>1.0876922220772429</v>
      </c>
      <c r="L6" s="75">
        <f>L5/H5-1</f>
        <v>1.0578412595581357</v>
      </c>
      <c r="M6" s="75">
        <f>M5/I5-1</f>
        <v>0.89242831563371849</v>
      </c>
      <c r="N6" s="78">
        <f>N5/J5-1</f>
        <v>0.8973362877284885</v>
      </c>
      <c r="O6" s="76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29"/>
      <c r="AJ6" s="81"/>
      <c r="AK6" s="81"/>
      <c r="AL6" s="81"/>
      <c r="AM6" s="81"/>
      <c r="AN6" s="81"/>
      <c r="AO6" s="81"/>
      <c r="AP6" s="81"/>
    </row>
    <row r="7" spans="2:42">
      <c r="B7" s="5"/>
      <c r="C7" s="20"/>
      <c r="D7" s="20"/>
      <c r="E7" s="20"/>
      <c r="F7" s="20"/>
      <c r="G7" s="75"/>
      <c r="H7" s="75"/>
      <c r="I7" s="75"/>
      <c r="J7" s="75"/>
      <c r="K7" s="75"/>
      <c r="L7" s="75"/>
      <c r="M7" s="75"/>
      <c r="N7" s="78"/>
      <c r="O7" s="76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29"/>
      <c r="AJ7" s="81"/>
      <c r="AK7" s="81"/>
      <c r="AL7" s="81"/>
      <c r="AM7" s="81"/>
      <c r="AN7" s="81"/>
      <c r="AO7" s="81"/>
      <c r="AP7" s="81"/>
    </row>
    <row r="8" spans="2:42" s="72" customFormat="1">
      <c r="B8" s="73" t="s">
        <v>34</v>
      </c>
      <c r="C8" s="74"/>
      <c r="D8" s="74"/>
      <c r="E8" s="74"/>
      <c r="F8" s="74">
        <f>SUM(C5:F5)</f>
        <v>12657.564702337131</v>
      </c>
      <c r="G8" s="74">
        <f>SUM(D5:G5)</f>
        <v>15695.074790956271</v>
      </c>
      <c r="H8" s="74">
        <f>SUM(E5:H5)</f>
        <v>19211.928727994426</v>
      </c>
      <c r="I8" s="74">
        <f>SUM(F5:I5)</f>
        <v>23758.791142174407</v>
      </c>
      <c r="J8" s="74">
        <f>SUM(G5:J5)</f>
        <v>28798.993848364727</v>
      </c>
      <c r="K8" s="74">
        <f>SUM(H5:K5)</f>
        <v>34494.681993228136</v>
      </c>
      <c r="L8" s="74">
        <f>SUM(I5:L5)</f>
        <v>41160.248377576783</v>
      </c>
      <c r="M8" s="74">
        <f>SUM(J5:M5)</f>
        <v>48151.127321930748</v>
      </c>
      <c r="N8" s="41">
        <f>SUM(K5:N5)</f>
        <v>56611.084275388726</v>
      </c>
      <c r="O8" s="111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3"/>
      <c r="AK8" s="113"/>
      <c r="AL8" s="113"/>
      <c r="AM8" s="113"/>
      <c r="AN8" s="113"/>
      <c r="AO8" s="113"/>
      <c r="AP8" s="113"/>
    </row>
    <row r="9" spans="2:42">
      <c r="B9" s="5"/>
      <c r="O9" s="116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81"/>
      <c r="AJ9" s="81"/>
      <c r="AK9" s="81"/>
      <c r="AL9" s="81"/>
      <c r="AM9" s="81"/>
      <c r="AN9" s="81"/>
      <c r="AO9" s="81"/>
      <c r="AP9" s="81"/>
    </row>
    <row r="10" spans="2:42">
      <c r="B10" s="10" t="s">
        <v>10</v>
      </c>
      <c r="O10" s="116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81"/>
      <c r="AJ10" s="81"/>
      <c r="AK10" s="81"/>
      <c r="AL10" s="81"/>
      <c r="AM10" s="81"/>
      <c r="AN10" s="81"/>
      <c r="AO10" s="81"/>
      <c r="AP10" s="81"/>
    </row>
    <row r="11" spans="2:42">
      <c r="B11" s="2" t="s">
        <v>36</v>
      </c>
      <c r="C11" s="22">
        <v>722.25339857999984</v>
      </c>
      <c r="D11" s="22">
        <v>918.37481230879075</v>
      </c>
      <c r="E11" s="22">
        <v>1085.7528472421607</v>
      </c>
      <c r="F11" s="22">
        <v>1453.3983570653002</v>
      </c>
      <c r="G11" s="22">
        <v>1740.5519116865787</v>
      </c>
      <c r="H11" s="22">
        <v>2108.5494219070456</v>
      </c>
      <c r="I11" s="22">
        <v>2628.3375294385278</v>
      </c>
      <c r="J11" s="22">
        <v>3172.8358104161639</v>
      </c>
      <c r="K11" s="22">
        <v>3697.5796746221113</v>
      </c>
      <c r="L11" s="22">
        <v>4401.0711119605139</v>
      </c>
      <c r="M11" s="22">
        <v>5056.4592996690471</v>
      </c>
      <c r="N11" s="46">
        <v>6099.509681454294</v>
      </c>
      <c r="O11" s="80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17"/>
      <c r="AJ11" s="81"/>
      <c r="AK11" s="81"/>
      <c r="AL11" s="81"/>
      <c r="AM11" s="81"/>
      <c r="AN11" s="81"/>
      <c r="AO11" s="81"/>
      <c r="AP11" s="81"/>
    </row>
    <row r="12" spans="2:42">
      <c r="B12" s="25" t="s">
        <v>10</v>
      </c>
      <c r="C12" s="13">
        <f>C5-C11</f>
        <v>1476.7253184171643</v>
      </c>
      <c r="D12" s="13">
        <f>D5-D11</f>
        <v>1865.8739200014647</v>
      </c>
      <c r="E12" s="13">
        <f>E5-E11</f>
        <v>2200.9315029358468</v>
      </c>
      <c r="F12" s="13">
        <f>F5-F11</f>
        <v>2934.2545457864035</v>
      </c>
      <c r="G12" s="13">
        <f>G5-G11</f>
        <v>3495.9368939297246</v>
      </c>
      <c r="H12" s="13">
        <f>H5-H11</f>
        <v>4192.5532474413649</v>
      </c>
      <c r="I12" s="13">
        <f>I5-I11</f>
        <v>5205.2092349194609</v>
      </c>
      <c r="J12" s="13">
        <f>J5-J11</f>
        <v>6255.019798625859</v>
      </c>
      <c r="K12" s="13">
        <f>K5-K11</f>
        <v>7234.5972758575972</v>
      </c>
      <c r="L12" s="13">
        <f>L5-L11</f>
        <v>8565.5979417365525</v>
      </c>
      <c r="M12" s="13">
        <f>M5-M11</f>
        <v>9767.9664090429069</v>
      </c>
      <c r="N12" s="36">
        <f>N5-N11</f>
        <v>11788.302881045705</v>
      </c>
      <c r="O12" s="118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82"/>
      <c r="AJ12" s="81"/>
      <c r="AK12" s="81"/>
      <c r="AL12" s="81"/>
      <c r="AM12" s="81"/>
      <c r="AN12" s="81"/>
      <c r="AO12" s="81"/>
      <c r="AP12" s="81"/>
    </row>
    <row r="13" spans="2:42">
      <c r="B13" s="5" t="s">
        <v>43</v>
      </c>
      <c r="C13" s="77">
        <f>C12/C5</f>
        <v>0.67155052798042558</v>
      </c>
      <c r="D13" s="77">
        <f>D12/D5</f>
        <v>0.67015345947674687</v>
      </c>
      <c r="E13" s="77">
        <f>E12/E5</f>
        <v>0.66965101252167525</v>
      </c>
      <c r="F13" s="77">
        <f>F12/F5</f>
        <v>0.66875265905361825</v>
      </c>
      <c r="G13" s="77">
        <f>G12/G5</f>
        <v>0.66761087891188065</v>
      </c>
      <c r="H13" s="77">
        <f>H12/H5</f>
        <v>0.66536818513304929</v>
      </c>
      <c r="I13" s="77">
        <f>I12/I5</f>
        <v>0.66447669127383613</v>
      </c>
      <c r="J13" s="77">
        <f>J12/J5</f>
        <v>0.66346156093298936</v>
      </c>
      <c r="K13" s="77">
        <f>K12/K5</f>
        <v>0.66177096369997379</v>
      </c>
      <c r="L13" s="77">
        <f>L12/L5</f>
        <v>0.66058583790987735</v>
      </c>
      <c r="M13" s="77">
        <f>M12/M5</f>
        <v>0.65891027423089388</v>
      </c>
      <c r="N13" s="92">
        <f>N12/N5</f>
        <v>0.65901310402584923</v>
      </c>
      <c r="O13" s="114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29"/>
      <c r="AJ13" s="81"/>
      <c r="AK13" s="81"/>
      <c r="AL13" s="81"/>
      <c r="AM13" s="81"/>
      <c r="AN13" s="81"/>
      <c r="AO13" s="81"/>
      <c r="AP13" s="81"/>
    </row>
    <row r="14" spans="2:42">
      <c r="O14" s="116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81"/>
      <c r="AJ14" s="81"/>
      <c r="AK14" s="81"/>
      <c r="AL14" s="81"/>
      <c r="AM14" s="81"/>
      <c r="AN14" s="81"/>
      <c r="AO14" s="81"/>
      <c r="AP14" s="81"/>
    </row>
    <row r="15" spans="2:42">
      <c r="B15" s="10" t="s">
        <v>14</v>
      </c>
      <c r="O15" s="116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81"/>
      <c r="AJ15" s="81"/>
      <c r="AK15" s="81"/>
      <c r="AL15" s="81"/>
      <c r="AM15" s="81"/>
      <c r="AN15" s="81"/>
      <c r="AO15" s="81"/>
      <c r="AP15" s="81"/>
    </row>
    <row r="16" spans="2:42">
      <c r="B16" s="2" t="s">
        <v>7</v>
      </c>
      <c r="C16" s="22">
        <v>1200.0105704689199</v>
      </c>
      <c r="D16" s="22">
        <v>1349.9439499435048</v>
      </c>
      <c r="E16" s="22">
        <v>1491.0471257342761</v>
      </c>
      <c r="F16" s="22">
        <v>1617.0779601869442</v>
      </c>
      <c r="G16" s="22">
        <v>1758.387862041845</v>
      </c>
      <c r="H16" s="22">
        <v>1902.2560830999869</v>
      </c>
      <c r="I16" s="22">
        <v>2438.4820432835822</v>
      </c>
      <c r="J16" s="22">
        <v>2927.6112537313434</v>
      </c>
      <c r="K16" s="22">
        <v>3411.8055469435094</v>
      </c>
      <c r="L16" s="22">
        <v>4597.6604899734848</v>
      </c>
      <c r="M16" s="22">
        <v>4968.3288814763155</v>
      </c>
      <c r="N16" s="46">
        <v>6584.1337443371531</v>
      </c>
      <c r="O16" s="80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20"/>
      <c r="AJ16" s="81"/>
      <c r="AK16" s="81"/>
      <c r="AL16" s="81"/>
      <c r="AM16" s="81"/>
      <c r="AN16" s="81"/>
      <c r="AO16" s="81"/>
      <c r="AP16" s="81"/>
    </row>
    <row r="17" spans="2:42">
      <c r="B17" s="2" t="s">
        <v>12</v>
      </c>
      <c r="C17" s="22">
        <v>2384.2613508414452</v>
      </c>
      <c r="D17" s="22">
        <v>2500.9067467600526</v>
      </c>
      <c r="E17" s="22">
        <v>2551.3451846569142</v>
      </c>
      <c r="F17" s="22">
        <v>2636.7792719553327</v>
      </c>
      <c r="G17" s="22">
        <v>2660.6690876773114</v>
      </c>
      <c r="H17" s="22">
        <v>2698.5614105398677</v>
      </c>
      <c r="I17" s="22">
        <v>3369.0084747654942</v>
      </c>
      <c r="J17" s="22">
        <v>4151.8057109887332</v>
      </c>
      <c r="K17" s="22">
        <v>4502.3103339739237</v>
      </c>
      <c r="L17" s="22">
        <v>5732.0898126337152</v>
      </c>
      <c r="M17" s="22">
        <v>5605.4327482381332</v>
      </c>
      <c r="N17" s="46">
        <v>7072.7661174825662</v>
      </c>
      <c r="O17" s="80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20"/>
      <c r="AJ17" s="81"/>
      <c r="AK17" s="81"/>
      <c r="AL17" s="81"/>
      <c r="AM17" s="81"/>
      <c r="AN17" s="81"/>
      <c r="AO17" s="81"/>
      <c r="AP17" s="81"/>
    </row>
    <row r="18" spans="2:42">
      <c r="B18" s="2" t="s">
        <v>13</v>
      </c>
      <c r="C18" s="22">
        <v>1361.00066061251</v>
      </c>
      <c r="D18" s="22">
        <v>1326.3992017120966</v>
      </c>
      <c r="E18" s="22">
        <v>1478.9223325896753</v>
      </c>
      <c r="F18" s="22">
        <v>1886.0624037228752</v>
      </c>
      <c r="G18" s="22">
        <v>1697.4528916920449</v>
      </c>
      <c r="H18" s="22">
        <v>2916.5136223740574</v>
      </c>
      <c r="I18" s="22">
        <v>3509.8163840649363</v>
      </c>
      <c r="J18" s="22">
        <v>3710.7397775573627</v>
      </c>
      <c r="K18" s="22">
        <v>4047.094126180064</v>
      </c>
      <c r="L18" s="22">
        <v>4572.46400169758</v>
      </c>
      <c r="M18" s="22">
        <v>4505.088913530376</v>
      </c>
      <c r="N18" s="46">
        <v>4913.5267902978676</v>
      </c>
      <c r="O18" s="80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20"/>
      <c r="AJ18" s="81"/>
      <c r="AK18" s="81"/>
      <c r="AL18" s="81"/>
      <c r="AM18" s="81"/>
      <c r="AN18" s="81"/>
      <c r="AO18" s="81"/>
      <c r="AP18" s="81"/>
    </row>
    <row r="19" spans="2:42">
      <c r="B19" s="25" t="s">
        <v>14</v>
      </c>
      <c r="C19" s="13">
        <f t="shared" ref="C19:N19" si="2">SUM(C16:C18)</f>
        <v>4945.2725819228754</v>
      </c>
      <c r="D19" s="13">
        <f t="shared" si="2"/>
        <v>5177.2498984156537</v>
      </c>
      <c r="E19" s="13">
        <f t="shared" si="2"/>
        <v>5521.3146429808658</v>
      </c>
      <c r="F19" s="13">
        <f t="shared" si="2"/>
        <v>6139.9196358651525</v>
      </c>
      <c r="G19" s="13">
        <f t="shared" si="2"/>
        <v>6116.5098414112017</v>
      </c>
      <c r="H19" s="13">
        <f t="shared" si="2"/>
        <v>7517.3311160139119</v>
      </c>
      <c r="I19" s="13">
        <f t="shared" si="2"/>
        <v>9317.3069021140127</v>
      </c>
      <c r="J19" s="13">
        <f t="shared" si="2"/>
        <v>10790.156742277439</v>
      </c>
      <c r="K19" s="13">
        <f t="shared" si="2"/>
        <v>11961.210007097498</v>
      </c>
      <c r="L19" s="13">
        <f t="shared" si="2"/>
        <v>14902.21430430478</v>
      </c>
      <c r="M19" s="13">
        <f t="shared" si="2"/>
        <v>15078.850543244826</v>
      </c>
      <c r="N19" s="36">
        <f t="shared" si="2"/>
        <v>18570.426652117585</v>
      </c>
      <c r="O19" s="118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82"/>
      <c r="AJ19" s="81"/>
      <c r="AK19" s="81"/>
      <c r="AL19" s="81"/>
      <c r="AM19" s="81"/>
      <c r="AN19" s="81"/>
      <c r="AO19" s="81"/>
      <c r="AP19" s="81"/>
    </row>
    <row r="20" spans="2:42">
      <c r="B20" s="5" t="str">
        <f>B16&amp;" as % of Revenue"</f>
        <v>S&amp;M as % of Revenue</v>
      </c>
      <c r="C20" s="77">
        <f>+C16/C$5</f>
        <v>0.54571268070643519</v>
      </c>
      <c r="D20" s="77">
        <f>+D16/D$5</f>
        <v>0.48485034195324089</v>
      </c>
      <c r="E20" s="77">
        <f>+E16/E$5</f>
        <v>0.4536630131985509</v>
      </c>
      <c r="F20" s="77">
        <f>+F16/F$5</f>
        <v>0.36855193334366615</v>
      </c>
      <c r="G20" s="77">
        <f>+G16/G$5</f>
        <v>0.33579521074425234</v>
      </c>
      <c r="H20" s="77">
        <f>+H16/H$5</f>
        <v>0.30189257070091463</v>
      </c>
      <c r="I20" s="77">
        <f>+I16/I$5</f>
        <v>0.31128709850542802</v>
      </c>
      <c r="J20" s="77">
        <f>+J16/J$5</f>
        <v>0.31052779922971496</v>
      </c>
      <c r="K20" s="77">
        <f>+K16/K$5</f>
        <v>0.31208839395833216</v>
      </c>
      <c r="L20" s="77">
        <f>+L16/L$5</f>
        <v>0.35457529385024267</v>
      </c>
      <c r="M20" s="77">
        <f>+M16/M$5</f>
        <v>0.33514477923799435</v>
      </c>
      <c r="N20" s="92">
        <f>+N16/N$5</f>
        <v>0.36807931217594081</v>
      </c>
      <c r="O20" s="114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29"/>
      <c r="AJ20" s="81"/>
      <c r="AK20" s="81"/>
      <c r="AL20" s="81"/>
      <c r="AM20" s="81"/>
      <c r="AN20" s="81"/>
      <c r="AO20" s="81"/>
      <c r="AP20" s="81"/>
    </row>
    <row r="21" spans="2:42">
      <c r="B21" s="5" t="str">
        <f>B17&amp;" as % of Revenue"</f>
        <v>R&amp;D as % of Revenue</v>
      </c>
      <c r="C21" s="77">
        <f>+C17/C$5</f>
        <v>1.084258493459771</v>
      </c>
      <c r="D21" s="77">
        <f>+D17/D$5</f>
        <v>0.89823395364713077</v>
      </c>
      <c r="E21" s="77">
        <f>+E17/E$5</f>
        <v>0.77626717774669574</v>
      </c>
      <c r="F21" s="77">
        <f>+F17/F$5</f>
        <v>0.60095438958756031</v>
      </c>
      <c r="G21" s="77">
        <f>+G17/G$5</f>
        <v>0.50810174268369634</v>
      </c>
      <c r="H21" s="77">
        <f>+H17/H$5</f>
        <v>0.42826812260447145</v>
      </c>
      <c r="I21" s="77">
        <f>+I17/I$5</f>
        <v>0.4300744702379532</v>
      </c>
      <c r="J21" s="77">
        <f>+J17/J$5</f>
        <v>0.44037646344592285</v>
      </c>
      <c r="K21" s="77">
        <f>+K17/K$5</f>
        <v>0.41184023588059104</v>
      </c>
      <c r="L21" s="77">
        <f>+L17/L$5</f>
        <v>0.44206340031477692</v>
      </c>
      <c r="M21" s="77">
        <f>+M17/M$5</f>
        <v>0.37812140978547026</v>
      </c>
      <c r="N21" s="92">
        <f>+N17/N$5</f>
        <v>0.39539580889336406</v>
      </c>
      <c r="O21" s="114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29"/>
      <c r="AJ21" s="81"/>
      <c r="AK21" s="81"/>
      <c r="AL21" s="81"/>
      <c r="AM21" s="81"/>
      <c r="AN21" s="81"/>
      <c r="AO21" s="81"/>
      <c r="AP21" s="81"/>
    </row>
    <row r="22" spans="2:42">
      <c r="B22" s="5" t="str">
        <f>B18&amp;" as % of Revenue"</f>
        <v>G&amp;A as % of Revenue</v>
      </c>
      <c r="C22" s="77">
        <f>+C18/C$5</f>
        <v>0.61892398052448505</v>
      </c>
      <c r="D22" s="77">
        <f>+D18/D$5</f>
        <v>0.47639393216550191</v>
      </c>
      <c r="E22" s="77">
        <f>+E18/E$5</f>
        <v>0.4499739479118452</v>
      </c>
      <c r="F22" s="77">
        <f>+F18/F$5</f>
        <v>0.42985679256831166</v>
      </c>
      <c r="G22" s="77">
        <f>+G18/G$5</f>
        <v>0.32415860220525472</v>
      </c>
      <c r="H22" s="77">
        <f>+H18/H$5</f>
        <v>0.4628576576860714</v>
      </c>
      <c r="I22" s="77">
        <f>+I18/I$5</f>
        <v>0.44804945826510162</v>
      </c>
      <c r="J22" s="77">
        <f>+J18/J$5</f>
        <v>0.39359319143565202</v>
      </c>
      <c r="K22" s="77">
        <f>+K18/K$5</f>
        <v>0.37020020298907397</v>
      </c>
      <c r="L22" s="77">
        <f>+L18/L$5</f>
        <v>0.3526321203049349</v>
      </c>
      <c r="M22" s="77">
        <f>+M18/M$5</f>
        <v>0.30389635335976928</v>
      </c>
      <c r="N22" s="92">
        <f>+N18/N$5</f>
        <v>0.27468572655991391</v>
      </c>
      <c r="O22" s="114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29"/>
      <c r="AJ22" s="81"/>
      <c r="AK22" s="81"/>
      <c r="AL22" s="81"/>
      <c r="AM22" s="81"/>
      <c r="AN22" s="81"/>
      <c r="AO22" s="81"/>
      <c r="AP22" s="81"/>
    </row>
    <row r="23" spans="2:42">
      <c r="B23" s="5" t="str">
        <f>B19&amp;" as % of Revenue"</f>
        <v>Operating Expenses as % of Revenue</v>
      </c>
      <c r="C23" s="77">
        <f>+C19/C$5</f>
        <v>2.2488951546906915</v>
      </c>
      <c r="D23" s="77">
        <f>+D19/D$5</f>
        <v>1.8594782277658735</v>
      </c>
      <c r="E23" s="77">
        <f>+E19/E$5</f>
        <v>1.6799041388570919</v>
      </c>
      <c r="F23" s="77">
        <f>+F19/F$5</f>
        <v>1.3993631154995383</v>
      </c>
      <c r="G23" s="77">
        <f>+G19/G$5</f>
        <v>1.1680555556332035</v>
      </c>
      <c r="H23" s="77">
        <f>+H19/H$5</f>
        <v>1.1930183509914574</v>
      </c>
      <c r="I23" s="77">
        <f>+I19/I$5</f>
        <v>1.1894110270084828</v>
      </c>
      <c r="J23" s="77">
        <f>+J19/J$5</f>
        <v>1.1444974541112898</v>
      </c>
      <c r="K23" s="77">
        <f>+K19/K$5</f>
        <v>1.0941288328279972</v>
      </c>
      <c r="L23" s="77">
        <f>+L19/L$5</f>
        <v>1.1492708144699544</v>
      </c>
      <c r="M23" s="77">
        <f>+M19/M$5</f>
        <v>1.017162542383234</v>
      </c>
      <c r="N23" s="92">
        <f>+N19/N$5</f>
        <v>1.0381608476292186</v>
      </c>
      <c r="O23" s="76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29"/>
      <c r="AJ23" s="81"/>
      <c r="AK23" s="81"/>
      <c r="AL23" s="81"/>
      <c r="AM23" s="81"/>
      <c r="AN23" s="81"/>
      <c r="AO23" s="81"/>
      <c r="AP23" s="81"/>
    </row>
    <row r="24" spans="2:42">
      <c r="O24" s="116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81"/>
      <c r="AJ24" s="81"/>
      <c r="AK24" s="81"/>
      <c r="AL24" s="81"/>
      <c r="AM24" s="81"/>
      <c r="AN24" s="81"/>
      <c r="AO24" s="81"/>
      <c r="AP24" s="81"/>
    </row>
    <row r="25" spans="2:42">
      <c r="B25" s="25" t="s">
        <v>19</v>
      </c>
      <c r="C25" s="13">
        <f>+C12-C19</f>
        <v>-3468.5472635057113</v>
      </c>
      <c r="D25" s="13">
        <f>+D12-D19</f>
        <v>-3311.3759784141889</v>
      </c>
      <c r="E25" s="13">
        <f>+E12-E19</f>
        <v>-3320.383140045019</v>
      </c>
      <c r="F25" s="13">
        <f>+F12-F19</f>
        <v>-3205.665090078749</v>
      </c>
      <c r="G25" s="13">
        <f>+G12-G19</f>
        <v>-2620.5729474814771</v>
      </c>
      <c r="H25" s="13">
        <f>+H12-H19</f>
        <v>-3324.777868572547</v>
      </c>
      <c r="I25" s="13">
        <f>+I12-I19</f>
        <v>-4112.0976671945518</v>
      </c>
      <c r="J25" s="13">
        <f>+J12-J19</f>
        <v>-4535.1369436515797</v>
      </c>
      <c r="K25" s="13">
        <f>+K12-K19</f>
        <v>-4726.6127312399003</v>
      </c>
      <c r="L25" s="13">
        <f>+L12-L19</f>
        <v>-6336.6163625682275</v>
      </c>
      <c r="M25" s="13">
        <f>+M12-M19</f>
        <v>-5310.8841342019186</v>
      </c>
      <c r="N25" s="36">
        <f>+N12-N19</f>
        <v>-6782.1237710718797</v>
      </c>
      <c r="O25" s="118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82"/>
      <c r="AJ25" s="81"/>
      <c r="AK25" s="81"/>
      <c r="AL25" s="81"/>
      <c r="AM25" s="81"/>
      <c r="AN25" s="81"/>
      <c r="AO25" s="81"/>
      <c r="AP25" s="81"/>
    </row>
    <row r="26" spans="2:42">
      <c r="B26" s="5" t="s">
        <v>30</v>
      </c>
      <c r="C26" s="29">
        <f>+C25/C5</f>
        <v>-1.5773446267102658</v>
      </c>
      <c r="D26" s="29">
        <f>+D25/D5</f>
        <v>-1.1893247682891266</v>
      </c>
      <c r="E26" s="29">
        <f>+E25/E5</f>
        <v>-1.0102531263354166</v>
      </c>
      <c r="F26" s="77">
        <f>+F25/F5</f>
        <v>-0.73061045644592004</v>
      </c>
      <c r="G26" s="77">
        <f>+G25/G5</f>
        <v>-0.50044467672132287</v>
      </c>
      <c r="H26" s="77">
        <f>+H25/H5</f>
        <v>-0.52765016585840807</v>
      </c>
      <c r="I26" s="77">
        <f>+I25/I5</f>
        <v>-0.52493433573464676</v>
      </c>
      <c r="J26" s="77">
        <f>+J25/J5</f>
        <v>-0.48103589317830053</v>
      </c>
      <c r="K26" s="77">
        <f>+K25/K5</f>
        <v>-0.43235786912802343</v>
      </c>
      <c r="L26" s="77">
        <f>+L25/L5</f>
        <v>-0.48868497656007709</v>
      </c>
      <c r="M26" s="77">
        <f>+M25/M5</f>
        <v>-0.35825226815234007</v>
      </c>
      <c r="N26" s="92">
        <f>+N25/N5</f>
        <v>-0.37914774360336939</v>
      </c>
      <c r="O26" s="76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29"/>
      <c r="AJ26" s="81"/>
      <c r="AK26" s="81"/>
      <c r="AL26" s="81"/>
      <c r="AM26" s="81"/>
      <c r="AN26" s="81"/>
      <c r="AO26" s="81"/>
      <c r="AP26" s="81"/>
    </row>
    <row r="27" spans="2:42">
      <c r="O27" s="116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81"/>
      <c r="AJ27" s="81"/>
      <c r="AK27" s="81"/>
      <c r="AL27" s="81"/>
      <c r="AM27" s="81"/>
      <c r="AN27" s="81"/>
      <c r="AO27" s="81"/>
      <c r="AP27" s="81"/>
    </row>
    <row r="28" spans="2:42">
      <c r="B28" s="14" t="s">
        <v>29</v>
      </c>
      <c r="C28" s="45"/>
      <c r="D28" s="45"/>
      <c r="E28" s="45"/>
      <c r="F28" s="45">
        <v>532.14089676248352</v>
      </c>
      <c r="G28" s="45">
        <v>636.10832850845338</v>
      </c>
      <c r="H28" s="45">
        <v>765.86278125588547</v>
      </c>
      <c r="I28" s="45">
        <v>929.68827435237381</v>
      </c>
      <c r="J28" s="45">
        <v>1124.4055037193775</v>
      </c>
      <c r="K28" s="45">
        <v>1351.9878227868235</v>
      </c>
      <c r="L28" s="45">
        <v>1608.1003372777482</v>
      </c>
      <c r="M28" s="45">
        <v>1814.703733999929</v>
      </c>
      <c r="N28" s="93">
        <v>2119.6866660301266</v>
      </c>
      <c r="O28" s="89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86"/>
      <c r="AJ28" s="81"/>
      <c r="AK28" s="81"/>
      <c r="AL28" s="81"/>
      <c r="AM28" s="81"/>
      <c r="AN28" s="81"/>
      <c r="AO28" s="81"/>
      <c r="AP28" s="81"/>
    </row>
    <row r="29" spans="2:42">
      <c r="B29" s="25" t="s">
        <v>35</v>
      </c>
      <c r="C29" s="13"/>
      <c r="D29" s="13"/>
      <c r="E29" s="13"/>
      <c r="F29" s="13">
        <f t="shared" ref="F29:N29" si="3">+F25+F28</f>
        <v>-2673.5241933162656</v>
      </c>
      <c r="G29" s="13">
        <f t="shared" si="3"/>
        <v>-1984.4646189730238</v>
      </c>
      <c r="H29" s="13">
        <f t="shared" si="3"/>
        <v>-2558.9150873166618</v>
      </c>
      <c r="I29" s="13">
        <f t="shared" si="3"/>
        <v>-3182.409392842178</v>
      </c>
      <c r="J29" s="13">
        <f t="shared" si="3"/>
        <v>-3410.7314399322022</v>
      </c>
      <c r="K29" s="13">
        <f t="shared" si="3"/>
        <v>-3374.6249084530768</v>
      </c>
      <c r="L29" s="13">
        <f t="shared" si="3"/>
        <v>-4728.5160252904789</v>
      </c>
      <c r="M29" s="13">
        <f t="shared" si="3"/>
        <v>-3496.1804002019899</v>
      </c>
      <c r="N29" s="36">
        <f t="shared" si="3"/>
        <v>-4662.4371050417531</v>
      </c>
      <c r="O29" s="118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82"/>
      <c r="AJ29" s="81"/>
      <c r="AK29" s="81"/>
      <c r="AL29" s="81"/>
      <c r="AM29" s="81"/>
      <c r="AN29" s="81"/>
      <c r="AO29" s="81"/>
      <c r="AP29" s="81"/>
    </row>
    <row r="30" spans="2:42">
      <c r="B30" s="5" t="s">
        <v>30</v>
      </c>
      <c r="C30" s="29"/>
      <c r="D30" s="29"/>
      <c r="E30" s="29"/>
      <c r="F30" s="77">
        <f>+F29/F5</f>
        <v>-0.60932900858649053</v>
      </c>
      <c r="G30" s="77">
        <f>+G29/G5</f>
        <v>-0.37896855939892804</v>
      </c>
      <c r="H30" s="77">
        <f>+H29/H5</f>
        <v>-0.40610591853461675</v>
      </c>
      <c r="I30" s="77">
        <f>+I29/I5</f>
        <v>-0.40625395986935142</v>
      </c>
      <c r="J30" s="77">
        <f>+J29/J5</f>
        <v>-0.36177170942892406</v>
      </c>
      <c r="K30" s="77">
        <f>+K29/K5</f>
        <v>-0.30868736608814196</v>
      </c>
      <c r="L30" s="77">
        <f>+L29/L5</f>
        <v>-0.36466697852076985</v>
      </c>
      <c r="M30" s="77">
        <f>+M29/M5</f>
        <v>-0.23583917980359739</v>
      </c>
      <c r="N30" s="92">
        <f>+N29/N5</f>
        <v>-0.26064881263436779</v>
      </c>
      <c r="O30" s="76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29"/>
      <c r="AJ30" s="81"/>
      <c r="AK30" s="81"/>
      <c r="AL30" s="81"/>
      <c r="AM30" s="81"/>
      <c r="AN30" s="81"/>
      <c r="AO30" s="81"/>
      <c r="AP30" s="81"/>
    </row>
    <row r="31" spans="2:42">
      <c r="B31" s="26"/>
      <c r="C31" s="23"/>
      <c r="D31" s="23"/>
      <c r="E31" s="87"/>
      <c r="F31" s="87"/>
      <c r="G31" s="87"/>
      <c r="H31" s="87"/>
      <c r="I31" s="87"/>
      <c r="J31" s="87"/>
      <c r="K31" s="87"/>
      <c r="L31" s="87"/>
      <c r="M31" s="87"/>
      <c r="N31" s="94"/>
      <c r="O31" s="121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12"/>
      <c r="AD31" s="112"/>
      <c r="AE31" s="112"/>
      <c r="AF31" s="112"/>
      <c r="AG31" s="112"/>
      <c r="AH31" s="112"/>
      <c r="AI31" s="82"/>
      <c r="AJ31" s="81"/>
      <c r="AK31" s="81"/>
      <c r="AL31" s="81"/>
      <c r="AM31" s="81"/>
      <c r="AN31" s="81"/>
      <c r="AO31" s="81"/>
      <c r="AP31" s="81"/>
    </row>
    <row r="32" spans="2:42">
      <c r="B32" s="14" t="s">
        <v>15</v>
      </c>
      <c r="C32" s="30"/>
      <c r="D32" s="30"/>
      <c r="E32" s="30"/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40">
        <v>0</v>
      </c>
      <c r="O32" s="83"/>
      <c r="P32" s="123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124"/>
      <c r="AJ32" s="81"/>
      <c r="AK32" s="81"/>
      <c r="AL32" s="81"/>
      <c r="AM32" s="81"/>
      <c r="AN32" s="81"/>
      <c r="AO32" s="81"/>
      <c r="AP32" s="81"/>
    </row>
    <row r="33" spans="1:42">
      <c r="B33" s="25" t="s">
        <v>16</v>
      </c>
      <c r="C33" s="13"/>
      <c r="D33" s="13"/>
      <c r="E33" s="13"/>
      <c r="F33" s="13">
        <f t="shared" ref="F33:N33" si="4">+F25-F32</f>
        <v>-3205.665090078749</v>
      </c>
      <c r="G33" s="13">
        <f t="shared" si="4"/>
        <v>-2620.5729474814771</v>
      </c>
      <c r="H33" s="13">
        <f t="shared" si="4"/>
        <v>-3324.777868572547</v>
      </c>
      <c r="I33" s="13">
        <f t="shared" si="4"/>
        <v>-4112.0976671945518</v>
      </c>
      <c r="J33" s="13">
        <f t="shared" si="4"/>
        <v>-4535.1369436515797</v>
      </c>
      <c r="K33" s="13">
        <f t="shared" si="4"/>
        <v>-4726.6127312399003</v>
      </c>
      <c r="L33" s="13">
        <f t="shared" si="4"/>
        <v>-6336.6163625682275</v>
      </c>
      <c r="M33" s="13">
        <f t="shared" si="4"/>
        <v>-5310.8841342019186</v>
      </c>
      <c r="N33" s="36">
        <f t="shared" si="4"/>
        <v>-6782.1237710718797</v>
      </c>
      <c r="O33" s="118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82"/>
      <c r="AJ33" s="81"/>
      <c r="AK33" s="81"/>
      <c r="AL33" s="81"/>
      <c r="AM33" s="81"/>
      <c r="AN33" s="81"/>
      <c r="AO33" s="81"/>
      <c r="AP33" s="81"/>
    </row>
    <row r="34" spans="1:42">
      <c r="O34" s="116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81"/>
      <c r="AJ34" s="81"/>
      <c r="AK34" s="81"/>
      <c r="AL34" s="81"/>
      <c r="AM34" s="81"/>
      <c r="AN34" s="81"/>
      <c r="AO34" s="81"/>
      <c r="AP34" s="81"/>
    </row>
    <row r="35" spans="1:42">
      <c r="B35" s="14" t="s">
        <v>0</v>
      </c>
      <c r="C35" s="30"/>
      <c r="D35" s="30"/>
      <c r="E35" s="30"/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40">
        <v>0</v>
      </c>
      <c r="O35" s="85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86"/>
      <c r="AJ35" s="81"/>
      <c r="AK35" s="81"/>
      <c r="AL35" s="81"/>
      <c r="AM35" s="81"/>
      <c r="AN35" s="81"/>
      <c r="AO35" s="81"/>
      <c r="AP35" s="81"/>
    </row>
    <row r="36" spans="1:42">
      <c r="B36" s="5" t="s">
        <v>17</v>
      </c>
      <c r="C36" s="42"/>
      <c r="D36" s="42"/>
      <c r="E36" s="42"/>
      <c r="F36" s="79">
        <v>0.25</v>
      </c>
      <c r="G36" s="79">
        <v>0.25</v>
      </c>
      <c r="H36" s="79">
        <v>0.25</v>
      </c>
      <c r="I36" s="79">
        <v>0.25</v>
      </c>
      <c r="J36" s="79">
        <v>0.25</v>
      </c>
      <c r="K36" s="79">
        <v>0.25</v>
      </c>
      <c r="L36" s="79">
        <v>0.25</v>
      </c>
      <c r="M36" s="79">
        <v>0.25</v>
      </c>
      <c r="N36" s="95">
        <v>0.25</v>
      </c>
      <c r="O36" s="114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25"/>
      <c r="AJ36" s="81"/>
      <c r="AK36" s="81"/>
      <c r="AL36" s="81"/>
      <c r="AM36" s="81"/>
      <c r="AN36" s="81"/>
      <c r="AO36" s="81"/>
      <c r="AP36" s="81"/>
    </row>
    <row r="37" spans="1:42">
      <c r="B37" s="14"/>
      <c r="O37" s="116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81"/>
      <c r="AJ37" s="81"/>
      <c r="AK37" s="81"/>
      <c r="AL37" s="81"/>
      <c r="AM37" s="81"/>
      <c r="AN37" s="81"/>
      <c r="AO37" s="81"/>
      <c r="AP37" s="81"/>
    </row>
    <row r="38" spans="1:42">
      <c r="B38" s="25" t="s">
        <v>18</v>
      </c>
      <c r="C38" s="13"/>
      <c r="D38" s="13"/>
      <c r="E38" s="13"/>
      <c r="F38" s="13">
        <f t="shared" ref="F38:N38" si="5">+F33-F35</f>
        <v>-3205.665090078749</v>
      </c>
      <c r="G38" s="13">
        <f t="shared" si="5"/>
        <v>-2620.5729474814771</v>
      </c>
      <c r="H38" s="13">
        <f t="shared" si="5"/>
        <v>-3324.777868572547</v>
      </c>
      <c r="I38" s="13">
        <f t="shared" si="5"/>
        <v>-4112.0976671945518</v>
      </c>
      <c r="J38" s="13">
        <f t="shared" si="5"/>
        <v>-4535.1369436515797</v>
      </c>
      <c r="K38" s="13">
        <f t="shared" si="5"/>
        <v>-4726.6127312399003</v>
      </c>
      <c r="L38" s="13">
        <f t="shared" si="5"/>
        <v>-6336.6163625682275</v>
      </c>
      <c r="M38" s="13">
        <f t="shared" si="5"/>
        <v>-5310.8841342019186</v>
      </c>
      <c r="N38" s="36">
        <f t="shared" si="5"/>
        <v>-6782.1237710718797</v>
      </c>
      <c r="O38" s="118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82"/>
      <c r="AJ38" s="81"/>
      <c r="AK38" s="81"/>
      <c r="AL38" s="81"/>
      <c r="AM38" s="81"/>
      <c r="AN38" s="81"/>
      <c r="AO38" s="81"/>
      <c r="AP38" s="81"/>
    </row>
    <row r="39" spans="1:42">
      <c r="B39" s="5" t="s">
        <v>30</v>
      </c>
      <c r="C39" s="29"/>
      <c r="D39" s="29"/>
      <c r="E39" s="29"/>
      <c r="F39" s="77">
        <f>+F38/F5</f>
        <v>-0.73061045644592004</v>
      </c>
      <c r="G39" s="77">
        <f>+G38/G5</f>
        <v>-0.50044467672132287</v>
      </c>
      <c r="H39" s="77">
        <f>+H38/H5</f>
        <v>-0.52765016585840807</v>
      </c>
      <c r="I39" s="77">
        <f>+I38/I5</f>
        <v>-0.52493433573464676</v>
      </c>
      <c r="J39" s="77">
        <f>+J38/J5</f>
        <v>-0.48103589317830053</v>
      </c>
      <c r="K39" s="77">
        <f>+K38/K5</f>
        <v>-0.43235786912802343</v>
      </c>
      <c r="L39" s="77">
        <f>+L38/L5</f>
        <v>-0.48868497656007709</v>
      </c>
      <c r="M39" s="77">
        <f>+M38/M5</f>
        <v>-0.35825226815234007</v>
      </c>
      <c r="N39" s="92">
        <f>+N38/N5</f>
        <v>-0.37914774360336939</v>
      </c>
      <c r="O39" s="76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29"/>
      <c r="AJ39" s="81"/>
      <c r="AK39" s="81"/>
      <c r="AL39" s="81"/>
      <c r="AM39" s="81"/>
      <c r="AN39" s="81"/>
      <c r="AO39" s="81"/>
      <c r="AP39" s="81"/>
    </row>
    <row r="40" spans="1:42">
      <c r="B40" s="5"/>
      <c r="C40" s="29"/>
      <c r="D40" s="29"/>
      <c r="E40" s="29"/>
      <c r="F40" s="77"/>
      <c r="G40" s="77"/>
      <c r="H40" s="77"/>
      <c r="I40" s="77"/>
      <c r="J40" s="77"/>
      <c r="K40" s="77"/>
      <c r="L40" s="77"/>
      <c r="M40" s="77"/>
      <c r="N40" s="92"/>
      <c r="O40" s="76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29"/>
      <c r="AJ40" s="81"/>
      <c r="AK40" s="81"/>
      <c r="AL40" s="81"/>
      <c r="AM40" s="81"/>
      <c r="AN40" s="81"/>
      <c r="AO40" s="81"/>
      <c r="AP40" s="81"/>
    </row>
    <row r="41" spans="1:42">
      <c r="B41" s="137" t="s">
        <v>51</v>
      </c>
      <c r="C41" s="29"/>
      <c r="D41" s="29"/>
      <c r="E41" s="29"/>
      <c r="F41" s="77"/>
      <c r="G41" s="77"/>
      <c r="H41" s="77"/>
      <c r="I41" s="77"/>
      <c r="J41" s="77"/>
      <c r="K41" s="77"/>
      <c r="L41" s="77"/>
      <c r="M41" s="77"/>
      <c r="N41" s="92"/>
      <c r="O41" s="76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29"/>
      <c r="AJ41" s="81"/>
      <c r="AK41" s="81"/>
      <c r="AL41" s="81"/>
      <c r="AM41" s="81"/>
      <c r="AN41" s="81"/>
      <c r="AO41" s="81"/>
      <c r="AP41" s="81"/>
    </row>
    <row r="42" spans="1:42">
      <c r="B42" s="14" t="s">
        <v>52</v>
      </c>
      <c r="C42" s="21"/>
      <c r="D42" s="21"/>
      <c r="E42" s="1"/>
      <c r="F42" s="1"/>
      <c r="G42" s="1"/>
      <c r="H42" s="1"/>
      <c r="I42" s="29"/>
      <c r="K42" s="22">
        <v>5660.4770062499992</v>
      </c>
      <c r="L42" s="22">
        <v>6828.9072499999984</v>
      </c>
      <c r="M42" s="22">
        <v>8507.6606999999985</v>
      </c>
      <c r="N42" s="22">
        <v>10270.13040625</v>
      </c>
      <c r="O42" s="116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81"/>
      <c r="AJ42" s="81"/>
      <c r="AK42" s="81"/>
      <c r="AL42" s="81"/>
      <c r="AM42" s="81"/>
      <c r="AN42" s="81"/>
      <c r="AO42" s="81"/>
      <c r="AP42" s="81"/>
    </row>
    <row r="43" spans="1:42">
      <c r="B43" s="14"/>
      <c r="C43" s="21"/>
      <c r="D43" s="21"/>
      <c r="E43" s="22"/>
      <c r="F43" s="22"/>
      <c r="G43" s="22"/>
      <c r="H43" s="22"/>
      <c r="I43" s="29"/>
      <c r="O43" s="116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81"/>
      <c r="AJ43" s="81"/>
      <c r="AK43" s="81"/>
      <c r="AL43" s="81"/>
      <c r="AM43" s="81"/>
      <c r="AN43" s="81"/>
      <c r="AO43" s="81"/>
      <c r="AP43" s="81"/>
    </row>
    <row r="45" spans="1:42" s="2" customFormat="1">
      <c r="B45" s="3" t="s">
        <v>21</v>
      </c>
      <c r="C45" s="16"/>
      <c r="D45" s="16"/>
      <c r="E45" s="16"/>
      <c r="F45" s="16"/>
      <c r="G45" s="16"/>
      <c r="H45" s="16"/>
      <c r="I45" s="16"/>
      <c r="J45" s="16"/>
      <c r="K45" s="16"/>
      <c r="L45" s="54"/>
      <c r="M45" s="16"/>
      <c r="N45" s="96"/>
      <c r="O45" s="34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110" t="s">
        <v>50</v>
      </c>
      <c r="AI45" s="47"/>
    </row>
    <row r="46" spans="1:42" s="2" customFormat="1">
      <c r="A46" s="53"/>
      <c r="B46" s="4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>
        <f>N4</f>
        <v>44926</v>
      </c>
      <c r="O46" s="135">
        <f>O4</f>
        <v>45016</v>
      </c>
      <c r="P46" s="136">
        <f>P4</f>
        <v>45107</v>
      </c>
      <c r="Q46" s="136">
        <f>Q4</f>
        <v>45199</v>
      </c>
      <c r="R46" s="136">
        <f>R4</f>
        <v>45291</v>
      </c>
      <c r="S46" s="136">
        <f>S4</f>
        <v>45382</v>
      </c>
      <c r="T46" s="136">
        <f>T4</f>
        <v>45473</v>
      </c>
      <c r="U46" s="136">
        <f>U4</f>
        <v>45565</v>
      </c>
      <c r="V46" s="136">
        <f>V4</f>
        <v>45657</v>
      </c>
      <c r="W46" s="136">
        <f>W4</f>
        <v>45747</v>
      </c>
      <c r="X46" s="136">
        <f>X4</f>
        <v>45838</v>
      </c>
      <c r="Y46" s="136">
        <f>Y4</f>
        <v>45930</v>
      </c>
      <c r="Z46" s="136">
        <f>Z4</f>
        <v>46022</v>
      </c>
      <c r="AA46" s="136">
        <f>AA4</f>
        <v>46112</v>
      </c>
      <c r="AB46" s="136">
        <f>AB4</f>
        <v>46203</v>
      </c>
      <c r="AC46" s="136">
        <f>AC4</f>
        <v>46295</v>
      </c>
      <c r="AD46" s="136">
        <f>AD4</f>
        <v>46387</v>
      </c>
      <c r="AE46" s="136">
        <f>AE4</f>
        <v>46477</v>
      </c>
      <c r="AF46" s="136">
        <f>AF4</f>
        <v>46568</v>
      </c>
      <c r="AG46" s="136">
        <f>AG4</f>
        <v>46660</v>
      </c>
      <c r="AH46" s="136">
        <f>AH4</f>
        <v>46752</v>
      </c>
      <c r="AI46" s="49"/>
    </row>
    <row r="47" spans="1:42">
      <c r="A47" s="55"/>
      <c r="B47" s="2" t="s">
        <v>22</v>
      </c>
      <c r="C47" s="24"/>
      <c r="D47" s="24"/>
      <c r="E47" s="24"/>
      <c r="F47" s="24"/>
      <c r="G47" s="24"/>
      <c r="H47" s="24"/>
      <c r="I47" s="24"/>
      <c r="J47" s="24"/>
      <c r="K47" s="24"/>
      <c r="N47" s="30">
        <v>26476.7341127695</v>
      </c>
      <c r="O47" s="126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1"/>
    </row>
    <row r="48" spans="1:42">
      <c r="A48" s="57"/>
      <c r="B48" s="2" t="s">
        <v>8</v>
      </c>
      <c r="C48" s="24"/>
      <c r="D48" s="24"/>
      <c r="E48" s="24"/>
      <c r="F48" s="24"/>
      <c r="G48" s="24"/>
      <c r="H48" s="24"/>
      <c r="I48" s="24"/>
      <c r="J48" s="24"/>
      <c r="K48" s="24"/>
      <c r="N48" s="30">
        <v>15182.162718084101</v>
      </c>
      <c r="O48" s="85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28"/>
    </row>
    <row r="49" spans="1:35">
      <c r="A49" s="57"/>
      <c r="B49" s="2" t="s">
        <v>23</v>
      </c>
      <c r="C49" s="24"/>
      <c r="D49" s="24"/>
      <c r="E49" s="24"/>
      <c r="F49" s="24"/>
      <c r="G49" s="24"/>
      <c r="H49" s="24"/>
      <c r="I49" s="24"/>
      <c r="J49" s="24"/>
      <c r="K49" s="24"/>
      <c r="N49" s="30">
        <v>35699.125050049275</v>
      </c>
      <c r="O49" s="126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1"/>
    </row>
    <row r="50" spans="1:35">
      <c r="A50" s="57"/>
      <c r="B50" s="2" t="s">
        <v>32</v>
      </c>
      <c r="C50" s="24"/>
      <c r="D50" s="24"/>
      <c r="E50" s="24"/>
      <c r="F50" s="24"/>
      <c r="G50" s="24"/>
      <c r="H50" s="24"/>
      <c r="I50" s="24"/>
      <c r="J50" s="24"/>
      <c r="K50" s="24"/>
      <c r="N50" s="30">
        <v>4374.0515605067367</v>
      </c>
      <c r="O50" s="85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24"/>
    </row>
    <row r="51" spans="1:35">
      <c r="A51" s="57"/>
      <c r="B51" s="2" t="s">
        <v>31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30">
        <v>7406.8</v>
      </c>
      <c r="O51" s="103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28"/>
    </row>
    <row r="52" spans="1:35">
      <c r="A52" s="57"/>
      <c r="B52" s="2" t="s">
        <v>33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30">
        <v>2955.4586779238598</v>
      </c>
      <c r="O52" s="103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28"/>
    </row>
    <row r="53" spans="1:35">
      <c r="A53" s="55"/>
      <c r="B53" s="7" t="s">
        <v>26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>
        <f>SUM(N47:N52)</f>
        <v>92094.33211933347</v>
      </c>
      <c r="O53" s="118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23"/>
    </row>
    <row r="54" spans="1:35">
      <c r="A54" s="55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116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2"/>
    </row>
    <row r="55" spans="1:35">
      <c r="A55" s="55"/>
      <c r="B55" s="2" t="s">
        <v>28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30">
        <v>2557.0490457218998</v>
      </c>
      <c r="O55" s="85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24"/>
    </row>
    <row r="56" spans="1:35">
      <c r="A56" s="57"/>
      <c r="B56" s="2" t="s">
        <v>6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30">
        <v>19792.9612690828</v>
      </c>
      <c r="O56" s="85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28"/>
    </row>
    <row r="57" spans="1:35">
      <c r="A57" s="55"/>
      <c r="B57" s="2" t="s">
        <v>24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30">
        <v>0</v>
      </c>
      <c r="O57" s="83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30"/>
    </row>
    <row r="58" spans="1:35">
      <c r="A58" s="55"/>
      <c r="B58" s="2" t="s">
        <v>25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30">
        <v>69744.321804528794</v>
      </c>
      <c r="O58" s="129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1"/>
    </row>
    <row r="59" spans="1:35">
      <c r="A59" s="55"/>
      <c r="B59" s="7" t="s">
        <v>27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>
        <f>SUM(N55:N58)</f>
        <v>92094.3321193335</v>
      </c>
      <c r="O59" s="118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23"/>
    </row>
    <row r="60" spans="1:35">
      <c r="A60" s="56"/>
      <c r="B60" s="6" t="s">
        <v>5</v>
      </c>
      <c r="N60" s="9">
        <f>+N53-N59</f>
        <v>0</v>
      </c>
      <c r="O60" s="131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9"/>
    </row>
    <row r="61" spans="1:35">
      <c r="A61" s="56"/>
      <c r="B61" s="6"/>
      <c r="L61" s="9"/>
      <c r="M61" s="1"/>
      <c r="N61" s="39"/>
      <c r="O61" s="131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  <c r="AB61" s="132"/>
      <c r="AC61" s="132"/>
      <c r="AD61" s="132"/>
      <c r="AE61" s="132"/>
      <c r="AF61" s="132"/>
      <c r="AG61" s="132"/>
      <c r="AH61" s="132"/>
      <c r="AI61" s="9"/>
    </row>
    <row r="62" spans="1:35">
      <c r="B62" s="26"/>
      <c r="C62" s="8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58"/>
      <c r="O62" s="133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</row>
  </sheetData>
  <pageMargins left="0.7" right="0.7" top="0.75" bottom="0.75" header="0.3" footer="0.3"/>
  <pageSetup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7844-E31D-447D-B835-3C8E79011C55}">
  <dimension ref="A2:I13"/>
  <sheetViews>
    <sheetView showGridLines="0" zoomScale="115" zoomScaleNormal="115" workbookViewId="0"/>
  </sheetViews>
  <sheetFormatPr defaultRowHeight="14.25"/>
  <cols>
    <col min="1" max="1" width="9.06640625" style="105"/>
    <col min="2" max="2" width="27.796875" style="105" customWidth="1"/>
    <col min="3" max="3" width="34.3984375" style="105" customWidth="1"/>
    <col min="4" max="9" width="9.06640625" style="105"/>
  </cols>
  <sheetData>
    <row r="2" spans="2:9">
      <c r="B2" s="106" t="s">
        <v>47</v>
      </c>
      <c r="C2" s="106" t="s">
        <v>45</v>
      </c>
      <c r="D2" s="106">
        <v>2023</v>
      </c>
      <c r="E2" s="106">
        <v>2024</v>
      </c>
      <c r="F2" s="106">
        <v>2025</v>
      </c>
      <c r="G2" s="106">
        <v>2026</v>
      </c>
      <c r="H2" s="106">
        <v>2027</v>
      </c>
    </row>
    <row r="3" spans="2:9" ht="17.75" customHeight="1">
      <c r="B3" s="105" t="s">
        <v>49</v>
      </c>
      <c r="C3" s="105" t="s">
        <v>44</v>
      </c>
      <c r="D3" s="107">
        <v>0.12</v>
      </c>
      <c r="E3" s="107">
        <v>0.1</v>
      </c>
      <c r="F3" s="107">
        <v>0.08</v>
      </c>
      <c r="G3" s="107">
        <v>0.06</v>
      </c>
      <c r="H3" s="107">
        <v>0.06</v>
      </c>
      <c r="I3" s="108"/>
    </row>
    <row r="4" spans="2:9" ht="17.75" customHeight="1">
      <c r="B4" s="105" t="s">
        <v>2</v>
      </c>
      <c r="C4" s="109" t="s">
        <v>46</v>
      </c>
      <c r="D4" s="107">
        <v>0.08</v>
      </c>
      <c r="E4" s="107">
        <v>7.0000000000000007E-2</v>
      </c>
      <c r="F4" s="107">
        <v>0.05</v>
      </c>
      <c r="G4" s="107">
        <v>0.04</v>
      </c>
      <c r="H4" s="107">
        <v>0.04</v>
      </c>
    </row>
    <row r="5" spans="2:9" ht="17.75" customHeight="1">
      <c r="B5" s="105" t="s">
        <v>3</v>
      </c>
      <c r="C5" s="109" t="s">
        <v>46</v>
      </c>
      <c r="D5" s="107">
        <v>-0.02</v>
      </c>
      <c r="E5" s="107">
        <v>-0.02</v>
      </c>
      <c r="F5" s="107">
        <v>-0.02</v>
      </c>
      <c r="G5" s="107">
        <v>-0.02</v>
      </c>
      <c r="H5" s="107">
        <v>-0.02</v>
      </c>
    </row>
    <row r="6" spans="2:9" ht="17.75" customHeight="1">
      <c r="B6" s="105" t="s">
        <v>4</v>
      </c>
      <c r="C6" s="109" t="s">
        <v>46</v>
      </c>
      <c r="D6" s="107">
        <v>-0.02</v>
      </c>
      <c r="E6" s="107">
        <v>-0.02</v>
      </c>
      <c r="F6" s="107">
        <v>-0.02</v>
      </c>
      <c r="G6" s="107">
        <v>-0.02</v>
      </c>
      <c r="H6" s="107">
        <v>-0.02</v>
      </c>
    </row>
    <row r="7" spans="2:9" ht="17.75" customHeight="1">
      <c r="D7" s="107"/>
      <c r="E7" s="107"/>
      <c r="F7" s="107"/>
      <c r="G7" s="107"/>
      <c r="H7" s="107"/>
    </row>
    <row r="8" spans="2:9" ht="17.75" customHeight="1">
      <c r="B8" s="105" t="s">
        <v>36</v>
      </c>
      <c r="C8" s="105" t="s">
        <v>48</v>
      </c>
      <c r="D8" s="107">
        <v>0.65</v>
      </c>
      <c r="E8" s="107">
        <v>0.65</v>
      </c>
      <c r="F8" s="107">
        <v>0.65</v>
      </c>
      <c r="G8" s="107">
        <v>0.65</v>
      </c>
      <c r="H8" s="107">
        <v>0.65</v>
      </c>
    </row>
    <row r="9" spans="2:9" ht="17.75" customHeight="1">
      <c r="B9" s="105" t="s">
        <v>7</v>
      </c>
      <c r="C9" s="109" t="s">
        <v>46</v>
      </c>
      <c r="D9" s="107">
        <v>0.4</v>
      </c>
      <c r="E9" s="107">
        <v>0.38</v>
      </c>
      <c r="F9" s="107">
        <v>0.36</v>
      </c>
      <c r="G9" s="107">
        <v>0.34</v>
      </c>
      <c r="H9" s="107">
        <v>0.32</v>
      </c>
    </row>
    <row r="10" spans="2:9" ht="17.75" customHeight="1">
      <c r="B10" s="105" t="s">
        <v>12</v>
      </c>
      <c r="C10" s="109" t="s">
        <v>46</v>
      </c>
      <c r="D10" s="107">
        <v>0.42</v>
      </c>
      <c r="E10" s="107">
        <v>0.4</v>
      </c>
      <c r="F10" s="107">
        <v>0.38</v>
      </c>
      <c r="G10" s="107">
        <v>0.36</v>
      </c>
      <c r="H10" s="107">
        <v>0.34</v>
      </c>
    </row>
    <row r="11" spans="2:9" ht="17.75" customHeight="1">
      <c r="B11" s="105" t="s">
        <v>13</v>
      </c>
      <c r="C11" s="109" t="s">
        <v>46</v>
      </c>
      <c r="D11" s="107">
        <v>0.3</v>
      </c>
      <c r="E11" s="107">
        <v>0.28000000000000003</v>
      </c>
      <c r="F11" s="107">
        <v>0.26</v>
      </c>
      <c r="G11" s="107">
        <v>0.24</v>
      </c>
      <c r="H11" s="107">
        <v>0.22</v>
      </c>
    </row>
    <row r="13" spans="2:9">
      <c r="B13" s="13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BE2D-AEF3-4A9E-A37B-5348EB6461EE}">
  <sheetPr>
    <pageSetUpPr fitToPage="1"/>
  </sheetPr>
  <dimension ref="A1:N422"/>
  <sheetViews>
    <sheetView showGridLines="0" zoomScale="120" zoomScaleNormal="12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9.1328125" defaultRowHeight="13.15"/>
  <cols>
    <col min="1" max="2" width="10.796875" style="71" customWidth="1"/>
    <col min="3" max="3" width="11.6640625" style="141" customWidth="1"/>
    <col min="4" max="6" width="12" style="141" customWidth="1"/>
    <col min="7" max="7" width="11.6640625" style="141" customWidth="1"/>
    <col min="8" max="8" width="11.46484375" style="141" customWidth="1"/>
    <col min="9" max="10" width="11.6640625" style="141" customWidth="1"/>
    <col min="11" max="11" width="12" style="141" customWidth="1"/>
    <col min="12" max="12" width="11.6640625" style="141" customWidth="1"/>
    <col min="13" max="13" width="11.46484375" style="141" customWidth="1"/>
    <col min="14" max="14" width="11.6640625" style="141" customWidth="1"/>
    <col min="15" max="16384" width="9.1328125" style="17"/>
  </cols>
  <sheetData>
    <row r="1" spans="1:14" s="19" customFormat="1" ht="14.25">
      <c r="A1" s="139" t="s">
        <v>1</v>
      </c>
      <c r="B1" s="69">
        <f>EOMONTH(C1, -3)</f>
        <v>43830</v>
      </c>
      <c r="C1" s="69">
        <v>43921</v>
      </c>
      <c r="D1" s="69">
        <f t="shared" ref="D1:N1" si="0">EOMONTH(C1,3)</f>
        <v>44012</v>
      </c>
      <c r="E1" s="69">
        <f t="shared" si="0"/>
        <v>44104</v>
      </c>
      <c r="F1" s="69">
        <f t="shared" si="0"/>
        <v>44196</v>
      </c>
      <c r="G1" s="69">
        <f t="shared" si="0"/>
        <v>44286</v>
      </c>
      <c r="H1" s="69">
        <f t="shared" si="0"/>
        <v>44377</v>
      </c>
      <c r="I1" s="69">
        <f t="shared" si="0"/>
        <v>44469</v>
      </c>
      <c r="J1" s="69">
        <f t="shared" si="0"/>
        <v>44561</v>
      </c>
      <c r="K1" s="69">
        <f t="shared" si="0"/>
        <v>44651</v>
      </c>
      <c r="L1" s="69">
        <f t="shared" si="0"/>
        <v>44742</v>
      </c>
      <c r="M1" s="69">
        <f t="shared" si="0"/>
        <v>44834</v>
      </c>
      <c r="N1" s="69">
        <f t="shared" si="0"/>
        <v>44926</v>
      </c>
    </row>
    <row r="2" spans="1:14" s="19" customFormat="1" ht="16.5" customHeight="1">
      <c r="A2" s="140">
        <v>1</v>
      </c>
      <c r="B2" s="70">
        <v>0</v>
      </c>
      <c r="C2" s="70">
        <v>0</v>
      </c>
      <c r="D2" s="70">
        <v>0</v>
      </c>
      <c r="E2" s="70">
        <v>0</v>
      </c>
      <c r="F2" s="70">
        <v>0</v>
      </c>
      <c r="G2" s="70">
        <v>0</v>
      </c>
      <c r="H2" s="70">
        <v>0</v>
      </c>
      <c r="I2" s="70">
        <v>0</v>
      </c>
      <c r="J2" s="70">
        <v>0</v>
      </c>
      <c r="K2" s="70">
        <v>0</v>
      </c>
      <c r="L2" s="70">
        <v>0</v>
      </c>
      <c r="M2" s="70">
        <v>120000</v>
      </c>
      <c r="N2" s="70">
        <v>138000</v>
      </c>
    </row>
    <row r="3" spans="1:14" s="19" customFormat="1" ht="14.25">
      <c r="A3" s="140">
        <f t="shared" ref="A3:A66" si="1">+A2+1</f>
        <v>2</v>
      </c>
      <c r="B3" s="70">
        <v>0</v>
      </c>
      <c r="C3" s="70">
        <v>0</v>
      </c>
      <c r="D3" s="70">
        <v>0</v>
      </c>
      <c r="E3" s="70">
        <v>0</v>
      </c>
      <c r="F3" s="70">
        <v>0</v>
      </c>
      <c r="G3" s="70">
        <v>0</v>
      </c>
      <c r="H3" s="70">
        <v>0</v>
      </c>
      <c r="I3" s="70">
        <v>0</v>
      </c>
      <c r="J3" s="70">
        <v>0</v>
      </c>
      <c r="K3" s="70">
        <v>0</v>
      </c>
      <c r="L3" s="70">
        <v>60000</v>
      </c>
      <c r="M3" s="70">
        <v>69000</v>
      </c>
      <c r="N3" s="70">
        <v>69000</v>
      </c>
    </row>
    <row r="4" spans="1:14" s="19" customFormat="1" ht="14.25">
      <c r="A4" s="140">
        <f t="shared" si="1"/>
        <v>3</v>
      </c>
      <c r="B4" s="70">
        <v>0</v>
      </c>
      <c r="C4" s="70">
        <v>0</v>
      </c>
      <c r="D4" s="70">
        <v>0</v>
      </c>
      <c r="E4" s="70">
        <v>0</v>
      </c>
      <c r="F4" s="70">
        <v>0</v>
      </c>
      <c r="G4" s="70">
        <v>0</v>
      </c>
      <c r="H4" s="70">
        <v>0</v>
      </c>
      <c r="I4" s="70">
        <v>0</v>
      </c>
      <c r="J4" s="70">
        <v>0</v>
      </c>
      <c r="K4" s="70">
        <v>0</v>
      </c>
      <c r="L4" s="70">
        <v>0</v>
      </c>
      <c r="M4" s="70">
        <v>0</v>
      </c>
      <c r="N4" s="70">
        <v>92400</v>
      </c>
    </row>
    <row r="5" spans="1:14" s="19" customFormat="1" ht="14.25">
      <c r="A5" s="140">
        <f t="shared" si="1"/>
        <v>4</v>
      </c>
      <c r="B5" s="70">
        <v>0</v>
      </c>
      <c r="C5" s="70">
        <v>0</v>
      </c>
      <c r="D5" s="70">
        <v>0</v>
      </c>
      <c r="E5" s="70">
        <v>0</v>
      </c>
      <c r="F5" s="70">
        <v>0</v>
      </c>
      <c r="G5" s="70">
        <v>0</v>
      </c>
      <c r="H5" s="70">
        <v>0</v>
      </c>
      <c r="I5" s="70">
        <v>0</v>
      </c>
      <c r="J5" s="70">
        <v>0</v>
      </c>
      <c r="K5" s="70">
        <v>0</v>
      </c>
      <c r="L5" s="70">
        <v>120000</v>
      </c>
      <c r="M5" s="70">
        <v>120000</v>
      </c>
      <c r="N5" s="70">
        <v>138000</v>
      </c>
    </row>
    <row r="6" spans="1:14" s="19" customFormat="1" ht="14.25">
      <c r="A6" s="140">
        <f t="shared" si="1"/>
        <v>5</v>
      </c>
      <c r="B6" s="70">
        <v>0</v>
      </c>
      <c r="C6" s="70">
        <v>0</v>
      </c>
      <c r="D6" s="70">
        <v>0</v>
      </c>
      <c r="E6" s="70">
        <v>0</v>
      </c>
      <c r="F6" s="70">
        <v>0</v>
      </c>
      <c r="G6" s="70">
        <v>120000</v>
      </c>
      <c r="H6" s="70">
        <v>158700</v>
      </c>
      <c r="I6" s="70">
        <v>182505</v>
      </c>
      <c r="J6" s="70">
        <v>182505</v>
      </c>
      <c r="K6" s="70">
        <v>182505</v>
      </c>
      <c r="L6" s="70">
        <v>0</v>
      </c>
      <c r="M6" s="70">
        <v>0</v>
      </c>
      <c r="N6" s="70">
        <v>0</v>
      </c>
    </row>
    <row r="7" spans="1:14" s="19" customFormat="1" ht="14.25">
      <c r="A7" s="140">
        <f t="shared" si="1"/>
        <v>6</v>
      </c>
      <c r="B7" s="70">
        <v>0</v>
      </c>
      <c r="C7" s="70">
        <v>0</v>
      </c>
      <c r="D7" s="70">
        <v>0</v>
      </c>
      <c r="E7" s="70">
        <v>0</v>
      </c>
      <c r="F7" s="70">
        <v>0</v>
      </c>
      <c r="G7" s="70">
        <v>0</v>
      </c>
      <c r="H7" s="70">
        <v>0</v>
      </c>
      <c r="I7" s="70">
        <v>0</v>
      </c>
      <c r="J7" s="70">
        <v>0</v>
      </c>
      <c r="K7" s="70">
        <v>60000</v>
      </c>
      <c r="L7" s="70">
        <v>69000</v>
      </c>
      <c r="M7" s="70">
        <v>79350</v>
      </c>
      <c r="N7" s="70">
        <v>69828</v>
      </c>
    </row>
    <row r="8" spans="1:14" s="19" customFormat="1" ht="14.25">
      <c r="A8" s="140">
        <f t="shared" si="1"/>
        <v>7</v>
      </c>
      <c r="B8" s="70">
        <v>0</v>
      </c>
      <c r="C8" s="70">
        <v>0</v>
      </c>
      <c r="D8" s="70">
        <v>0</v>
      </c>
      <c r="E8" s="70">
        <v>0</v>
      </c>
      <c r="F8" s="70">
        <v>0</v>
      </c>
      <c r="G8" s="70">
        <v>0</v>
      </c>
      <c r="H8" s="70">
        <v>0</v>
      </c>
      <c r="I8" s="70">
        <v>0</v>
      </c>
      <c r="J8" s="70">
        <v>0</v>
      </c>
      <c r="K8" s="70">
        <v>0</v>
      </c>
      <c r="L8" s="70">
        <v>0</v>
      </c>
      <c r="M8" s="70">
        <v>120000</v>
      </c>
      <c r="N8" s="70">
        <v>120000</v>
      </c>
    </row>
    <row r="9" spans="1:14" s="19" customFormat="1" ht="14.25">
      <c r="A9" s="140">
        <f t="shared" si="1"/>
        <v>8</v>
      </c>
      <c r="B9" s="70">
        <v>0</v>
      </c>
      <c r="C9" s="70">
        <v>0</v>
      </c>
      <c r="D9" s="70">
        <v>0</v>
      </c>
      <c r="E9" s="70">
        <v>0</v>
      </c>
      <c r="F9" s="70">
        <v>0</v>
      </c>
      <c r="G9" s="70">
        <v>0</v>
      </c>
      <c r="H9" s="70">
        <v>0</v>
      </c>
      <c r="I9" s="70">
        <v>0</v>
      </c>
      <c r="J9" s="70">
        <v>0</v>
      </c>
      <c r="K9" s="70">
        <v>0</v>
      </c>
      <c r="L9" s="70">
        <v>0</v>
      </c>
      <c r="M9" s="70">
        <v>120750</v>
      </c>
      <c r="N9" s="70">
        <v>120750</v>
      </c>
    </row>
    <row r="10" spans="1:14" s="19" customFormat="1" ht="14.25">
      <c r="A10" s="140">
        <f t="shared" si="1"/>
        <v>9</v>
      </c>
      <c r="B10" s="70">
        <v>0</v>
      </c>
      <c r="C10" s="70">
        <v>0</v>
      </c>
      <c r="D10" s="70">
        <v>0</v>
      </c>
      <c r="E10" s="70">
        <v>0</v>
      </c>
      <c r="F10" s="70">
        <v>0</v>
      </c>
      <c r="G10" s="70">
        <v>0</v>
      </c>
      <c r="H10" s="70">
        <v>0</v>
      </c>
      <c r="I10" s="70">
        <v>0</v>
      </c>
      <c r="J10" s="70">
        <v>0</v>
      </c>
      <c r="K10" s="70">
        <v>0</v>
      </c>
      <c r="L10" s="70">
        <v>0</v>
      </c>
      <c r="M10" s="70">
        <v>105000</v>
      </c>
      <c r="N10" s="70">
        <v>120750</v>
      </c>
    </row>
    <row r="11" spans="1:14" s="19" customFormat="1" ht="14.25">
      <c r="A11" s="140">
        <f t="shared" si="1"/>
        <v>10</v>
      </c>
      <c r="B11" s="70">
        <v>0</v>
      </c>
      <c r="C11" s="70">
        <v>0</v>
      </c>
      <c r="D11" s="70">
        <v>0</v>
      </c>
      <c r="E11" s="70">
        <v>0</v>
      </c>
      <c r="F11" s="70">
        <v>0</v>
      </c>
      <c r="G11" s="70">
        <v>0</v>
      </c>
      <c r="H11" s="70">
        <v>0</v>
      </c>
      <c r="I11" s="70">
        <v>60000</v>
      </c>
      <c r="J11" s="70">
        <v>69000</v>
      </c>
      <c r="K11" s="70">
        <v>69828</v>
      </c>
      <c r="L11" s="70">
        <v>69828</v>
      </c>
      <c r="M11" s="70">
        <v>92347.5</v>
      </c>
      <c r="N11" s="70">
        <v>81265.75</v>
      </c>
    </row>
    <row r="12" spans="1:14" s="19" customFormat="1" ht="14.25">
      <c r="A12" s="140">
        <f t="shared" si="1"/>
        <v>11</v>
      </c>
      <c r="B12" s="70">
        <v>0</v>
      </c>
      <c r="C12" s="70">
        <v>0</v>
      </c>
      <c r="D12" s="70">
        <v>0</v>
      </c>
      <c r="E12" s="70">
        <v>0</v>
      </c>
      <c r="F12" s="70">
        <v>0</v>
      </c>
      <c r="G12" s="70">
        <v>0</v>
      </c>
      <c r="H12" s="70">
        <v>0</v>
      </c>
      <c r="I12" s="70">
        <v>0</v>
      </c>
      <c r="J12" s="70">
        <v>0</v>
      </c>
      <c r="K12" s="70">
        <v>0</v>
      </c>
      <c r="L12" s="70">
        <v>60000</v>
      </c>
      <c r="M12" s="70">
        <v>60000</v>
      </c>
      <c r="N12" s="70">
        <v>69000</v>
      </c>
    </row>
    <row r="13" spans="1:14" s="19" customFormat="1" ht="14.25">
      <c r="A13" s="140">
        <f t="shared" si="1"/>
        <v>12</v>
      </c>
      <c r="B13" s="70">
        <v>0</v>
      </c>
      <c r="C13" s="70">
        <v>0</v>
      </c>
      <c r="D13" s="70">
        <v>0</v>
      </c>
      <c r="E13" s="70">
        <v>0</v>
      </c>
      <c r="F13" s="70">
        <v>0</v>
      </c>
      <c r="G13" s="70">
        <v>0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138000</v>
      </c>
      <c r="N13" s="70">
        <v>182505</v>
      </c>
    </row>
    <row r="14" spans="1:14" s="19" customFormat="1" ht="14.25">
      <c r="A14" s="140">
        <f t="shared" si="1"/>
        <v>13</v>
      </c>
      <c r="B14" s="70">
        <v>0</v>
      </c>
      <c r="C14" s="70">
        <v>0</v>
      </c>
      <c r="D14" s="70">
        <v>69000</v>
      </c>
      <c r="E14" s="70">
        <v>69828</v>
      </c>
      <c r="F14" s="70">
        <v>69828</v>
      </c>
      <c r="G14" s="70">
        <v>69828</v>
      </c>
      <c r="H14" s="70">
        <v>69828</v>
      </c>
      <c r="I14" s="70">
        <v>80302.25</v>
      </c>
      <c r="J14" s="70">
        <v>92347.5</v>
      </c>
      <c r="K14" s="70">
        <v>106199.75</v>
      </c>
      <c r="L14" s="70">
        <v>106199.75</v>
      </c>
      <c r="M14" s="70">
        <v>106199.75</v>
      </c>
      <c r="N14" s="70">
        <v>106199.75</v>
      </c>
    </row>
    <row r="15" spans="1:14" s="19" customFormat="1" ht="14.25">
      <c r="A15" s="140">
        <f t="shared" si="1"/>
        <v>14</v>
      </c>
      <c r="B15" s="70">
        <v>0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69000</v>
      </c>
    </row>
    <row r="16" spans="1:14" s="19" customFormat="1" ht="14.25">
      <c r="A16" s="140">
        <f t="shared" si="1"/>
        <v>15</v>
      </c>
      <c r="B16" s="70">
        <v>160604.5</v>
      </c>
      <c r="C16" s="70">
        <v>160604.5</v>
      </c>
      <c r="D16" s="70">
        <v>160604.5</v>
      </c>
      <c r="E16" s="70">
        <v>160604.5</v>
      </c>
      <c r="F16" s="70">
        <v>184695</v>
      </c>
      <c r="G16" s="70">
        <v>244259.25</v>
      </c>
      <c r="H16" s="70">
        <v>323032.75</v>
      </c>
      <c r="I16" s="70">
        <v>323032.75</v>
      </c>
      <c r="J16" s="70">
        <v>427211</v>
      </c>
      <c r="K16" s="70">
        <v>491292.5</v>
      </c>
      <c r="L16" s="70">
        <v>564986.5</v>
      </c>
      <c r="M16" s="70">
        <v>649734.25</v>
      </c>
      <c r="N16" s="70">
        <v>747194.5</v>
      </c>
    </row>
    <row r="17" spans="1:14" s="19" customFormat="1" ht="14.25">
      <c r="A17" s="140">
        <f t="shared" si="1"/>
        <v>16</v>
      </c>
      <c r="B17" s="70">
        <v>0</v>
      </c>
      <c r="C17" s="70">
        <v>0</v>
      </c>
      <c r="D17" s="70">
        <v>0</v>
      </c>
      <c r="E17" s="70">
        <v>0</v>
      </c>
      <c r="F17" s="70">
        <v>0</v>
      </c>
      <c r="G17" s="70">
        <v>0</v>
      </c>
      <c r="H17" s="70">
        <v>0</v>
      </c>
      <c r="I17" s="70">
        <v>60000</v>
      </c>
      <c r="J17" s="70">
        <v>52800</v>
      </c>
      <c r="K17" s="70">
        <v>60720</v>
      </c>
      <c r="L17" s="70">
        <v>60720</v>
      </c>
      <c r="M17" s="70">
        <v>69828</v>
      </c>
      <c r="N17" s="70">
        <v>69828</v>
      </c>
    </row>
    <row r="18" spans="1:14" s="19" customFormat="1" ht="14.25">
      <c r="A18" s="140">
        <f t="shared" si="1"/>
        <v>17</v>
      </c>
      <c r="B18" s="70">
        <v>0</v>
      </c>
      <c r="C18" s="70">
        <v>0</v>
      </c>
      <c r="D18" s="70">
        <v>0</v>
      </c>
      <c r="E18" s="70">
        <v>0</v>
      </c>
      <c r="F18" s="70">
        <v>0</v>
      </c>
      <c r="G18" s="70">
        <v>0</v>
      </c>
      <c r="H18" s="70">
        <v>0</v>
      </c>
      <c r="I18" s="70">
        <v>0</v>
      </c>
      <c r="J18" s="70">
        <v>0</v>
      </c>
      <c r="K18" s="70">
        <v>69000</v>
      </c>
      <c r="L18" s="70">
        <v>79350</v>
      </c>
      <c r="M18" s="70">
        <v>69828</v>
      </c>
      <c r="N18" s="70">
        <v>80302.25</v>
      </c>
    </row>
    <row r="19" spans="1:14" s="19" customFormat="1" ht="14.25">
      <c r="A19" s="140">
        <f t="shared" si="1"/>
        <v>18</v>
      </c>
      <c r="B19" s="70">
        <v>0</v>
      </c>
      <c r="C19" s="70">
        <v>0</v>
      </c>
      <c r="D19" s="70">
        <v>0</v>
      </c>
      <c r="E19" s="70">
        <v>92400</v>
      </c>
      <c r="F19" s="70">
        <v>92400</v>
      </c>
      <c r="G19" s="70">
        <v>106260</v>
      </c>
      <c r="H19" s="70">
        <v>106260</v>
      </c>
      <c r="I19" s="70">
        <v>122199</v>
      </c>
      <c r="J19" s="70">
        <v>140528.75</v>
      </c>
      <c r="K19" s="70">
        <v>185849.5</v>
      </c>
      <c r="L19" s="70">
        <v>213726.75</v>
      </c>
      <c r="M19" s="70">
        <v>245785.75</v>
      </c>
      <c r="N19" s="70">
        <v>282653.75</v>
      </c>
    </row>
    <row r="20" spans="1:14" s="19" customFormat="1" ht="14.25">
      <c r="A20" s="140">
        <f t="shared" si="1"/>
        <v>19</v>
      </c>
      <c r="B20" s="70">
        <v>0</v>
      </c>
      <c r="C20" s="70">
        <v>0</v>
      </c>
      <c r="D20" s="70">
        <v>0</v>
      </c>
      <c r="E20" s="70">
        <v>0</v>
      </c>
      <c r="F20" s="70">
        <v>120750</v>
      </c>
      <c r="G20" s="70">
        <v>138862.5</v>
      </c>
      <c r="H20" s="70">
        <v>159692</v>
      </c>
      <c r="I20" s="70">
        <v>159692</v>
      </c>
      <c r="J20" s="70">
        <v>183645.75</v>
      </c>
      <c r="K20" s="70">
        <v>161608.25</v>
      </c>
      <c r="L20" s="70">
        <v>185849.5</v>
      </c>
      <c r="M20" s="70">
        <v>213726.75</v>
      </c>
      <c r="N20" s="70">
        <v>213726.75</v>
      </c>
    </row>
    <row r="21" spans="1:14" s="19" customFormat="1" ht="14.25">
      <c r="A21" s="140">
        <f t="shared" si="1"/>
        <v>20</v>
      </c>
      <c r="B21" s="70">
        <v>0</v>
      </c>
      <c r="C21" s="70">
        <v>120750</v>
      </c>
      <c r="D21" s="70">
        <v>120750</v>
      </c>
      <c r="E21" s="70">
        <v>106260</v>
      </c>
      <c r="F21" s="70">
        <v>122199</v>
      </c>
      <c r="G21" s="70">
        <v>122199</v>
      </c>
      <c r="H21" s="70">
        <v>140528.75</v>
      </c>
      <c r="I21" s="70">
        <v>140528.75</v>
      </c>
      <c r="J21" s="70">
        <v>185849.5</v>
      </c>
      <c r="K21" s="70">
        <v>185849.5</v>
      </c>
      <c r="L21" s="70">
        <v>213726.75</v>
      </c>
      <c r="M21" s="70">
        <v>213726.75</v>
      </c>
      <c r="N21" s="70">
        <v>216291.5</v>
      </c>
    </row>
    <row r="22" spans="1:14" s="19" customFormat="1" ht="14.25">
      <c r="A22" s="140">
        <f t="shared" si="1"/>
        <v>21</v>
      </c>
      <c r="B22" s="70">
        <v>0</v>
      </c>
      <c r="C22" s="70">
        <v>0</v>
      </c>
      <c r="D22" s="70">
        <v>0</v>
      </c>
      <c r="E22" s="70">
        <v>0</v>
      </c>
      <c r="F22" s="70">
        <v>0</v>
      </c>
      <c r="G22" s="70">
        <v>0</v>
      </c>
      <c r="H22" s="70">
        <v>0</v>
      </c>
      <c r="I22" s="70">
        <v>0</v>
      </c>
      <c r="J22" s="70">
        <v>120750</v>
      </c>
      <c r="K22" s="70">
        <v>138862.5</v>
      </c>
      <c r="L22" s="70">
        <v>159692</v>
      </c>
      <c r="M22" s="70">
        <v>211192.5</v>
      </c>
      <c r="N22" s="70">
        <v>279302</v>
      </c>
    </row>
    <row r="23" spans="1:14" s="19" customFormat="1" ht="14.25">
      <c r="A23" s="140">
        <f t="shared" si="1"/>
        <v>22</v>
      </c>
      <c r="B23" s="70">
        <v>0</v>
      </c>
      <c r="C23" s="70">
        <v>0</v>
      </c>
      <c r="D23" s="70">
        <v>0</v>
      </c>
      <c r="E23" s="70">
        <v>0</v>
      </c>
      <c r="F23" s="70">
        <v>0</v>
      </c>
      <c r="G23" s="70">
        <v>0</v>
      </c>
      <c r="H23" s="70">
        <v>138000</v>
      </c>
      <c r="I23" s="70">
        <v>138000</v>
      </c>
      <c r="J23" s="70">
        <v>158700</v>
      </c>
      <c r="K23" s="70">
        <v>158700</v>
      </c>
      <c r="L23" s="70">
        <v>182505</v>
      </c>
      <c r="M23" s="70">
        <v>182505</v>
      </c>
      <c r="N23" s="70">
        <v>182505</v>
      </c>
    </row>
    <row r="24" spans="1:14" s="19" customFormat="1" ht="14.25">
      <c r="A24" s="140">
        <f t="shared" si="1"/>
        <v>23</v>
      </c>
      <c r="B24" s="70">
        <v>0</v>
      </c>
      <c r="C24" s="70">
        <v>0</v>
      </c>
      <c r="D24" s="70">
        <v>0</v>
      </c>
      <c r="E24" s="70">
        <v>0</v>
      </c>
      <c r="F24" s="70">
        <v>0</v>
      </c>
      <c r="G24" s="70">
        <v>0</v>
      </c>
      <c r="H24" s="70">
        <v>60000</v>
      </c>
      <c r="I24" s="70">
        <v>60000</v>
      </c>
      <c r="J24" s="70">
        <v>69000</v>
      </c>
      <c r="K24" s="70">
        <v>79350</v>
      </c>
      <c r="L24" s="70">
        <v>91252.5</v>
      </c>
      <c r="M24" s="70">
        <v>80302.25</v>
      </c>
      <c r="N24" s="70">
        <v>70666</v>
      </c>
    </row>
    <row r="25" spans="1:14" s="19" customFormat="1" ht="14.25">
      <c r="A25" s="140">
        <f t="shared" si="1"/>
        <v>24</v>
      </c>
      <c r="B25" s="70">
        <v>0</v>
      </c>
      <c r="C25" s="70">
        <v>0</v>
      </c>
      <c r="D25" s="70">
        <v>0</v>
      </c>
      <c r="E25" s="70">
        <v>0</v>
      </c>
      <c r="F25" s="70">
        <v>105000</v>
      </c>
      <c r="G25" s="70">
        <v>120750</v>
      </c>
      <c r="H25" s="70">
        <v>106260</v>
      </c>
      <c r="I25" s="70">
        <v>140528.75</v>
      </c>
      <c r="J25" s="70">
        <v>123665.5</v>
      </c>
      <c r="K25" s="70">
        <v>123665.5</v>
      </c>
      <c r="L25" s="70">
        <v>123665.5</v>
      </c>
      <c r="M25" s="70">
        <v>123665.5</v>
      </c>
      <c r="N25" s="70">
        <v>163547.5</v>
      </c>
    </row>
    <row r="26" spans="1:14" s="19" customFormat="1" ht="14.25">
      <c r="A26" s="140">
        <f t="shared" si="1"/>
        <v>25</v>
      </c>
      <c r="B26" s="70">
        <v>0</v>
      </c>
      <c r="C26" s="70">
        <v>0</v>
      </c>
      <c r="D26" s="70">
        <v>0</v>
      </c>
      <c r="E26" s="70">
        <v>0</v>
      </c>
      <c r="F26" s="70">
        <v>0</v>
      </c>
      <c r="G26" s="70">
        <v>0</v>
      </c>
      <c r="H26" s="70">
        <v>0</v>
      </c>
      <c r="I26" s="70">
        <v>92400</v>
      </c>
      <c r="J26" s="70">
        <v>106260</v>
      </c>
      <c r="K26" s="70">
        <v>122199</v>
      </c>
      <c r="L26" s="70">
        <v>140528.75</v>
      </c>
      <c r="M26" s="70">
        <v>161608.25</v>
      </c>
      <c r="N26" s="70">
        <v>213726.75</v>
      </c>
    </row>
    <row r="27" spans="1:14" s="19" customFormat="1" ht="14.25">
      <c r="A27" s="140">
        <f t="shared" si="1"/>
        <v>26</v>
      </c>
      <c r="B27" s="70">
        <v>0</v>
      </c>
      <c r="C27" s="70">
        <v>0</v>
      </c>
      <c r="D27" s="70">
        <v>0</v>
      </c>
      <c r="E27" s="70">
        <v>0</v>
      </c>
      <c r="F27" s="70">
        <v>0</v>
      </c>
      <c r="G27" s="70">
        <v>0</v>
      </c>
      <c r="H27" s="70">
        <v>0</v>
      </c>
      <c r="I27" s="70">
        <v>0</v>
      </c>
      <c r="J27" s="70">
        <v>120000</v>
      </c>
      <c r="K27" s="70">
        <v>138000</v>
      </c>
      <c r="L27" s="70">
        <v>158700</v>
      </c>
      <c r="M27" s="70">
        <v>209880.75</v>
      </c>
      <c r="N27" s="70">
        <v>209880.75</v>
      </c>
    </row>
    <row r="28" spans="1:14" s="19" customFormat="1" ht="14.25">
      <c r="A28" s="140">
        <f t="shared" si="1"/>
        <v>27</v>
      </c>
      <c r="B28" s="70">
        <v>0</v>
      </c>
      <c r="C28" s="70">
        <v>0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120000</v>
      </c>
      <c r="M28" s="70">
        <v>158700</v>
      </c>
      <c r="N28" s="70">
        <v>182505</v>
      </c>
    </row>
    <row r="29" spans="1:14" s="19" customFormat="1" ht="14.25">
      <c r="A29" s="140">
        <f t="shared" si="1"/>
        <v>28</v>
      </c>
      <c r="B29" s="70">
        <v>0</v>
      </c>
      <c r="C29" s="70">
        <v>0</v>
      </c>
      <c r="D29" s="70">
        <v>0</v>
      </c>
      <c r="E29" s="70">
        <v>0</v>
      </c>
      <c r="F29" s="70">
        <v>0</v>
      </c>
      <c r="G29" s="70">
        <v>120750</v>
      </c>
      <c r="H29" s="70">
        <v>138862.5</v>
      </c>
      <c r="I29" s="70">
        <v>138862.5</v>
      </c>
      <c r="J29" s="70">
        <v>159692</v>
      </c>
      <c r="K29" s="70">
        <v>211192.5</v>
      </c>
      <c r="L29" s="70">
        <v>213726.75</v>
      </c>
      <c r="M29" s="70">
        <v>282653.75</v>
      </c>
      <c r="N29" s="70">
        <v>282653.75</v>
      </c>
    </row>
    <row r="30" spans="1:14" s="19" customFormat="1" ht="14.25">
      <c r="A30" s="140">
        <f t="shared" si="1"/>
        <v>29</v>
      </c>
      <c r="B30" s="70">
        <v>125149.25</v>
      </c>
      <c r="C30" s="70">
        <v>143921.75</v>
      </c>
      <c r="D30" s="70">
        <v>165510</v>
      </c>
      <c r="E30" s="70">
        <v>165510</v>
      </c>
      <c r="F30" s="70">
        <v>218887</v>
      </c>
      <c r="G30" s="70">
        <v>218887</v>
      </c>
      <c r="H30" s="70">
        <v>289478</v>
      </c>
      <c r="I30" s="70">
        <v>332899.75</v>
      </c>
      <c r="J30" s="70">
        <v>332899.75</v>
      </c>
      <c r="K30" s="70">
        <v>382834.75</v>
      </c>
      <c r="L30" s="70">
        <v>440260</v>
      </c>
      <c r="M30" s="70">
        <v>582243.75</v>
      </c>
      <c r="N30" s="70">
        <v>582243.75</v>
      </c>
    </row>
    <row r="31" spans="1:14" s="19" customFormat="1" ht="14.25">
      <c r="A31" s="140">
        <f t="shared" si="1"/>
        <v>30</v>
      </c>
      <c r="B31" s="70">
        <v>0</v>
      </c>
      <c r="C31" s="70">
        <v>0</v>
      </c>
      <c r="D31" s="70">
        <v>0</v>
      </c>
      <c r="E31" s="70">
        <v>0</v>
      </c>
      <c r="F31" s="70">
        <v>0</v>
      </c>
      <c r="G31" s="70">
        <v>0</v>
      </c>
      <c r="H31" s="70">
        <v>0</v>
      </c>
      <c r="I31" s="70">
        <v>0</v>
      </c>
      <c r="J31" s="70">
        <v>0</v>
      </c>
      <c r="K31" s="70">
        <v>0</v>
      </c>
      <c r="L31" s="70">
        <v>0</v>
      </c>
      <c r="M31" s="70">
        <v>120000</v>
      </c>
      <c r="N31" s="70">
        <v>120000</v>
      </c>
    </row>
    <row r="32" spans="1:14" s="19" customFormat="1" ht="14.25">
      <c r="A32" s="140">
        <f t="shared" si="1"/>
        <v>31</v>
      </c>
      <c r="B32" s="70">
        <v>0</v>
      </c>
      <c r="C32" s="70">
        <v>0</v>
      </c>
      <c r="D32" s="70">
        <v>0</v>
      </c>
      <c r="E32" s="70">
        <v>0</v>
      </c>
      <c r="F32" s="70">
        <v>69000</v>
      </c>
      <c r="G32" s="70">
        <v>91252.5</v>
      </c>
      <c r="H32" s="70">
        <v>80302.25</v>
      </c>
      <c r="I32" s="70">
        <v>81265.75</v>
      </c>
      <c r="J32" s="70">
        <v>107474</v>
      </c>
      <c r="K32" s="70">
        <v>123595.25</v>
      </c>
      <c r="L32" s="70">
        <v>142134.5</v>
      </c>
      <c r="M32" s="70">
        <v>142134.5</v>
      </c>
      <c r="N32" s="70">
        <v>142134.5</v>
      </c>
    </row>
    <row r="33" spans="1:14" s="19" customFormat="1" ht="14.25">
      <c r="A33" s="140">
        <f t="shared" si="1"/>
        <v>32</v>
      </c>
      <c r="B33" s="70">
        <v>61448.75</v>
      </c>
      <c r="C33" s="70">
        <v>61448.75</v>
      </c>
      <c r="D33" s="70">
        <v>81265.75</v>
      </c>
      <c r="E33" s="70">
        <v>107474</v>
      </c>
      <c r="F33" s="70">
        <v>123595.25</v>
      </c>
      <c r="G33" s="70">
        <v>142134.5</v>
      </c>
      <c r="H33" s="70">
        <v>163454.5</v>
      </c>
      <c r="I33" s="70">
        <v>163454.5</v>
      </c>
      <c r="J33" s="70">
        <v>163454.5</v>
      </c>
      <c r="K33" s="70">
        <v>143840</v>
      </c>
      <c r="L33" s="70">
        <v>190228.5</v>
      </c>
      <c r="M33" s="70">
        <v>190228.5</v>
      </c>
      <c r="N33" s="70">
        <v>218762.75</v>
      </c>
    </row>
    <row r="34" spans="1:14" s="19" customFormat="1" ht="14.25">
      <c r="A34" s="140">
        <f t="shared" si="1"/>
        <v>33</v>
      </c>
      <c r="B34" s="70">
        <v>0</v>
      </c>
      <c r="C34" s="70">
        <v>0</v>
      </c>
      <c r="D34" s="70">
        <v>0</v>
      </c>
      <c r="E34" s="70">
        <v>0</v>
      </c>
      <c r="F34" s="70">
        <v>0</v>
      </c>
      <c r="G34" s="70">
        <v>0</v>
      </c>
      <c r="H34" s="70">
        <v>0</v>
      </c>
      <c r="I34" s="70">
        <v>0</v>
      </c>
      <c r="J34" s="70">
        <v>0</v>
      </c>
      <c r="K34" s="70">
        <v>0</v>
      </c>
      <c r="L34" s="70">
        <v>105000</v>
      </c>
      <c r="M34" s="70">
        <v>120750</v>
      </c>
      <c r="N34" s="70">
        <v>159692</v>
      </c>
    </row>
    <row r="35" spans="1:14" s="18" customFormat="1" ht="14.25">
      <c r="A35" s="140">
        <f t="shared" si="1"/>
        <v>34</v>
      </c>
      <c r="B35" s="70">
        <v>0</v>
      </c>
      <c r="C35" s="70">
        <v>0</v>
      </c>
      <c r="D35" s="70">
        <v>0</v>
      </c>
      <c r="E35" s="70">
        <v>120750</v>
      </c>
      <c r="F35" s="70">
        <v>106260</v>
      </c>
      <c r="G35" s="70">
        <v>122199</v>
      </c>
      <c r="H35" s="70">
        <v>107535</v>
      </c>
      <c r="I35" s="70">
        <v>163547.5</v>
      </c>
      <c r="J35" s="70">
        <v>188079.5</v>
      </c>
      <c r="K35" s="70">
        <v>165510</v>
      </c>
      <c r="L35" s="70">
        <v>165510</v>
      </c>
      <c r="M35" s="70">
        <v>145648.75</v>
      </c>
      <c r="N35" s="70">
        <v>167496.25</v>
      </c>
    </row>
    <row r="36" spans="1:14" s="18" customFormat="1" ht="14.25">
      <c r="A36" s="140">
        <f t="shared" si="1"/>
        <v>35</v>
      </c>
      <c r="B36" s="70">
        <v>0</v>
      </c>
      <c r="C36" s="70">
        <v>0</v>
      </c>
      <c r="D36" s="70">
        <v>0</v>
      </c>
      <c r="E36" s="70">
        <v>0</v>
      </c>
      <c r="F36" s="70">
        <v>0</v>
      </c>
      <c r="G36" s="70">
        <v>0</v>
      </c>
      <c r="H36" s="70">
        <v>0</v>
      </c>
      <c r="I36" s="70">
        <v>120750</v>
      </c>
      <c r="J36" s="70">
        <v>159692</v>
      </c>
      <c r="K36" s="70">
        <v>159692</v>
      </c>
      <c r="L36" s="70">
        <v>183645.75</v>
      </c>
      <c r="M36" s="70">
        <v>161608.25</v>
      </c>
      <c r="N36" s="70">
        <v>213726.75</v>
      </c>
    </row>
    <row r="37" spans="1:14" s="18" customFormat="1" ht="14.25">
      <c r="A37" s="140">
        <f t="shared" si="1"/>
        <v>36</v>
      </c>
      <c r="B37" s="70">
        <v>0</v>
      </c>
      <c r="C37" s="70">
        <v>0</v>
      </c>
      <c r="D37" s="70">
        <v>60000</v>
      </c>
      <c r="E37" s="70">
        <v>69000</v>
      </c>
      <c r="F37" s="70">
        <v>69000</v>
      </c>
      <c r="G37" s="70">
        <v>69000</v>
      </c>
      <c r="H37" s="70">
        <v>91252.5</v>
      </c>
      <c r="I37" s="70">
        <v>91252.5</v>
      </c>
      <c r="J37" s="70">
        <v>104940.5</v>
      </c>
      <c r="K37" s="70">
        <v>120681.5</v>
      </c>
      <c r="L37" s="70">
        <v>138783.75</v>
      </c>
      <c r="M37" s="70">
        <v>122129.5</v>
      </c>
      <c r="N37" s="70">
        <v>140449</v>
      </c>
    </row>
    <row r="38" spans="1:14" s="18" customFormat="1" ht="14.25">
      <c r="A38" s="140">
        <f t="shared" si="1"/>
        <v>37</v>
      </c>
      <c r="B38" s="70">
        <v>138862.5</v>
      </c>
      <c r="C38" s="70">
        <v>138862.5</v>
      </c>
      <c r="D38" s="70">
        <v>159692</v>
      </c>
      <c r="E38" s="70">
        <v>140528.75</v>
      </c>
      <c r="F38" s="70">
        <v>140528.75</v>
      </c>
      <c r="G38" s="70">
        <v>161608.25</v>
      </c>
      <c r="H38" s="70">
        <v>161608.25</v>
      </c>
      <c r="I38" s="70">
        <v>161608.25</v>
      </c>
      <c r="J38" s="70">
        <v>213726.75</v>
      </c>
      <c r="K38" s="70">
        <v>245785.75</v>
      </c>
      <c r="L38" s="70">
        <v>282653.75</v>
      </c>
      <c r="M38" s="70">
        <v>325051.75</v>
      </c>
      <c r="N38" s="70">
        <v>325051.75</v>
      </c>
    </row>
    <row r="39" spans="1:14" s="18" customFormat="1" ht="14.25">
      <c r="A39" s="140">
        <f t="shared" si="1"/>
        <v>38</v>
      </c>
      <c r="B39" s="70">
        <v>0</v>
      </c>
      <c r="C39" s="70">
        <v>0</v>
      </c>
      <c r="D39" s="70">
        <v>0</v>
      </c>
      <c r="E39" s="70">
        <v>0</v>
      </c>
      <c r="F39" s="70">
        <v>0</v>
      </c>
      <c r="G39" s="70">
        <v>0</v>
      </c>
      <c r="H39" s="70">
        <v>92400</v>
      </c>
      <c r="I39" s="70">
        <v>106260</v>
      </c>
      <c r="J39" s="70">
        <v>107535</v>
      </c>
      <c r="K39" s="70">
        <v>108825.5</v>
      </c>
      <c r="L39" s="70">
        <v>108825.5</v>
      </c>
      <c r="M39" s="70">
        <v>95766.5</v>
      </c>
      <c r="N39" s="70">
        <v>110131.5</v>
      </c>
    </row>
    <row r="40" spans="1:14" s="18" customFormat="1" ht="14.25">
      <c r="A40" s="140">
        <f t="shared" si="1"/>
        <v>39</v>
      </c>
      <c r="B40" s="70">
        <v>0</v>
      </c>
      <c r="C40" s="70">
        <v>0</v>
      </c>
      <c r="D40" s="70">
        <v>0</v>
      </c>
      <c r="E40" s="70">
        <v>0</v>
      </c>
      <c r="F40" s="70">
        <v>120000</v>
      </c>
      <c r="G40" s="70">
        <v>158700</v>
      </c>
      <c r="H40" s="70">
        <v>158700</v>
      </c>
      <c r="I40" s="70">
        <v>158700</v>
      </c>
      <c r="J40" s="70">
        <v>160604.5</v>
      </c>
      <c r="K40" s="70">
        <v>184695</v>
      </c>
      <c r="L40" s="70">
        <v>244259.25</v>
      </c>
      <c r="M40" s="70">
        <v>323032.75</v>
      </c>
      <c r="N40" s="70">
        <v>284269</v>
      </c>
    </row>
    <row r="41" spans="1:14" s="18" customFormat="1" ht="14.25">
      <c r="A41" s="140">
        <f t="shared" si="1"/>
        <v>40</v>
      </c>
      <c r="B41" s="70">
        <v>0</v>
      </c>
      <c r="C41" s="70">
        <v>0</v>
      </c>
      <c r="D41" s="70">
        <v>0</v>
      </c>
      <c r="E41" s="70">
        <v>0</v>
      </c>
      <c r="F41" s="70">
        <v>0</v>
      </c>
      <c r="G41" s="70">
        <v>120000</v>
      </c>
      <c r="H41" s="70">
        <v>138000</v>
      </c>
      <c r="I41" s="70">
        <v>158700</v>
      </c>
      <c r="J41" s="70">
        <v>182505</v>
      </c>
      <c r="K41" s="70">
        <v>182505</v>
      </c>
      <c r="L41" s="70">
        <v>160604.5</v>
      </c>
      <c r="M41" s="70">
        <v>212399.25</v>
      </c>
      <c r="N41" s="70">
        <v>244259.25</v>
      </c>
    </row>
    <row r="42" spans="1:14" s="18" customFormat="1" ht="14.25">
      <c r="A42" s="140">
        <f t="shared" si="1"/>
        <v>41</v>
      </c>
      <c r="B42" s="70">
        <v>0</v>
      </c>
      <c r="C42" s="70">
        <v>0</v>
      </c>
      <c r="D42" s="70">
        <v>0</v>
      </c>
      <c r="E42" s="70">
        <v>0</v>
      </c>
      <c r="F42" s="70">
        <v>0</v>
      </c>
      <c r="G42" s="70">
        <v>0</v>
      </c>
      <c r="H42" s="70">
        <v>0</v>
      </c>
      <c r="I42" s="70">
        <v>0</v>
      </c>
      <c r="J42" s="70">
        <v>0</v>
      </c>
      <c r="K42" s="70">
        <v>0</v>
      </c>
      <c r="L42" s="70">
        <v>0</v>
      </c>
      <c r="M42" s="70">
        <v>105000</v>
      </c>
      <c r="N42" s="70">
        <v>120750</v>
      </c>
    </row>
    <row r="43" spans="1:14" s="18" customFormat="1" ht="14.25">
      <c r="A43" s="140">
        <f t="shared" si="1"/>
        <v>42</v>
      </c>
      <c r="B43" s="70">
        <v>0</v>
      </c>
      <c r="C43" s="70">
        <v>0</v>
      </c>
      <c r="D43" s="70">
        <v>0</v>
      </c>
      <c r="E43" s="70">
        <v>0</v>
      </c>
      <c r="F43" s="70">
        <v>0</v>
      </c>
      <c r="G43" s="70">
        <v>0</v>
      </c>
      <c r="H43" s="70">
        <v>0</v>
      </c>
      <c r="I43" s="70">
        <v>0</v>
      </c>
      <c r="J43" s="70">
        <v>120750</v>
      </c>
      <c r="K43" s="70">
        <v>120750</v>
      </c>
      <c r="L43" s="70">
        <v>138862.5</v>
      </c>
      <c r="M43" s="70">
        <v>140528.75</v>
      </c>
      <c r="N43" s="70">
        <v>161608.25</v>
      </c>
    </row>
    <row r="44" spans="1:14" s="18" customFormat="1" ht="14.25">
      <c r="A44" s="140">
        <f t="shared" si="1"/>
        <v>43</v>
      </c>
      <c r="B44" s="70">
        <v>183541.25</v>
      </c>
      <c r="C44" s="70">
        <v>183541.25</v>
      </c>
      <c r="D44" s="70">
        <v>211072.5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</row>
    <row r="45" spans="1:14" s="18" customFormat="1" ht="14.25">
      <c r="A45" s="140">
        <f t="shared" si="1"/>
        <v>44</v>
      </c>
      <c r="B45" s="70">
        <v>161608.25</v>
      </c>
      <c r="C45" s="70">
        <v>161608.25</v>
      </c>
      <c r="D45" s="70">
        <v>185849.5</v>
      </c>
      <c r="E45" s="70">
        <v>185849.5</v>
      </c>
      <c r="F45" s="70">
        <v>185849.5</v>
      </c>
      <c r="G45" s="70">
        <v>213726.75</v>
      </c>
      <c r="H45" s="70">
        <v>245785.75</v>
      </c>
      <c r="I45" s="70">
        <v>245785.75</v>
      </c>
      <c r="J45" s="70">
        <v>245785.75</v>
      </c>
      <c r="K45" s="70">
        <v>245785.75</v>
      </c>
      <c r="L45" s="70">
        <v>245785.75</v>
      </c>
      <c r="M45" s="70">
        <v>245785.75</v>
      </c>
      <c r="N45" s="70">
        <v>373809.5</v>
      </c>
    </row>
    <row r="46" spans="1:14" s="18" customFormat="1" ht="14.25">
      <c r="A46" s="140">
        <f t="shared" si="1"/>
        <v>45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0">
        <v>105000</v>
      </c>
    </row>
    <row r="47" spans="1:14" s="18" customFormat="1" ht="14.25">
      <c r="A47" s="140">
        <f t="shared" si="1"/>
        <v>46</v>
      </c>
      <c r="B47" s="70">
        <v>0</v>
      </c>
      <c r="C47" s="70">
        <v>0</v>
      </c>
      <c r="D47" s="70">
        <v>0</v>
      </c>
      <c r="E47" s="70">
        <v>0</v>
      </c>
      <c r="F47" s="70">
        <v>0</v>
      </c>
      <c r="G47" s="70">
        <v>0</v>
      </c>
      <c r="H47" s="70">
        <v>0</v>
      </c>
      <c r="I47" s="70">
        <v>0</v>
      </c>
      <c r="J47" s="70">
        <v>0</v>
      </c>
      <c r="K47" s="70">
        <v>0</v>
      </c>
      <c r="L47" s="70">
        <v>0</v>
      </c>
      <c r="M47" s="70">
        <v>0</v>
      </c>
      <c r="N47" s="70">
        <v>105000</v>
      </c>
    </row>
    <row r="48" spans="1:14" s="18" customFormat="1" ht="14.25">
      <c r="A48" s="140">
        <f t="shared" si="1"/>
        <v>47</v>
      </c>
      <c r="B48" s="70">
        <v>0</v>
      </c>
      <c r="C48" s="70">
        <v>0</v>
      </c>
      <c r="D48" s="70">
        <v>0</v>
      </c>
      <c r="E48" s="70">
        <v>0</v>
      </c>
      <c r="F48" s="70">
        <v>0</v>
      </c>
      <c r="G48" s="70">
        <v>0</v>
      </c>
      <c r="H48" s="70">
        <v>0</v>
      </c>
      <c r="I48" s="70">
        <v>120750</v>
      </c>
      <c r="J48" s="70">
        <v>120750</v>
      </c>
      <c r="K48" s="70">
        <v>120750</v>
      </c>
      <c r="L48" s="70">
        <v>138862.5</v>
      </c>
      <c r="M48" s="70">
        <v>159692</v>
      </c>
      <c r="N48" s="70">
        <v>159692</v>
      </c>
    </row>
    <row r="49" spans="1:14" s="18" customFormat="1" ht="14.25">
      <c r="A49" s="140">
        <f t="shared" si="1"/>
        <v>48</v>
      </c>
      <c r="B49" s="70">
        <v>0</v>
      </c>
      <c r="C49" s="70">
        <v>0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70">
        <v>105000</v>
      </c>
      <c r="M49" s="70">
        <v>106260</v>
      </c>
      <c r="N49" s="70">
        <v>122199</v>
      </c>
    </row>
    <row r="50" spans="1:14" s="18" customFormat="1" ht="14.25">
      <c r="A50" s="140">
        <f t="shared" si="1"/>
        <v>49</v>
      </c>
      <c r="B50" s="70">
        <v>0</v>
      </c>
      <c r="C50" s="70">
        <v>0</v>
      </c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105000</v>
      </c>
      <c r="J50" s="70">
        <v>105000</v>
      </c>
      <c r="K50" s="70">
        <v>120750</v>
      </c>
      <c r="L50" s="70">
        <v>120750</v>
      </c>
      <c r="M50" s="70">
        <v>159692</v>
      </c>
      <c r="N50" s="70">
        <v>183645.75</v>
      </c>
    </row>
    <row r="51" spans="1:14" s="18" customFormat="1" ht="14.25">
      <c r="A51" s="140">
        <f t="shared" si="1"/>
        <v>50</v>
      </c>
      <c r="B51" s="70">
        <v>0</v>
      </c>
      <c r="C51" s="70">
        <v>0</v>
      </c>
      <c r="D51" s="70">
        <v>0</v>
      </c>
      <c r="E51" s="70">
        <v>0</v>
      </c>
      <c r="F51" s="70">
        <v>0</v>
      </c>
      <c r="G51" s="70">
        <v>0</v>
      </c>
      <c r="H51" s="70">
        <v>0</v>
      </c>
      <c r="I51" s="70">
        <v>0</v>
      </c>
      <c r="J51" s="70">
        <v>120750</v>
      </c>
      <c r="K51" s="70">
        <v>120750</v>
      </c>
      <c r="L51" s="70">
        <v>159692</v>
      </c>
      <c r="M51" s="70">
        <v>140528.75</v>
      </c>
      <c r="N51" s="70">
        <v>140528.75</v>
      </c>
    </row>
    <row r="52" spans="1:14" s="18" customFormat="1" ht="14.25">
      <c r="A52" s="140">
        <f t="shared" si="1"/>
        <v>51</v>
      </c>
      <c r="B52" s="70">
        <v>0</v>
      </c>
      <c r="C52" s="70">
        <v>0</v>
      </c>
      <c r="D52" s="70">
        <v>0</v>
      </c>
      <c r="E52" s="70">
        <v>60000</v>
      </c>
      <c r="F52" s="70">
        <v>79350</v>
      </c>
      <c r="G52" s="70">
        <v>104940.5</v>
      </c>
      <c r="H52" s="70">
        <v>138783.75</v>
      </c>
      <c r="I52" s="70">
        <v>161516.5</v>
      </c>
      <c r="J52" s="70">
        <v>185743.75</v>
      </c>
      <c r="K52" s="70">
        <v>185743.75</v>
      </c>
      <c r="L52" s="70">
        <v>245646.25</v>
      </c>
      <c r="M52" s="70">
        <v>324867.25</v>
      </c>
      <c r="N52" s="70">
        <v>285883</v>
      </c>
    </row>
    <row r="53" spans="1:14" s="18" customFormat="1" ht="14.25">
      <c r="A53" s="140">
        <f t="shared" si="1"/>
        <v>52</v>
      </c>
      <c r="B53" s="70">
        <v>0</v>
      </c>
      <c r="C53" s="70">
        <v>0</v>
      </c>
      <c r="D53" s="70">
        <v>0</v>
      </c>
      <c r="E53" s="70">
        <v>0</v>
      </c>
      <c r="F53" s="70">
        <v>0</v>
      </c>
      <c r="G53" s="70">
        <v>0</v>
      </c>
      <c r="H53" s="70">
        <v>0</v>
      </c>
      <c r="I53" s="70">
        <v>105000</v>
      </c>
      <c r="J53" s="70">
        <v>105000</v>
      </c>
      <c r="K53" s="70">
        <v>122199</v>
      </c>
      <c r="L53" s="70">
        <v>140528.75</v>
      </c>
      <c r="M53" s="70">
        <v>140528.75</v>
      </c>
      <c r="N53" s="70">
        <v>161608.25</v>
      </c>
    </row>
    <row r="54" spans="1:14" s="18" customFormat="1" ht="14.25">
      <c r="A54" s="140">
        <f t="shared" si="1"/>
        <v>53</v>
      </c>
      <c r="B54" s="70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120750</v>
      </c>
      <c r="N54" s="70">
        <v>138862.5</v>
      </c>
    </row>
    <row r="55" spans="1:14" s="18" customFormat="1" ht="14.25">
      <c r="A55" s="140">
        <f t="shared" si="1"/>
        <v>54</v>
      </c>
      <c r="B55" s="70">
        <v>158700</v>
      </c>
      <c r="C55" s="70">
        <v>158700</v>
      </c>
      <c r="D55" s="70">
        <v>209880.75</v>
      </c>
      <c r="E55" s="70">
        <v>241362.75</v>
      </c>
      <c r="F55" s="70">
        <v>367082.75</v>
      </c>
      <c r="G55" s="70">
        <v>558287</v>
      </c>
      <c r="H55" s="70">
        <v>491292.5</v>
      </c>
      <c r="I55" s="70">
        <v>649734.25</v>
      </c>
      <c r="J55" s="70">
        <v>649734.25</v>
      </c>
      <c r="K55" s="70">
        <v>747194.5</v>
      </c>
      <c r="L55" s="70">
        <v>859273.75</v>
      </c>
      <c r="M55" s="70">
        <v>988164.75</v>
      </c>
      <c r="N55" s="70">
        <v>1502875</v>
      </c>
    </row>
    <row r="56" spans="1:14">
      <c r="A56" s="140">
        <f t="shared" si="1"/>
        <v>55</v>
      </c>
      <c r="B56" s="70">
        <v>0</v>
      </c>
      <c r="C56" s="70">
        <v>0</v>
      </c>
      <c r="D56" s="70">
        <v>0</v>
      </c>
      <c r="E56" s="70">
        <v>0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  <c r="N56" s="70">
        <v>105000</v>
      </c>
    </row>
    <row r="57" spans="1:14">
      <c r="A57" s="140">
        <f t="shared" si="1"/>
        <v>56</v>
      </c>
      <c r="B57" s="70">
        <v>0</v>
      </c>
      <c r="C57" s="70">
        <v>0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105000</v>
      </c>
      <c r="N57" s="70">
        <v>105000</v>
      </c>
    </row>
    <row r="58" spans="1:14">
      <c r="A58" s="140">
        <f t="shared" si="1"/>
        <v>57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92400</v>
      </c>
      <c r="N58" s="70">
        <v>122199</v>
      </c>
    </row>
    <row r="59" spans="1:14">
      <c r="A59" s="140">
        <f t="shared" si="1"/>
        <v>58</v>
      </c>
      <c r="B59" s="70">
        <v>280898</v>
      </c>
      <c r="C59" s="70">
        <v>323032.75</v>
      </c>
      <c r="D59" s="70">
        <v>427211</v>
      </c>
      <c r="E59" s="70">
        <v>564986.5</v>
      </c>
      <c r="F59" s="70">
        <v>571766.25</v>
      </c>
      <c r="G59" s="70">
        <v>503154.25</v>
      </c>
      <c r="H59" s="70">
        <v>503154.25</v>
      </c>
      <c r="I59" s="70">
        <v>578627.5</v>
      </c>
      <c r="J59" s="70">
        <v>585571</v>
      </c>
      <c r="K59" s="70">
        <v>774417.5</v>
      </c>
      <c r="L59" s="70">
        <v>1024167.25</v>
      </c>
      <c r="M59" s="70">
        <v>1024167.25</v>
      </c>
      <c r="N59" s="70">
        <v>1354461.25</v>
      </c>
    </row>
    <row r="60" spans="1:14">
      <c r="A60" s="140">
        <f t="shared" si="1"/>
        <v>59</v>
      </c>
      <c r="B60" s="70">
        <v>0</v>
      </c>
      <c r="C60" s="70">
        <v>0</v>
      </c>
      <c r="D60" s="70">
        <v>0</v>
      </c>
      <c r="E60" s="70">
        <v>0</v>
      </c>
      <c r="F60" s="70">
        <v>0</v>
      </c>
      <c r="G60" s="70">
        <v>0</v>
      </c>
      <c r="H60" s="70">
        <v>0</v>
      </c>
      <c r="I60" s="70">
        <v>120000</v>
      </c>
      <c r="J60" s="70">
        <v>138000</v>
      </c>
      <c r="K60" s="70">
        <v>138000</v>
      </c>
      <c r="L60" s="70">
        <v>138000</v>
      </c>
      <c r="M60" s="70">
        <v>121440</v>
      </c>
      <c r="N60" s="70">
        <v>139656</v>
      </c>
    </row>
    <row r="61" spans="1:14">
      <c r="A61" s="140">
        <f t="shared" si="1"/>
        <v>60</v>
      </c>
      <c r="B61" s="70">
        <v>0</v>
      </c>
      <c r="C61" s="70">
        <v>0</v>
      </c>
      <c r="D61" s="70">
        <v>0</v>
      </c>
      <c r="E61" s="70">
        <v>0</v>
      </c>
      <c r="F61" s="70">
        <v>0</v>
      </c>
      <c r="G61" s="70">
        <v>0</v>
      </c>
      <c r="H61" s="70">
        <v>0</v>
      </c>
      <c r="I61" s="70">
        <v>0</v>
      </c>
      <c r="J61" s="70">
        <v>138862.5</v>
      </c>
      <c r="K61" s="70">
        <v>138862.5</v>
      </c>
      <c r="L61" s="70">
        <v>138862.5</v>
      </c>
      <c r="M61" s="70">
        <v>122199</v>
      </c>
      <c r="N61" s="70">
        <v>140528.75</v>
      </c>
    </row>
    <row r="62" spans="1:14">
      <c r="A62" s="140">
        <f t="shared" si="1"/>
        <v>61</v>
      </c>
      <c r="B62" s="70">
        <v>0</v>
      </c>
      <c r="C62" s="70">
        <v>0</v>
      </c>
      <c r="D62" s="70">
        <v>0</v>
      </c>
      <c r="E62" s="70">
        <v>0</v>
      </c>
      <c r="F62" s="70">
        <v>0</v>
      </c>
      <c r="G62" s="70">
        <v>0</v>
      </c>
      <c r="H62" s="70">
        <v>0</v>
      </c>
      <c r="I62" s="70">
        <v>0</v>
      </c>
      <c r="J62" s="70">
        <v>0</v>
      </c>
      <c r="K62" s="70">
        <v>0</v>
      </c>
      <c r="L62" s="70">
        <v>0</v>
      </c>
      <c r="M62" s="70">
        <v>0</v>
      </c>
      <c r="N62" s="70">
        <v>105000</v>
      </c>
    </row>
    <row r="63" spans="1:14">
      <c r="A63" s="140">
        <f t="shared" si="1"/>
        <v>62</v>
      </c>
      <c r="B63" s="70">
        <v>0</v>
      </c>
      <c r="C63" s="70">
        <v>0</v>
      </c>
      <c r="D63" s="70">
        <v>0</v>
      </c>
      <c r="E63" s="70">
        <v>0</v>
      </c>
      <c r="F63" s="70">
        <v>60000</v>
      </c>
      <c r="G63" s="70">
        <v>79350</v>
      </c>
      <c r="H63" s="70">
        <v>91252.5</v>
      </c>
      <c r="I63" s="70">
        <v>104940.5</v>
      </c>
      <c r="J63" s="70">
        <v>138783.75</v>
      </c>
      <c r="K63" s="70">
        <v>211072.5</v>
      </c>
      <c r="L63" s="70">
        <v>211072.5</v>
      </c>
      <c r="M63" s="70">
        <v>211072.5</v>
      </c>
      <c r="N63" s="70">
        <v>163454.5</v>
      </c>
    </row>
    <row r="64" spans="1:14">
      <c r="A64" s="140">
        <f t="shared" si="1"/>
        <v>63</v>
      </c>
      <c r="B64" s="70">
        <v>0</v>
      </c>
      <c r="C64" s="70">
        <v>0</v>
      </c>
      <c r="D64" s="70">
        <v>0</v>
      </c>
      <c r="E64" s="70">
        <v>0</v>
      </c>
      <c r="F64" s="70">
        <v>0</v>
      </c>
      <c r="G64" s="70">
        <v>0</v>
      </c>
      <c r="H64" s="70">
        <v>0</v>
      </c>
      <c r="I64" s="70">
        <v>0</v>
      </c>
      <c r="J64" s="70">
        <v>0</v>
      </c>
      <c r="K64" s="70">
        <v>0</v>
      </c>
      <c r="L64" s="70">
        <v>0</v>
      </c>
      <c r="M64" s="70">
        <v>120000</v>
      </c>
      <c r="N64" s="70">
        <v>138000</v>
      </c>
    </row>
    <row r="65" spans="1:14">
      <c r="A65" s="140">
        <f t="shared" si="1"/>
        <v>64</v>
      </c>
      <c r="B65" s="70">
        <v>0</v>
      </c>
      <c r="C65" s="70">
        <v>0</v>
      </c>
      <c r="D65" s="70">
        <v>0</v>
      </c>
      <c r="E65" s="70">
        <v>120000</v>
      </c>
      <c r="F65" s="70">
        <v>138000</v>
      </c>
      <c r="G65" s="70">
        <v>138000</v>
      </c>
      <c r="H65" s="70">
        <v>158700</v>
      </c>
      <c r="I65" s="70">
        <v>158700</v>
      </c>
      <c r="J65" s="70">
        <v>139656</v>
      </c>
      <c r="K65" s="70">
        <v>141331.75</v>
      </c>
      <c r="L65" s="70">
        <v>124372</v>
      </c>
      <c r="M65" s="70">
        <v>124372</v>
      </c>
      <c r="N65" s="70">
        <v>109447.5</v>
      </c>
    </row>
    <row r="66" spans="1:14">
      <c r="A66" s="140">
        <f t="shared" si="1"/>
        <v>65</v>
      </c>
      <c r="B66" s="70">
        <v>0</v>
      </c>
      <c r="C66" s="70">
        <v>0</v>
      </c>
      <c r="D66" s="70">
        <v>0</v>
      </c>
      <c r="E66" s="70">
        <v>0</v>
      </c>
      <c r="F66" s="70">
        <v>0</v>
      </c>
      <c r="G66" s="70">
        <v>0</v>
      </c>
      <c r="H66" s="70">
        <v>105000</v>
      </c>
      <c r="I66" s="70">
        <v>92400</v>
      </c>
      <c r="J66" s="70">
        <v>106260</v>
      </c>
      <c r="K66" s="70">
        <v>106260</v>
      </c>
      <c r="L66" s="70">
        <v>140528.75</v>
      </c>
      <c r="M66" s="70">
        <v>140528.75</v>
      </c>
      <c r="N66" s="70">
        <v>185849.5</v>
      </c>
    </row>
    <row r="67" spans="1:14">
      <c r="A67" s="140">
        <f t="shared" ref="A67:A130" si="2">+A66+1</f>
        <v>66</v>
      </c>
      <c r="B67" s="70">
        <v>0</v>
      </c>
      <c r="C67" s="70">
        <v>0</v>
      </c>
      <c r="D67" s="70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70">
        <v>105000</v>
      </c>
      <c r="N67" s="70">
        <v>92400</v>
      </c>
    </row>
    <row r="68" spans="1:14">
      <c r="A68" s="140">
        <f t="shared" si="2"/>
        <v>67</v>
      </c>
      <c r="B68" s="70">
        <v>0</v>
      </c>
      <c r="C68" s="70">
        <v>0</v>
      </c>
      <c r="D68" s="70">
        <v>0</v>
      </c>
      <c r="E68" s="70">
        <v>0</v>
      </c>
      <c r="F68" s="70">
        <v>0</v>
      </c>
      <c r="G68" s="70">
        <v>0</v>
      </c>
      <c r="H68" s="70">
        <v>0</v>
      </c>
      <c r="I68" s="70">
        <v>0</v>
      </c>
      <c r="J68" s="70">
        <v>0</v>
      </c>
      <c r="K68" s="70">
        <v>0</v>
      </c>
      <c r="L68" s="70">
        <v>0</v>
      </c>
      <c r="M68" s="70">
        <v>0</v>
      </c>
      <c r="N68" s="70">
        <v>105600</v>
      </c>
    </row>
    <row r="69" spans="1:14">
      <c r="A69" s="140">
        <f t="shared" si="2"/>
        <v>68</v>
      </c>
      <c r="B69" s="70">
        <v>0</v>
      </c>
      <c r="C69" s="70">
        <v>0</v>
      </c>
      <c r="D69" s="70">
        <v>0</v>
      </c>
      <c r="E69" s="70">
        <v>0</v>
      </c>
      <c r="F69" s="70">
        <v>0</v>
      </c>
      <c r="G69" s="70">
        <v>0</v>
      </c>
      <c r="H69" s="70">
        <v>0</v>
      </c>
      <c r="I69" s="70">
        <v>120750</v>
      </c>
      <c r="J69" s="70">
        <v>120750</v>
      </c>
      <c r="K69" s="70">
        <v>120750</v>
      </c>
      <c r="L69" s="70">
        <v>138862.5</v>
      </c>
      <c r="M69" s="70">
        <v>122199</v>
      </c>
      <c r="N69" s="70">
        <v>122199</v>
      </c>
    </row>
    <row r="70" spans="1:14">
      <c r="A70" s="140">
        <f t="shared" si="2"/>
        <v>69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105000</v>
      </c>
      <c r="L70" s="70">
        <v>120750</v>
      </c>
      <c r="M70" s="70">
        <v>120750</v>
      </c>
      <c r="N70" s="70">
        <v>138862.5</v>
      </c>
    </row>
    <row r="71" spans="1:14">
      <c r="A71" s="140">
        <f t="shared" si="2"/>
        <v>70</v>
      </c>
      <c r="B71" s="70">
        <v>0</v>
      </c>
      <c r="C71" s="70">
        <v>0</v>
      </c>
      <c r="D71" s="70">
        <v>0</v>
      </c>
      <c r="E71" s="70">
        <v>0</v>
      </c>
      <c r="F71" s="70">
        <v>0</v>
      </c>
      <c r="G71" s="70">
        <v>0</v>
      </c>
      <c r="H71" s="70">
        <v>0</v>
      </c>
      <c r="I71" s="70">
        <v>0</v>
      </c>
      <c r="J71" s="70">
        <v>0</v>
      </c>
      <c r="K71" s="70">
        <v>0</v>
      </c>
      <c r="L71" s="70">
        <v>0</v>
      </c>
      <c r="M71" s="70">
        <v>120000</v>
      </c>
      <c r="N71" s="70">
        <v>120000</v>
      </c>
    </row>
    <row r="72" spans="1:14">
      <c r="A72" s="140">
        <f t="shared" si="2"/>
        <v>71</v>
      </c>
      <c r="B72" s="70">
        <v>0</v>
      </c>
      <c r="C72" s="70">
        <v>0</v>
      </c>
      <c r="D72" s="70">
        <v>0</v>
      </c>
      <c r="E72" s="70">
        <v>0</v>
      </c>
      <c r="F72" s="70">
        <v>0</v>
      </c>
      <c r="G72" s="70">
        <v>0</v>
      </c>
      <c r="H72" s="70">
        <v>0</v>
      </c>
      <c r="I72" s="70">
        <v>0</v>
      </c>
      <c r="J72" s="70">
        <v>0</v>
      </c>
      <c r="K72" s="70">
        <v>92400</v>
      </c>
      <c r="L72" s="70">
        <v>92400</v>
      </c>
      <c r="M72" s="70">
        <v>106260</v>
      </c>
      <c r="N72" s="70">
        <v>106260</v>
      </c>
    </row>
    <row r="73" spans="1:14">
      <c r="A73" s="140">
        <f t="shared" si="2"/>
        <v>72</v>
      </c>
      <c r="B73" s="70">
        <v>62932.25</v>
      </c>
      <c r="C73" s="70">
        <v>62932.25</v>
      </c>
      <c r="D73" s="70">
        <v>62932.25</v>
      </c>
      <c r="E73" s="70">
        <v>72372</v>
      </c>
      <c r="F73" s="70">
        <v>72372</v>
      </c>
      <c r="G73" s="70">
        <v>72372</v>
      </c>
      <c r="H73" s="70">
        <v>72372</v>
      </c>
      <c r="I73" s="70">
        <v>95712</v>
      </c>
      <c r="J73" s="70">
        <v>110069</v>
      </c>
      <c r="K73" s="70">
        <v>96860.75</v>
      </c>
      <c r="L73" s="70">
        <v>111389.75</v>
      </c>
      <c r="M73" s="70">
        <v>0</v>
      </c>
      <c r="N73" s="70">
        <v>0</v>
      </c>
    </row>
    <row r="74" spans="1:14">
      <c r="A74" s="140">
        <f t="shared" si="2"/>
        <v>73</v>
      </c>
      <c r="B74" s="70">
        <v>0</v>
      </c>
      <c r="C74" s="70">
        <v>0</v>
      </c>
      <c r="D74" s="70">
        <v>0</v>
      </c>
      <c r="E74" s="70">
        <v>0</v>
      </c>
      <c r="F74" s="70">
        <v>0</v>
      </c>
      <c r="G74" s="70">
        <v>0</v>
      </c>
      <c r="H74" s="70">
        <v>0</v>
      </c>
      <c r="I74" s="70">
        <v>0</v>
      </c>
      <c r="J74" s="70">
        <v>0</v>
      </c>
      <c r="K74" s="70">
        <v>0</v>
      </c>
      <c r="L74" s="70">
        <v>0</v>
      </c>
      <c r="M74" s="70">
        <v>0</v>
      </c>
      <c r="N74" s="70">
        <v>105000</v>
      </c>
    </row>
    <row r="75" spans="1:14">
      <c r="A75" s="140">
        <f t="shared" si="2"/>
        <v>74</v>
      </c>
      <c r="B75" s="70">
        <v>0</v>
      </c>
      <c r="C75" s="70">
        <v>0</v>
      </c>
      <c r="D75" s="70">
        <v>0</v>
      </c>
      <c r="E75" s="70">
        <v>0</v>
      </c>
      <c r="F75" s="70">
        <v>0</v>
      </c>
      <c r="G75" s="70">
        <v>0</v>
      </c>
      <c r="H75" s="70">
        <v>0</v>
      </c>
      <c r="I75" s="70">
        <v>0</v>
      </c>
      <c r="J75" s="70">
        <v>0</v>
      </c>
      <c r="K75" s="70">
        <v>105000</v>
      </c>
      <c r="L75" s="70">
        <v>138862.5</v>
      </c>
      <c r="M75" s="70">
        <v>138862.5</v>
      </c>
      <c r="N75" s="70">
        <v>138862.5</v>
      </c>
    </row>
    <row r="76" spans="1:14">
      <c r="A76" s="140">
        <f t="shared" si="2"/>
        <v>75</v>
      </c>
      <c r="B76" s="70">
        <v>0</v>
      </c>
      <c r="C76" s="70">
        <v>0</v>
      </c>
      <c r="D76" s="70">
        <v>0</v>
      </c>
      <c r="E76" s="70">
        <v>0</v>
      </c>
      <c r="F76" s="70">
        <v>0</v>
      </c>
      <c r="G76" s="70">
        <v>0</v>
      </c>
      <c r="H76" s="70">
        <v>0</v>
      </c>
      <c r="I76" s="70">
        <v>0</v>
      </c>
      <c r="J76" s="70">
        <v>0</v>
      </c>
      <c r="K76" s="70">
        <v>0</v>
      </c>
      <c r="L76" s="70">
        <v>0</v>
      </c>
      <c r="M76" s="70">
        <v>60000</v>
      </c>
      <c r="N76" s="70">
        <v>79350</v>
      </c>
    </row>
    <row r="77" spans="1:14">
      <c r="A77" s="140">
        <f t="shared" si="2"/>
        <v>76</v>
      </c>
      <c r="B77" s="70">
        <v>120000</v>
      </c>
      <c r="C77" s="70">
        <v>138000</v>
      </c>
      <c r="D77" s="70">
        <v>158700</v>
      </c>
      <c r="E77" s="70">
        <v>209880.75</v>
      </c>
      <c r="F77" s="70">
        <v>277567.25</v>
      </c>
      <c r="G77" s="70">
        <v>277567.25</v>
      </c>
      <c r="H77" s="70">
        <v>319202.5</v>
      </c>
      <c r="I77" s="70">
        <v>485467</v>
      </c>
      <c r="J77" s="70">
        <v>485467</v>
      </c>
      <c r="K77" s="70">
        <v>485467</v>
      </c>
      <c r="L77" s="70">
        <v>491292.5</v>
      </c>
      <c r="M77" s="70">
        <v>564986.5</v>
      </c>
      <c r="N77" s="70">
        <v>649734.25</v>
      </c>
    </row>
    <row r="78" spans="1:14">
      <c r="A78" s="140">
        <f t="shared" si="2"/>
        <v>77</v>
      </c>
      <c r="B78" s="70">
        <v>0</v>
      </c>
      <c r="C78" s="70">
        <v>0</v>
      </c>
      <c r="D78" s="70">
        <v>0</v>
      </c>
      <c r="E78" s="70">
        <v>0</v>
      </c>
      <c r="F78" s="70">
        <v>0</v>
      </c>
      <c r="G78" s="70">
        <v>0</v>
      </c>
      <c r="H78" s="70">
        <v>0</v>
      </c>
      <c r="I78" s="70">
        <v>0</v>
      </c>
      <c r="J78" s="70">
        <v>0</v>
      </c>
      <c r="K78" s="70">
        <v>0</v>
      </c>
      <c r="L78" s="70">
        <v>105000</v>
      </c>
      <c r="M78" s="70">
        <v>106260</v>
      </c>
      <c r="N78" s="70">
        <v>122199</v>
      </c>
    </row>
    <row r="79" spans="1:14">
      <c r="A79" s="140">
        <f t="shared" si="2"/>
        <v>78</v>
      </c>
      <c r="B79" s="70">
        <v>0</v>
      </c>
      <c r="C79" s="70">
        <v>0</v>
      </c>
      <c r="D79" s="70">
        <v>0</v>
      </c>
      <c r="E79" s="70">
        <v>0</v>
      </c>
      <c r="F79" s="70">
        <v>0</v>
      </c>
      <c r="G79" s="70">
        <v>60000</v>
      </c>
      <c r="H79" s="70">
        <v>79350</v>
      </c>
      <c r="I79" s="70">
        <v>79350</v>
      </c>
      <c r="J79" s="70">
        <v>69828</v>
      </c>
      <c r="K79" s="70">
        <v>80302.25</v>
      </c>
      <c r="L79" s="70">
        <v>80302.25</v>
      </c>
      <c r="M79" s="70">
        <v>106199.75</v>
      </c>
      <c r="N79" s="70">
        <v>93455.75</v>
      </c>
    </row>
    <row r="80" spans="1:14">
      <c r="A80" s="140">
        <f t="shared" si="2"/>
        <v>79</v>
      </c>
      <c r="B80" s="70">
        <v>0</v>
      </c>
      <c r="C80" s="70">
        <v>0</v>
      </c>
      <c r="D80" s="70">
        <v>0</v>
      </c>
      <c r="E80" s="70">
        <v>0</v>
      </c>
      <c r="F80" s="70">
        <v>0</v>
      </c>
      <c r="G80" s="70">
        <v>0</v>
      </c>
      <c r="H80" s="70">
        <v>0</v>
      </c>
      <c r="I80" s="70">
        <v>0</v>
      </c>
      <c r="J80" s="70">
        <v>0</v>
      </c>
      <c r="K80" s="70">
        <v>0</v>
      </c>
      <c r="L80" s="70">
        <v>0</v>
      </c>
      <c r="M80" s="70">
        <v>69000</v>
      </c>
      <c r="N80" s="70">
        <v>60720</v>
      </c>
    </row>
    <row r="81" spans="1:14">
      <c r="A81" s="140">
        <f t="shared" si="2"/>
        <v>80</v>
      </c>
      <c r="B81" s="70">
        <v>0</v>
      </c>
      <c r="C81" s="70">
        <v>0</v>
      </c>
      <c r="D81" s="70">
        <v>0</v>
      </c>
      <c r="E81" s="70">
        <v>0</v>
      </c>
      <c r="F81" s="70">
        <v>0</v>
      </c>
      <c r="G81" s="70">
        <v>0</v>
      </c>
      <c r="H81" s="70">
        <v>0</v>
      </c>
      <c r="I81" s="70">
        <v>0</v>
      </c>
      <c r="J81" s="70">
        <v>0</v>
      </c>
      <c r="K81" s="70">
        <v>60000</v>
      </c>
      <c r="L81" s="70">
        <v>60000</v>
      </c>
      <c r="M81" s="70">
        <v>69000</v>
      </c>
      <c r="N81" s="70">
        <v>69828</v>
      </c>
    </row>
    <row r="82" spans="1:14">
      <c r="A82" s="140">
        <f t="shared" si="2"/>
        <v>81</v>
      </c>
      <c r="B82" s="70">
        <v>0</v>
      </c>
      <c r="C82" s="70">
        <v>0</v>
      </c>
      <c r="D82" s="70">
        <v>105600</v>
      </c>
      <c r="E82" s="70">
        <v>105600</v>
      </c>
      <c r="F82" s="70">
        <v>81776.75</v>
      </c>
      <c r="G82" s="70">
        <v>94043.25</v>
      </c>
      <c r="H82" s="70">
        <v>82758</v>
      </c>
      <c r="I82" s="70">
        <v>82758</v>
      </c>
      <c r="J82" s="70">
        <v>72827</v>
      </c>
      <c r="K82" s="70">
        <v>72827</v>
      </c>
      <c r="L82" s="70">
        <v>83751</v>
      </c>
      <c r="M82" s="70">
        <v>73701</v>
      </c>
      <c r="N82" s="70">
        <v>84756</v>
      </c>
    </row>
    <row r="83" spans="1:14">
      <c r="A83" s="140">
        <f t="shared" si="2"/>
        <v>82</v>
      </c>
      <c r="B83" s="70">
        <v>0</v>
      </c>
      <c r="C83" s="70">
        <v>0</v>
      </c>
      <c r="D83" s="70">
        <v>0</v>
      </c>
      <c r="E83" s="70">
        <v>0</v>
      </c>
      <c r="F83" s="70">
        <v>0</v>
      </c>
      <c r="G83" s="70">
        <v>0</v>
      </c>
      <c r="H83" s="70">
        <v>0</v>
      </c>
      <c r="I83" s="70">
        <v>0</v>
      </c>
      <c r="J83" s="70">
        <v>0</v>
      </c>
      <c r="K83" s="70">
        <v>0</v>
      </c>
      <c r="L83" s="70">
        <v>0</v>
      </c>
      <c r="M83" s="70">
        <v>0</v>
      </c>
      <c r="N83" s="70">
        <v>60000</v>
      </c>
    </row>
    <row r="84" spans="1:14">
      <c r="A84" s="140">
        <f t="shared" si="2"/>
        <v>83</v>
      </c>
      <c r="B84" s="70">
        <v>0</v>
      </c>
      <c r="C84" s="70">
        <v>0</v>
      </c>
      <c r="D84" s="70">
        <v>0</v>
      </c>
      <c r="E84" s="70">
        <v>0</v>
      </c>
      <c r="F84" s="70">
        <v>0</v>
      </c>
      <c r="G84" s="70">
        <v>0</v>
      </c>
      <c r="H84" s="70">
        <v>0</v>
      </c>
      <c r="I84" s="70">
        <v>120000</v>
      </c>
      <c r="J84" s="70">
        <v>120000</v>
      </c>
      <c r="K84" s="70">
        <v>120000</v>
      </c>
      <c r="L84" s="70">
        <v>138000</v>
      </c>
      <c r="M84" s="70">
        <v>138000</v>
      </c>
      <c r="N84" s="70">
        <v>158700</v>
      </c>
    </row>
    <row r="85" spans="1:14">
      <c r="A85" s="140">
        <f t="shared" si="2"/>
        <v>84</v>
      </c>
      <c r="B85" s="70">
        <v>0</v>
      </c>
      <c r="C85" s="70">
        <v>0</v>
      </c>
      <c r="D85" s="70">
        <v>0</v>
      </c>
      <c r="E85" s="70">
        <v>0</v>
      </c>
      <c r="F85" s="70">
        <v>0</v>
      </c>
      <c r="G85" s="70">
        <v>0</v>
      </c>
      <c r="H85" s="70">
        <v>0</v>
      </c>
      <c r="I85" s="70">
        <v>0</v>
      </c>
      <c r="J85" s="70">
        <v>120000</v>
      </c>
      <c r="K85" s="70">
        <v>138000</v>
      </c>
      <c r="L85" s="70">
        <v>158700</v>
      </c>
      <c r="M85" s="70">
        <v>158700</v>
      </c>
      <c r="N85" s="70">
        <v>158700</v>
      </c>
    </row>
    <row r="86" spans="1:14">
      <c r="A86" s="140">
        <f t="shared" si="2"/>
        <v>85</v>
      </c>
      <c r="B86" s="70">
        <v>0</v>
      </c>
      <c r="C86" s="70">
        <v>0</v>
      </c>
      <c r="D86" s="70">
        <v>0</v>
      </c>
      <c r="E86" s="70">
        <v>0</v>
      </c>
      <c r="F86" s="70">
        <v>0</v>
      </c>
      <c r="G86" s="70">
        <v>0</v>
      </c>
      <c r="H86" s="70">
        <v>0</v>
      </c>
      <c r="I86" s="70">
        <v>0</v>
      </c>
      <c r="J86" s="70">
        <v>0</v>
      </c>
      <c r="K86" s="70">
        <v>0</v>
      </c>
      <c r="L86" s="70">
        <v>0</v>
      </c>
      <c r="M86" s="70">
        <v>120000</v>
      </c>
      <c r="N86" s="70">
        <v>138000</v>
      </c>
    </row>
    <row r="87" spans="1:14">
      <c r="A87" s="140">
        <f t="shared" si="2"/>
        <v>86</v>
      </c>
      <c r="B87" s="70">
        <v>0</v>
      </c>
      <c r="C87" s="70">
        <v>0</v>
      </c>
      <c r="D87" s="70">
        <v>0</v>
      </c>
      <c r="E87" s="70">
        <v>0</v>
      </c>
      <c r="F87" s="70">
        <v>0</v>
      </c>
      <c r="G87" s="70">
        <v>60000</v>
      </c>
      <c r="H87" s="70">
        <v>46464</v>
      </c>
      <c r="I87" s="70">
        <v>46464</v>
      </c>
      <c r="J87" s="70">
        <v>61448.75</v>
      </c>
      <c r="K87" s="70">
        <v>54074.75</v>
      </c>
      <c r="L87" s="70">
        <v>62186</v>
      </c>
      <c r="M87" s="70">
        <v>71514</v>
      </c>
      <c r="N87" s="70">
        <v>62932.25</v>
      </c>
    </row>
    <row r="88" spans="1:14">
      <c r="A88" s="140">
        <f t="shared" si="2"/>
        <v>87</v>
      </c>
      <c r="B88" s="70">
        <v>0</v>
      </c>
      <c r="C88" s="70">
        <v>0</v>
      </c>
      <c r="D88" s="70">
        <v>105000</v>
      </c>
      <c r="E88" s="70">
        <v>120750</v>
      </c>
      <c r="F88" s="70">
        <v>122199</v>
      </c>
      <c r="G88" s="70">
        <v>140528.75</v>
      </c>
      <c r="H88" s="70">
        <v>185849.5</v>
      </c>
      <c r="I88" s="70">
        <v>213726.75</v>
      </c>
      <c r="J88" s="70">
        <v>245785.75</v>
      </c>
      <c r="K88" s="70">
        <v>282653.75</v>
      </c>
      <c r="L88" s="70">
        <v>325051.75</v>
      </c>
      <c r="M88" s="70">
        <v>325051.75</v>
      </c>
      <c r="N88" s="70">
        <v>325051.75</v>
      </c>
    </row>
    <row r="89" spans="1:14">
      <c r="A89" s="140">
        <f t="shared" si="2"/>
        <v>88</v>
      </c>
      <c r="B89" s="70">
        <v>0</v>
      </c>
      <c r="C89" s="70">
        <v>0</v>
      </c>
      <c r="D89" s="70">
        <v>0</v>
      </c>
      <c r="E89" s="70">
        <v>105000</v>
      </c>
      <c r="F89" s="70">
        <v>120750</v>
      </c>
      <c r="G89" s="70">
        <v>159692</v>
      </c>
      <c r="H89" s="70">
        <v>183645.75</v>
      </c>
      <c r="I89" s="70">
        <v>183645.75</v>
      </c>
      <c r="J89" s="70">
        <v>161608.25</v>
      </c>
      <c r="K89" s="70">
        <v>185849.5</v>
      </c>
      <c r="L89" s="70">
        <v>163547.5</v>
      </c>
      <c r="M89" s="70">
        <v>216291.5</v>
      </c>
      <c r="N89" s="70">
        <v>216291.5</v>
      </c>
    </row>
    <row r="90" spans="1:14">
      <c r="A90" s="140">
        <f t="shared" si="2"/>
        <v>89</v>
      </c>
      <c r="B90" s="70">
        <v>0</v>
      </c>
      <c r="C90" s="70">
        <v>0</v>
      </c>
      <c r="D90" s="70">
        <v>0</v>
      </c>
      <c r="E90" s="70">
        <v>0</v>
      </c>
      <c r="F90" s="70">
        <v>0</v>
      </c>
      <c r="G90" s="70">
        <v>0</v>
      </c>
      <c r="H90" s="70">
        <v>0</v>
      </c>
      <c r="I90" s="70">
        <v>0</v>
      </c>
      <c r="J90" s="70">
        <v>0</v>
      </c>
      <c r="K90" s="70">
        <v>0</v>
      </c>
      <c r="L90" s="70">
        <v>0</v>
      </c>
      <c r="M90" s="70">
        <v>0</v>
      </c>
      <c r="N90" s="70">
        <v>138000</v>
      </c>
    </row>
    <row r="91" spans="1:14">
      <c r="A91" s="140">
        <f t="shared" si="2"/>
        <v>90</v>
      </c>
      <c r="B91" s="70">
        <v>0</v>
      </c>
      <c r="C91" s="70">
        <v>0</v>
      </c>
      <c r="D91" s="70">
        <v>0</v>
      </c>
      <c r="E91" s="70">
        <v>0</v>
      </c>
      <c r="F91" s="70">
        <v>0</v>
      </c>
      <c r="G91" s="70">
        <v>0</v>
      </c>
      <c r="H91" s="70">
        <v>0</v>
      </c>
      <c r="I91" s="70">
        <v>0</v>
      </c>
      <c r="J91" s="70">
        <v>0</v>
      </c>
      <c r="K91" s="70">
        <v>0</v>
      </c>
      <c r="L91" s="70">
        <v>0</v>
      </c>
      <c r="M91" s="70">
        <v>0</v>
      </c>
      <c r="N91" s="70">
        <v>105000</v>
      </c>
    </row>
    <row r="92" spans="1:14">
      <c r="A92" s="140">
        <f t="shared" si="2"/>
        <v>91</v>
      </c>
      <c r="B92" s="70">
        <v>0</v>
      </c>
      <c r="C92" s="70">
        <v>0</v>
      </c>
      <c r="D92" s="70">
        <v>0</v>
      </c>
      <c r="E92" s="70">
        <v>0</v>
      </c>
      <c r="F92" s="70">
        <v>0</v>
      </c>
      <c r="G92" s="70">
        <v>0</v>
      </c>
      <c r="H92" s="70">
        <v>0</v>
      </c>
      <c r="I92" s="70">
        <v>0</v>
      </c>
      <c r="J92" s="70">
        <v>0</v>
      </c>
      <c r="K92" s="70">
        <v>0</v>
      </c>
      <c r="L92" s="70">
        <v>105000</v>
      </c>
      <c r="M92" s="70">
        <v>120750</v>
      </c>
      <c r="N92" s="70">
        <v>159692</v>
      </c>
    </row>
    <row r="93" spans="1:14">
      <c r="A93" s="140">
        <f t="shared" si="2"/>
        <v>92</v>
      </c>
      <c r="B93" s="70">
        <v>0</v>
      </c>
      <c r="C93" s="70">
        <v>0</v>
      </c>
      <c r="D93" s="70">
        <v>0</v>
      </c>
      <c r="E93" s="70">
        <v>0</v>
      </c>
      <c r="F93" s="70">
        <v>0</v>
      </c>
      <c r="G93" s="70">
        <v>0</v>
      </c>
      <c r="H93" s="70">
        <v>120000</v>
      </c>
      <c r="I93" s="70">
        <v>158700</v>
      </c>
      <c r="J93" s="70">
        <v>158700</v>
      </c>
      <c r="K93" s="70">
        <v>184695</v>
      </c>
      <c r="L93" s="70">
        <v>184695</v>
      </c>
      <c r="M93" s="70">
        <v>0</v>
      </c>
      <c r="N93" s="70">
        <v>0</v>
      </c>
    </row>
    <row r="94" spans="1:14">
      <c r="A94" s="140">
        <f t="shared" si="2"/>
        <v>93</v>
      </c>
      <c r="B94" s="70">
        <v>0</v>
      </c>
      <c r="C94" s="70">
        <v>0</v>
      </c>
      <c r="D94" s="70">
        <v>0</v>
      </c>
      <c r="E94" s="70">
        <v>0</v>
      </c>
      <c r="F94" s="70">
        <v>0</v>
      </c>
      <c r="G94" s="70">
        <v>69000</v>
      </c>
      <c r="H94" s="70">
        <v>69000</v>
      </c>
      <c r="I94" s="70">
        <v>60720</v>
      </c>
      <c r="J94" s="70">
        <v>69828</v>
      </c>
      <c r="K94" s="70">
        <v>69828</v>
      </c>
      <c r="L94" s="70">
        <v>70666</v>
      </c>
      <c r="M94" s="70">
        <v>71514</v>
      </c>
      <c r="N94" s="70">
        <v>71514</v>
      </c>
    </row>
    <row r="95" spans="1:14">
      <c r="A95" s="140">
        <f t="shared" si="2"/>
        <v>94</v>
      </c>
      <c r="B95" s="70">
        <v>0</v>
      </c>
      <c r="C95" s="70">
        <v>0</v>
      </c>
      <c r="D95" s="70">
        <v>79350</v>
      </c>
      <c r="E95" s="70">
        <v>91252.5</v>
      </c>
      <c r="F95" s="70">
        <v>91252.5</v>
      </c>
      <c r="G95" s="70">
        <v>92347.5</v>
      </c>
      <c r="H95" s="70">
        <v>92347.5</v>
      </c>
      <c r="I95" s="70">
        <v>122129.5</v>
      </c>
      <c r="J95" s="70">
        <v>0</v>
      </c>
      <c r="K95" s="70">
        <v>0</v>
      </c>
      <c r="L95" s="70">
        <v>0</v>
      </c>
      <c r="M95" s="70">
        <v>0</v>
      </c>
      <c r="N95" s="70">
        <v>0</v>
      </c>
    </row>
    <row r="96" spans="1:14">
      <c r="A96" s="140">
        <f t="shared" si="2"/>
        <v>95</v>
      </c>
      <c r="B96" s="70">
        <v>0</v>
      </c>
      <c r="C96" s="70">
        <v>0</v>
      </c>
      <c r="D96" s="70">
        <v>0</v>
      </c>
      <c r="E96" s="70">
        <v>0</v>
      </c>
      <c r="F96" s="70">
        <v>0</v>
      </c>
      <c r="G96" s="70">
        <v>0</v>
      </c>
      <c r="H96" s="70">
        <v>0</v>
      </c>
      <c r="I96" s="70">
        <v>0</v>
      </c>
      <c r="J96" s="70">
        <v>0</v>
      </c>
      <c r="K96" s="70">
        <v>0</v>
      </c>
      <c r="L96" s="70">
        <v>0</v>
      </c>
      <c r="M96" s="70">
        <v>0</v>
      </c>
      <c r="N96" s="70">
        <v>120000</v>
      </c>
    </row>
    <row r="97" spans="1:14">
      <c r="A97" s="140">
        <f t="shared" si="2"/>
        <v>96</v>
      </c>
      <c r="B97" s="70">
        <v>0</v>
      </c>
      <c r="C97" s="70">
        <v>0</v>
      </c>
      <c r="D97" s="70">
        <v>0</v>
      </c>
      <c r="E97" s="70">
        <v>0</v>
      </c>
      <c r="F97" s="70">
        <v>0</v>
      </c>
      <c r="G97" s="70">
        <v>0</v>
      </c>
      <c r="H97" s="70">
        <v>0</v>
      </c>
      <c r="I97" s="70">
        <v>0</v>
      </c>
      <c r="J97" s="70">
        <v>0</v>
      </c>
      <c r="K97" s="70">
        <v>0</v>
      </c>
      <c r="L97" s="70">
        <v>0</v>
      </c>
      <c r="M97" s="70">
        <v>0</v>
      </c>
      <c r="N97" s="70">
        <v>60000</v>
      </c>
    </row>
    <row r="98" spans="1:14">
      <c r="A98" s="140">
        <f t="shared" si="2"/>
        <v>97</v>
      </c>
      <c r="B98" s="70">
        <v>0</v>
      </c>
      <c r="C98" s="70">
        <v>0</v>
      </c>
      <c r="D98" s="70">
        <v>0</v>
      </c>
      <c r="E98" s="70">
        <v>0</v>
      </c>
      <c r="F98" s="70">
        <v>0</v>
      </c>
      <c r="G98" s="70">
        <v>0</v>
      </c>
      <c r="H98" s="70">
        <v>0</v>
      </c>
      <c r="I98" s="70">
        <v>0</v>
      </c>
      <c r="J98" s="70">
        <v>0</v>
      </c>
      <c r="K98" s="70">
        <v>0</v>
      </c>
      <c r="L98" s="70">
        <v>120000</v>
      </c>
      <c r="M98" s="70">
        <v>138000</v>
      </c>
      <c r="N98" s="70">
        <v>158700</v>
      </c>
    </row>
    <row r="99" spans="1:14">
      <c r="A99" s="140">
        <f t="shared" si="2"/>
        <v>98</v>
      </c>
      <c r="B99" s="70">
        <v>0</v>
      </c>
      <c r="C99" s="70">
        <v>0</v>
      </c>
      <c r="D99" s="70">
        <v>0</v>
      </c>
      <c r="E99" s="70">
        <v>0</v>
      </c>
      <c r="F99" s="70">
        <v>0</v>
      </c>
      <c r="G99" s="70">
        <v>0</v>
      </c>
      <c r="H99" s="70">
        <v>0</v>
      </c>
      <c r="I99" s="70">
        <v>120750</v>
      </c>
      <c r="J99" s="70">
        <v>120750</v>
      </c>
      <c r="K99" s="70">
        <v>120750</v>
      </c>
      <c r="L99" s="70">
        <v>159692</v>
      </c>
      <c r="M99" s="70">
        <v>183645.75</v>
      </c>
      <c r="N99" s="70">
        <v>211192.5</v>
      </c>
    </row>
    <row r="100" spans="1:14">
      <c r="A100" s="140">
        <f t="shared" si="2"/>
        <v>99</v>
      </c>
      <c r="B100" s="70">
        <v>0</v>
      </c>
      <c r="C100" s="70">
        <v>0</v>
      </c>
      <c r="D100" s="70">
        <v>0</v>
      </c>
      <c r="E100" s="70">
        <v>0</v>
      </c>
      <c r="F100" s="70">
        <v>0</v>
      </c>
      <c r="G100" s="70">
        <v>0</v>
      </c>
      <c r="H100" s="70">
        <v>0</v>
      </c>
      <c r="I100" s="70">
        <v>0</v>
      </c>
      <c r="J100" s="70">
        <v>0</v>
      </c>
      <c r="K100" s="70">
        <v>0</v>
      </c>
      <c r="L100" s="70">
        <v>0</v>
      </c>
      <c r="M100" s="70">
        <v>0</v>
      </c>
      <c r="N100" s="70">
        <v>105000</v>
      </c>
    </row>
    <row r="101" spans="1:14">
      <c r="A101" s="140">
        <f t="shared" si="2"/>
        <v>100</v>
      </c>
      <c r="B101" s="70">
        <v>0</v>
      </c>
      <c r="C101" s="70">
        <v>0</v>
      </c>
      <c r="D101" s="70">
        <v>0</v>
      </c>
      <c r="E101" s="70">
        <v>0</v>
      </c>
      <c r="F101" s="70">
        <v>0</v>
      </c>
      <c r="G101" s="70">
        <v>0</v>
      </c>
      <c r="H101" s="70">
        <v>0</v>
      </c>
      <c r="I101" s="70">
        <v>0</v>
      </c>
      <c r="J101" s="70">
        <v>0</v>
      </c>
      <c r="K101" s="70">
        <v>0</v>
      </c>
      <c r="L101" s="70">
        <v>60000</v>
      </c>
      <c r="M101" s="70">
        <v>52800</v>
      </c>
      <c r="N101" s="70">
        <v>60720</v>
      </c>
    </row>
    <row r="102" spans="1:14">
      <c r="A102" s="140">
        <f t="shared" si="2"/>
        <v>101</v>
      </c>
      <c r="B102" s="70">
        <v>92400</v>
      </c>
      <c r="C102" s="70">
        <v>122199</v>
      </c>
      <c r="D102" s="70">
        <v>140528.75</v>
      </c>
      <c r="E102" s="70">
        <v>161608.25</v>
      </c>
      <c r="F102" s="70">
        <v>185849.5</v>
      </c>
      <c r="G102" s="70">
        <v>185849.5</v>
      </c>
      <c r="H102" s="70">
        <v>188079.5</v>
      </c>
      <c r="I102" s="70">
        <v>190336.5</v>
      </c>
      <c r="J102" s="70">
        <v>251720</v>
      </c>
      <c r="K102" s="70">
        <v>332899.75</v>
      </c>
      <c r="L102" s="70">
        <v>332899.75</v>
      </c>
      <c r="M102" s="70">
        <v>440260</v>
      </c>
      <c r="N102" s="70">
        <v>506299</v>
      </c>
    </row>
    <row r="103" spans="1:14">
      <c r="A103" s="140">
        <f t="shared" si="2"/>
        <v>102</v>
      </c>
      <c r="B103" s="70">
        <v>0</v>
      </c>
      <c r="C103" s="70">
        <v>0</v>
      </c>
      <c r="D103" s="70">
        <v>0</v>
      </c>
      <c r="E103" s="70">
        <v>0</v>
      </c>
      <c r="F103" s="70">
        <v>0</v>
      </c>
      <c r="G103" s="70">
        <v>0</v>
      </c>
      <c r="H103" s="70">
        <v>0</v>
      </c>
      <c r="I103" s="70">
        <v>0</v>
      </c>
      <c r="J103" s="70">
        <v>120000</v>
      </c>
      <c r="K103" s="70">
        <v>139656</v>
      </c>
      <c r="L103" s="70">
        <v>141331.75</v>
      </c>
      <c r="M103" s="70">
        <v>162531.75</v>
      </c>
      <c r="N103" s="70">
        <v>162531.75</v>
      </c>
    </row>
    <row r="104" spans="1:14">
      <c r="A104" s="140">
        <f t="shared" si="2"/>
        <v>103</v>
      </c>
      <c r="B104" s="70">
        <v>0</v>
      </c>
      <c r="C104" s="70">
        <v>0</v>
      </c>
      <c r="D104" s="70">
        <v>0</v>
      </c>
      <c r="E104" s="70">
        <v>0</v>
      </c>
      <c r="F104" s="70">
        <v>0</v>
      </c>
      <c r="G104" s="70">
        <v>0</v>
      </c>
      <c r="H104" s="70">
        <v>0</v>
      </c>
      <c r="I104" s="70">
        <v>0</v>
      </c>
      <c r="J104" s="70">
        <v>120000</v>
      </c>
      <c r="K104" s="70">
        <v>138000</v>
      </c>
      <c r="L104" s="70">
        <v>182505</v>
      </c>
      <c r="M104" s="70">
        <v>0</v>
      </c>
      <c r="N104" s="70">
        <v>0</v>
      </c>
    </row>
    <row r="105" spans="1:14">
      <c r="A105" s="140">
        <f t="shared" si="2"/>
        <v>104</v>
      </c>
      <c r="B105" s="70">
        <v>0</v>
      </c>
      <c r="C105" s="70">
        <v>0</v>
      </c>
      <c r="D105" s="70">
        <v>0</v>
      </c>
      <c r="E105" s="70">
        <v>0</v>
      </c>
      <c r="F105" s="70">
        <v>0</v>
      </c>
      <c r="G105" s="70">
        <v>0</v>
      </c>
      <c r="H105" s="70">
        <v>138000</v>
      </c>
      <c r="I105" s="70">
        <v>158700</v>
      </c>
      <c r="J105" s="70">
        <v>182505</v>
      </c>
      <c r="K105" s="70">
        <v>209880.75</v>
      </c>
      <c r="L105" s="70">
        <v>0</v>
      </c>
      <c r="M105" s="70">
        <v>0</v>
      </c>
      <c r="N105" s="70">
        <v>0</v>
      </c>
    </row>
    <row r="106" spans="1:14">
      <c r="A106" s="140">
        <f t="shared" si="2"/>
        <v>105</v>
      </c>
      <c r="B106" s="70">
        <v>0</v>
      </c>
      <c r="C106" s="70">
        <v>0</v>
      </c>
      <c r="D106" s="70">
        <v>0</v>
      </c>
      <c r="E106" s="70">
        <v>0</v>
      </c>
      <c r="F106" s="70">
        <v>0</v>
      </c>
      <c r="G106" s="70">
        <v>0</v>
      </c>
      <c r="H106" s="70">
        <v>0</v>
      </c>
      <c r="I106" s="70">
        <v>0</v>
      </c>
      <c r="J106" s="70">
        <v>0</v>
      </c>
      <c r="K106" s="70">
        <v>0</v>
      </c>
      <c r="L106" s="70">
        <v>158700</v>
      </c>
      <c r="M106" s="70">
        <v>182505</v>
      </c>
      <c r="N106" s="70">
        <v>182505</v>
      </c>
    </row>
    <row r="107" spans="1:14">
      <c r="A107" s="140">
        <f t="shared" si="2"/>
        <v>106</v>
      </c>
      <c r="B107" s="70">
        <v>0</v>
      </c>
      <c r="C107" s="70">
        <v>0</v>
      </c>
      <c r="D107" s="70">
        <v>0</v>
      </c>
      <c r="E107" s="70">
        <v>0</v>
      </c>
      <c r="F107" s="70">
        <v>0</v>
      </c>
      <c r="G107" s="70">
        <v>0</v>
      </c>
      <c r="H107" s="70">
        <v>0</v>
      </c>
      <c r="I107" s="70">
        <v>0</v>
      </c>
      <c r="J107" s="70">
        <v>0</v>
      </c>
      <c r="K107" s="70">
        <v>0</v>
      </c>
      <c r="L107" s="70">
        <v>120750</v>
      </c>
      <c r="M107" s="70">
        <v>120750</v>
      </c>
      <c r="N107" s="70">
        <v>120750</v>
      </c>
    </row>
    <row r="108" spans="1:14">
      <c r="A108" s="140">
        <f t="shared" si="2"/>
        <v>107</v>
      </c>
      <c r="B108" s="70">
        <v>0</v>
      </c>
      <c r="C108" s="70">
        <v>0</v>
      </c>
      <c r="D108" s="70">
        <v>0</v>
      </c>
      <c r="E108" s="70">
        <v>0</v>
      </c>
      <c r="F108" s="70">
        <v>0</v>
      </c>
      <c r="G108" s="70">
        <v>0</v>
      </c>
      <c r="H108" s="70">
        <v>0</v>
      </c>
      <c r="I108" s="70">
        <v>0</v>
      </c>
      <c r="J108" s="70">
        <v>0</v>
      </c>
      <c r="K108" s="70">
        <v>0</v>
      </c>
      <c r="L108" s="70">
        <v>0</v>
      </c>
      <c r="M108" s="70">
        <v>0</v>
      </c>
      <c r="N108" s="70">
        <v>60000</v>
      </c>
    </row>
    <row r="109" spans="1:14">
      <c r="A109" s="140">
        <f t="shared" si="2"/>
        <v>108</v>
      </c>
      <c r="B109" s="70">
        <v>0</v>
      </c>
      <c r="C109" s="70">
        <v>0</v>
      </c>
      <c r="D109" s="70">
        <v>0</v>
      </c>
      <c r="E109" s="70">
        <v>0</v>
      </c>
      <c r="F109" s="70">
        <v>69000</v>
      </c>
      <c r="G109" s="70">
        <v>60720</v>
      </c>
      <c r="H109" s="70">
        <v>69828</v>
      </c>
      <c r="I109" s="70">
        <v>69828</v>
      </c>
      <c r="J109" s="70">
        <v>69828</v>
      </c>
      <c r="K109" s="70">
        <v>106199.75</v>
      </c>
      <c r="L109" s="70">
        <v>122129.5</v>
      </c>
      <c r="M109" s="70">
        <v>123595.25</v>
      </c>
      <c r="N109" s="70">
        <v>123595.25</v>
      </c>
    </row>
    <row r="110" spans="1:14">
      <c r="A110" s="140">
        <f t="shared" si="2"/>
        <v>109</v>
      </c>
      <c r="B110" s="70">
        <v>0</v>
      </c>
      <c r="C110" s="70">
        <v>0</v>
      </c>
      <c r="D110" s="70">
        <v>0</v>
      </c>
      <c r="E110" s="70">
        <v>0</v>
      </c>
      <c r="F110" s="70">
        <v>0</v>
      </c>
      <c r="G110" s="70">
        <v>0</v>
      </c>
      <c r="H110" s="70">
        <v>0</v>
      </c>
      <c r="I110" s="70">
        <v>0</v>
      </c>
      <c r="J110" s="70">
        <v>0</v>
      </c>
      <c r="K110" s="70">
        <v>0</v>
      </c>
      <c r="L110" s="70">
        <v>120000</v>
      </c>
      <c r="M110" s="70">
        <v>138000</v>
      </c>
      <c r="N110" s="70">
        <v>158700</v>
      </c>
    </row>
    <row r="111" spans="1:14">
      <c r="A111" s="140">
        <f t="shared" si="2"/>
        <v>110</v>
      </c>
      <c r="B111" s="70">
        <v>0</v>
      </c>
      <c r="C111" s="70">
        <v>0</v>
      </c>
      <c r="D111" s="70">
        <v>0</v>
      </c>
      <c r="E111" s="70">
        <v>0</v>
      </c>
      <c r="F111" s="70">
        <v>0</v>
      </c>
      <c r="G111" s="70">
        <v>0</v>
      </c>
      <c r="H111" s="70">
        <v>0</v>
      </c>
      <c r="I111" s="70">
        <v>105000</v>
      </c>
      <c r="J111" s="70">
        <v>105000</v>
      </c>
      <c r="K111" s="70">
        <v>106260</v>
      </c>
      <c r="L111" s="70">
        <v>0</v>
      </c>
      <c r="M111" s="70">
        <v>0</v>
      </c>
      <c r="N111" s="70">
        <v>0</v>
      </c>
    </row>
    <row r="112" spans="1:14">
      <c r="A112" s="140">
        <f t="shared" si="2"/>
        <v>111</v>
      </c>
      <c r="B112" s="70">
        <v>0</v>
      </c>
      <c r="C112" s="70">
        <v>0</v>
      </c>
      <c r="D112" s="70">
        <v>0</v>
      </c>
      <c r="E112" s="70">
        <v>0</v>
      </c>
      <c r="F112" s="70">
        <v>0</v>
      </c>
      <c r="G112" s="70">
        <v>0</v>
      </c>
      <c r="H112" s="70">
        <v>0</v>
      </c>
      <c r="I112" s="70">
        <v>0</v>
      </c>
      <c r="J112" s="70">
        <v>0</v>
      </c>
      <c r="K112" s="70">
        <v>0</v>
      </c>
      <c r="L112" s="70">
        <v>0</v>
      </c>
      <c r="M112" s="70">
        <v>60000</v>
      </c>
      <c r="N112" s="70">
        <v>91252.5</v>
      </c>
    </row>
    <row r="113" spans="1:14">
      <c r="A113" s="140">
        <f t="shared" si="2"/>
        <v>112</v>
      </c>
      <c r="B113" s="70">
        <v>0</v>
      </c>
      <c r="C113" s="70">
        <v>0</v>
      </c>
      <c r="D113" s="70">
        <v>0</v>
      </c>
      <c r="E113" s="70">
        <v>0</v>
      </c>
      <c r="F113" s="70">
        <v>0</v>
      </c>
      <c r="G113" s="70">
        <v>0</v>
      </c>
      <c r="H113" s="70">
        <v>105000</v>
      </c>
      <c r="I113" s="70">
        <v>105000</v>
      </c>
      <c r="J113" s="70">
        <v>105000</v>
      </c>
      <c r="K113" s="70">
        <v>105000</v>
      </c>
      <c r="L113" s="70">
        <v>138862.5</v>
      </c>
      <c r="M113" s="70">
        <v>159692</v>
      </c>
      <c r="N113" s="70">
        <v>183645.75</v>
      </c>
    </row>
    <row r="114" spans="1:14">
      <c r="A114" s="140">
        <f t="shared" si="2"/>
        <v>113</v>
      </c>
      <c r="B114" s="70">
        <v>0</v>
      </c>
      <c r="C114" s="70">
        <v>0</v>
      </c>
      <c r="D114" s="70">
        <v>0</v>
      </c>
      <c r="E114" s="70">
        <v>0</v>
      </c>
      <c r="F114" s="70">
        <v>0</v>
      </c>
      <c r="G114" s="70">
        <v>0</v>
      </c>
      <c r="H114" s="70">
        <v>105600</v>
      </c>
      <c r="I114" s="70">
        <v>105600</v>
      </c>
      <c r="J114" s="70">
        <v>121440</v>
      </c>
      <c r="K114" s="70">
        <v>139656</v>
      </c>
      <c r="L114" s="70">
        <v>122897.25</v>
      </c>
      <c r="M114" s="70">
        <v>122897.25</v>
      </c>
      <c r="N114" s="70">
        <v>122897.25</v>
      </c>
    </row>
    <row r="115" spans="1:14">
      <c r="A115" s="140">
        <f t="shared" si="2"/>
        <v>114</v>
      </c>
      <c r="B115" s="70">
        <v>0</v>
      </c>
      <c r="C115" s="70">
        <v>0</v>
      </c>
      <c r="D115" s="70">
        <v>0</v>
      </c>
      <c r="E115" s="70">
        <v>0</v>
      </c>
      <c r="F115" s="70">
        <v>0</v>
      </c>
      <c r="G115" s="70">
        <v>0</v>
      </c>
      <c r="H115" s="70">
        <v>0</v>
      </c>
      <c r="I115" s="70">
        <v>138000</v>
      </c>
      <c r="J115" s="70">
        <v>138000</v>
      </c>
      <c r="K115" s="70">
        <v>158700</v>
      </c>
      <c r="L115" s="70">
        <v>158700</v>
      </c>
      <c r="M115" s="70">
        <v>182505</v>
      </c>
      <c r="N115" s="70">
        <v>209880.75</v>
      </c>
    </row>
    <row r="116" spans="1:14">
      <c r="A116" s="140">
        <f t="shared" si="2"/>
        <v>115</v>
      </c>
      <c r="B116" s="70">
        <v>138000</v>
      </c>
      <c r="C116" s="70">
        <v>182505</v>
      </c>
      <c r="D116" s="70">
        <v>160604.5</v>
      </c>
      <c r="E116" s="70">
        <v>212399.25</v>
      </c>
      <c r="F116" s="70">
        <v>186911.5</v>
      </c>
      <c r="G116" s="70">
        <v>247190.25</v>
      </c>
      <c r="H116" s="70">
        <v>217527.5</v>
      </c>
      <c r="I116" s="70">
        <v>217527.5</v>
      </c>
      <c r="J116" s="70">
        <v>217527.5</v>
      </c>
      <c r="K116" s="70">
        <v>250156.5</v>
      </c>
      <c r="L116" s="70">
        <v>287680</v>
      </c>
      <c r="M116" s="70">
        <v>287680</v>
      </c>
      <c r="N116" s="70">
        <v>287680</v>
      </c>
    </row>
    <row r="117" spans="1:14">
      <c r="A117" s="140">
        <f t="shared" si="2"/>
        <v>116</v>
      </c>
      <c r="B117" s="70">
        <v>0</v>
      </c>
      <c r="C117" s="70">
        <v>0</v>
      </c>
      <c r="D117" s="70">
        <v>0</v>
      </c>
      <c r="E117" s="70">
        <v>0</v>
      </c>
      <c r="F117" s="70">
        <v>0</v>
      </c>
      <c r="G117" s="70">
        <v>0</v>
      </c>
      <c r="H117" s="70">
        <v>0</v>
      </c>
      <c r="I117" s="70">
        <v>0</v>
      </c>
      <c r="J117" s="70">
        <v>0</v>
      </c>
      <c r="K117" s="70">
        <v>0</v>
      </c>
      <c r="L117" s="70">
        <v>69000</v>
      </c>
      <c r="M117" s="70">
        <v>91252.5</v>
      </c>
      <c r="N117" s="70">
        <v>91252.5</v>
      </c>
    </row>
    <row r="118" spans="1:14">
      <c r="A118" s="140">
        <f t="shared" si="2"/>
        <v>117</v>
      </c>
      <c r="B118" s="70">
        <v>0</v>
      </c>
      <c r="C118" s="70">
        <v>0</v>
      </c>
      <c r="D118" s="70">
        <v>0</v>
      </c>
      <c r="E118" s="70">
        <v>0</v>
      </c>
      <c r="F118" s="70">
        <v>0</v>
      </c>
      <c r="G118" s="70">
        <v>0</v>
      </c>
      <c r="H118" s="70">
        <v>0</v>
      </c>
      <c r="I118" s="70">
        <v>0</v>
      </c>
      <c r="J118" s="70">
        <v>0</v>
      </c>
      <c r="K118" s="70">
        <v>105000</v>
      </c>
      <c r="L118" s="70">
        <v>106260</v>
      </c>
      <c r="M118" s="70">
        <v>106260</v>
      </c>
      <c r="N118" s="70">
        <v>107535</v>
      </c>
    </row>
    <row r="119" spans="1:14">
      <c r="A119" s="140">
        <f t="shared" si="2"/>
        <v>118</v>
      </c>
      <c r="B119" s="70">
        <v>0</v>
      </c>
      <c r="C119" s="70">
        <v>0</v>
      </c>
      <c r="D119" s="70">
        <v>0</v>
      </c>
      <c r="E119" s="70">
        <v>0</v>
      </c>
      <c r="F119" s="70">
        <v>0</v>
      </c>
      <c r="G119" s="70">
        <v>0</v>
      </c>
      <c r="H119" s="70">
        <v>0</v>
      </c>
      <c r="I119" s="70">
        <v>0</v>
      </c>
      <c r="J119" s="70">
        <v>0</v>
      </c>
      <c r="K119" s="70">
        <v>0</v>
      </c>
      <c r="L119" s="70">
        <v>0</v>
      </c>
      <c r="M119" s="70">
        <v>0</v>
      </c>
      <c r="N119" s="70">
        <v>60000</v>
      </c>
    </row>
    <row r="120" spans="1:14">
      <c r="A120" s="140">
        <f t="shared" si="2"/>
        <v>119</v>
      </c>
      <c r="B120" s="70">
        <v>0</v>
      </c>
      <c r="C120" s="70">
        <v>0</v>
      </c>
      <c r="D120" s="70">
        <v>0</v>
      </c>
      <c r="E120" s="70">
        <v>0</v>
      </c>
      <c r="F120" s="70">
        <v>0</v>
      </c>
      <c r="G120" s="70">
        <v>0</v>
      </c>
      <c r="H120" s="70">
        <v>0</v>
      </c>
      <c r="I120" s="70">
        <v>0</v>
      </c>
      <c r="J120" s="70">
        <v>0</v>
      </c>
      <c r="K120" s="70">
        <v>120000</v>
      </c>
      <c r="L120" s="70">
        <v>138000</v>
      </c>
      <c r="M120" s="70">
        <v>158700</v>
      </c>
      <c r="N120" s="70">
        <v>241362.75</v>
      </c>
    </row>
    <row r="121" spans="1:14">
      <c r="A121" s="140">
        <f t="shared" si="2"/>
        <v>120</v>
      </c>
      <c r="B121" s="70">
        <v>123665.5</v>
      </c>
      <c r="C121" s="70">
        <v>123665.5</v>
      </c>
      <c r="D121" s="70">
        <v>123665.5</v>
      </c>
      <c r="E121" s="70">
        <v>142215.25</v>
      </c>
      <c r="F121" s="70">
        <v>143921.75</v>
      </c>
      <c r="G121" s="70">
        <v>143921.75</v>
      </c>
      <c r="H121" s="70">
        <v>143921.75</v>
      </c>
      <c r="I121" s="70">
        <v>143921.75</v>
      </c>
      <c r="J121" s="70">
        <v>165510</v>
      </c>
      <c r="K121" s="70">
        <v>218887</v>
      </c>
      <c r="L121" s="70">
        <v>192620.5</v>
      </c>
      <c r="M121" s="70">
        <v>194932</v>
      </c>
      <c r="N121" s="70">
        <v>224171.75</v>
      </c>
    </row>
    <row r="122" spans="1:14">
      <c r="A122" s="140">
        <f t="shared" si="2"/>
        <v>121</v>
      </c>
      <c r="B122" s="70">
        <v>0</v>
      </c>
      <c r="C122" s="70">
        <v>0</v>
      </c>
      <c r="D122" s="70">
        <v>0</v>
      </c>
      <c r="E122" s="70">
        <v>0</v>
      </c>
      <c r="F122" s="70">
        <v>0</v>
      </c>
      <c r="G122" s="70">
        <v>0</v>
      </c>
      <c r="H122" s="70">
        <v>0</v>
      </c>
      <c r="I122" s="70">
        <v>0</v>
      </c>
      <c r="J122" s="70">
        <v>120750</v>
      </c>
      <c r="K122" s="70">
        <v>120750</v>
      </c>
      <c r="L122" s="70">
        <v>138862.5</v>
      </c>
      <c r="M122" s="70">
        <v>159692</v>
      </c>
      <c r="N122" s="70">
        <v>159692</v>
      </c>
    </row>
    <row r="123" spans="1:14">
      <c r="A123" s="140">
        <f t="shared" si="2"/>
        <v>122</v>
      </c>
      <c r="B123" s="70">
        <v>0</v>
      </c>
      <c r="C123" s="70">
        <v>0</v>
      </c>
      <c r="D123" s="70">
        <v>0</v>
      </c>
      <c r="E123" s="70">
        <v>0</v>
      </c>
      <c r="F123" s="70">
        <v>0</v>
      </c>
      <c r="G123" s="70">
        <v>0</v>
      </c>
      <c r="H123" s="70">
        <v>0</v>
      </c>
      <c r="I123" s="70">
        <v>120750</v>
      </c>
      <c r="J123" s="70">
        <v>122199</v>
      </c>
      <c r="K123" s="70">
        <v>123665.5</v>
      </c>
      <c r="L123" s="70">
        <v>123665.5</v>
      </c>
      <c r="M123" s="70">
        <v>123665.5</v>
      </c>
      <c r="N123" s="70">
        <v>142215.25</v>
      </c>
    </row>
    <row r="124" spans="1:14">
      <c r="A124" s="140">
        <f t="shared" si="2"/>
        <v>123</v>
      </c>
      <c r="B124" s="70">
        <v>0</v>
      </c>
      <c r="C124" s="70">
        <v>0</v>
      </c>
      <c r="D124" s="70">
        <v>0</v>
      </c>
      <c r="E124" s="70">
        <v>0</v>
      </c>
      <c r="F124" s="70">
        <v>79350</v>
      </c>
      <c r="G124" s="70">
        <v>91252.5</v>
      </c>
      <c r="H124" s="70">
        <v>91252.5</v>
      </c>
      <c r="I124" s="70">
        <v>92347.5</v>
      </c>
      <c r="J124" s="70">
        <v>92347.5</v>
      </c>
      <c r="K124" s="70">
        <v>92347.5</v>
      </c>
      <c r="L124" s="70">
        <v>106199.75</v>
      </c>
      <c r="M124" s="70">
        <v>106199.75</v>
      </c>
      <c r="N124" s="70">
        <v>106199.75</v>
      </c>
    </row>
    <row r="125" spans="1:14">
      <c r="A125" s="140">
        <f t="shared" si="2"/>
        <v>124</v>
      </c>
      <c r="B125" s="70">
        <v>0</v>
      </c>
      <c r="C125" s="70">
        <v>0</v>
      </c>
      <c r="D125" s="70">
        <v>0</v>
      </c>
      <c r="E125" s="70">
        <v>0</v>
      </c>
      <c r="F125" s="70">
        <v>0</v>
      </c>
      <c r="G125" s="70">
        <v>0</v>
      </c>
      <c r="H125" s="70">
        <v>0</v>
      </c>
      <c r="I125" s="70">
        <v>0</v>
      </c>
      <c r="J125" s="70">
        <v>0</v>
      </c>
      <c r="K125" s="70">
        <v>0</v>
      </c>
      <c r="L125" s="70">
        <v>0</v>
      </c>
      <c r="M125" s="70">
        <v>120750</v>
      </c>
      <c r="N125" s="70">
        <v>138862.5</v>
      </c>
    </row>
    <row r="126" spans="1:14">
      <c r="A126" s="140">
        <f t="shared" si="2"/>
        <v>125</v>
      </c>
      <c r="B126" s="70">
        <v>0</v>
      </c>
      <c r="C126" s="70">
        <v>120000</v>
      </c>
      <c r="D126" s="70">
        <v>138000</v>
      </c>
      <c r="E126" s="70">
        <v>138000</v>
      </c>
      <c r="F126" s="70">
        <v>138000</v>
      </c>
      <c r="G126" s="70">
        <v>138000</v>
      </c>
      <c r="H126" s="70">
        <v>158700</v>
      </c>
      <c r="I126" s="70">
        <v>241362.75</v>
      </c>
      <c r="J126" s="70">
        <v>241362.75</v>
      </c>
      <c r="K126" s="70">
        <v>241362.75</v>
      </c>
      <c r="L126" s="70">
        <v>241362.75</v>
      </c>
      <c r="M126" s="70">
        <v>319202.5</v>
      </c>
      <c r="N126" s="70">
        <v>367082.75</v>
      </c>
    </row>
    <row r="127" spans="1:14">
      <c r="A127" s="140">
        <f t="shared" si="2"/>
        <v>126</v>
      </c>
      <c r="B127" s="70">
        <v>0</v>
      </c>
      <c r="C127" s="70">
        <v>0</v>
      </c>
      <c r="D127" s="70">
        <v>0</v>
      </c>
      <c r="E127" s="70">
        <v>0</v>
      </c>
      <c r="F127" s="70">
        <v>0</v>
      </c>
      <c r="G127" s="70">
        <v>0</v>
      </c>
      <c r="H127" s="70">
        <v>0</v>
      </c>
      <c r="I127" s="70">
        <v>0</v>
      </c>
      <c r="J127" s="70">
        <v>0</v>
      </c>
      <c r="K127" s="70">
        <v>0</v>
      </c>
      <c r="L127" s="70">
        <v>0</v>
      </c>
      <c r="M127" s="70">
        <v>0</v>
      </c>
      <c r="N127" s="70">
        <v>138000</v>
      </c>
    </row>
    <row r="128" spans="1:14">
      <c r="A128" s="140">
        <f t="shared" si="2"/>
        <v>127</v>
      </c>
      <c r="B128" s="70">
        <v>0</v>
      </c>
      <c r="C128" s="70">
        <v>0</v>
      </c>
      <c r="D128" s="70">
        <v>0</v>
      </c>
      <c r="E128" s="70">
        <v>0</v>
      </c>
      <c r="F128" s="70">
        <v>0</v>
      </c>
      <c r="G128" s="70">
        <v>0</v>
      </c>
      <c r="H128" s="70">
        <v>0</v>
      </c>
      <c r="I128" s="70">
        <v>0</v>
      </c>
      <c r="J128" s="70">
        <v>0</v>
      </c>
      <c r="K128" s="70">
        <v>0</v>
      </c>
      <c r="L128" s="70">
        <v>0</v>
      </c>
      <c r="M128" s="70">
        <v>0</v>
      </c>
      <c r="N128" s="70">
        <v>120000</v>
      </c>
    </row>
    <row r="129" spans="1:14">
      <c r="A129" s="140">
        <f t="shared" si="2"/>
        <v>128</v>
      </c>
      <c r="B129" s="70">
        <v>0</v>
      </c>
      <c r="C129" s="70">
        <v>0</v>
      </c>
      <c r="D129" s="70">
        <v>0</v>
      </c>
      <c r="E129" s="70">
        <v>0</v>
      </c>
      <c r="F129" s="70">
        <v>0</v>
      </c>
      <c r="G129" s="70">
        <v>0</v>
      </c>
      <c r="H129" s="70">
        <v>0</v>
      </c>
      <c r="I129" s="70">
        <v>0</v>
      </c>
      <c r="J129" s="70">
        <v>120750</v>
      </c>
      <c r="K129" s="70">
        <v>120750</v>
      </c>
      <c r="L129" s="70">
        <v>159692</v>
      </c>
      <c r="M129" s="70">
        <v>183645.75</v>
      </c>
      <c r="N129" s="70">
        <v>183645.75</v>
      </c>
    </row>
    <row r="130" spans="1:14">
      <c r="A130" s="140">
        <f t="shared" si="2"/>
        <v>129</v>
      </c>
      <c r="B130" s="70">
        <v>0</v>
      </c>
      <c r="C130" s="70">
        <v>0</v>
      </c>
      <c r="D130" s="70">
        <v>0</v>
      </c>
      <c r="E130" s="70">
        <v>0</v>
      </c>
      <c r="F130" s="70">
        <v>0</v>
      </c>
      <c r="G130" s="70">
        <v>0</v>
      </c>
      <c r="H130" s="70">
        <v>0</v>
      </c>
      <c r="I130" s="70">
        <v>0</v>
      </c>
      <c r="J130" s="70">
        <v>0</v>
      </c>
      <c r="K130" s="70">
        <v>0</v>
      </c>
      <c r="L130" s="70">
        <v>105000</v>
      </c>
      <c r="M130" s="70">
        <v>92400</v>
      </c>
      <c r="N130" s="70">
        <v>106260</v>
      </c>
    </row>
    <row r="131" spans="1:14">
      <c r="A131" s="140">
        <f t="shared" ref="A131:A194" si="3">+A130+1</f>
        <v>130</v>
      </c>
      <c r="B131" s="70">
        <v>0</v>
      </c>
      <c r="C131" s="70">
        <v>0</v>
      </c>
      <c r="D131" s="70">
        <v>0</v>
      </c>
      <c r="E131" s="70">
        <v>0</v>
      </c>
      <c r="F131" s="70">
        <v>0</v>
      </c>
      <c r="G131" s="70">
        <v>0</v>
      </c>
      <c r="H131" s="70">
        <v>0</v>
      </c>
      <c r="I131" s="70">
        <v>0</v>
      </c>
      <c r="J131" s="70">
        <v>0</v>
      </c>
      <c r="K131" s="70">
        <v>0</v>
      </c>
      <c r="L131" s="70">
        <v>0</v>
      </c>
      <c r="M131" s="70">
        <v>0</v>
      </c>
      <c r="N131" s="70">
        <v>120000</v>
      </c>
    </row>
    <row r="132" spans="1:14">
      <c r="A132" s="140">
        <f t="shared" si="3"/>
        <v>131</v>
      </c>
      <c r="B132" s="70">
        <v>0</v>
      </c>
      <c r="C132" s="70">
        <v>0</v>
      </c>
      <c r="D132" s="70">
        <v>0</v>
      </c>
      <c r="E132" s="70">
        <v>0</v>
      </c>
      <c r="F132" s="70">
        <v>0</v>
      </c>
      <c r="G132" s="70">
        <v>0</v>
      </c>
      <c r="H132" s="70">
        <v>0</v>
      </c>
      <c r="I132" s="70">
        <v>0</v>
      </c>
      <c r="J132" s="70">
        <v>60000</v>
      </c>
      <c r="K132" s="70">
        <v>69000</v>
      </c>
      <c r="L132" s="70">
        <v>69000</v>
      </c>
      <c r="M132" s="70">
        <v>79350</v>
      </c>
      <c r="N132" s="70">
        <v>91252.5</v>
      </c>
    </row>
    <row r="133" spans="1:14">
      <c r="A133" s="140">
        <f t="shared" si="3"/>
        <v>132</v>
      </c>
      <c r="B133" s="70">
        <v>0</v>
      </c>
      <c r="C133" s="70">
        <v>0</v>
      </c>
      <c r="D133" s="70">
        <v>0</v>
      </c>
      <c r="E133" s="70">
        <v>0</v>
      </c>
      <c r="F133" s="70">
        <v>105000</v>
      </c>
      <c r="G133" s="70">
        <v>92400</v>
      </c>
      <c r="H133" s="70">
        <v>81312</v>
      </c>
      <c r="I133" s="70">
        <v>71554.5</v>
      </c>
      <c r="J133" s="70">
        <v>94631</v>
      </c>
      <c r="K133" s="70">
        <v>94631</v>
      </c>
      <c r="L133" s="70">
        <v>94631</v>
      </c>
      <c r="M133" s="70">
        <v>94631</v>
      </c>
      <c r="N133" s="70">
        <v>108825.5</v>
      </c>
    </row>
    <row r="134" spans="1:14">
      <c r="A134" s="140">
        <f t="shared" si="3"/>
        <v>133</v>
      </c>
      <c r="B134" s="70">
        <v>0</v>
      </c>
      <c r="C134" s="70">
        <v>0</v>
      </c>
      <c r="D134" s="70">
        <v>0</v>
      </c>
      <c r="E134" s="70">
        <v>0</v>
      </c>
      <c r="F134" s="70">
        <v>0</v>
      </c>
      <c r="G134" s="70">
        <v>0</v>
      </c>
      <c r="H134" s="70">
        <v>0</v>
      </c>
      <c r="I134" s="70">
        <v>0</v>
      </c>
      <c r="J134" s="70">
        <v>0</v>
      </c>
      <c r="K134" s="70">
        <v>0</v>
      </c>
      <c r="L134" s="70">
        <v>138000</v>
      </c>
      <c r="M134" s="70">
        <v>138000</v>
      </c>
      <c r="N134" s="70">
        <v>121440</v>
      </c>
    </row>
    <row r="135" spans="1:14">
      <c r="A135" s="140">
        <f t="shared" si="3"/>
        <v>134</v>
      </c>
      <c r="B135" s="70">
        <v>0</v>
      </c>
      <c r="C135" s="70">
        <v>0</v>
      </c>
      <c r="D135" s="70">
        <v>0</v>
      </c>
      <c r="E135" s="70">
        <v>0</v>
      </c>
      <c r="F135" s="70">
        <v>0</v>
      </c>
      <c r="G135" s="70">
        <v>0</v>
      </c>
      <c r="H135" s="70">
        <v>0</v>
      </c>
      <c r="I135" s="70">
        <v>0</v>
      </c>
      <c r="J135" s="70">
        <v>0</v>
      </c>
      <c r="K135" s="70">
        <v>0</v>
      </c>
      <c r="L135" s="70">
        <v>138000</v>
      </c>
      <c r="M135" s="70">
        <v>158700</v>
      </c>
      <c r="N135" s="70">
        <v>158700</v>
      </c>
    </row>
    <row r="136" spans="1:14">
      <c r="A136" s="140">
        <f t="shared" si="3"/>
        <v>135</v>
      </c>
      <c r="B136" s="70">
        <v>0</v>
      </c>
      <c r="C136" s="70">
        <v>0</v>
      </c>
      <c r="D136" s="70">
        <v>0</v>
      </c>
      <c r="E136" s="70">
        <v>0</v>
      </c>
      <c r="F136" s="70">
        <v>0</v>
      </c>
      <c r="G136" s="70">
        <v>0</v>
      </c>
      <c r="H136" s="70">
        <v>0</v>
      </c>
      <c r="I136" s="70">
        <v>0</v>
      </c>
      <c r="J136" s="70">
        <v>0</v>
      </c>
      <c r="K136" s="70">
        <v>0</v>
      </c>
      <c r="L136" s="70">
        <v>0</v>
      </c>
      <c r="M136" s="70">
        <v>0</v>
      </c>
      <c r="N136" s="70">
        <v>105000</v>
      </c>
    </row>
    <row r="137" spans="1:14">
      <c r="A137" s="140">
        <f t="shared" si="3"/>
        <v>136</v>
      </c>
      <c r="B137" s="70">
        <v>0</v>
      </c>
      <c r="C137" s="70">
        <v>0</v>
      </c>
      <c r="D137" s="70">
        <v>0</v>
      </c>
      <c r="E137" s="70">
        <v>0</v>
      </c>
      <c r="F137" s="70">
        <v>0</v>
      </c>
      <c r="G137" s="70">
        <v>0</v>
      </c>
      <c r="H137" s="70">
        <v>0</v>
      </c>
      <c r="I137" s="70">
        <v>105000</v>
      </c>
      <c r="J137" s="70">
        <v>120750</v>
      </c>
      <c r="K137" s="70">
        <v>120750</v>
      </c>
      <c r="L137" s="70">
        <v>138862.5</v>
      </c>
      <c r="M137" s="70">
        <v>122199</v>
      </c>
      <c r="N137" s="70">
        <v>140528.75</v>
      </c>
    </row>
    <row r="138" spans="1:14">
      <c r="A138" s="140">
        <f t="shared" si="3"/>
        <v>137</v>
      </c>
      <c r="B138" s="70">
        <v>0</v>
      </c>
      <c r="C138" s="70">
        <v>0</v>
      </c>
      <c r="D138" s="70">
        <v>0</v>
      </c>
      <c r="E138" s="70">
        <v>0</v>
      </c>
      <c r="F138" s="70">
        <v>0</v>
      </c>
      <c r="G138" s="70">
        <v>0</v>
      </c>
      <c r="H138" s="70">
        <v>138000</v>
      </c>
      <c r="I138" s="70">
        <v>160604.5</v>
      </c>
      <c r="J138" s="70">
        <v>141331.75</v>
      </c>
      <c r="K138" s="70">
        <v>162531.75</v>
      </c>
      <c r="L138" s="70">
        <v>162531.75</v>
      </c>
      <c r="M138" s="70">
        <v>162531.75</v>
      </c>
      <c r="N138" s="70">
        <v>247190.25</v>
      </c>
    </row>
    <row r="139" spans="1:14">
      <c r="A139" s="140">
        <f t="shared" si="3"/>
        <v>138</v>
      </c>
      <c r="B139" s="70">
        <v>0</v>
      </c>
      <c r="C139" s="70">
        <v>0</v>
      </c>
      <c r="D139" s="70">
        <v>0</v>
      </c>
      <c r="E139" s="70">
        <v>0</v>
      </c>
      <c r="F139" s="70">
        <v>0</v>
      </c>
      <c r="G139" s="70">
        <v>120000</v>
      </c>
      <c r="H139" s="70">
        <v>120000</v>
      </c>
      <c r="I139" s="70">
        <v>138000</v>
      </c>
      <c r="J139" s="70">
        <v>138000</v>
      </c>
      <c r="K139" s="70">
        <v>182505</v>
      </c>
      <c r="L139" s="70">
        <v>241362.75</v>
      </c>
      <c r="M139" s="70">
        <v>244259.25</v>
      </c>
      <c r="N139" s="70">
        <v>280898</v>
      </c>
    </row>
    <row r="140" spans="1:14">
      <c r="A140" s="140">
        <f t="shared" si="3"/>
        <v>139</v>
      </c>
      <c r="B140" s="70">
        <v>0</v>
      </c>
      <c r="C140" s="70">
        <v>0</v>
      </c>
      <c r="D140" s="70">
        <v>0</v>
      </c>
      <c r="E140" s="70">
        <v>0</v>
      </c>
      <c r="F140" s="70">
        <v>120000</v>
      </c>
      <c r="G140" s="70">
        <v>138000</v>
      </c>
      <c r="H140" s="70">
        <v>158700</v>
      </c>
      <c r="I140" s="70">
        <v>158700</v>
      </c>
      <c r="J140" s="70">
        <v>158700</v>
      </c>
      <c r="K140" s="70">
        <v>182505</v>
      </c>
      <c r="L140" s="70">
        <v>160604.5</v>
      </c>
      <c r="M140" s="70">
        <v>184695</v>
      </c>
      <c r="N140" s="70">
        <v>184695</v>
      </c>
    </row>
    <row r="141" spans="1:14">
      <c r="A141" s="140">
        <f t="shared" si="3"/>
        <v>140</v>
      </c>
      <c r="B141" s="70">
        <v>0</v>
      </c>
      <c r="C141" s="70">
        <v>0</v>
      </c>
      <c r="D141" s="70">
        <v>0</v>
      </c>
      <c r="E141" s="70">
        <v>0</v>
      </c>
      <c r="F141" s="70">
        <v>0</v>
      </c>
      <c r="G141" s="70">
        <v>105000</v>
      </c>
      <c r="H141" s="70">
        <v>105000</v>
      </c>
      <c r="I141" s="70">
        <v>105000</v>
      </c>
      <c r="J141" s="70">
        <v>120750</v>
      </c>
      <c r="K141" s="70">
        <v>120750</v>
      </c>
      <c r="L141" s="70">
        <v>140528.75</v>
      </c>
      <c r="M141" s="70">
        <v>140528.75</v>
      </c>
      <c r="N141" s="70">
        <v>213726.75</v>
      </c>
    </row>
    <row r="142" spans="1:14">
      <c r="A142" s="140">
        <f t="shared" si="3"/>
        <v>141</v>
      </c>
      <c r="B142" s="70">
        <v>105000</v>
      </c>
      <c r="C142" s="70">
        <v>120750</v>
      </c>
      <c r="D142" s="70">
        <v>159692</v>
      </c>
      <c r="E142" s="70">
        <v>159692</v>
      </c>
      <c r="F142" s="70">
        <v>183645.75</v>
      </c>
      <c r="G142" s="70">
        <v>142215.25</v>
      </c>
      <c r="H142" s="70">
        <v>125149.25</v>
      </c>
      <c r="I142" s="70">
        <v>165510</v>
      </c>
      <c r="J142" s="70">
        <v>218887</v>
      </c>
      <c r="K142" s="70">
        <v>192620.5</v>
      </c>
      <c r="L142" s="70">
        <v>221513.75</v>
      </c>
      <c r="M142" s="70">
        <v>254740.75</v>
      </c>
      <c r="N142" s="70">
        <v>254740.75</v>
      </c>
    </row>
    <row r="143" spans="1:14">
      <c r="A143" s="140">
        <f t="shared" si="3"/>
        <v>142</v>
      </c>
      <c r="B143" s="70">
        <v>0</v>
      </c>
      <c r="C143" s="70">
        <v>0</v>
      </c>
      <c r="D143" s="70">
        <v>120000</v>
      </c>
      <c r="E143" s="70">
        <v>105600</v>
      </c>
      <c r="F143" s="70">
        <v>121440</v>
      </c>
      <c r="G143" s="70">
        <v>121440</v>
      </c>
      <c r="H143" s="70">
        <v>121440</v>
      </c>
      <c r="I143" s="70">
        <v>160604.5</v>
      </c>
      <c r="J143" s="70">
        <v>160604.5</v>
      </c>
      <c r="K143" s="70">
        <v>160604.5</v>
      </c>
      <c r="L143" s="70">
        <v>184695</v>
      </c>
      <c r="M143" s="70">
        <v>184695</v>
      </c>
      <c r="N143" s="70">
        <v>244259.25</v>
      </c>
    </row>
    <row r="144" spans="1:14">
      <c r="A144" s="140">
        <f t="shared" si="3"/>
        <v>143</v>
      </c>
      <c r="B144" s="70">
        <v>0</v>
      </c>
      <c r="C144" s="70">
        <v>0</v>
      </c>
      <c r="D144" s="70">
        <v>120000</v>
      </c>
      <c r="E144" s="70">
        <v>138000</v>
      </c>
      <c r="F144" s="70">
        <v>138000</v>
      </c>
      <c r="G144" s="70">
        <v>158700</v>
      </c>
      <c r="H144" s="70">
        <v>158700</v>
      </c>
      <c r="I144" s="70">
        <v>209880.75</v>
      </c>
      <c r="J144" s="70">
        <v>277567.25</v>
      </c>
      <c r="K144" s="70">
        <v>319202.5</v>
      </c>
      <c r="L144" s="70">
        <v>367082.75</v>
      </c>
      <c r="M144" s="70">
        <v>371487.75</v>
      </c>
      <c r="N144" s="70">
        <v>371487.75</v>
      </c>
    </row>
    <row r="145" spans="1:14">
      <c r="A145" s="140">
        <f t="shared" si="3"/>
        <v>144</v>
      </c>
      <c r="B145" s="70">
        <v>0</v>
      </c>
      <c r="C145" s="70">
        <v>105000</v>
      </c>
      <c r="D145" s="70">
        <v>120750</v>
      </c>
      <c r="E145" s="70">
        <v>138862.5</v>
      </c>
      <c r="F145" s="70">
        <v>159692</v>
      </c>
      <c r="G145" s="70">
        <v>159692</v>
      </c>
      <c r="H145" s="70">
        <v>183645.75</v>
      </c>
      <c r="I145" s="70">
        <v>183645.75</v>
      </c>
      <c r="J145" s="70">
        <v>183645.75</v>
      </c>
      <c r="K145" s="70">
        <v>211192.5</v>
      </c>
      <c r="L145" s="70">
        <v>211192.5</v>
      </c>
      <c r="M145" s="70">
        <v>211192.5</v>
      </c>
      <c r="N145" s="70">
        <v>321197.5</v>
      </c>
    </row>
    <row r="146" spans="1:14">
      <c r="A146" s="140">
        <f t="shared" si="3"/>
        <v>145</v>
      </c>
      <c r="B146" s="70">
        <v>0</v>
      </c>
      <c r="C146" s="70">
        <v>0</v>
      </c>
      <c r="D146" s="70">
        <v>0</v>
      </c>
      <c r="E146" s="70">
        <v>0</v>
      </c>
      <c r="F146" s="70">
        <v>0</v>
      </c>
      <c r="G146" s="70">
        <v>0</v>
      </c>
      <c r="H146" s="70">
        <v>0</v>
      </c>
      <c r="I146" s="70">
        <v>120000</v>
      </c>
      <c r="J146" s="70">
        <v>120000</v>
      </c>
      <c r="K146" s="70">
        <v>158700</v>
      </c>
      <c r="L146" s="70">
        <v>139656</v>
      </c>
      <c r="M146" s="70">
        <v>160604.5</v>
      </c>
      <c r="N146" s="70">
        <v>212399.25</v>
      </c>
    </row>
    <row r="147" spans="1:14">
      <c r="A147" s="140">
        <f t="shared" si="3"/>
        <v>146</v>
      </c>
      <c r="B147" s="70">
        <v>0</v>
      </c>
      <c r="C147" s="70">
        <v>0</v>
      </c>
      <c r="D147" s="70">
        <v>105000</v>
      </c>
      <c r="E147" s="70">
        <v>105000</v>
      </c>
      <c r="F147" s="70">
        <v>120750</v>
      </c>
      <c r="G147" s="70">
        <v>138862.5</v>
      </c>
      <c r="H147" s="70">
        <v>138862.5</v>
      </c>
      <c r="I147" s="70">
        <v>138862.5</v>
      </c>
      <c r="J147" s="70">
        <v>159692</v>
      </c>
      <c r="K147" s="70">
        <v>159692</v>
      </c>
      <c r="L147" s="70">
        <v>159692</v>
      </c>
      <c r="M147" s="70">
        <v>183645.75</v>
      </c>
      <c r="N147" s="70">
        <v>211192.5</v>
      </c>
    </row>
    <row r="148" spans="1:14">
      <c r="A148" s="140">
        <f t="shared" si="3"/>
        <v>147</v>
      </c>
      <c r="B148" s="70">
        <v>0</v>
      </c>
      <c r="C148" s="70">
        <v>0</v>
      </c>
      <c r="D148" s="70">
        <v>0</v>
      </c>
      <c r="E148" s="70">
        <v>0</v>
      </c>
      <c r="F148" s="70">
        <v>0</v>
      </c>
      <c r="G148" s="70">
        <v>0</v>
      </c>
      <c r="H148" s="70">
        <v>0</v>
      </c>
      <c r="I148" s="70">
        <v>0</v>
      </c>
      <c r="J148" s="70">
        <v>0</v>
      </c>
      <c r="K148" s="70">
        <v>0</v>
      </c>
      <c r="L148" s="70">
        <v>0</v>
      </c>
      <c r="M148" s="70">
        <v>0</v>
      </c>
      <c r="N148" s="70">
        <v>105000</v>
      </c>
    </row>
    <row r="149" spans="1:14">
      <c r="A149" s="140">
        <f t="shared" si="3"/>
        <v>148</v>
      </c>
      <c r="B149" s="70">
        <v>0</v>
      </c>
      <c r="C149" s="70">
        <v>0</v>
      </c>
      <c r="D149" s="70">
        <v>0</v>
      </c>
      <c r="E149" s="70">
        <v>0</v>
      </c>
      <c r="F149" s="70">
        <v>0</v>
      </c>
      <c r="G149" s="70">
        <v>0</v>
      </c>
      <c r="H149" s="70">
        <v>0</v>
      </c>
      <c r="I149" s="70">
        <v>0</v>
      </c>
      <c r="J149" s="70">
        <v>0</v>
      </c>
      <c r="K149" s="70">
        <v>0</v>
      </c>
      <c r="L149" s="70">
        <v>0</v>
      </c>
      <c r="M149" s="70">
        <v>105000</v>
      </c>
      <c r="N149" s="70">
        <v>138862.5</v>
      </c>
    </row>
    <row r="150" spans="1:14">
      <c r="A150" s="140">
        <f t="shared" si="3"/>
        <v>149</v>
      </c>
      <c r="B150" s="70">
        <v>0</v>
      </c>
      <c r="C150" s="70">
        <v>0</v>
      </c>
      <c r="D150" s="70">
        <v>0</v>
      </c>
      <c r="E150" s="70">
        <v>0</v>
      </c>
      <c r="F150" s="70">
        <v>0</v>
      </c>
      <c r="G150" s="70">
        <v>0</v>
      </c>
      <c r="H150" s="70">
        <v>0</v>
      </c>
      <c r="I150" s="70">
        <v>0</v>
      </c>
      <c r="J150" s="70">
        <v>0</v>
      </c>
      <c r="K150" s="70">
        <v>0</v>
      </c>
      <c r="L150" s="70">
        <v>0</v>
      </c>
      <c r="M150" s="70">
        <v>69000</v>
      </c>
      <c r="N150" s="70">
        <v>61448.75</v>
      </c>
    </row>
    <row r="151" spans="1:14">
      <c r="A151" s="140">
        <f t="shared" si="3"/>
        <v>150</v>
      </c>
      <c r="B151" s="70">
        <v>0</v>
      </c>
      <c r="C151" s="70">
        <v>0</v>
      </c>
      <c r="D151" s="70">
        <v>0</v>
      </c>
      <c r="E151" s="70">
        <v>0</v>
      </c>
      <c r="F151" s="70">
        <v>0</v>
      </c>
      <c r="G151" s="70">
        <v>0</v>
      </c>
      <c r="H151" s="70">
        <v>0</v>
      </c>
      <c r="I151" s="70">
        <v>0</v>
      </c>
      <c r="J151" s="70">
        <v>0</v>
      </c>
      <c r="K151" s="70">
        <v>0</v>
      </c>
      <c r="L151" s="70">
        <v>0</v>
      </c>
      <c r="M151" s="70">
        <v>105000</v>
      </c>
      <c r="N151" s="70">
        <v>120750</v>
      </c>
    </row>
    <row r="152" spans="1:14">
      <c r="A152" s="140">
        <f t="shared" si="3"/>
        <v>151</v>
      </c>
      <c r="B152" s="70">
        <v>0</v>
      </c>
      <c r="C152" s="70">
        <v>0</v>
      </c>
      <c r="D152" s="70">
        <v>0</v>
      </c>
      <c r="E152" s="70">
        <v>0</v>
      </c>
      <c r="F152" s="70">
        <v>0</v>
      </c>
      <c r="G152" s="70">
        <v>0</v>
      </c>
      <c r="H152" s="70">
        <v>0</v>
      </c>
      <c r="I152" s="70">
        <v>0</v>
      </c>
      <c r="J152" s="70">
        <v>0</v>
      </c>
      <c r="K152" s="70">
        <v>0</v>
      </c>
      <c r="L152" s="70">
        <v>0</v>
      </c>
      <c r="M152" s="70">
        <v>0</v>
      </c>
      <c r="N152" s="70">
        <v>120750</v>
      </c>
    </row>
    <row r="153" spans="1:14">
      <c r="A153" s="140">
        <f t="shared" si="3"/>
        <v>152</v>
      </c>
      <c r="B153" s="70">
        <v>0</v>
      </c>
      <c r="C153" s="70">
        <v>0</v>
      </c>
      <c r="D153" s="70">
        <v>0</v>
      </c>
      <c r="E153" s="70">
        <v>0</v>
      </c>
      <c r="F153" s="70">
        <v>0</v>
      </c>
      <c r="G153" s="70">
        <v>0</v>
      </c>
      <c r="H153" s="70">
        <v>0</v>
      </c>
      <c r="I153" s="70">
        <v>0</v>
      </c>
      <c r="J153" s="70">
        <v>120750</v>
      </c>
      <c r="K153" s="70">
        <v>159692</v>
      </c>
      <c r="L153" s="70">
        <v>159692</v>
      </c>
      <c r="M153" s="70">
        <v>159692</v>
      </c>
      <c r="N153" s="70">
        <v>140528.75</v>
      </c>
    </row>
    <row r="154" spans="1:14">
      <c r="A154" s="140">
        <f t="shared" si="3"/>
        <v>153</v>
      </c>
      <c r="B154" s="70">
        <v>0</v>
      </c>
      <c r="C154" s="70">
        <v>0</v>
      </c>
      <c r="D154" s="70">
        <v>0</v>
      </c>
      <c r="E154" s="70">
        <v>0</v>
      </c>
      <c r="F154" s="70">
        <v>0</v>
      </c>
      <c r="G154" s="70">
        <v>0</v>
      </c>
      <c r="H154" s="70">
        <v>0</v>
      </c>
      <c r="I154" s="70">
        <v>0</v>
      </c>
      <c r="J154" s="70">
        <v>105000</v>
      </c>
      <c r="K154" s="70">
        <v>159692</v>
      </c>
      <c r="L154" s="70">
        <v>183645.75</v>
      </c>
      <c r="M154" s="70">
        <v>183645.75</v>
      </c>
      <c r="N154" s="70">
        <v>242871.5</v>
      </c>
    </row>
    <row r="155" spans="1:14">
      <c r="A155" s="140">
        <f t="shared" si="3"/>
        <v>154</v>
      </c>
      <c r="B155" s="70">
        <v>0</v>
      </c>
      <c r="C155" s="70">
        <v>0</v>
      </c>
      <c r="D155" s="70">
        <v>0</v>
      </c>
      <c r="E155" s="70">
        <v>0</v>
      </c>
      <c r="F155" s="70">
        <v>0</v>
      </c>
      <c r="G155" s="70">
        <v>0</v>
      </c>
      <c r="H155" s="70">
        <v>0</v>
      </c>
      <c r="I155" s="70">
        <v>0</v>
      </c>
      <c r="J155" s="70">
        <v>0</v>
      </c>
      <c r="K155" s="70">
        <v>0</v>
      </c>
      <c r="L155" s="70">
        <v>105000</v>
      </c>
      <c r="M155" s="70">
        <v>120750</v>
      </c>
      <c r="N155" s="70">
        <v>138862.5</v>
      </c>
    </row>
    <row r="156" spans="1:14">
      <c r="A156" s="140">
        <f t="shared" si="3"/>
        <v>155</v>
      </c>
      <c r="B156" s="70">
        <v>120000</v>
      </c>
      <c r="C156" s="70">
        <v>105600</v>
      </c>
      <c r="D156" s="70">
        <v>121440</v>
      </c>
      <c r="E156" s="70">
        <v>94043.25</v>
      </c>
      <c r="F156" s="70">
        <v>108149.5</v>
      </c>
      <c r="G156" s="70">
        <v>108149.5</v>
      </c>
      <c r="H156" s="70">
        <v>124372</v>
      </c>
      <c r="I156" s="70">
        <v>109447.5</v>
      </c>
      <c r="J156" s="70">
        <v>96313.75</v>
      </c>
      <c r="K156" s="70">
        <v>110760.75</v>
      </c>
      <c r="L156" s="70">
        <v>110760.75</v>
      </c>
      <c r="M156" s="70">
        <v>110760.75</v>
      </c>
      <c r="N156" s="70">
        <v>146481</v>
      </c>
    </row>
    <row r="157" spans="1:14">
      <c r="A157" s="140">
        <f t="shared" si="3"/>
        <v>156</v>
      </c>
      <c r="B157" s="70">
        <v>0</v>
      </c>
      <c r="C157" s="70">
        <v>120000</v>
      </c>
      <c r="D157" s="70">
        <v>138000</v>
      </c>
      <c r="E157" s="70">
        <v>138000</v>
      </c>
      <c r="F157" s="70">
        <v>138000</v>
      </c>
      <c r="G157" s="70">
        <v>138000</v>
      </c>
      <c r="H157" s="70">
        <v>121440</v>
      </c>
      <c r="I157" s="70">
        <v>121440</v>
      </c>
      <c r="J157" s="70">
        <v>184695</v>
      </c>
      <c r="K157" s="70">
        <v>244259.25</v>
      </c>
      <c r="L157" s="70">
        <v>214948</v>
      </c>
      <c r="M157" s="70">
        <v>189154.25</v>
      </c>
      <c r="N157" s="70">
        <v>189154.25</v>
      </c>
    </row>
    <row r="158" spans="1:14">
      <c r="A158" s="140">
        <f t="shared" si="3"/>
        <v>157</v>
      </c>
      <c r="B158" s="70">
        <v>0</v>
      </c>
      <c r="C158" s="70">
        <v>0</v>
      </c>
      <c r="D158" s="70">
        <v>0</v>
      </c>
      <c r="E158" s="70">
        <v>0</v>
      </c>
      <c r="F158" s="70">
        <v>0</v>
      </c>
      <c r="G158" s="70">
        <v>0</v>
      </c>
      <c r="H158" s="70">
        <v>0</v>
      </c>
      <c r="I158" s="70">
        <v>0</v>
      </c>
      <c r="J158" s="70">
        <v>0</v>
      </c>
      <c r="K158" s="70">
        <v>0</v>
      </c>
      <c r="L158" s="70">
        <v>105000</v>
      </c>
      <c r="M158" s="70">
        <v>105000</v>
      </c>
      <c r="N158" s="70">
        <v>120750</v>
      </c>
    </row>
    <row r="159" spans="1:14">
      <c r="A159" s="140">
        <f t="shared" si="3"/>
        <v>158</v>
      </c>
      <c r="B159" s="70">
        <v>162531.75</v>
      </c>
      <c r="C159" s="70">
        <v>162531.75</v>
      </c>
      <c r="D159" s="70">
        <v>186911.5</v>
      </c>
      <c r="E159" s="70">
        <v>186911.5</v>
      </c>
      <c r="F159" s="70">
        <v>186911.5</v>
      </c>
      <c r="G159" s="70">
        <v>247190.25</v>
      </c>
      <c r="H159" s="70">
        <v>247190.25</v>
      </c>
      <c r="I159" s="70">
        <v>326909.25</v>
      </c>
      <c r="J159" s="70">
        <v>375945.5</v>
      </c>
      <c r="K159" s="70">
        <v>432337.5</v>
      </c>
      <c r="L159" s="70">
        <v>432337.5</v>
      </c>
      <c r="M159" s="70">
        <v>497188</v>
      </c>
      <c r="N159" s="70">
        <v>571766.25</v>
      </c>
    </row>
    <row r="160" spans="1:14">
      <c r="A160" s="140">
        <f t="shared" si="3"/>
        <v>159</v>
      </c>
      <c r="B160" s="70">
        <v>0</v>
      </c>
      <c r="C160" s="70">
        <v>0</v>
      </c>
      <c r="D160" s="70">
        <v>0</v>
      </c>
      <c r="E160" s="70">
        <v>0</v>
      </c>
      <c r="F160" s="70">
        <v>0</v>
      </c>
      <c r="G160" s="70">
        <v>0</v>
      </c>
      <c r="H160" s="70">
        <v>120750</v>
      </c>
      <c r="I160" s="70">
        <v>140528.75</v>
      </c>
      <c r="J160" s="70">
        <v>161608.25</v>
      </c>
      <c r="K160" s="70">
        <v>161608.25</v>
      </c>
      <c r="L160" s="70">
        <v>213726.75</v>
      </c>
      <c r="M160" s="70">
        <v>282653.75</v>
      </c>
      <c r="N160" s="70">
        <v>282653.75</v>
      </c>
    </row>
    <row r="161" spans="1:14">
      <c r="A161" s="140">
        <f t="shared" si="3"/>
        <v>160</v>
      </c>
      <c r="B161" s="70">
        <v>0</v>
      </c>
      <c r="C161" s="70">
        <v>0</v>
      </c>
      <c r="D161" s="70">
        <v>0</v>
      </c>
      <c r="E161" s="70">
        <v>0</v>
      </c>
      <c r="F161" s="70">
        <v>0</v>
      </c>
      <c r="G161" s="70">
        <v>0</v>
      </c>
      <c r="H161" s="70">
        <v>0</v>
      </c>
      <c r="I161" s="70">
        <v>0</v>
      </c>
      <c r="J161" s="70">
        <v>0</v>
      </c>
      <c r="K161" s="70">
        <v>0</v>
      </c>
      <c r="L161" s="70">
        <v>0</v>
      </c>
      <c r="M161" s="70">
        <v>0</v>
      </c>
      <c r="N161" s="70">
        <v>120750</v>
      </c>
    </row>
    <row r="162" spans="1:14">
      <c r="A162" s="140">
        <f t="shared" si="3"/>
        <v>161</v>
      </c>
      <c r="B162" s="70">
        <v>0</v>
      </c>
      <c r="C162" s="70">
        <v>0</v>
      </c>
      <c r="D162" s="70">
        <v>0</v>
      </c>
      <c r="E162" s="70">
        <v>0</v>
      </c>
      <c r="F162" s="70">
        <v>0</v>
      </c>
      <c r="G162" s="70">
        <v>0</v>
      </c>
      <c r="H162" s="70">
        <v>0</v>
      </c>
      <c r="I162" s="70">
        <v>120750</v>
      </c>
      <c r="J162" s="70">
        <v>159692</v>
      </c>
      <c r="K162" s="70">
        <v>161608.25</v>
      </c>
      <c r="L162" s="70">
        <v>185849.5</v>
      </c>
      <c r="M162" s="70">
        <v>213726.75</v>
      </c>
      <c r="N162" s="70">
        <v>245785.75</v>
      </c>
    </row>
    <row r="163" spans="1:14">
      <c r="A163" s="140">
        <f t="shared" si="3"/>
        <v>162</v>
      </c>
      <c r="B163" s="70">
        <v>0</v>
      </c>
      <c r="C163" s="70">
        <v>0</v>
      </c>
      <c r="D163" s="70">
        <v>0</v>
      </c>
      <c r="E163" s="70">
        <v>0</v>
      </c>
      <c r="F163" s="70">
        <v>0</v>
      </c>
      <c r="G163" s="70">
        <v>0</v>
      </c>
      <c r="H163" s="70">
        <v>0</v>
      </c>
      <c r="I163" s="70">
        <v>0</v>
      </c>
      <c r="J163" s="70">
        <v>0</v>
      </c>
      <c r="K163" s="70">
        <v>105000</v>
      </c>
      <c r="L163" s="70">
        <v>120750</v>
      </c>
      <c r="M163" s="70">
        <v>120750</v>
      </c>
      <c r="N163" s="70">
        <v>140528.75</v>
      </c>
    </row>
    <row r="164" spans="1:14">
      <c r="A164" s="140">
        <f t="shared" si="3"/>
        <v>163</v>
      </c>
      <c r="B164" s="70">
        <v>0</v>
      </c>
      <c r="C164" s="70">
        <v>0</v>
      </c>
      <c r="D164" s="70">
        <v>0</v>
      </c>
      <c r="E164" s="70">
        <v>0</v>
      </c>
      <c r="F164" s="70">
        <v>0</v>
      </c>
      <c r="G164" s="70">
        <v>0</v>
      </c>
      <c r="H164" s="70">
        <v>0</v>
      </c>
      <c r="I164" s="70">
        <v>0</v>
      </c>
      <c r="J164" s="70">
        <v>0</v>
      </c>
      <c r="K164" s="70">
        <v>0</v>
      </c>
      <c r="L164" s="70">
        <v>0</v>
      </c>
      <c r="M164" s="70">
        <v>0</v>
      </c>
      <c r="N164" s="70">
        <v>69000</v>
      </c>
    </row>
    <row r="165" spans="1:14">
      <c r="A165" s="140">
        <f t="shared" si="3"/>
        <v>164</v>
      </c>
      <c r="B165" s="70">
        <v>0</v>
      </c>
      <c r="C165" s="70">
        <v>0</v>
      </c>
      <c r="D165" s="70">
        <v>0</v>
      </c>
      <c r="E165" s="70">
        <v>0</v>
      </c>
      <c r="F165" s="70">
        <v>0</v>
      </c>
      <c r="G165" s="70">
        <v>0</v>
      </c>
      <c r="H165" s="70">
        <v>0</v>
      </c>
      <c r="I165" s="70">
        <v>0</v>
      </c>
      <c r="J165" s="70">
        <v>0</v>
      </c>
      <c r="K165" s="70">
        <v>60000</v>
      </c>
      <c r="L165" s="70">
        <v>52800</v>
      </c>
      <c r="M165" s="70">
        <v>60720</v>
      </c>
      <c r="N165" s="70">
        <v>69828</v>
      </c>
    </row>
    <row r="166" spans="1:14">
      <c r="A166" s="140">
        <f t="shared" si="3"/>
        <v>165</v>
      </c>
      <c r="B166" s="70">
        <v>0</v>
      </c>
      <c r="C166" s="70">
        <v>0</v>
      </c>
      <c r="D166" s="70">
        <v>0</v>
      </c>
      <c r="E166" s="70">
        <v>0</v>
      </c>
      <c r="F166" s="70">
        <v>105000</v>
      </c>
      <c r="G166" s="70">
        <v>105000</v>
      </c>
      <c r="H166" s="70">
        <v>138862.5</v>
      </c>
      <c r="I166" s="70">
        <v>138862.5</v>
      </c>
      <c r="J166" s="70">
        <v>183645.75</v>
      </c>
      <c r="K166" s="70">
        <v>183645.75</v>
      </c>
      <c r="L166" s="70">
        <v>211192.5</v>
      </c>
      <c r="M166" s="70">
        <v>185849.5</v>
      </c>
      <c r="N166" s="70">
        <v>245785.75</v>
      </c>
    </row>
    <row r="167" spans="1:14">
      <c r="A167" s="140">
        <f t="shared" si="3"/>
        <v>166</v>
      </c>
      <c r="B167" s="70">
        <v>0</v>
      </c>
      <c r="C167" s="70">
        <v>0</v>
      </c>
      <c r="D167" s="70">
        <v>0</v>
      </c>
      <c r="E167" s="70">
        <v>0</v>
      </c>
      <c r="F167" s="70">
        <v>0</v>
      </c>
      <c r="G167" s="70">
        <v>0</v>
      </c>
      <c r="H167" s="70">
        <v>0</v>
      </c>
      <c r="I167" s="70">
        <v>120000</v>
      </c>
      <c r="J167" s="70">
        <v>120000</v>
      </c>
      <c r="K167" s="70">
        <v>120000</v>
      </c>
      <c r="L167" s="70">
        <v>158700</v>
      </c>
      <c r="M167" s="70">
        <v>158700</v>
      </c>
      <c r="N167" s="70">
        <v>158700</v>
      </c>
    </row>
    <row r="168" spans="1:14">
      <c r="A168" s="140">
        <f t="shared" si="3"/>
        <v>167</v>
      </c>
      <c r="B168" s="70">
        <v>0</v>
      </c>
      <c r="C168" s="70">
        <v>0</v>
      </c>
      <c r="D168" s="70">
        <v>0</v>
      </c>
      <c r="E168" s="70">
        <v>0</v>
      </c>
      <c r="F168" s="70">
        <v>0</v>
      </c>
      <c r="G168" s="70">
        <v>0</v>
      </c>
      <c r="H168" s="70">
        <v>0</v>
      </c>
      <c r="I168" s="70">
        <v>120000</v>
      </c>
      <c r="J168" s="70">
        <v>138000</v>
      </c>
      <c r="K168" s="70">
        <v>138000</v>
      </c>
      <c r="L168" s="70">
        <v>138000</v>
      </c>
      <c r="M168" s="70">
        <v>138000</v>
      </c>
      <c r="N168" s="70">
        <v>138000</v>
      </c>
    </row>
    <row r="169" spans="1:14">
      <c r="A169" s="140">
        <f t="shared" si="3"/>
        <v>168</v>
      </c>
      <c r="B169" s="70">
        <v>122199</v>
      </c>
      <c r="C169" s="70">
        <v>122199</v>
      </c>
      <c r="D169" s="70">
        <v>161608.25</v>
      </c>
      <c r="E169" s="70">
        <v>213726.75</v>
      </c>
      <c r="F169" s="70">
        <v>282653.75</v>
      </c>
      <c r="G169" s="70">
        <v>325051.75</v>
      </c>
      <c r="H169" s="70">
        <v>429881</v>
      </c>
      <c r="I169" s="70">
        <v>429881</v>
      </c>
      <c r="J169" s="70">
        <v>429881</v>
      </c>
      <c r="K169" s="70">
        <v>568517.5</v>
      </c>
      <c r="L169" s="70">
        <v>575339.75</v>
      </c>
      <c r="M169" s="70">
        <v>506299</v>
      </c>
      <c r="N169" s="70">
        <v>506299</v>
      </c>
    </row>
    <row r="170" spans="1:14">
      <c r="A170" s="140">
        <f t="shared" si="3"/>
        <v>169</v>
      </c>
      <c r="B170" s="70">
        <v>0</v>
      </c>
      <c r="C170" s="70">
        <v>0</v>
      </c>
      <c r="D170" s="70">
        <v>0</v>
      </c>
      <c r="E170" s="70">
        <v>0</v>
      </c>
      <c r="F170" s="70">
        <v>0</v>
      </c>
      <c r="G170" s="70">
        <v>105000</v>
      </c>
      <c r="H170" s="70">
        <v>120750</v>
      </c>
      <c r="I170" s="70">
        <v>120750</v>
      </c>
      <c r="J170" s="70">
        <v>120750</v>
      </c>
      <c r="K170" s="70">
        <v>138862.5</v>
      </c>
      <c r="L170" s="70">
        <v>183645.75</v>
      </c>
      <c r="M170" s="70">
        <v>211192.5</v>
      </c>
      <c r="N170" s="70">
        <v>242871.5</v>
      </c>
    </row>
    <row r="171" spans="1:14">
      <c r="A171" s="140">
        <f t="shared" si="3"/>
        <v>170</v>
      </c>
      <c r="B171" s="70">
        <v>0</v>
      </c>
      <c r="C171" s="70">
        <v>0</v>
      </c>
      <c r="D171" s="70">
        <v>0</v>
      </c>
      <c r="E171" s="70">
        <v>0</v>
      </c>
      <c r="F171" s="70">
        <v>0</v>
      </c>
      <c r="G171" s="70">
        <v>0</v>
      </c>
      <c r="H171" s="70">
        <v>0</v>
      </c>
      <c r="I171" s="70">
        <v>0</v>
      </c>
      <c r="J171" s="70">
        <v>0</v>
      </c>
      <c r="K171" s="70">
        <v>138000</v>
      </c>
      <c r="L171" s="70">
        <v>158700</v>
      </c>
      <c r="M171" s="70">
        <v>182505</v>
      </c>
      <c r="N171" s="70">
        <v>277567.25</v>
      </c>
    </row>
    <row r="172" spans="1:14">
      <c r="A172" s="140">
        <f t="shared" si="3"/>
        <v>171</v>
      </c>
      <c r="B172" s="70">
        <v>0</v>
      </c>
      <c r="C172" s="70">
        <v>0</v>
      </c>
      <c r="D172" s="70">
        <v>0</v>
      </c>
      <c r="E172" s="70">
        <v>0</v>
      </c>
      <c r="F172" s="70">
        <v>0</v>
      </c>
      <c r="G172" s="70">
        <v>0</v>
      </c>
      <c r="H172" s="70">
        <v>0</v>
      </c>
      <c r="I172" s="70">
        <v>0</v>
      </c>
      <c r="J172" s="70">
        <v>0</v>
      </c>
      <c r="K172" s="70">
        <v>0</v>
      </c>
      <c r="L172" s="70">
        <v>120000</v>
      </c>
      <c r="M172" s="70">
        <v>120000</v>
      </c>
      <c r="N172" s="70">
        <v>138000</v>
      </c>
    </row>
    <row r="173" spans="1:14">
      <c r="A173" s="140">
        <f t="shared" si="3"/>
        <v>172</v>
      </c>
      <c r="B173" s="70">
        <v>0</v>
      </c>
      <c r="C173" s="70">
        <v>0</v>
      </c>
      <c r="D173" s="70">
        <v>0</v>
      </c>
      <c r="E173" s="70">
        <v>0</v>
      </c>
      <c r="F173" s="70">
        <v>0</v>
      </c>
      <c r="G173" s="70">
        <v>0</v>
      </c>
      <c r="H173" s="70">
        <v>0</v>
      </c>
      <c r="I173" s="70">
        <v>0</v>
      </c>
      <c r="J173" s="70">
        <v>105000</v>
      </c>
      <c r="K173" s="70">
        <v>0</v>
      </c>
      <c r="L173" s="70">
        <v>0</v>
      </c>
      <c r="M173" s="70">
        <v>0</v>
      </c>
      <c r="N173" s="70">
        <v>0</v>
      </c>
    </row>
    <row r="174" spans="1:14">
      <c r="A174" s="140">
        <f t="shared" si="3"/>
        <v>173</v>
      </c>
      <c r="B174" s="70">
        <v>0</v>
      </c>
      <c r="C174" s="70">
        <v>0</v>
      </c>
      <c r="D174" s="70">
        <v>0</v>
      </c>
      <c r="E174" s="70">
        <v>0</v>
      </c>
      <c r="F174" s="70">
        <v>0</v>
      </c>
      <c r="G174" s="70">
        <v>0</v>
      </c>
      <c r="H174" s="70">
        <v>0</v>
      </c>
      <c r="I174" s="70">
        <v>0</v>
      </c>
      <c r="J174" s="70">
        <v>0</v>
      </c>
      <c r="K174" s="70">
        <v>120000</v>
      </c>
      <c r="L174" s="70">
        <v>120000</v>
      </c>
      <c r="M174" s="70">
        <v>105600</v>
      </c>
      <c r="N174" s="70">
        <v>105600</v>
      </c>
    </row>
    <row r="175" spans="1:14">
      <c r="A175" s="140">
        <f t="shared" si="3"/>
        <v>174</v>
      </c>
      <c r="B175" s="70">
        <v>0</v>
      </c>
      <c r="C175" s="70">
        <v>0</v>
      </c>
      <c r="D175" s="70">
        <v>0</v>
      </c>
      <c r="E175" s="70">
        <v>0</v>
      </c>
      <c r="F175" s="70">
        <v>0</v>
      </c>
      <c r="G175" s="70">
        <v>0</v>
      </c>
      <c r="H175" s="70">
        <v>0</v>
      </c>
      <c r="I175" s="70">
        <v>0</v>
      </c>
      <c r="J175" s="70">
        <v>0</v>
      </c>
      <c r="K175" s="70">
        <v>138000</v>
      </c>
      <c r="L175" s="70">
        <v>138000</v>
      </c>
      <c r="M175" s="70">
        <v>158700</v>
      </c>
      <c r="N175" s="70">
        <v>139656</v>
      </c>
    </row>
    <row r="176" spans="1:14">
      <c r="A176" s="140">
        <f t="shared" si="3"/>
        <v>175</v>
      </c>
      <c r="B176" s="70">
        <v>0</v>
      </c>
      <c r="C176" s="70">
        <v>0</v>
      </c>
      <c r="D176" s="70">
        <v>0</v>
      </c>
      <c r="E176" s="70">
        <v>0</v>
      </c>
      <c r="F176" s="70">
        <v>0</v>
      </c>
      <c r="G176" s="70">
        <v>0</v>
      </c>
      <c r="H176" s="70">
        <v>0</v>
      </c>
      <c r="I176" s="70">
        <v>0</v>
      </c>
      <c r="J176" s="70">
        <v>0</v>
      </c>
      <c r="K176" s="70">
        <v>0</v>
      </c>
      <c r="L176" s="70">
        <v>0</v>
      </c>
      <c r="M176" s="70">
        <v>105000</v>
      </c>
      <c r="N176" s="70">
        <v>105000</v>
      </c>
    </row>
    <row r="177" spans="1:14">
      <c r="A177" s="140">
        <f t="shared" si="3"/>
        <v>176</v>
      </c>
      <c r="B177" s="70">
        <v>0</v>
      </c>
      <c r="C177" s="70">
        <v>0</v>
      </c>
      <c r="D177" s="70">
        <v>0</v>
      </c>
      <c r="E177" s="70">
        <v>0</v>
      </c>
      <c r="F177" s="70">
        <v>0</v>
      </c>
      <c r="G177" s="70">
        <v>0</v>
      </c>
      <c r="H177" s="70">
        <v>0</v>
      </c>
      <c r="I177" s="70">
        <v>0</v>
      </c>
      <c r="J177" s="70">
        <v>0</v>
      </c>
      <c r="K177" s="70">
        <v>0</v>
      </c>
      <c r="L177" s="70">
        <v>0</v>
      </c>
      <c r="M177" s="70">
        <v>0</v>
      </c>
      <c r="N177" s="70">
        <v>120750</v>
      </c>
    </row>
    <row r="178" spans="1:14">
      <c r="A178" s="140">
        <f t="shared" si="3"/>
        <v>177</v>
      </c>
      <c r="B178" s="70">
        <v>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  <c r="I178" s="70">
        <v>105000</v>
      </c>
      <c r="J178" s="70">
        <v>120750</v>
      </c>
      <c r="K178" s="70">
        <v>159692</v>
      </c>
      <c r="L178" s="70">
        <v>211192.5</v>
      </c>
      <c r="M178" s="70">
        <v>211192.5</v>
      </c>
      <c r="N178" s="70">
        <v>242871.5</v>
      </c>
    </row>
    <row r="179" spans="1:14">
      <c r="A179" s="140">
        <f t="shared" si="3"/>
        <v>178</v>
      </c>
      <c r="B179" s="70">
        <v>0</v>
      </c>
      <c r="C179" s="70">
        <v>120000</v>
      </c>
      <c r="D179" s="70">
        <v>138000</v>
      </c>
      <c r="E179" s="70">
        <v>158700</v>
      </c>
      <c r="F179" s="70">
        <v>182505</v>
      </c>
      <c r="G179" s="70">
        <v>182505</v>
      </c>
      <c r="H179" s="70">
        <v>160604.5</v>
      </c>
      <c r="I179" s="70">
        <v>184695</v>
      </c>
      <c r="J179" s="70">
        <v>244259.25</v>
      </c>
      <c r="K179" s="70">
        <v>214948</v>
      </c>
      <c r="L179" s="70">
        <v>247190.25</v>
      </c>
      <c r="M179" s="70">
        <v>247190.25</v>
      </c>
      <c r="N179" s="70">
        <v>284269</v>
      </c>
    </row>
    <row r="180" spans="1:14">
      <c r="A180" s="140">
        <f t="shared" si="3"/>
        <v>179</v>
      </c>
      <c r="B180" s="70">
        <v>0</v>
      </c>
      <c r="C180" s="70">
        <v>0</v>
      </c>
      <c r="D180" s="70">
        <v>0</v>
      </c>
      <c r="E180" s="70">
        <v>0</v>
      </c>
      <c r="F180" s="70">
        <v>105000</v>
      </c>
      <c r="G180" s="70">
        <v>105000</v>
      </c>
      <c r="H180" s="70">
        <v>120750</v>
      </c>
      <c r="I180" s="70">
        <v>138862.5</v>
      </c>
      <c r="J180" s="70">
        <v>122199</v>
      </c>
      <c r="K180" s="70">
        <v>140528.75</v>
      </c>
      <c r="L180" s="70">
        <v>161608.25</v>
      </c>
      <c r="M180" s="70">
        <v>245785.75</v>
      </c>
      <c r="N180" s="70">
        <v>282653.75</v>
      </c>
    </row>
    <row r="181" spans="1:14">
      <c r="A181" s="140">
        <f t="shared" si="3"/>
        <v>180</v>
      </c>
      <c r="B181" s="70">
        <v>69000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  <c r="I181" s="70">
        <v>0</v>
      </c>
      <c r="J181" s="70">
        <v>0</v>
      </c>
      <c r="K181" s="70">
        <v>0</v>
      </c>
      <c r="L181" s="70">
        <v>0</v>
      </c>
      <c r="M181" s="70">
        <v>0</v>
      </c>
      <c r="N181" s="70">
        <v>0</v>
      </c>
    </row>
    <row r="182" spans="1:14">
      <c r="A182" s="140">
        <f t="shared" si="3"/>
        <v>181</v>
      </c>
      <c r="B182" s="70">
        <v>0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  <c r="I182" s="70">
        <v>0</v>
      </c>
      <c r="J182" s="70">
        <v>0</v>
      </c>
      <c r="K182" s="70">
        <v>0</v>
      </c>
      <c r="L182" s="70">
        <v>0</v>
      </c>
      <c r="M182" s="70">
        <v>120000</v>
      </c>
      <c r="N182" s="70">
        <v>120000</v>
      </c>
    </row>
    <row r="183" spans="1:14">
      <c r="A183" s="140">
        <f t="shared" si="3"/>
        <v>182</v>
      </c>
      <c r="B183" s="70">
        <v>0</v>
      </c>
      <c r="C183" s="70">
        <v>0</v>
      </c>
      <c r="D183" s="70">
        <v>0</v>
      </c>
      <c r="E183" s="70">
        <v>0</v>
      </c>
      <c r="F183" s="70">
        <v>0</v>
      </c>
      <c r="G183" s="70">
        <v>0</v>
      </c>
      <c r="H183" s="70">
        <v>0</v>
      </c>
      <c r="I183" s="70">
        <v>0</v>
      </c>
      <c r="J183" s="70">
        <v>0</v>
      </c>
      <c r="K183" s="70">
        <v>0</v>
      </c>
      <c r="L183" s="70">
        <v>0</v>
      </c>
      <c r="M183" s="70">
        <v>105000</v>
      </c>
      <c r="N183" s="70">
        <v>105000</v>
      </c>
    </row>
    <row r="184" spans="1:14">
      <c r="A184" s="140">
        <f t="shared" si="3"/>
        <v>183</v>
      </c>
      <c r="B184" s="70">
        <v>120750</v>
      </c>
      <c r="C184" s="70">
        <v>120750</v>
      </c>
      <c r="D184" s="70">
        <v>120750</v>
      </c>
      <c r="E184" s="70">
        <v>138862.5</v>
      </c>
      <c r="F184" s="70">
        <v>138862.5</v>
      </c>
      <c r="G184" s="70">
        <v>138862.5</v>
      </c>
      <c r="H184" s="70">
        <v>138862.5</v>
      </c>
      <c r="I184" s="70">
        <v>159692</v>
      </c>
      <c r="J184" s="70">
        <v>161608.25</v>
      </c>
      <c r="K184" s="70">
        <v>161608.25</v>
      </c>
      <c r="L184" s="70">
        <v>142215.25</v>
      </c>
      <c r="M184" s="70">
        <v>163547.5</v>
      </c>
      <c r="N184" s="70">
        <v>188079.5</v>
      </c>
    </row>
    <row r="185" spans="1:14">
      <c r="A185" s="140">
        <f t="shared" si="3"/>
        <v>184</v>
      </c>
      <c r="B185" s="70">
        <v>0</v>
      </c>
      <c r="C185" s="70">
        <v>0</v>
      </c>
      <c r="D185" s="70">
        <v>0</v>
      </c>
      <c r="E185" s="70">
        <v>0</v>
      </c>
      <c r="F185" s="70">
        <v>0</v>
      </c>
      <c r="G185" s="70">
        <v>0</v>
      </c>
      <c r="H185" s="70">
        <v>0</v>
      </c>
      <c r="I185" s="70">
        <v>105000</v>
      </c>
      <c r="J185" s="70">
        <v>120750</v>
      </c>
      <c r="K185" s="70">
        <v>120750</v>
      </c>
      <c r="L185" s="70">
        <v>138862.5</v>
      </c>
      <c r="M185" s="70">
        <v>138862.5</v>
      </c>
      <c r="N185" s="70">
        <v>138862.5</v>
      </c>
    </row>
    <row r="186" spans="1:14">
      <c r="A186" s="140">
        <f t="shared" si="3"/>
        <v>185</v>
      </c>
      <c r="B186" s="70">
        <v>0</v>
      </c>
      <c r="C186" s="70">
        <v>0</v>
      </c>
      <c r="D186" s="70">
        <v>0</v>
      </c>
      <c r="E186" s="70">
        <v>0</v>
      </c>
      <c r="F186" s="70">
        <v>0</v>
      </c>
      <c r="G186" s="70">
        <v>0</v>
      </c>
      <c r="H186" s="70">
        <v>0</v>
      </c>
      <c r="I186" s="70">
        <v>0</v>
      </c>
      <c r="J186" s="70">
        <v>0</v>
      </c>
      <c r="K186" s="70">
        <v>0</v>
      </c>
      <c r="L186" s="70">
        <v>120000</v>
      </c>
      <c r="M186" s="70">
        <v>138000</v>
      </c>
      <c r="N186" s="70">
        <v>158700</v>
      </c>
    </row>
    <row r="187" spans="1:14">
      <c r="A187" s="140">
        <f t="shared" si="3"/>
        <v>186</v>
      </c>
      <c r="B187" s="70">
        <v>0</v>
      </c>
      <c r="C187" s="70">
        <v>0</v>
      </c>
      <c r="D187" s="70">
        <v>0</v>
      </c>
      <c r="E187" s="70">
        <v>0</v>
      </c>
      <c r="F187" s="70">
        <v>0</v>
      </c>
      <c r="G187" s="70">
        <v>0</v>
      </c>
      <c r="H187" s="70">
        <v>0</v>
      </c>
      <c r="I187" s="70">
        <v>0</v>
      </c>
      <c r="J187" s="70">
        <v>0</v>
      </c>
      <c r="K187" s="70">
        <v>0</v>
      </c>
      <c r="L187" s="70">
        <v>105000</v>
      </c>
      <c r="M187" s="70">
        <v>120750</v>
      </c>
      <c r="N187" s="70">
        <v>120750</v>
      </c>
    </row>
    <row r="188" spans="1:14">
      <c r="A188" s="140">
        <f t="shared" si="3"/>
        <v>187</v>
      </c>
      <c r="B188" s="70">
        <v>0</v>
      </c>
      <c r="C188" s="70">
        <v>0</v>
      </c>
      <c r="D188" s="70">
        <v>0</v>
      </c>
      <c r="E188" s="70">
        <v>0</v>
      </c>
      <c r="F188" s="70">
        <v>0</v>
      </c>
      <c r="G188" s="70">
        <v>0</v>
      </c>
      <c r="H188" s="70">
        <v>0</v>
      </c>
      <c r="I188" s="70">
        <v>0</v>
      </c>
      <c r="J188" s="70">
        <v>60000</v>
      </c>
      <c r="K188" s="70">
        <v>69000</v>
      </c>
      <c r="L188" s="70">
        <v>60720</v>
      </c>
      <c r="M188" s="70">
        <v>60720</v>
      </c>
      <c r="N188" s="70">
        <v>53433.5</v>
      </c>
    </row>
    <row r="189" spans="1:14">
      <c r="A189" s="140">
        <f t="shared" si="3"/>
        <v>188</v>
      </c>
      <c r="B189" s="70">
        <v>0</v>
      </c>
      <c r="C189" s="70">
        <v>0</v>
      </c>
      <c r="D189" s="70">
        <v>0</v>
      </c>
      <c r="E189" s="70">
        <v>0</v>
      </c>
      <c r="F189" s="70">
        <v>0</v>
      </c>
      <c r="G189" s="70">
        <v>0</v>
      </c>
      <c r="H189" s="70">
        <v>0</v>
      </c>
      <c r="I189" s="70">
        <v>0</v>
      </c>
      <c r="J189" s="70">
        <v>0</v>
      </c>
      <c r="K189" s="70">
        <v>0</v>
      </c>
      <c r="L189" s="70">
        <v>0</v>
      </c>
      <c r="M189" s="70">
        <v>0</v>
      </c>
      <c r="N189" s="70">
        <v>105000</v>
      </c>
    </row>
    <row r="190" spans="1:14">
      <c r="A190" s="140">
        <f t="shared" si="3"/>
        <v>189</v>
      </c>
      <c r="B190" s="70">
        <v>120000</v>
      </c>
      <c r="C190" s="70">
        <v>120000</v>
      </c>
      <c r="D190" s="70">
        <v>138000</v>
      </c>
      <c r="E190" s="70">
        <v>138000</v>
      </c>
      <c r="F190" s="70">
        <v>158700</v>
      </c>
      <c r="G190" s="70">
        <v>209880.75</v>
      </c>
      <c r="H190" s="70">
        <v>212399.25</v>
      </c>
      <c r="I190" s="70">
        <v>244259.25</v>
      </c>
      <c r="J190" s="70">
        <v>244259.25</v>
      </c>
      <c r="K190" s="70">
        <v>214948</v>
      </c>
      <c r="L190" s="70">
        <v>214948</v>
      </c>
      <c r="M190" s="70">
        <v>217527.5</v>
      </c>
      <c r="N190" s="70">
        <v>250156.5</v>
      </c>
    </row>
    <row r="191" spans="1:14">
      <c r="A191" s="140">
        <f t="shared" si="3"/>
        <v>190</v>
      </c>
      <c r="B191" s="70">
        <v>0</v>
      </c>
      <c r="C191" s="70">
        <v>0</v>
      </c>
      <c r="D191" s="70">
        <v>0</v>
      </c>
      <c r="E191" s="70">
        <v>120000</v>
      </c>
      <c r="F191" s="70">
        <v>158700</v>
      </c>
      <c r="G191" s="70">
        <v>158700</v>
      </c>
      <c r="H191" s="70">
        <v>209880.75</v>
      </c>
      <c r="I191" s="70">
        <v>209880.75</v>
      </c>
      <c r="J191" s="70">
        <v>209880.75</v>
      </c>
      <c r="K191" s="70">
        <v>241362.75</v>
      </c>
      <c r="L191" s="70">
        <v>241362.75</v>
      </c>
      <c r="M191" s="70">
        <v>241362.75</v>
      </c>
      <c r="N191" s="70">
        <v>277567.25</v>
      </c>
    </row>
    <row r="192" spans="1:14">
      <c r="A192" s="140">
        <f t="shared" si="3"/>
        <v>191</v>
      </c>
      <c r="B192" s="70">
        <v>0</v>
      </c>
      <c r="C192" s="70">
        <v>0</v>
      </c>
      <c r="D192" s="70">
        <v>0</v>
      </c>
      <c r="E192" s="70">
        <v>0</v>
      </c>
      <c r="F192" s="70">
        <v>0</v>
      </c>
      <c r="G192" s="70">
        <v>0</v>
      </c>
      <c r="H192" s="70">
        <v>0</v>
      </c>
      <c r="I192" s="70">
        <v>0</v>
      </c>
      <c r="J192" s="70">
        <v>0</v>
      </c>
      <c r="K192" s="70">
        <v>0</v>
      </c>
      <c r="L192" s="70">
        <v>0</v>
      </c>
      <c r="M192" s="70">
        <v>0</v>
      </c>
      <c r="N192" s="70">
        <v>92400</v>
      </c>
    </row>
    <row r="193" spans="1:14">
      <c r="A193" s="140">
        <f t="shared" si="3"/>
        <v>192</v>
      </c>
      <c r="B193" s="70">
        <v>0</v>
      </c>
      <c r="C193" s="70">
        <v>0</v>
      </c>
      <c r="D193" s="70">
        <v>0</v>
      </c>
      <c r="E193" s="70">
        <v>0</v>
      </c>
      <c r="F193" s="70">
        <v>0</v>
      </c>
      <c r="G193" s="70">
        <v>0</v>
      </c>
      <c r="H193" s="70">
        <v>0</v>
      </c>
      <c r="I193" s="70">
        <v>105000</v>
      </c>
      <c r="J193" s="70">
        <v>106260</v>
      </c>
      <c r="K193" s="70">
        <v>122199</v>
      </c>
      <c r="L193" s="70">
        <v>140528.75</v>
      </c>
      <c r="M193" s="70">
        <v>123665.5</v>
      </c>
      <c r="N193" s="70">
        <v>163547.5</v>
      </c>
    </row>
    <row r="194" spans="1:14">
      <c r="A194" s="140">
        <f t="shared" si="3"/>
        <v>193</v>
      </c>
      <c r="B194" s="70">
        <v>0</v>
      </c>
      <c r="C194" s="70">
        <v>0</v>
      </c>
      <c r="D194" s="70">
        <v>0</v>
      </c>
      <c r="E194" s="70">
        <v>0</v>
      </c>
      <c r="F194" s="70">
        <v>0</v>
      </c>
      <c r="G194" s="70">
        <v>0</v>
      </c>
      <c r="H194" s="70">
        <v>0</v>
      </c>
      <c r="I194" s="70">
        <v>0</v>
      </c>
      <c r="J194" s="70">
        <v>0</v>
      </c>
      <c r="K194" s="70">
        <v>0</v>
      </c>
      <c r="L194" s="70">
        <v>0</v>
      </c>
      <c r="M194" s="70">
        <v>138000</v>
      </c>
      <c r="N194" s="70">
        <v>138000</v>
      </c>
    </row>
    <row r="195" spans="1:14">
      <c r="A195" s="140">
        <f t="shared" ref="A195:A258" si="4">+A194+1</f>
        <v>194</v>
      </c>
      <c r="B195" s="70">
        <v>0</v>
      </c>
      <c r="C195" s="70">
        <v>0</v>
      </c>
      <c r="D195" s="70">
        <v>0</v>
      </c>
      <c r="E195" s="70">
        <v>0</v>
      </c>
      <c r="F195" s="70">
        <v>0</v>
      </c>
      <c r="G195" s="70">
        <v>0</v>
      </c>
      <c r="H195" s="70">
        <v>60000</v>
      </c>
      <c r="I195" s="70">
        <v>60720</v>
      </c>
      <c r="J195" s="70">
        <v>60720</v>
      </c>
      <c r="K195" s="70">
        <v>69828</v>
      </c>
      <c r="L195" s="70">
        <v>69828</v>
      </c>
      <c r="M195" s="70">
        <v>80302.25</v>
      </c>
      <c r="N195" s="70">
        <v>92347.5</v>
      </c>
    </row>
    <row r="196" spans="1:14">
      <c r="A196" s="140">
        <f t="shared" si="4"/>
        <v>195</v>
      </c>
      <c r="B196" s="70">
        <v>120000</v>
      </c>
      <c r="C196" s="70">
        <v>120000</v>
      </c>
      <c r="D196" s="70">
        <v>92928</v>
      </c>
      <c r="E196" s="70">
        <v>106867.25</v>
      </c>
      <c r="F196" s="70">
        <v>122897.25</v>
      </c>
      <c r="G196" s="70">
        <v>124372</v>
      </c>
      <c r="H196" s="70">
        <v>143027.75</v>
      </c>
      <c r="I196" s="70">
        <v>144744.25</v>
      </c>
      <c r="J196" s="70">
        <v>144744.25</v>
      </c>
      <c r="K196" s="70">
        <v>191424.25</v>
      </c>
      <c r="L196" s="70">
        <v>220137.75</v>
      </c>
      <c r="M196" s="70">
        <v>0</v>
      </c>
      <c r="N196" s="70">
        <v>0</v>
      </c>
    </row>
    <row r="197" spans="1:14">
      <c r="A197" s="140">
        <f t="shared" si="4"/>
        <v>196</v>
      </c>
      <c r="B197" s="70">
        <v>0</v>
      </c>
      <c r="C197" s="70">
        <v>0</v>
      </c>
      <c r="D197" s="70">
        <v>0</v>
      </c>
      <c r="E197" s="70">
        <v>0</v>
      </c>
      <c r="F197" s="70">
        <v>0</v>
      </c>
      <c r="G197" s="70">
        <v>0</v>
      </c>
      <c r="H197" s="70">
        <v>0</v>
      </c>
      <c r="I197" s="70">
        <v>0</v>
      </c>
      <c r="J197" s="70">
        <v>138862.5</v>
      </c>
      <c r="K197" s="70">
        <v>138862.5</v>
      </c>
      <c r="L197" s="70">
        <v>122199</v>
      </c>
      <c r="M197" s="70">
        <v>140528.75</v>
      </c>
      <c r="N197" s="70">
        <v>140528.75</v>
      </c>
    </row>
    <row r="198" spans="1:14">
      <c r="A198" s="140">
        <f t="shared" si="4"/>
        <v>197</v>
      </c>
      <c r="B198" s="70">
        <v>0</v>
      </c>
      <c r="C198" s="70">
        <v>0</v>
      </c>
      <c r="D198" s="70">
        <v>0</v>
      </c>
      <c r="E198" s="70">
        <v>0</v>
      </c>
      <c r="F198" s="70">
        <v>0</v>
      </c>
      <c r="G198" s="70">
        <v>0</v>
      </c>
      <c r="H198" s="70">
        <v>0</v>
      </c>
      <c r="I198" s="70">
        <v>0</v>
      </c>
      <c r="J198" s="70">
        <v>0</v>
      </c>
      <c r="K198" s="70">
        <v>0</v>
      </c>
      <c r="L198" s="70">
        <v>0</v>
      </c>
      <c r="M198" s="70">
        <v>0</v>
      </c>
      <c r="N198" s="70">
        <v>120750</v>
      </c>
    </row>
    <row r="199" spans="1:14">
      <c r="A199" s="140">
        <f t="shared" si="4"/>
        <v>198</v>
      </c>
      <c r="B199" s="70">
        <v>0</v>
      </c>
      <c r="C199" s="70">
        <v>0</v>
      </c>
      <c r="D199" s="70">
        <v>0</v>
      </c>
      <c r="E199" s="70">
        <v>0</v>
      </c>
      <c r="F199" s="70">
        <v>0</v>
      </c>
      <c r="G199" s="70">
        <v>0</v>
      </c>
      <c r="H199" s="70">
        <v>0</v>
      </c>
      <c r="I199" s="70">
        <v>0</v>
      </c>
      <c r="J199" s="70">
        <v>0</v>
      </c>
      <c r="K199" s="70">
        <v>0</v>
      </c>
      <c r="L199" s="70">
        <v>0</v>
      </c>
      <c r="M199" s="70">
        <v>69000</v>
      </c>
      <c r="N199" s="70">
        <v>69000</v>
      </c>
    </row>
    <row r="200" spans="1:14">
      <c r="A200" s="140">
        <f t="shared" si="4"/>
        <v>199</v>
      </c>
      <c r="B200" s="70">
        <v>0</v>
      </c>
      <c r="C200" s="70">
        <v>0</v>
      </c>
      <c r="D200" s="70">
        <v>0</v>
      </c>
      <c r="E200" s="70">
        <v>0</v>
      </c>
      <c r="F200" s="70">
        <v>0</v>
      </c>
      <c r="G200" s="70">
        <v>0</v>
      </c>
      <c r="H200" s="70">
        <v>0</v>
      </c>
      <c r="I200" s="70">
        <v>0</v>
      </c>
      <c r="J200" s="70">
        <v>105000</v>
      </c>
      <c r="K200" s="70">
        <v>92400</v>
      </c>
      <c r="L200" s="70">
        <v>92400</v>
      </c>
      <c r="M200" s="70">
        <v>106260</v>
      </c>
      <c r="N200" s="70">
        <v>93508.75</v>
      </c>
    </row>
    <row r="201" spans="1:14">
      <c r="A201" s="140">
        <f t="shared" si="4"/>
        <v>200</v>
      </c>
      <c r="B201" s="70">
        <v>0</v>
      </c>
      <c r="C201" s="70">
        <v>0</v>
      </c>
      <c r="D201" s="70">
        <v>0</v>
      </c>
      <c r="E201" s="70">
        <v>0</v>
      </c>
      <c r="F201" s="70">
        <v>0</v>
      </c>
      <c r="G201" s="70">
        <v>0</v>
      </c>
      <c r="H201" s="70">
        <v>0</v>
      </c>
      <c r="I201" s="70">
        <v>0</v>
      </c>
      <c r="J201" s="70">
        <v>0</v>
      </c>
      <c r="K201" s="70">
        <v>0</v>
      </c>
      <c r="L201" s="70">
        <v>0</v>
      </c>
      <c r="M201" s="70">
        <v>0</v>
      </c>
      <c r="N201" s="70">
        <v>105000</v>
      </c>
    </row>
    <row r="202" spans="1:14">
      <c r="A202" s="140">
        <f t="shared" si="4"/>
        <v>201</v>
      </c>
      <c r="B202" s="70">
        <v>0</v>
      </c>
      <c r="C202" s="70">
        <v>0</v>
      </c>
      <c r="D202" s="70">
        <v>0</v>
      </c>
      <c r="E202" s="70">
        <v>0</v>
      </c>
      <c r="F202" s="70">
        <v>69000</v>
      </c>
      <c r="G202" s="70">
        <v>79350</v>
      </c>
      <c r="H202" s="70">
        <v>104940.5</v>
      </c>
      <c r="I202" s="70">
        <v>92347.5</v>
      </c>
      <c r="J202" s="70">
        <v>92347.5</v>
      </c>
      <c r="K202" s="70">
        <v>106199.75</v>
      </c>
      <c r="L202" s="70">
        <v>122129.5</v>
      </c>
      <c r="M202" s="70">
        <v>140449</v>
      </c>
      <c r="N202" s="70">
        <v>0</v>
      </c>
    </row>
    <row r="203" spans="1:14">
      <c r="A203" s="140">
        <f t="shared" si="4"/>
        <v>202</v>
      </c>
      <c r="B203" s="70">
        <v>0</v>
      </c>
      <c r="C203" s="70">
        <v>0</v>
      </c>
      <c r="D203" s="70">
        <v>0</v>
      </c>
      <c r="E203" s="70">
        <v>0</v>
      </c>
      <c r="F203" s="70">
        <v>0</v>
      </c>
      <c r="G203" s="70">
        <v>0</v>
      </c>
      <c r="H203" s="70">
        <v>0</v>
      </c>
      <c r="I203" s="70">
        <v>0</v>
      </c>
      <c r="J203" s="70">
        <v>0</v>
      </c>
      <c r="K203" s="70">
        <v>105000</v>
      </c>
      <c r="L203" s="70">
        <v>120750</v>
      </c>
      <c r="M203" s="70">
        <v>138862.5</v>
      </c>
      <c r="N203" s="70">
        <v>138862.5</v>
      </c>
    </row>
    <row r="204" spans="1:14">
      <c r="A204" s="140">
        <f t="shared" si="4"/>
        <v>203</v>
      </c>
      <c r="B204" s="70">
        <v>0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  <c r="I204" s="70">
        <v>0</v>
      </c>
      <c r="J204" s="70">
        <v>0</v>
      </c>
      <c r="K204" s="70">
        <v>0</v>
      </c>
      <c r="L204" s="70">
        <v>0</v>
      </c>
      <c r="M204" s="70">
        <v>0</v>
      </c>
      <c r="N204" s="70">
        <v>105000</v>
      </c>
    </row>
    <row r="205" spans="1:14">
      <c r="A205" s="140">
        <f t="shared" si="4"/>
        <v>204</v>
      </c>
      <c r="B205" s="70">
        <v>0</v>
      </c>
      <c r="C205" s="70">
        <v>0</v>
      </c>
      <c r="D205" s="70">
        <v>0</v>
      </c>
      <c r="E205" s="70">
        <v>0</v>
      </c>
      <c r="F205" s="70">
        <v>138000</v>
      </c>
      <c r="G205" s="70">
        <v>158700</v>
      </c>
      <c r="H205" s="70">
        <v>158700</v>
      </c>
      <c r="I205" s="70">
        <v>158700</v>
      </c>
      <c r="J205" s="70">
        <v>160604.5</v>
      </c>
      <c r="K205" s="70">
        <v>184695</v>
      </c>
      <c r="L205" s="70">
        <v>184695</v>
      </c>
      <c r="M205" s="70">
        <v>184695</v>
      </c>
      <c r="N205" s="70">
        <v>184695</v>
      </c>
    </row>
    <row r="206" spans="1:14">
      <c r="A206" s="140">
        <f t="shared" si="4"/>
        <v>205</v>
      </c>
      <c r="B206" s="70">
        <v>105000</v>
      </c>
      <c r="C206" s="70">
        <v>120750</v>
      </c>
      <c r="D206" s="70">
        <v>120750</v>
      </c>
      <c r="E206" s="70">
        <v>120750</v>
      </c>
      <c r="F206" s="70">
        <v>120750</v>
      </c>
      <c r="G206" s="70">
        <v>122199</v>
      </c>
      <c r="H206" s="70">
        <v>122199</v>
      </c>
      <c r="I206" s="70">
        <v>107535</v>
      </c>
      <c r="J206" s="70">
        <v>107535</v>
      </c>
      <c r="K206" s="70">
        <v>107535</v>
      </c>
      <c r="L206" s="70">
        <v>123665.5</v>
      </c>
      <c r="M206" s="70">
        <v>143921.75</v>
      </c>
      <c r="N206" s="70">
        <v>143921.75</v>
      </c>
    </row>
    <row r="207" spans="1:14">
      <c r="A207" s="140">
        <f t="shared" si="4"/>
        <v>206</v>
      </c>
      <c r="B207" s="70">
        <v>0</v>
      </c>
      <c r="C207" s="70">
        <v>0</v>
      </c>
      <c r="D207" s="70">
        <v>0</v>
      </c>
      <c r="E207" s="70">
        <v>0</v>
      </c>
      <c r="F207" s="70">
        <v>0</v>
      </c>
      <c r="G207" s="70">
        <v>0</v>
      </c>
      <c r="H207" s="70">
        <v>0</v>
      </c>
      <c r="I207" s="70">
        <v>0</v>
      </c>
      <c r="J207" s="70">
        <v>0</v>
      </c>
      <c r="K207" s="70">
        <v>120000</v>
      </c>
      <c r="L207" s="70">
        <v>138000</v>
      </c>
      <c r="M207" s="70">
        <v>158700</v>
      </c>
      <c r="N207" s="70">
        <v>158700</v>
      </c>
    </row>
    <row r="208" spans="1:14">
      <c r="A208" s="140">
        <f t="shared" si="4"/>
        <v>207</v>
      </c>
      <c r="B208" s="70">
        <v>0</v>
      </c>
      <c r="C208" s="70">
        <v>0</v>
      </c>
      <c r="D208" s="70">
        <v>0</v>
      </c>
      <c r="E208" s="70">
        <v>0</v>
      </c>
      <c r="F208" s="70">
        <v>0</v>
      </c>
      <c r="G208" s="70">
        <v>0</v>
      </c>
      <c r="H208" s="70">
        <v>0</v>
      </c>
      <c r="I208" s="70">
        <v>0</v>
      </c>
      <c r="J208" s="70">
        <v>0</v>
      </c>
      <c r="K208" s="70">
        <v>120000</v>
      </c>
      <c r="L208" s="70">
        <v>120000</v>
      </c>
      <c r="M208" s="70">
        <v>138000</v>
      </c>
      <c r="N208" s="70">
        <v>138000</v>
      </c>
    </row>
    <row r="209" spans="1:14">
      <c r="A209" s="140">
        <f t="shared" si="4"/>
        <v>208</v>
      </c>
      <c r="B209" s="70">
        <v>0</v>
      </c>
      <c r="C209" s="70">
        <v>0</v>
      </c>
      <c r="D209" s="70">
        <v>120000</v>
      </c>
      <c r="E209" s="70">
        <v>120000</v>
      </c>
      <c r="F209" s="70">
        <v>138000</v>
      </c>
      <c r="G209" s="70">
        <v>158700</v>
      </c>
      <c r="H209" s="70">
        <v>160604.5</v>
      </c>
      <c r="I209" s="70">
        <v>160604.5</v>
      </c>
      <c r="J209" s="70">
        <v>184695</v>
      </c>
      <c r="K209" s="70">
        <v>184695</v>
      </c>
      <c r="L209" s="70">
        <v>184695</v>
      </c>
      <c r="M209" s="70">
        <v>184695</v>
      </c>
      <c r="N209" s="70">
        <v>162531.75</v>
      </c>
    </row>
    <row r="210" spans="1:14">
      <c r="A210" s="140">
        <f t="shared" si="4"/>
        <v>209</v>
      </c>
      <c r="B210" s="70">
        <v>0</v>
      </c>
      <c r="C210" s="70">
        <v>0</v>
      </c>
      <c r="D210" s="70">
        <v>0</v>
      </c>
      <c r="E210" s="70">
        <v>0</v>
      </c>
      <c r="F210" s="70">
        <v>0</v>
      </c>
      <c r="G210" s="70">
        <v>105000</v>
      </c>
      <c r="H210" s="70">
        <v>138862.5</v>
      </c>
      <c r="I210" s="70">
        <v>138862.5</v>
      </c>
      <c r="J210" s="70">
        <v>159692</v>
      </c>
      <c r="K210" s="70">
        <v>183645.75</v>
      </c>
      <c r="L210" s="70">
        <v>183645.75</v>
      </c>
      <c r="M210" s="70">
        <v>211192.5</v>
      </c>
      <c r="N210" s="70">
        <v>211192.5</v>
      </c>
    </row>
    <row r="211" spans="1:14">
      <c r="A211" s="140">
        <f t="shared" si="4"/>
        <v>210</v>
      </c>
      <c r="B211" s="70">
        <v>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  <c r="I211" s="70">
        <v>0</v>
      </c>
      <c r="J211" s="70">
        <v>105000</v>
      </c>
      <c r="K211" s="70">
        <v>105000</v>
      </c>
      <c r="L211" s="70">
        <v>92400</v>
      </c>
      <c r="M211" s="70">
        <v>92400</v>
      </c>
      <c r="N211" s="70">
        <v>106260</v>
      </c>
    </row>
    <row r="212" spans="1:14">
      <c r="A212" s="140">
        <f t="shared" si="4"/>
        <v>211</v>
      </c>
      <c r="B212" s="70">
        <v>0</v>
      </c>
      <c r="C212" s="70">
        <v>0</v>
      </c>
      <c r="D212" s="70">
        <v>0</v>
      </c>
      <c r="E212" s="70">
        <v>0</v>
      </c>
      <c r="F212" s="70">
        <v>0</v>
      </c>
      <c r="G212" s="70">
        <v>0</v>
      </c>
      <c r="H212" s="70">
        <v>0</v>
      </c>
      <c r="I212" s="70">
        <v>0</v>
      </c>
      <c r="J212" s="70">
        <v>0</v>
      </c>
      <c r="K212" s="70">
        <v>0</v>
      </c>
      <c r="L212" s="70">
        <v>0</v>
      </c>
      <c r="M212" s="70">
        <v>0</v>
      </c>
      <c r="N212" s="70">
        <v>105000</v>
      </c>
    </row>
    <row r="213" spans="1:14">
      <c r="A213" s="140">
        <f t="shared" si="4"/>
        <v>212</v>
      </c>
      <c r="B213" s="70">
        <v>0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  <c r="I213" s="70">
        <v>0</v>
      </c>
      <c r="J213" s="70">
        <v>0</v>
      </c>
      <c r="K213" s="70">
        <v>0</v>
      </c>
      <c r="L213" s="70">
        <v>0</v>
      </c>
      <c r="M213" s="70">
        <v>120000</v>
      </c>
      <c r="N213" s="70">
        <v>105600</v>
      </c>
    </row>
    <row r="214" spans="1:14">
      <c r="A214" s="140">
        <f t="shared" si="4"/>
        <v>213</v>
      </c>
      <c r="B214" s="70">
        <v>0</v>
      </c>
      <c r="C214" s="70">
        <v>0</v>
      </c>
      <c r="D214" s="70">
        <v>0</v>
      </c>
      <c r="E214" s="70">
        <v>0</v>
      </c>
      <c r="F214" s="70">
        <v>0</v>
      </c>
      <c r="G214" s="70">
        <v>0</v>
      </c>
      <c r="H214" s="70">
        <v>0</v>
      </c>
      <c r="I214" s="70">
        <v>0</v>
      </c>
      <c r="J214" s="70">
        <v>0</v>
      </c>
      <c r="K214" s="70">
        <v>0</v>
      </c>
      <c r="L214" s="70">
        <v>60000</v>
      </c>
      <c r="M214" s="70">
        <v>69000</v>
      </c>
      <c r="N214" s="70">
        <v>91252.5</v>
      </c>
    </row>
    <row r="215" spans="1:14">
      <c r="A215" s="140">
        <f t="shared" si="4"/>
        <v>214</v>
      </c>
      <c r="B215" s="70">
        <v>0</v>
      </c>
      <c r="C215" s="70">
        <v>0</v>
      </c>
      <c r="D215" s="70">
        <v>0</v>
      </c>
      <c r="E215" s="70">
        <v>0</v>
      </c>
      <c r="F215" s="70">
        <v>0</v>
      </c>
      <c r="G215" s="70">
        <v>0</v>
      </c>
      <c r="H215" s="70">
        <v>0</v>
      </c>
      <c r="I215" s="70">
        <v>0</v>
      </c>
      <c r="J215" s="70">
        <v>105000</v>
      </c>
      <c r="K215" s="70">
        <v>120750</v>
      </c>
      <c r="L215" s="70">
        <v>138862.5</v>
      </c>
      <c r="M215" s="70">
        <v>159692</v>
      </c>
      <c r="N215" s="70">
        <v>211192.5</v>
      </c>
    </row>
    <row r="216" spans="1:14">
      <c r="A216" s="140">
        <f t="shared" si="4"/>
        <v>215</v>
      </c>
      <c r="B216" s="70">
        <v>0</v>
      </c>
      <c r="C216" s="70">
        <v>0</v>
      </c>
      <c r="D216" s="70">
        <v>0</v>
      </c>
      <c r="E216" s="70">
        <v>0</v>
      </c>
      <c r="F216" s="70">
        <v>0</v>
      </c>
      <c r="G216" s="70">
        <v>0</v>
      </c>
      <c r="H216" s="70">
        <v>0</v>
      </c>
      <c r="I216" s="70">
        <v>0</v>
      </c>
      <c r="J216" s="70">
        <v>0</v>
      </c>
      <c r="K216" s="70">
        <v>0</v>
      </c>
      <c r="L216" s="70">
        <v>0</v>
      </c>
      <c r="M216" s="70">
        <v>158700</v>
      </c>
      <c r="N216" s="70">
        <v>209880.75</v>
      </c>
    </row>
    <row r="217" spans="1:14">
      <c r="A217" s="140">
        <f t="shared" si="4"/>
        <v>216</v>
      </c>
      <c r="B217" s="70">
        <v>0</v>
      </c>
      <c r="C217" s="70">
        <v>60000</v>
      </c>
      <c r="D217" s="70">
        <v>69000</v>
      </c>
      <c r="E217" s="70">
        <v>69000</v>
      </c>
      <c r="F217" s="70">
        <v>91252.5</v>
      </c>
      <c r="G217" s="70">
        <v>104940.5</v>
      </c>
      <c r="H217" s="70">
        <v>92347.5</v>
      </c>
      <c r="I217" s="70">
        <v>81265.75</v>
      </c>
      <c r="J217" s="70">
        <v>81265.75</v>
      </c>
      <c r="K217" s="70">
        <v>71514</v>
      </c>
      <c r="L217" s="70">
        <v>71514</v>
      </c>
      <c r="M217" s="70">
        <v>71514</v>
      </c>
      <c r="N217" s="70">
        <v>82241</v>
      </c>
    </row>
    <row r="218" spans="1:14">
      <c r="A218" s="140">
        <f t="shared" si="4"/>
        <v>217</v>
      </c>
      <c r="B218" s="70">
        <v>0</v>
      </c>
      <c r="C218" s="70">
        <v>0</v>
      </c>
      <c r="D218" s="70">
        <v>0</v>
      </c>
      <c r="E218" s="70">
        <v>0</v>
      </c>
      <c r="F218" s="70">
        <v>0</v>
      </c>
      <c r="G218" s="70">
        <v>0</v>
      </c>
      <c r="H218" s="70">
        <v>0</v>
      </c>
      <c r="I218" s="70">
        <v>60000</v>
      </c>
      <c r="J218" s="70">
        <v>69000</v>
      </c>
      <c r="K218" s="70">
        <v>79350</v>
      </c>
      <c r="L218" s="70">
        <v>61448.75</v>
      </c>
      <c r="M218" s="70">
        <v>61448.75</v>
      </c>
      <c r="N218" s="70">
        <v>54074.75</v>
      </c>
    </row>
    <row r="219" spans="1:14">
      <c r="A219" s="140">
        <f t="shared" si="4"/>
        <v>218</v>
      </c>
      <c r="B219" s="70">
        <v>0</v>
      </c>
      <c r="C219" s="70">
        <v>0</v>
      </c>
      <c r="D219" s="70">
        <v>0</v>
      </c>
      <c r="E219" s="70">
        <v>0</v>
      </c>
      <c r="F219" s="70">
        <v>0</v>
      </c>
      <c r="G219" s="70">
        <v>0</v>
      </c>
      <c r="H219" s="70">
        <v>138000</v>
      </c>
      <c r="I219" s="70">
        <v>158700</v>
      </c>
      <c r="J219" s="70">
        <v>182505</v>
      </c>
      <c r="K219" s="70">
        <v>209880.75</v>
      </c>
      <c r="L219" s="70">
        <v>209880.75</v>
      </c>
      <c r="M219" s="70">
        <v>184695</v>
      </c>
      <c r="N219" s="70">
        <v>184695</v>
      </c>
    </row>
    <row r="220" spans="1:14">
      <c r="A220" s="140">
        <f t="shared" si="4"/>
        <v>219</v>
      </c>
      <c r="B220" s="70">
        <v>0</v>
      </c>
      <c r="C220" s="70">
        <v>0</v>
      </c>
      <c r="D220" s="70">
        <v>0</v>
      </c>
      <c r="E220" s="70">
        <v>0</v>
      </c>
      <c r="F220" s="70">
        <v>0</v>
      </c>
      <c r="G220" s="70">
        <v>0</v>
      </c>
      <c r="H220" s="70">
        <v>0</v>
      </c>
      <c r="I220" s="70">
        <v>0</v>
      </c>
      <c r="J220" s="70">
        <v>120750</v>
      </c>
      <c r="K220" s="70">
        <v>120750</v>
      </c>
      <c r="L220" s="70">
        <v>120750</v>
      </c>
      <c r="M220" s="70">
        <v>120750</v>
      </c>
      <c r="N220" s="70">
        <v>106260</v>
      </c>
    </row>
    <row r="221" spans="1:14">
      <c r="A221" s="140">
        <f t="shared" si="4"/>
        <v>220</v>
      </c>
      <c r="B221" s="70">
        <v>0</v>
      </c>
      <c r="C221" s="70">
        <v>0</v>
      </c>
      <c r="D221" s="70">
        <v>0</v>
      </c>
      <c r="E221" s="70">
        <v>0</v>
      </c>
      <c r="F221" s="70">
        <v>0</v>
      </c>
      <c r="G221" s="70">
        <v>0</v>
      </c>
      <c r="H221" s="70">
        <v>0</v>
      </c>
      <c r="I221" s="70">
        <v>0</v>
      </c>
      <c r="J221" s="70">
        <v>0</v>
      </c>
      <c r="K221" s="70">
        <v>0</v>
      </c>
      <c r="L221" s="70">
        <v>0</v>
      </c>
      <c r="M221" s="70">
        <v>60000</v>
      </c>
      <c r="N221" s="70">
        <v>79350</v>
      </c>
    </row>
    <row r="222" spans="1:14">
      <c r="A222" s="140">
        <f t="shared" si="4"/>
        <v>221</v>
      </c>
      <c r="B222" s="70">
        <v>0</v>
      </c>
      <c r="C222" s="70">
        <v>0</v>
      </c>
      <c r="D222" s="70">
        <v>0</v>
      </c>
      <c r="E222" s="70">
        <v>0</v>
      </c>
      <c r="F222" s="70">
        <v>0</v>
      </c>
      <c r="G222" s="70">
        <v>0</v>
      </c>
      <c r="H222" s="70">
        <v>0</v>
      </c>
      <c r="I222" s="70">
        <v>105000</v>
      </c>
      <c r="J222" s="70">
        <v>105000</v>
      </c>
      <c r="K222" s="70">
        <v>138862.5</v>
      </c>
      <c r="L222" s="70">
        <v>138862.5</v>
      </c>
      <c r="M222" s="70">
        <v>159692</v>
      </c>
      <c r="N222" s="70">
        <v>183645.75</v>
      </c>
    </row>
    <row r="223" spans="1:14">
      <c r="A223" s="140">
        <f t="shared" si="4"/>
        <v>222</v>
      </c>
      <c r="B223" s="70">
        <v>0</v>
      </c>
      <c r="C223" s="70">
        <v>0</v>
      </c>
      <c r="D223" s="70">
        <v>138000</v>
      </c>
      <c r="E223" s="70">
        <v>160604.5</v>
      </c>
      <c r="F223" s="70">
        <v>184695</v>
      </c>
      <c r="G223" s="70">
        <v>184695</v>
      </c>
      <c r="H223" s="70">
        <v>184695</v>
      </c>
      <c r="I223" s="70">
        <v>212399.25</v>
      </c>
      <c r="J223" s="70">
        <v>244259.25</v>
      </c>
      <c r="K223" s="70">
        <v>323032.75</v>
      </c>
      <c r="L223" s="70">
        <v>371487.75</v>
      </c>
      <c r="M223" s="70">
        <v>371487.75</v>
      </c>
      <c r="N223" s="70">
        <v>371487.75</v>
      </c>
    </row>
    <row r="224" spans="1:14">
      <c r="A224" s="140">
        <f t="shared" si="4"/>
        <v>223</v>
      </c>
      <c r="B224" s="70">
        <v>0</v>
      </c>
      <c r="C224" s="70">
        <v>0</v>
      </c>
      <c r="D224" s="70">
        <v>0</v>
      </c>
      <c r="E224" s="70">
        <v>0</v>
      </c>
      <c r="F224" s="70">
        <v>105000</v>
      </c>
      <c r="G224" s="70">
        <v>92400</v>
      </c>
      <c r="H224" s="70">
        <v>92400</v>
      </c>
      <c r="I224" s="70">
        <v>122199</v>
      </c>
      <c r="J224" s="70">
        <v>122199</v>
      </c>
      <c r="K224" s="70">
        <v>122199</v>
      </c>
      <c r="L224" s="70">
        <v>140528.75</v>
      </c>
      <c r="M224" s="70">
        <v>123665.5</v>
      </c>
      <c r="N224" s="70">
        <v>142215.25</v>
      </c>
    </row>
    <row r="225" spans="1:14">
      <c r="A225" s="140">
        <f t="shared" si="4"/>
        <v>224</v>
      </c>
      <c r="B225" s="70">
        <v>0</v>
      </c>
      <c r="C225" s="70">
        <v>0</v>
      </c>
      <c r="D225" s="70">
        <v>0</v>
      </c>
      <c r="E225" s="70">
        <v>0</v>
      </c>
      <c r="F225" s="70">
        <v>0</v>
      </c>
      <c r="G225" s="70">
        <v>0</v>
      </c>
      <c r="H225" s="70">
        <v>0</v>
      </c>
      <c r="I225" s="70">
        <v>0</v>
      </c>
      <c r="J225" s="70">
        <v>0</v>
      </c>
      <c r="K225" s="70">
        <v>0</v>
      </c>
      <c r="L225" s="70">
        <v>158700</v>
      </c>
      <c r="M225" s="70">
        <v>160604.5</v>
      </c>
      <c r="N225" s="70">
        <v>160604.5</v>
      </c>
    </row>
    <row r="226" spans="1:14">
      <c r="A226" s="140">
        <f t="shared" si="4"/>
        <v>225</v>
      </c>
      <c r="B226" s="70">
        <v>0</v>
      </c>
      <c r="C226" s="70">
        <v>0</v>
      </c>
      <c r="D226" s="70">
        <v>0</v>
      </c>
      <c r="E226" s="70">
        <v>0</v>
      </c>
      <c r="F226" s="70">
        <v>0</v>
      </c>
      <c r="G226" s="70">
        <v>0</v>
      </c>
      <c r="H226" s="70">
        <v>0</v>
      </c>
      <c r="I226" s="70">
        <v>0</v>
      </c>
      <c r="J226" s="70">
        <v>0</v>
      </c>
      <c r="K226" s="70">
        <v>0</v>
      </c>
      <c r="L226" s="70">
        <v>0</v>
      </c>
      <c r="M226" s="70">
        <v>0</v>
      </c>
      <c r="N226" s="70">
        <v>105000</v>
      </c>
    </row>
    <row r="227" spans="1:14">
      <c r="A227" s="140">
        <f t="shared" si="4"/>
        <v>226</v>
      </c>
      <c r="B227" s="70">
        <v>0</v>
      </c>
      <c r="C227" s="70">
        <v>0</v>
      </c>
      <c r="D227" s="70">
        <v>0</v>
      </c>
      <c r="E227" s="70">
        <v>0</v>
      </c>
      <c r="F227" s="70">
        <v>0</v>
      </c>
      <c r="G227" s="70">
        <v>0</v>
      </c>
      <c r="H227" s="70">
        <v>120000</v>
      </c>
      <c r="I227" s="70">
        <v>120000</v>
      </c>
      <c r="J227" s="70">
        <v>120000</v>
      </c>
      <c r="K227" s="70">
        <v>138000</v>
      </c>
      <c r="L227" s="70">
        <v>158700</v>
      </c>
      <c r="M227" s="70">
        <v>158700</v>
      </c>
      <c r="N227" s="70">
        <v>139656</v>
      </c>
    </row>
    <row r="228" spans="1:14">
      <c r="A228" s="140">
        <f t="shared" si="4"/>
        <v>227</v>
      </c>
      <c r="B228" s="70">
        <v>0</v>
      </c>
      <c r="C228" s="70">
        <v>0</v>
      </c>
      <c r="D228" s="70">
        <v>0</v>
      </c>
      <c r="E228" s="70">
        <v>0</v>
      </c>
      <c r="F228" s="70">
        <v>0</v>
      </c>
      <c r="G228" s="70">
        <v>0</v>
      </c>
      <c r="H228" s="70">
        <v>0</v>
      </c>
      <c r="I228" s="70">
        <v>105000</v>
      </c>
      <c r="J228" s="70">
        <v>105000</v>
      </c>
      <c r="K228" s="70">
        <v>105000</v>
      </c>
      <c r="L228" s="70">
        <v>138862.5</v>
      </c>
      <c r="M228" s="70">
        <v>159692</v>
      </c>
      <c r="N228" s="70">
        <v>183645.75</v>
      </c>
    </row>
    <row r="229" spans="1:14">
      <c r="A229" s="140">
        <f t="shared" si="4"/>
        <v>228</v>
      </c>
      <c r="B229" s="70">
        <v>0</v>
      </c>
      <c r="C229" s="70">
        <v>0</v>
      </c>
      <c r="D229" s="70">
        <v>0</v>
      </c>
      <c r="E229" s="70">
        <v>0</v>
      </c>
      <c r="F229" s="70">
        <v>0</v>
      </c>
      <c r="G229" s="70">
        <v>0</v>
      </c>
      <c r="H229" s="70">
        <v>0</v>
      </c>
      <c r="I229" s="70">
        <v>0</v>
      </c>
      <c r="J229" s="70">
        <v>0</v>
      </c>
      <c r="K229" s="70">
        <v>0</v>
      </c>
      <c r="L229" s="70">
        <v>0</v>
      </c>
      <c r="M229" s="70">
        <v>138000</v>
      </c>
      <c r="N229" s="70">
        <v>158700</v>
      </c>
    </row>
    <row r="230" spans="1:14">
      <c r="A230" s="140">
        <f t="shared" si="4"/>
        <v>229</v>
      </c>
      <c r="B230" s="70">
        <v>0</v>
      </c>
      <c r="C230" s="70">
        <v>0</v>
      </c>
      <c r="D230" s="70">
        <v>0</v>
      </c>
      <c r="E230" s="70">
        <v>0</v>
      </c>
      <c r="F230" s="70">
        <v>0</v>
      </c>
      <c r="G230" s="70">
        <v>0</v>
      </c>
      <c r="H230" s="70">
        <v>0</v>
      </c>
      <c r="I230" s="70">
        <v>0</v>
      </c>
      <c r="J230" s="70">
        <v>0</v>
      </c>
      <c r="K230" s="70">
        <v>0</v>
      </c>
      <c r="L230" s="70">
        <v>0</v>
      </c>
      <c r="M230" s="70">
        <v>0</v>
      </c>
      <c r="N230" s="70">
        <v>0</v>
      </c>
    </row>
    <row r="231" spans="1:14">
      <c r="A231" s="140">
        <f t="shared" si="4"/>
        <v>230</v>
      </c>
      <c r="B231" s="70">
        <v>0</v>
      </c>
      <c r="C231" s="70">
        <v>0</v>
      </c>
      <c r="D231" s="70">
        <v>0</v>
      </c>
      <c r="E231" s="70">
        <v>0</v>
      </c>
      <c r="F231" s="70">
        <v>0</v>
      </c>
      <c r="G231" s="70">
        <v>0</v>
      </c>
      <c r="H231" s="70">
        <v>0</v>
      </c>
      <c r="I231" s="70">
        <v>0</v>
      </c>
      <c r="J231" s="70">
        <v>0</v>
      </c>
      <c r="K231" s="70">
        <v>0</v>
      </c>
      <c r="L231" s="70">
        <v>0</v>
      </c>
      <c r="M231" s="70">
        <v>0</v>
      </c>
      <c r="N231" s="70">
        <v>105000</v>
      </c>
    </row>
    <row r="232" spans="1:14">
      <c r="A232" s="140">
        <f t="shared" si="4"/>
        <v>231</v>
      </c>
      <c r="B232" s="70">
        <v>0</v>
      </c>
      <c r="C232" s="70">
        <v>0</v>
      </c>
      <c r="D232" s="70">
        <v>0</v>
      </c>
      <c r="E232" s="70">
        <v>0</v>
      </c>
      <c r="F232" s="70">
        <v>0</v>
      </c>
      <c r="G232" s="70">
        <v>0</v>
      </c>
      <c r="H232" s="70">
        <v>0</v>
      </c>
      <c r="I232" s="70">
        <v>0</v>
      </c>
      <c r="J232" s="70">
        <v>0</v>
      </c>
      <c r="K232" s="70">
        <v>79350</v>
      </c>
      <c r="L232" s="70">
        <v>91252.5</v>
      </c>
      <c r="M232" s="70">
        <v>80302.25</v>
      </c>
      <c r="N232" s="70">
        <v>92347.5</v>
      </c>
    </row>
    <row r="233" spans="1:14">
      <c r="A233" s="140">
        <f t="shared" si="4"/>
        <v>232</v>
      </c>
      <c r="B233" s="70">
        <v>0</v>
      </c>
      <c r="C233" s="70">
        <v>0</v>
      </c>
      <c r="D233" s="70">
        <v>0</v>
      </c>
      <c r="E233" s="70">
        <v>0</v>
      </c>
      <c r="F233" s="70">
        <v>0</v>
      </c>
      <c r="G233" s="70">
        <v>120000</v>
      </c>
      <c r="H233" s="70">
        <v>139656</v>
      </c>
      <c r="I233" s="70">
        <v>160604.5</v>
      </c>
      <c r="J233" s="70">
        <v>160604.5</v>
      </c>
      <c r="K233" s="70">
        <v>162531.75</v>
      </c>
      <c r="L233" s="70">
        <v>162531.75</v>
      </c>
      <c r="M233" s="70">
        <v>164482</v>
      </c>
      <c r="N233" s="70">
        <v>164482</v>
      </c>
    </row>
    <row r="234" spans="1:14">
      <c r="A234" s="140">
        <f t="shared" si="4"/>
        <v>233</v>
      </c>
      <c r="B234" s="70">
        <v>0</v>
      </c>
      <c r="C234" s="70">
        <v>0</v>
      </c>
      <c r="D234" s="70">
        <v>0</v>
      </c>
      <c r="E234" s="70">
        <v>0</v>
      </c>
      <c r="F234" s="70">
        <v>0</v>
      </c>
      <c r="G234" s="70">
        <v>0</v>
      </c>
      <c r="H234" s="70">
        <v>0</v>
      </c>
      <c r="I234" s="70">
        <v>0</v>
      </c>
      <c r="J234" s="70">
        <v>0</v>
      </c>
      <c r="K234" s="70">
        <v>0</v>
      </c>
      <c r="L234" s="70">
        <v>0</v>
      </c>
      <c r="M234" s="70">
        <v>0</v>
      </c>
      <c r="N234" s="70">
        <v>105000</v>
      </c>
    </row>
    <row r="235" spans="1:14">
      <c r="A235" s="140">
        <f t="shared" si="4"/>
        <v>234</v>
      </c>
      <c r="B235" s="70">
        <v>0</v>
      </c>
      <c r="C235" s="70">
        <v>0</v>
      </c>
      <c r="D235" s="70">
        <v>0</v>
      </c>
      <c r="E235" s="70">
        <v>0</v>
      </c>
      <c r="F235" s="70">
        <v>105600</v>
      </c>
      <c r="G235" s="70">
        <v>106867.25</v>
      </c>
      <c r="H235" s="70">
        <v>122897.25</v>
      </c>
      <c r="I235" s="70">
        <v>141331.75</v>
      </c>
      <c r="J235" s="70">
        <v>141331.75</v>
      </c>
      <c r="K235" s="70">
        <v>141331.75</v>
      </c>
      <c r="L235" s="70">
        <v>141331.75</v>
      </c>
      <c r="M235" s="70">
        <v>141331.75</v>
      </c>
      <c r="N235" s="70">
        <v>162531.75</v>
      </c>
    </row>
    <row r="236" spans="1:14">
      <c r="A236" s="140">
        <f t="shared" si="4"/>
        <v>235</v>
      </c>
      <c r="B236" s="70">
        <v>0</v>
      </c>
      <c r="C236" s="70">
        <v>0</v>
      </c>
      <c r="D236" s="70">
        <v>0</v>
      </c>
      <c r="E236" s="70">
        <v>0</v>
      </c>
      <c r="F236" s="70">
        <v>0</v>
      </c>
      <c r="G236" s="70">
        <v>0</v>
      </c>
      <c r="H236" s="70">
        <v>105000</v>
      </c>
      <c r="I236" s="70">
        <v>105000</v>
      </c>
      <c r="J236" s="70">
        <v>92400</v>
      </c>
      <c r="K236" s="70">
        <v>92400</v>
      </c>
      <c r="L236" s="70">
        <v>81312</v>
      </c>
      <c r="M236" s="70">
        <v>82287.75</v>
      </c>
      <c r="N236" s="70">
        <v>83275.25</v>
      </c>
    </row>
    <row r="237" spans="1:14">
      <c r="A237" s="140">
        <f t="shared" si="4"/>
        <v>236</v>
      </c>
      <c r="B237" s="70">
        <v>105000</v>
      </c>
      <c r="C237" s="70">
        <v>138862.5</v>
      </c>
      <c r="D237" s="70">
        <v>183645.75</v>
      </c>
      <c r="E237" s="70">
        <v>161608.25</v>
      </c>
      <c r="F237" s="70">
        <v>213726.75</v>
      </c>
      <c r="G237" s="70">
        <v>216291.5</v>
      </c>
      <c r="H237" s="70">
        <v>286045.5</v>
      </c>
      <c r="I237" s="70">
        <v>286045.5</v>
      </c>
      <c r="J237" s="70">
        <v>286045.5</v>
      </c>
      <c r="K237" s="70">
        <v>378295.25</v>
      </c>
      <c r="L237" s="70">
        <v>378295.25</v>
      </c>
      <c r="M237" s="70">
        <v>378295.25</v>
      </c>
      <c r="N237" s="70">
        <v>500295.5</v>
      </c>
    </row>
    <row r="238" spans="1:14">
      <c r="A238" s="140">
        <f t="shared" si="4"/>
        <v>237</v>
      </c>
      <c r="B238" s="70">
        <v>0</v>
      </c>
      <c r="C238" s="70">
        <v>0</v>
      </c>
      <c r="D238" s="70">
        <v>0</v>
      </c>
      <c r="E238" s="70">
        <v>0</v>
      </c>
      <c r="F238" s="70">
        <v>0</v>
      </c>
      <c r="G238" s="70">
        <v>0</v>
      </c>
      <c r="H238" s="70">
        <v>120000</v>
      </c>
      <c r="I238" s="70">
        <v>120000</v>
      </c>
      <c r="J238" s="70">
        <v>121440</v>
      </c>
      <c r="K238" s="70">
        <v>139656</v>
      </c>
      <c r="L238" s="70">
        <v>139656</v>
      </c>
      <c r="M238" s="70">
        <v>160604.5</v>
      </c>
      <c r="N238" s="70">
        <v>160604.5</v>
      </c>
    </row>
    <row r="239" spans="1:14">
      <c r="A239" s="140">
        <f t="shared" si="4"/>
        <v>238</v>
      </c>
      <c r="B239" s="70">
        <v>0</v>
      </c>
      <c r="C239" s="70">
        <v>0</v>
      </c>
      <c r="D239" s="70">
        <v>0</v>
      </c>
      <c r="E239" s="70">
        <v>0</v>
      </c>
      <c r="F239" s="70">
        <v>0</v>
      </c>
      <c r="G239" s="70">
        <v>0</v>
      </c>
      <c r="H239" s="70">
        <v>0</v>
      </c>
      <c r="I239" s="70">
        <v>0</v>
      </c>
      <c r="J239" s="70">
        <v>0</v>
      </c>
      <c r="K239" s="70">
        <v>0</v>
      </c>
      <c r="L239" s="70">
        <v>69000</v>
      </c>
      <c r="M239" s="70">
        <v>69828</v>
      </c>
      <c r="N239" s="70">
        <v>69828</v>
      </c>
    </row>
    <row r="240" spans="1:14">
      <c r="A240" s="140">
        <f t="shared" si="4"/>
        <v>239</v>
      </c>
      <c r="B240" s="70">
        <v>0</v>
      </c>
      <c r="C240" s="70">
        <v>0</v>
      </c>
      <c r="D240" s="70">
        <v>0</v>
      </c>
      <c r="E240" s="70">
        <v>0</v>
      </c>
      <c r="F240" s="70">
        <v>60000</v>
      </c>
      <c r="G240" s="70">
        <v>69000</v>
      </c>
      <c r="H240" s="70">
        <v>79350</v>
      </c>
      <c r="I240" s="70">
        <v>91252.5</v>
      </c>
      <c r="J240" s="70">
        <v>80302.25</v>
      </c>
      <c r="K240" s="70">
        <v>80302.25</v>
      </c>
      <c r="L240" s="70">
        <v>122129.5</v>
      </c>
      <c r="M240" s="70">
        <v>123595.25</v>
      </c>
      <c r="N240" s="70">
        <v>142134.5</v>
      </c>
    </row>
    <row r="241" spans="1:14">
      <c r="A241" s="140">
        <f t="shared" si="4"/>
        <v>240</v>
      </c>
      <c r="B241" s="70">
        <v>0</v>
      </c>
      <c r="C241" s="70">
        <v>0</v>
      </c>
      <c r="D241" s="70">
        <v>120750</v>
      </c>
      <c r="E241" s="70">
        <v>120750</v>
      </c>
      <c r="F241" s="70">
        <v>138862.5</v>
      </c>
      <c r="G241" s="70">
        <v>140528.75</v>
      </c>
      <c r="H241" s="70">
        <v>142215.25</v>
      </c>
      <c r="I241" s="70">
        <v>142215.25</v>
      </c>
      <c r="J241" s="70">
        <v>163547.5</v>
      </c>
      <c r="K241" s="70">
        <v>163547.5</v>
      </c>
      <c r="L241" s="70">
        <v>165510</v>
      </c>
      <c r="M241" s="70">
        <v>190336.5</v>
      </c>
      <c r="N241" s="70">
        <v>218887</v>
      </c>
    </row>
    <row r="242" spans="1:14">
      <c r="A242" s="140">
        <f t="shared" si="4"/>
        <v>241</v>
      </c>
      <c r="B242" s="70">
        <v>0</v>
      </c>
      <c r="C242" s="70">
        <v>0</v>
      </c>
      <c r="D242" s="70">
        <v>0</v>
      </c>
      <c r="E242" s="70">
        <v>0</v>
      </c>
      <c r="F242" s="70">
        <v>120000</v>
      </c>
      <c r="G242" s="70">
        <v>105600</v>
      </c>
      <c r="H242" s="70">
        <v>121440</v>
      </c>
      <c r="I242" s="70">
        <v>139656</v>
      </c>
      <c r="J242" s="70">
        <v>139656</v>
      </c>
      <c r="K242" s="70">
        <v>184695</v>
      </c>
      <c r="L242" s="70">
        <v>244259.25</v>
      </c>
      <c r="M242" s="70">
        <v>214948</v>
      </c>
      <c r="N242" s="70">
        <v>214948</v>
      </c>
    </row>
    <row r="243" spans="1:14">
      <c r="A243" s="140">
        <f t="shared" si="4"/>
        <v>242</v>
      </c>
      <c r="B243" s="70">
        <v>0</v>
      </c>
      <c r="C243" s="70">
        <v>0</v>
      </c>
      <c r="D243" s="70">
        <v>0</v>
      </c>
      <c r="E243" s="70">
        <v>0</v>
      </c>
      <c r="F243" s="70">
        <v>120000</v>
      </c>
      <c r="G243" s="70">
        <v>121440</v>
      </c>
      <c r="H243" s="70">
        <v>160604.5</v>
      </c>
      <c r="I243" s="70">
        <v>160604.5</v>
      </c>
      <c r="J243" s="70">
        <v>162531.75</v>
      </c>
      <c r="K243" s="70">
        <v>162531.75</v>
      </c>
      <c r="L243" s="70">
        <v>0</v>
      </c>
      <c r="M243" s="70">
        <v>0</v>
      </c>
      <c r="N243" s="70">
        <v>0</v>
      </c>
    </row>
    <row r="244" spans="1:14">
      <c r="A244" s="140">
        <f t="shared" si="4"/>
        <v>243</v>
      </c>
      <c r="B244" s="70">
        <v>0</v>
      </c>
      <c r="C244" s="70">
        <v>0</v>
      </c>
      <c r="D244" s="70">
        <v>0</v>
      </c>
      <c r="E244" s="70">
        <v>0</v>
      </c>
      <c r="F244" s="70">
        <v>0</v>
      </c>
      <c r="G244" s="70">
        <v>0</v>
      </c>
      <c r="H244" s="70">
        <v>0</v>
      </c>
      <c r="I244" s="70">
        <v>120750</v>
      </c>
      <c r="J244" s="70">
        <v>138862.5</v>
      </c>
      <c r="K244" s="70">
        <v>123665.5</v>
      </c>
      <c r="L244" s="70">
        <v>142215.25</v>
      </c>
      <c r="M244" s="70">
        <v>163547.5</v>
      </c>
      <c r="N244" s="70">
        <v>216291.5</v>
      </c>
    </row>
    <row r="245" spans="1:14">
      <c r="A245" s="140">
        <f t="shared" si="4"/>
        <v>244</v>
      </c>
      <c r="B245" s="70">
        <v>0</v>
      </c>
      <c r="C245" s="70">
        <v>0</v>
      </c>
      <c r="D245" s="70">
        <v>0</v>
      </c>
      <c r="E245" s="70">
        <v>0</v>
      </c>
      <c r="F245" s="70">
        <v>0</v>
      </c>
      <c r="G245" s="70">
        <v>0</v>
      </c>
      <c r="H245" s="70">
        <v>0</v>
      </c>
      <c r="I245" s="70">
        <v>0</v>
      </c>
      <c r="J245" s="70">
        <v>0</v>
      </c>
      <c r="K245" s="70">
        <v>0</v>
      </c>
      <c r="L245" s="70">
        <v>120000</v>
      </c>
      <c r="M245" s="70">
        <v>158700</v>
      </c>
      <c r="N245" s="70">
        <v>182505</v>
      </c>
    </row>
    <row r="246" spans="1:14">
      <c r="A246" s="140">
        <f t="shared" si="4"/>
        <v>245</v>
      </c>
      <c r="B246" s="70">
        <v>0</v>
      </c>
      <c r="C246" s="70">
        <v>0</v>
      </c>
      <c r="D246" s="70">
        <v>0</v>
      </c>
      <c r="E246" s="70">
        <v>0</v>
      </c>
      <c r="F246" s="70">
        <v>0</v>
      </c>
      <c r="G246" s="70">
        <v>0</v>
      </c>
      <c r="H246" s="70">
        <v>105000</v>
      </c>
      <c r="I246" s="70">
        <v>120750</v>
      </c>
      <c r="J246" s="70">
        <v>120750</v>
      </c>
      <c r="K246" s="70">
        <v>120750</v>
      </c>
      <c r="L246" s="70">
        <v>120750</v>
      </c>
      <c r="M246" s="70">
        <v>120750</v>
      </c>
      <c r="N246" s="70">
        <v>138862.5</v>
      </c>
    </row>
    <row r="247" spans="1:14">
      <c r="A247" s="140">
        <f t="shared" si="4"/>
        <v>246</v>
      </c>
      <c r="B247" s="70">
        <v>0</v>
      </c>
      <c r="C247" s="70">
        <v>0</v>
      </c>
      <c r="D247" s="70">
        <v>0</v>
      </c>
      <c r="E247" s="70">
        <v>0</v>
      </c>
      <c r="F247" s="70">
        <v>0</v>
      </c>
      <c r="G247" s="70">
        <v>0</v>
      </c>
      <c r="H247" s="70">
        <v>60000</v>
      </c>
      <c r="I247" s="70">
        <v>69000</v>
      </c>
      <c r="J247" s="70">
        <v>69828</v>
      </c>
      <c r="K247" s="70">
        <v>70666</v>
      </c>
      <c r="L247" s="70">
        <v>70666</v>
      </c>
      <c r="M247" s="70">
        <v>81265.75</v>
      </c>
      <c r="N247" s="70">
        <v>81265.75</v>
      </c>
    </row>
    <row r="248" spans="1:14">
      <c r="A248" s="140">
        <f t="shared" si="4"/>
        <v>247</v>
      </c>
      <c r="B248" s="70">
        <v>0</v>
      </c>
      <c r="C248" s="70">
        <v>0</v>
      </c>
      <c r="D248" s="70">
        <v>0</v>
      </c>
      <c r="E248" s="70">
        <v>0</v>
      </c>
      <c r="F248" s="70">
        <v>0</v>
      </c>
      <c r="G248" s="70">
        <v>0</v>
      </c>
      <c r="H248" s="70">
        <v>60000</v>
      </c>
      <c r="I248" s="70">
        <v>69000</v>
      </c>
      <c r="J248" s="70">
        <v>79350</v>
      </c>
      <c r="K248" s="70">
        <v>80302.25</v>
      </c>
      <c r="L248" s="70">
        <v>92347.5</v>
      </c>
      <c r="M248" s="70">
        <v>106199.75</v>
      </c>
      <c r="N248" s="70">
        <v>122129.5</v>
      </c>
    </row>
    <row r="249" spans="1:14">
      <c r="A249" s="140">
        <f t="shared" si="4"/>
        <v>248</v>
      </c>
      <c r="B249" s="70">
        <v>0</v>
      </c>
      <c r="C249" s="70">
        <v>0</v>
      </c>
      <c r="D249" s="70">
        <v>0</v>
      </c>
      <c r="E249" s="70">
        <v>0</v>
      </c>
      <c r="F249" s="70">
        <v>0</v>
      </c>
      <c r="G249" s="70">
        <v>0</v>
      </c>
      <c r="H249" s="70">
        <v>0</v>
      </c>
      <c r="I249" s="70">
        <v>0</v>
      </c>
      <c r="J249" s="70">
        <v>0</v>
      </c>
      <c r="K249" s="70">
        <v>0</v>
      </c>
      <c r="L249" s="70">
        <v>138000</v>
      </c>
      <c r="M249" s="70">
        <v>139656</v>
      </c>
      <c r="N249" s="70">
        <v>141331.75</v>
      </c>
    </row>
    <row r="250" spans="1:14">
      <c r="A250" s="140">
        <f t="shared" si="4"/>
        <v>249</v>
      </c>
      <c r="B250" s="70">
        <v>0</v>
      </c>
      <c r="C250" s="70">
        <v>0</v>
      </c>
      <c r="D250" s="70">
        <v>0</v>
      </c>
      <c r="E250" s="70">
        <v>0</v>
      </c>
      <c r="F250" s="70">
        <v>105000</v>
      </c>
      <c r="G250" s="70">
        <v>105000</v>
      </c>
      <c r="H250" s="70">
        <v>120750</v>
      </c>
      <c r="I250" s="70">
        <v>120750</v>
      </c>
      <c r="J250" s="70">
        <v>138862.5</v>
      </c>
      <c r="K250" s="70">
        <v>159692</v>
      </c>
      <c r="L250" s="70">
        <v>159692</v>
      </c>
      <c r="M250" s="70">
        <v>183645.75</v>
      </c>
      <c r="N250" s="70">
        <v>242871.5</v>
      </c>
    </row>
    <row r="251" spans="1:14">
      <c r="A251" s="140">
        <f t="shared" si="4"/>
        <v>250</v>
      </c>
      <c r="B251" s="70">
        <v>0</v>
      </c>
      <c r="C251" s="70">
        <v>0</v>
      </c>
      <c r="D251" s="70">
        <v>0</v>
      </c>
      <c r="E251" s="70">
        <v>0</v>
      </c>
      <c r="F251" s="70">
        <v>0</v>
      </c>
      <c r="G251" s="70">
        <v>0</v>
      </c>
      <c r="H251" s="70">
        <v>0</v>
      </c>
      <c r="I251" s="70">
        <v>0</v>
      </c>
      <c r="J251" s="70">
        <v>105000</v>
      </c>
      <c r="K251" s="70">
        <v>159692</v>
      </c>
      <c r="L251" s="70">
        <v>159692</v>
      </c>
      <c r="M251" s="70">
        <v>183645.75</v>
      </c>
      <c r="N251" s="70">
        <v>183645.75</v>
      </c>
    </row>
    <row r="252" spans="1:14">
      <c r="A252" s="140">
        <f t="shared" si="4"/>
        <v>251</v>
      </c>
      <c r="B252" s="70">
        <v>0</v>
      </c>
      <c r="C252" s="70">
        <v>0</v>
      </c>
      <c r="D252" s="70">
        <v>0</v>
      </c>
      <c r="E252" s="70">
        <v>0</v>
      </c>
      <c r="F252" s="70">
        <v>0</v>
      </c>
      <c r="G252" s="70">
        <v>0</v>
      </c>
      <c r="H252" s="70">
        <v>0</v>
      </c>
      <c r="I252" s="70">
        <v>0</v>
      </c>
      <c r="J252" s="70">
        <v>105000</v>
      </c>
      <c r="K252" s="70">
        <v>120750</v>
      </c>
      <c r="L252" s="70">
        <v>120750</v>
      </c>
      <c r="M252" s="70">
        <v>138862.5</v>
      </c>
      <c r="N252" s="70">
        <v>138862.5</v>
      </c>
    </row>
    <row r="253" spans="1:14">
      <c r="A253" s="140">
        <f t="shared" si="4"/>
        <v>252</v>
      </c>
      <c r="B253" s="70">
        <v>0</v>
      </c>
      <c r="C253" s="70">
        <v>0</v>
      </c>
      <c r="D253" s="70">
        <v>0</v>
      </c>
      <c r="E253" s="70">
        <v>0</v>
      </c>
      <c r="F253" s="70">
        <v>0</v>
      </c>
      <c r="G253" s="70">
        <v>0</v>
      </c>
      <c r="H253" s="70">
        <v>0</v>
      </c>
      <c r="I253" s="70">
        <v>0</v>
      </c>
      <c r="J253" s="70">
        <v>0</v>
      </c>
      <c r="K253" s="70">
        <v>0</v>
      </c>
      <c r="L253" s="70">
        <v>0</v>
      </c>
      <c r="M253" s="70">
        <v>0</v>
      </c>
      <c r="N253" s="70">
        <v>105000</v>
      </c>
    </row>
    <row r="254" spans="1:14">
      <c r="A254" s="140">
        <f t="shared" si="4"/>
        <v>253</v>
      </c>
      <c r="B254" s="70">
        <v>211192.5</v>
      </c>
      <c r="C254" s="70">
        <v>211192.5</v>
      </c>
      <c r="D254" s="70">
        <v>211192.5</v>
      </c>
      <c r="E254" s="70">
        <v>211192.5</v>
      </c>
      <c r="F254" s="70">
        <v>213726.75</v>
      </c>
      <c r="G254" s="70">
        <v>216291.5</v>
      </c>
      <c r="H254" s="70">
        <v>216291.5</v>
      </c>
      <c r="I254" s="70">
        <v>248735.25</v>
      </c>
      <c r="J254" s="70">
        <v>328952.5</v>
      </c>
      <c r="K254" s="70">
        <v>378295.25</v>
      </c>
      <c r="L254" s="70">
        <v>435039.5</v>
      </c>
      <c r="M254" s="70">
        <v>435039.5</v>
      </c>
      <c r="N254" s="70">
        <v>440260</v>
      </c>
    </row>
    <row r="255" spans="1:14">
      <c r="A255" s="140">
        <f t="shared" si="4"/>
        <v>254</v>
      </c>
      <c r="B255" s="70">
        <v>0</v>
      </c>
      <c r="C255" s="70">
        <v>0</v>
      </c>
      <c r="D255" s="70">
        <v>0</v>
      </c>
      <c r="E255" s="70">
        <v>0</v>
      </c>
      <c r="F255" s="70">
        <v>0</v>
      </c>
      <c r="G255" s="70">
        <v>105000</v>
      </c>
      <c r="H255" s="70">
        <v>138862.5</v>
      </c>
      <c r="I255" s="70">
        <v>138862.5</v>
      </c>
      <c r="J255" s="70">
        <v>183645.75</v>
      </c>
      <c r="K255" s="70">
        <v>183645.75</v>
      </c>
      <c r="L255" s="70">
        <v>211192.5</v>
      </c>
      <c r="M255" s="70">
        <v>211192.5</v>
      </c>
      <c r="N255" s="70">
        <v>279302</v>
      </c>
    </row>
    <row r="256" spans="1:14">
      <c r="A256" s="140">
        <f t="shared" si="4"/>
        <v>255</v>
      </c>
      <c r="B256" s="70">
        <v>0</v>
      </c>
      <c r="C256" s="70">
        <v>0</v>
      </c>
      <c r="D256" s="70">
        <v>0</v>
      </c>
      <c r="E256" s="70">
        <v>0</v>
      </c>
      <c r="F256" s="70">
        <v>0</v>
      </c>
      <c r="G256" s="70">
        <v>0</v>
      </c>
      <c r="H256" s="70">
        <v>0</v>
      </c>
      <c r="I256" s="70">
        <v>0</v>
      </c>
      <c r="J256" s="70">
        <v>0</v>
      </c>
      <c r="K256" s="70">
        <v>0</v>
      </c>
      <c r="L256" s="70">
        <v>0</v>
      </c>
      <c r="M256" s="70">
        <v>0</v>
      </c>
      <c r="N256" s="70">
        <v>105000</v>
      </c>
    </row>
    <row r="257" spans="1:14">
      <c r="A257" s="140">
        <f t="shared" si="4"/>
        <v>256</v>
      </c>
      <c r="B257" s="70">
        <v>0</v>
      </c>
      <c r="C257" s="70">
        <v>0</v>
      </c>
      <c r="D257" s="70">
        <v>0</v>
      </c>
      <c r="E257" s="70">
        <v>0</v>
      </c>
      <c r="F257" s="70">
        <v>0</v>
      </c>
      <c r="G257" s="70">
        <v>0</v>
      </c>
      <c r="H257" s="70">
        <v>0</v>
      </c>
      <c r="I257" s="70">
        <v>0</v>
      </c>
      <c r="J257" s="70">
        <v>0</v>
      </c>
      <c r="K257" s="70">
        <v>0</v>
      </c>
      <c r="L257" s="70">
        <v>0</v>
      </c>
      <c r="M257" s="70">
        <v>0</v>
      </c>
      <c r="N257" s="70">
        <v>105000</v>
      </c>
    </row>
    <row r="258" spans="1:14">
      <c r="A258" s="140">
        <f t="shared" si="4"/>
        <v>257</v>
      </c>
      <c r="B258" s="70">
        <v>0</v>
      </c>
      <c r="C258" s="70">
        <v>120000</v>
      </c>
      <c r="D258" s="70">
        <v>138000</v>
      </c>
      <c r="E258" s="70">
        <v>138000</v>
      </c>
      <c r="F258" s="70">
        <v>138000</v>
      </c>
      <c r="G258" s="70">
        <v>138000</v>
      </c>
      <c r="H258" s="70">
        <v>158700</v>
      </c>
      <c r="I258" s="70">
        <v>182505</v>
      </c>
      <c r="J258" s="70">
        <v>182505</v>
      </c>
      <c r="K258" s="70">
        <v>209880.75</v>
      </c>
      <c r="L258" s="70">
        <v>277567.25</v>
      </c>
      <c r="M258" s="70">
        <v>277567.25</v>
      </c>
      <c r="N258" s="70">
        <v>277567.25</v>
      </c>
    </row>
    <row r="259" spans="1:14">
      <c r="A259" s="140">
        <f t="shared" ref="A259:A322" si="5">+A258+1</f>
        <v>258</v>
      </c>
      <c r="B259" s="70">
        <v>0</v>
      </c>
      <c r="C259" s="70">
        <v>0</v>
      </c>
      <c r="D259" s="70">
        <v>0</v>
      </c>
      <c r="E259" s="70">
        <v>0</v>
      </c>
      <c r="F259" s="70">
        <v>0</v>
      </c>
      <c r="G259" s="70">
        <v>0</v>
      </c>
      <c r="H259" s="70">
        <v>0</v>
      </c>
      <c r="I259" s="70">
        <v>0</v>
      </c>
      <c r="J259" s="70">
        <v>0</v>
      </c>
      <c r="K259" s="70">
        <v>0</v>
      </c>
      <c r="L259" s="70">
        <v>0</v>
      </c>
      <c r="M259" s="70">
        <v>0</v>
      </c>
      <c r="N259" s="70">
        <v>60000</v>
      </c>
    </row>
    <row r="260" spans="1:14">
      <c r="A260" s="140">
        <f t="shared" si="5"/>
        <v>259</v>
      </c>
      <c r="B260" s="70">
        <v>120000</v>
      </c>
      <c r="C260" s="70">
        <v>121440</v>
      </c>
      <c r="D260" s="70">
        <v>139656</v>
      </c>
      <c r="E260" s="70">
        <v>122897.25</v>
      </c>
      <c r="F260" s="70">
        <v>122897.25</v>
      </c>
      <c r="G260" s="70">
        <v>141331.75</v>
      </c>
      <c r="H260" s="70">
        <v>141331.75</v>
      </c>
      <c r="I260" s="70">
        <v>143027.75</v>
      </c>
      <c r="J260" s="70">
        <v>164482</v>
      </c>
      <c r="K260" s="70">
        <v>164482</v>
      </c>
      <c r="L260" s="70">
        <v>164482</v>
      </c>
      <c r="M260" s="70">
        <v>189154.25</v>
      </c>
      <c r="N260" s="70">
        <v>250156.5</v>
      </c>
    </row>
    <row r="261" spans="1:14">
      <c r="A261" s="140">
        <f t="shared" si="5"/>
        <v>260</v>
      </c>
      <c r="B261" s="70">
        <v>80302.25</v>
      </c>
      <c r="C261" s="70">
        <v>92347.5</v>
      </c>
      <c r="D261" s="70">
        <v>92347.5</v>
      </c>
      <c r="E261" s="70">
        <v>106199.75</v>
      </c>
      <c r="F261" s="70">
        <v>140449</v>
      </c>
      <c r="G261" s="70">
        <v>161516.5</v>
      </c>
      <c r="H261" s="70">
        <v>0</v>
      </c>
      <c r="I261" s="70">
        <v>0</v>
      </c>
      <c r="J261" s="70">
        <v>0</v>
      </c>
      <c r="K261" s="70">
        <v>0</v>
      </c>
      <c r="L261" s="70">
        <v>0</v>
      </c>
      <c r="M261" s="70">
        <v>0</v>
      </c>
      <c r="N261" s="70">
        <v>0</v>
      </c>
    </row>
    <row r="262" spans="1:14">
      <c r="A262" s="140">
        <f t="shared" si="5"/>
        <v>261</v>
      </c>
      <c r="B262" s="70">
        <v>0</v>
      </c>
      <c r="C262" s="70">
        <v>0</v>
      </c>
      <c r="D262" s="70">
        <v>0</v>
      </c>
      <c r="E262" s="70">
        <v>0</v>
      </c>
      <c r="F262" s="70">
        <v>0</v>
      </c>
      <c r="G262" s="70">
        <v>0</v>
      </c>
      <c r="H262" s="70">
        <v>0</v>
      </c>
      <c r="I262" s="70">
        <v>0</v>
      </c>
      <c r="J262" s="70">
        <v>0</v>
      </c>
      <c r="K262" s="70">
        <v>0</v>
      </c>
      <c r="L262" s="70">
        <v>0</v>
      </c>
      <c r="M262" s="70">
        <v>0</v>
      </c>
      <c r="N262" s="70">
        <v>105000</v>
      </c>
    </row>
    <row r="263" spans="1:14">
      <c r="A263" s="140">
        <f t="shared" si="5"/>
        <v>262</v>
      </c>
      <c r="B263" s="70">
        <v>0</v>
      </c>
      <c r="C263" s="70">
        <v>0</v>
      </c>
      <c r="D263" s="70">
        <v>0</v>
      </c>
      <c r="E263" s="70">
        <v>0</v>
      </c>
      <c r="F263" s="70">
        <v>0</v>
      </c>
      <c r="G263" s="70">
        <v>0</v>
      </c>
      <c r="H263" s="70">
        <v>0</v>
      </c>
      <c r="I263" s="70">
        <v>0</v>
      </c>
      <c r="J263" s="70">
        <v>120000</v>
      </c>
      <c r="K263" s="70">
        <v>105600</v>
      </c>
      <c r="L263" s="70">
        <v>105600</v>
      </c>
      <c r="M263" s="70">
        <v>105600</v>
      </c>
      <c r="N263" s="70">
        <v>121440</v>
      </c>
    </row>
    <row r="264" spans="1:14">
      <c r="A264" s="140">
        <f t="shared" si="5"/>
        <v>263</v>
      </c>
      <c r="B264" s="70">
        <v>0</v>
      </c>
      <c r="C264" s="70">
        <v>120000</v>
      </c>
      <c r="D264" s="70">
        <v>92928</v>
      </c>
      <c r="E264" s="70">
        <v>92928</v>
      </c>
      <c r="F264" s="70">
        <v>122897.25</v>
      </c>
      <c r="G264" s="70">
        <v>122897.25</v>
      </c>
      <c r="H264" s="70">
        <v>108149.5</v>
      </c>
      <c r="I264" s="70">
        <v>124372</v>
      </c>
      <c r="J264" s="70">
        <v>109447.5</v>
      </c>
      <c r="K264" s="70">
        <v>125864.5</v>
      </c>
      <c r="L264" s="70">
        <v>144744.25</v>
      </c>
      <c r="M264" s="70">
        <v>166455.75</v>
      </c>
      <c r="N264" s="70">
        <v>220137.75</v>
      </c>
    </row>
    <row r="265" spans="1:14">
      <c r="A265" s="140">
        <f t="shared" si="5"/>
        <v>264</v>
      </c>
      <c r="B265" s="70">
        <v>0</v>
      </c>
      <c r="C265" s="70">
        <v>0</v>
      </c>
      <c r="D265" s="70">
        <v>0</v>
      </c>
      <c r="E265" s="70">
        <v>0</v>
      </c>
      <c r="F265" s="70">
        <v>0</v>
      </c>
      <c r="G265" s="70">
        <v>0</v>
      </c>
      <c r="H265" s="70">
        <v>0</v>
      </c>
      <c r="I265" s="70">
        <v>0</v>
      </c>
      <c r="J265" s="70">
        <v>0</v>
      </c>
      <c r="K265" s="70">
        <v>0</v>
      </c>
      <c r="L265" s="70">
        <v>0</v>
      </c>
      <c r="M265" s="70">
        <v>60000</v>
      </c>
      <c r="N265" s="70">
        <v>69000</v>
      </c>
    </row>
    <row r="266" spans="1:14">
      <c r="A266" s="140">
        <f t="shared" si="5"/>
        <v>265</v>
      </c>
      <c r="B266" s="70">
        <v>0</v>
      </c>
      <c r="C266" s="70">
        <v>0</v>
      </c>
      <c r="D266" s="70">
        <v>0</v>
      </c>
      <c r="E266" s="70">
        <v>0</v>
      </c>
      <c r="F266" s="70">
        <v>0</v>
      </c>
      <c r="G266" s="70">
        <v>0</v>
      </c>
      <c r="H266" s="70">
        <v>0</v>
      </c>
      <c r="I266" s="70">
        <v>0</v>
      </c>
      <c r="J266" s="70">
        <v>0</v>
      </c>
      <c r="K266" s="70">
        <v>120000</v>
      </c>
      <c r="L266" s="70">
        <v>121440</v>
      </c>
      <c r="M266" s="70">
        <v>121440</v>
      </c>
      <c r="N266" s="70">
        <v>122897.25</v>
      </c>
    </row>
    <row r="267" spans="1:14">
      <c r="A267" s="140">
        <f t="shared" si="5"/>
        <v>266</v>
      </c>
      <c r="B267" s="70">
        <v>0</v>
      </c>
      <c r="C267" s="70">
        <v>69000</v>
      </c>
      <c r="D267" s="70">
        <v>60720</v>
      </c>
      <c r="E267" s="70">
        <v>69828</v>
      </c>
      <c r="F267" s="70">
        <v>69828</v>
      </c>
      <c r="G267" s="70">
        <v>80302.25</v>
      </c>
      <c r="H267" s="70">
        <v>80302.25</v>
      </c>
      <c r="I267" s="70">
        <v>80302.25</v>
      </c>
      <c r="J267" s="70">
        <v>81265.75</v>
      </c>
      <c r="K267" s="70">
        <v>107474</v>
      </c>
      <c r="L267" s="70">
        <v>107474</v>
      </c>
      <c r="M267" s="70">
        <v>95712</v>
      </c>
      <c r="N267" s="70">
        <v>126579.25</v>
      </c>
    </row>
    <row r="268" spans="1:14">
      <c r="A268" s="140">
        <f t="shared" si="5"/>
        <v>267</v>
      </c>
      <c r="B268" s="70">
        <v>0</v>
      </c>
      <c r="C268" s="70">
        <v>0</v>
      </c>
      <c r="D268" s="70">
        <v>0</v>
      </c>
      <c r="E268" s="70">
        <v>0</v>
      </c>
      <c r="F268" s="70">
        <v>0</v>
      </c>
      <c r="G268" s="70">
        <v>0</v>
      </c>
      <c r="H268" s="70">
        <v>0</v>
      </c>
      <c r="I268" s="70">
        <v>0</v>
      </c>
      <c r="J268" s="70">
        <v>0</v>
      </c>
      <c r="K268" s="70">
        <v>120000</v>
      </c>
      <c r="L268" s="70">
        <v>120000</v>
      </c>
      <c r="M268" s="70">
        <v>158700</v>
      </c>
      <c r="N268" s="70">
        <v>209880.75</v>
      </c>
    </row>
    <row r="269" spans="1:14">
      <c r="A269" s="140">
        <f t="shared" si="5"/>
        <v>268</v>
      </c>
      <c r="B269" s="70">
        <v>0</v>
      </c>
      <c r="C269" s="70">
        <v>0</v>
      </c>
      <c r="D269" s="70">
        <v>0</v>
      </c>
      <c r="E269" s="70">
        <v>0</v>
      </c>
      <c r="F269" s="70">
        <v>105000</v>
      </c>
      <c r="G269" s="70">
        <v>120750</v>
      </c>
      <c r="H269" s="70">
        <v>120750</v>
      </c>
      <c r="I269" s="70">
        <v>106260</v>
      </c>
      <c r="J269" s="70">
        <v>122199</v>
      </c>
      <c r="K269" s="70">
        <v>123665.5</v>
      </c>
      <c r="L269" s="70">
        <v>142215.25</v>
      </c>
      <c r="M269" s="70">
        <v>188079.5</v>
      </c>
      <c r="N269" s="70">
        <v>216291.5</v>
      </c>
    </row>
    <row r="270" spans="1:14">
      <c r="A270" s="140">
        <f t="shared" si="5"/>
        <v>269</v>
      </c>
      <c r="B270" s="70">
        <v>0</v>
      </c>
      <c r="C270" s="70">
        <v>0</v>
      </c>
      <c r="D270" s="70">
        <v>0</v>
      </c>
      <c r="E270" s="70">
        <v>0</v>
      </c>
      <c r="F270" s="70">
        <v>0</v>
      </c>
      <c r="G270" s="70">
        <v>0</v>
      </c>
      <c r="H270" s="70">
        <v>0</v>
      </c>
      <c r="I270" s="70">
        <v>0</v>
      </c>
      <c r="J270" s="70">
        <v>0</v>
      </c>
      <c r="K270" s="70">
        <v>120000</v>
      </c>
      <c r="L270" s="70">
        <v>138000</v>
      </c>
      <c r="M270" s="70">
        <v>121440</v>
      </c>
      <c r="N270" s="70">
        <v>139656</v>
      </c>
    </row>
    <row r="271" spans="1:14">
      <c r="A271" s="140">
        <f t="shared" si="5"/>
        <v>270</v>
      </c>
      <c r="B271" s="70">
        <v>0</v>
      </c>
      <c r="C271" s="70">
        <v>0</v>
      </c>
      <c r="D271" s="70">
        <v>0</v>
      </c>
      <c r="E271" s="70">
        <v>0</v>
      </c>
      <c r="F271" s="70">
        <v>0</v>
      </c>
      <c r="G271" s="70">
        <v>0</v>
      </c>
      <c r="H271" s="70">
        <v>0</v>
      </c>
      <c r="I271" s="70">
        <v>0</v>
      </c>
      <c r="J271" s="70">
        <v>0</v>
      </c>
      <c r="K271" s="70">
        <v>0</v>
      </c>
      <c r="L271" s="70">
        <v>0</v>
      </c>
      <c r="M271" s="70">
        <v>0</v>
      </c>
      <c r="N271" s="70">
        <v>60000</v>
      </c>
    </row>
    <row r="272" spans="1:14">
      <c r="A272" s="140">
        <f t="shared" si="5"/>
        <v>271</v>
      </c>
      <c r="B272" s="70">
        <v>0</v>
      </c>
      <c r="C272" s="70">
        <v>0</v>
      </c>
      <c r="D272" s="70">
        <v>0</v>
      </c>
      <c r="E272" s="70">
        <v>0</v>
      </c>
      <c r="F272" s="70">
        <v>0</v>
      </c>
      <c r="G272" s="70">
        <v>0</v>
      </c>
      <c r="H272" s="70">
        <v>0</v>
      </c>
      <c r="I272" s="70">
        <v>0</v>
      </c>
      <c r="J272" s="70">
        <v>0</v>
      </c>
      <c r="K272" s="70">
        <v>120750</v>
      </c>
      <c r="L272" s="70">
        <v>138862.5</v>
      </c>
      <c r="M272" s="70">
        <v>159692</v>
      </c>
      <c r="N272" s="70">
        <v>140528.75</v>
      </c>
    </row>
    <row r="273" spans="1:14">
      <c r="A273" s="140">
        <f t="shared" si="5"/>
        <v>272</v>
      </c>
      <c r="B273" s="70">
        <v>0</v>
      </c>
      <c r="C273" s="70">
        <v>0</v>
      </c>
      <c r="D273" s="70">
        <v>0</v>
      </c>
      <c r="E273" s="70">
        <v>0</v>
      </c>
      <c r="F273" s="70">
        <v>0</v>
      </c>
      <c r="G273" s="70">
        <v>138000</v>
      </c>
      <c r="H273" s="70">
        <v>182505</v>
      </c>
      <c r="I273" s="70">
        <v>241362.75</v>
      </c>
      <c r="J273" s="70">
        <v>277567.25</v>
      </c>
      <c r="K273" s="70">
        <v>277567.25</v>
      </c>
      <c r="L273" s="70">
        <v>277567.25</v>
      </c>
      <c r="M273" s="70">
        <v>277567.25</v>
      </c>
      <c r="N273" s="70">
        <v>277567.25</v>
      </c>
    </row>
    <row r="274" spans="1:14">
      <c r="A274" s="140">
        <f t="shared" si="5"/>
        <v>273</v>
      </c>
      <c r="B274" s="70">
        <v>0</v>
      </c>
      <c r="C274" s="70">
        <v>0</v>
      </c>
      <c r="D274" s="70">
        <v>0</v>
      </c>
      <c r="E274" s="70">
        <v>0</v>
      </c>
      <c r="F274" s="70">
        <v>0</v>
      </c>
      <c r="G274" s="70">
        <v>0</v>
      </c>
      <c r="H274" s="70">
        <v>0</v>
      </c>
      <c r="I274" s="70">
        <v>105000</v>
      </c>
      <c r="J274" s="70">
        <v>105000</v>
      </c>
      <c r="K274" s="70">
        <v>92400</v>
      </c>
      <c r="L274" s="70">
        <v>106260</v>
      </c>
      <c r="M274" s="70">
        <v>122199</v>
      </c>
      <c r="N274" s="70">
        <v>123665.5</v>
      </c>
    </row>
    <row r="275" spans="1:14">
      <c r="A275" s="140">
        <f t="shared" si="5"/>
        <v>274</v>
      </c>
      <c r="B275" s="70">
        <v>0</v>
      </c>
      <c r="C275" s="70">
        <v>0</v>
      </c>
      <c r="D275" s="70">
        <v>0</v>
      </c>
      <c r="E275" s="70">
        <v>0</v>
      </c>
      <c r="F275" s="70">
        <v>0</v>
      </c>
      <c r="G275" s="70">
        <v>0</v>
      </c>
      <c r="H275" s="70">
        <v>0</v>
      </c>
      <c r="I275" s="70">
        <v>0</v>
      </c>
      <c r="J275" s="70">
        <v>0</v>
      </c>
      <c r="K275" s="70">
        <v>120750</v>
      </c>
      <c r="L275" s="70">
        <v>120750</v>
      </c>
      <c r="M275" s="70">
        <v>138862.5</v>
      </c>
      <c r="N275" s="70">
        <v>183645.75</v>
      </c>
    </row>
    <row r="276" spans="1:14">
      <c r="A276" s="140">
        <f t="shared" si="5"/>
        <v>275</v>
      </c>
      <c r="B276" s="70">
        <v>0</v>
      </c>
      <c r="C276" s="70">
        <v>0</v>
      </c>
      <c r="D276" s="70">
        <v>0</v>
      </c>
      <c r="E276" s="70">
        <v>0</v>
      </c>
      <c r="F276" s="70">
        <v>0</v>
      </c>
      <c r="G276" s="70">
        <v>0</v>
      </c>
      <c r="H276" s="70">
        <v>0</v>
      </c>
      <c r="I276" s="70">
        <v>0</v>
      </c>
      <c r="J276" s="70">
        <v>0</v>
      </c>
      <c r="K276" s="70">
        <v>0</v>
      </c>
      <c r="L276" s="70">
        <v>0</v>
      </c>
      <c r="M276" s="70">
        <v>0</v>
      </c>
      <c r="N276" s="70">
        <v>105600</v>
      </c>
    </row>
    <row r="277" spans="1:14">
      <c r="A277" s="140">
        <f t="shared" si="5"/>
        <v>276</v>
      </c>
      <c r="B277" s="70">
        <v>0</v>
      </c>
      <c r="C277" s="70">
        <v>0</v>
      </c>
      <c r="D277" s="70">
        <v>0</v>
      </c>
      <c r="E277" s="70">
        <v>0</v>
      </c>
      <c r="F277" s="70">
        <v>0</v>
      </c>
      <c r="G277" s="70">
        <v>0</v>
      </c>
      <c r="H277" s="70">
        <v>0</v>
      </c>
      <c r="I277" s="70">
        <v>0</v>
      </c>
      <c r="J277" s="70">
        <v>0</v>
      </c>
      <c r="K277" s="70">
        <v>0</v>
      </c>
      <c r="L277" s="70">
        <v>0</v>
      </c>
      <c r="M277" s="70">
        <v>0</v>
      </c>
      <c r="N277" s="70">
        <v>105000</v>
      </c>
    </row>
    <row r="278" spans="1:14">
      <c r="A278" s="140">
        <f t="shared" si="5"/>
        <v>277</v>
      </c>
      <c r="B278" s="70">
        <v>0</v>
      </c>
      <c r="C278" s="70">
        <v>0</v>
      </c>
      <c r="D278" s="70">
        <v>0</v>
      </c>
      <c r="E278" s="70">
        <v>0</v>
      </c>
      <c r="F278" s="70">
        <v>0</v>
      </c>
      <c r="G278" s="70">
        <v>0</v>
      </c>
      <c r="H278" s="70">
        <v>0</v>
      </c>
      <c r="I278" s="70">
        <v>0</v>
      </c>
      <c r="J278" s="70">
        <v>0</v>
      </c>
      <c r="K278" s="70">
        <v>0</v>
      </c>
      <c r="L278" s="70">
        <v>92400</v>
      </c>
      <c r="M278" s="70">
        <v>140528.75</v>
      </c>
      <c r="N278" s="70">
        <v>140528.75</v>
      </c>
    </row>
    <row r="279" spans="1:14">
      <c r="A279" s="140">
        <f t="shared" si="5"/>
        <v>278</v>
      </c>
      <c r="B279" s="70">
        <v>0</v>
      </c>
      <c r="C279" s="70">
        <v>0</v>
      </c>
      <c r="D279" s="70">
        <v>0</v>
      </c>
      <c r="E279" s="70">
        <v>0</v>
      </c>
      <c r="F279" s="70">
        <v>0</v>
      </c>
      <c r="G279" s="70">
        <v>0</v>
      </c>
      <c r="H279" s="70">
        <v>0</v>
      </c>
      <c r="I279" s="70">
        <v>0</v>
      </c>
      <c r="J279" s="70">
        <v>0</v>
      </c>
      <c r="K279" s="70">
        <v>0</v>
      </c>
      <c r="L279" s="70">
        <v>0</v>
      </c>
      <c r="M279" s="70">
        <v>0</v>
      </c>
      <c r="N279" s="70">
        <v>105000</v>
      </c>
    </row>
    <row r="280" spans="1:14">
      <c r="A280" s="140">
        <f t="shared" si="5"/>
        <v>279</v>
      </c>
      <c r="B280" s="70">
        <v>0</v>
      </c>
      <c r="C280" s="70">
        <v>0</v>
      </c>
      <c r="D280" s="70">
        <v>0</v>
      </c>
      <c r="E280" s="70">
        <v>0</v>
      </c>
      <c r="F280" s="70">
        <v>0</v>
      </c>
      <c r="G280" s="70">
        <v>0</v>
      </c>
      <c r="H280" s="70">
        <v>0</v>
      </c>
      <c r="I280" s="70">
        <v>0</v>
      </c>
      <c r="J280" s="70">
        <v>0</v>
      </c>
      <c r="K280" s="70">
        <v>0</v>
      </c>
      <c r="L280" s="70">
        <v>0</v>
      </c>
      <c r="M280" s="70">
        <v>0</v>
      </c>
      <c r="N280" s="70">
        <v>120000</v>
      </c>
    </row>
    <row r="281" spans="1:14">
      <c r="A281" s="140">
        <f t="shared" si="5"/>
        <v>280</v>
      </c>
      <c r="B281" s="70">
        <v>0</v>
      </c>
      <c r="C281" s="70">
        <v>0</v>
      </c>
      <c r="D281" s="70">
        <v>0</v>
      </c>
      <c r="E281" s="70">
        <v>0</v>
      </c>
      <c r="F281" s="70">
        <v>0</v>
      </c>
      <c r="G281" s="70">
        <v>0</v>
      </c>
      <c r="H281" s="70">
        <v>0</v>
      </c>
      <c r="I281" s="70">
        <v>0</v>
      </c>
      <c r="J281" s="70">
        <v>0</v>
      </c>
      <c r="K281" s="70">
        <v>0</v>
      </c>
      <c r="L281" s="70">
        <v>0</v>
      </c>
      <c r="M281" s="70">
        <v>120000</v>
      </c>
      <c r="N281" s="70">
        <v>121440</v>
      </c>
    </row>
    <row r="282" spans="1:14">
      <c r="A282" s="140">
        <f t="shared" si="5"/>
        <v>281</v>
      </c>
      <c r="B282" s="70">
        <v>0</v>
      </c>
      <c r="C282" s="70">
        <v>0</v>
      </c>
      <c r="D282" s="70">
        <v>0</v>
      </c>
      <c r="E282" s="70">
        <v>0</v>
      </c>
      <c r="F282" s="70">
        <v>0</v>
      </c>
      <c r="G282" s="70">
        <v>0</v>
      </c>
      <c r="H282" s="70">
        <v>0</v>
      </c>
      <c r="I282" s="70">
        <v>0</v>
      </c>
      <c r="J282" s="70">
        <v>0</v>
      </c>
      <c r="K282" s="70">
        <v>60000</v>
      </c>
      <c r="L282" s="70">
        <v>79350</v>
      </c>
      <c r="M282" s="70">
        <v>80302.25</v>
      </c>
      <c r="N282" s="70">
        <v>92347.5</v>
      </c>
    </row>
    <row r="283" spans="1:14">
      <c r="A283" s="140">
        <f t="shared" si="5"/>
        <v>282</v>
      </c>
      <c r="B283" s="70">
        <v>160604.5</v>
      </c>
      <c r="C283" s="70">
        <v>160604.5</v>
      </c>
      <c r="D283" s="70">
        <v>184695</v>
      </c>
      <c r="E283" s="70">
        <v>212399.25</v>
      </c>
      <c r="F283" s="70">
        <v>164482</v>
      </c>
      <c r="G283" s="70">
        <v>189154.25</v>
      </c>
      <c r="H283" s="70">
        <v>217527.5</v>
      </c>
      <c r="I283" s="70">
        <v>217527.5</v>
      </c>
      <c r="J283" s="70">
        <v>217527.5</v>
      </c>
      <c r="K283" s="70">
        <v>250156.5</v>
      </c>
      <c r="L283" s="70">
        <v>250156.5</v>
      </c>
      <c r="M283" s="70">
        <v>287680</v>
      </c>
      <c r="N283" s="70">
        <v>287680</v>
      </c>
    </row>
    <row r="284" spans="1:14">
      <c r="A284" s="140">
        <f t="shared" si="5"/>
        <v>283</v>
      </c>
      <c r="B284" s="70">
        <v>0</v>
      </c>
      <c r="C284" s="70">
        <v>0</v>
      </c>
      <c r="D284" s="70">
        <v>0</v>
      </c>
      <c r="E284" s="70">
        <v>0</v>
      </c>
      <c r="F284" s="70">
        <v>0</v>
      </c>
      <c r="G284" s="70">
        <v>0</v>
      </c>
      <c r="H284" s="70">
        <v>0</v>
      </c>
      <c r="I284" s="70">
        <v>0</v>
      </c>
      <c r="J284" s="70">
        <v>0</v>
      </c>
      <c r="K284" s="70">
        <v>120000</v>
      </c>
      <c r="L284" s="70">
        <v>139656</v>
      </c>
      <c r="M284" s="70">
        <v>139656</v>
      </c>
      <c r="N284" s="70">
        <v>139656</v>
      </c>
    </row>
    <row r="285" spans="1:14">
      <c r="A285" s="140">
        <f t="shared" si="5"/>
        <v>284</v>
      </c>
      <c r="B285" s="70">
        <v>0</v>
      </c>
      <c r="C285" s="70">
        <v>0</v>
      </c>
      <c r="D285" s="70">
        <v>0</v>
      </c>
      <c r="E285" s="70">
        <v>0</v>
      </c>
      <c r="F285" s="70">
        <v>0</v>
      </c>
      <c r="G285" s="70">
        <v>120750</v>
      </c>
      <c r="H285" s="70">
        <v>138862.5</v>
      </c>
      <c r="I285" s="70">
        <v>138862.5</v>
      </c>
      <c r="J285" s="70">
        <v>183645.75</v>
      </c>
      <c r="K285" s="70">
        <v>211192.5</v>
      </c>
      <c r="L285" s="70">
        <v>279302</v>
      </c>
      <c r="M285" s="70">
        <v>369377</v>
      </c>
      <c r="N285" s="70">
        <v>424783.5</v>
      </c>
    </row>
    <row r="286" spans="1:14">
      <c r="A286" s="140">
        <f t="shared" si="5"/>
        <v>285</v>
      </c>
      <c r="B286" s="70">
        <v>0</v>
      </c>
      <c r="C286" s="70">
        <v>0</v>
      </c>
      <c r="D286" s="70">
        <v>0</v>
      </c>
      <c r="E286" s="70">
        <v>0</v>
      </c>
      <c r="F286" s="70">
        <v>0</v>
      </c>
      <c r="G286" s="70">
        <v>0</v>
      </c>
      <c r="H286" s="70">
        <v>0</v>
      </c>
      <c r="I286" s="70">
        <v>0</v>
      </c>
      <c r="J286" s="70">
        <v>0</v>
      </c>
      <c r="K286" s="70">
        <v>0</v>
      </c>
      <c r="L286" s="70">
        <v>120000</v>
      </c>
      <c r="M286" s="70">
        <v>138000</v>
      </c>
      <c r="N286" s="70">
        <v>160604.5</v>
      </c>
    </row>
    <row r="287" spans="1:14">
      <c r="A287" s="140">
        <f t="shared" si="5"/>
        <v>286</v>
      </c>
      <c r="B287" s="70">
        <v>0</v>
      </c>
      <c r="C287" s="70">
        <v>0</v>
      </c>
      <c r="D287" s="70">
        <v>0</v>
      </c>
      <c r="E287" s="70">
        <v>0</v>
      </c>
      <c r="F287" s="70">
        <v>0</v>
      </c>
      <c r="G287" s="70">
        <v>0</v>
      </c>
      <c r="H287" s="70">
        <v>0</v>
      </c>
      <c r="I287" s="70">
        <v>0</v>
      </c>
      <c r="J287" s="70">
        <v>0</v>
      </c>
      <c r="K287" s="70">
        <v>0</v>
      </c>
      <c r="L287" s="70">
        <v>0</v>
      </c>
      <c r="M287" s="70">
        <v>0</v>
      </c>
      <c r="N287" s="70">
        <v>120000</v>
      </c>
    </row>
    <row r="288" spans="1:14">
      <c r="A288" s="140">
        <f t="shared" si="5"/>
        <v>287</v>
      </c>
      <c r="B288" s="70">
        <v>0</v>
      </c>
      <c r="C288" s="70">
        <v>0</v>
      </c>
      <c r="D288" s="70">
        <v>0</v>
      </c>
      <c r="E288" s="70">
        <v>0</v>
      </c>
      <c r="F288" s="70">
        <v>0</v>
      </c>
      <c r="G288" s="70">
        <v>0</v>
      </c>
      <c r="H288" s="70">
        <v>0</v>
      </c>
      <c r="I288" s="70">
        <v>0</v>
      </c>
      <c r="J288" s="70">
        <v>0</v>
      </c>
      <c r="K288" s="70">
        <v>0</v>
      </c>
      <c r="L288" s="70">
        <v>120000</v>
      </c>
      <c r="M288" s="70">
        <v>120000</v>
      </c>
      <c r="N288" s="70">
        <v>120000</v>
      </c>
    </row>
    <row r="289" spans="1:14">
      <c r="A289" s="140">
        <f t="shared" si="5"/>
        <v>288</v>
      </c>
      <c r="B289" s="70">
        <v>0</v>
      </c>
      <c r="C289" s="70">
        <v>0</v>
      </c>
      <c r="D289" s="70">
        <v>0</v>
      </c>
      <c r="E289" s="70">
        <v>0</v>
      </c>
      <c r="F289" s="70">
        <v>0</v>
      </c>
      <c r="G289" s="70">
        <v>0</v>
      </c>
      <c r="H289" s="70">
        <v>0</v>
      </c>
      <c r="I289" s="70">
        <v>0</v>
      </c>
      <c r="J289" s="70">
        <v>0</v>
      </c>
      <c r="K289" s="70">
        <v>0</v>
      </c>
      <c r="L289" s="70">
        <v>60000</v>
      </c>
      <c r="M289" s="70">
        <v>69000</v>
      </c>
      <c r="N289" s="70">
        <v>91252.5</v>
      </c>
    </row>
    <row r="290" spans="1:14">
      <c r="A290" s="140">
        <f t="shared" si="5"/>
        <v>289</v>
      </c>
      <c r="B290" s="70">
        <v>0</v>
      </c>
      <c r="C290" s="70">
        <v>0</v>
      </c>
      <c r="D290" s="70">
        <v>0</v>
      </c>
      <c r="E290" s="70">
        <v>0</v>
      </c>
      <c r="F290" s="70">
        <v>0</v>
      </c>
      <c r="G290" s="70">
        <v>0</v>
      </c>
      <c r="H290" s="70">
        <v>0</v>
      </c>
      <c r="I290" s="70">
        <v>0</v>
      </c>
      <c r="J290" s="70">
        <v>0</v>
      </c>
      <c r="K290" s="70">
        <v>0</v>
      </c>
      <c r="L290" s="70">
        <v>0</v>
      </c>
      <c r="M290" s="70">
        <v>0</v>
      </c>
      <c r="N290" s="70">
        <v>158700</v>
      </c>
    </row>
    <row r="291" spans="1:14">
      <c r="A291" s="140">
        <f t="shared" si="5"/>
        <v>290</v>
      </c>
      <c r="B291" s="70">
        <v>0</v>
      </c>
      <c r="C291" s="70">
        <v>0</v>
      </c>
      <c r="D291" s="70">
        <v>0</v>
      </c>
      <c r="E291" s="70">
        <v>0</v>
      </c>
      <c r="F291" s="70">
        <v>0</v>
      </c>
      <c r="G291" s="70">
        <v>0</v>
      </c>
      <c r="H291" s="70">
        <v>0</v>
      </c>
      <c r="I291" s="70">
        <v>0</v>
      </c>
      <c r="J291" s="70">
        <v>0</v>
      </c>
      <c r="K291" s="70">
        <v>0</v>
      </c>
      <c r="L291" s="70">
        <v>0</v>
      </c>
      <c r="M291" s="70">
        <v>105000</v>
      </c>
      <c r="N291" s="70">
        <v>105000</v>
      </c>
    </row>
    <row r="292" spans="1:14">
      <c r="A292" s="140">
        <f t="shared" si="5"/>
        <v>291</v>
      </c>
      <c r="B292" s="70">
        <v>0</v>
      </c>
      <c r="C292" s="70">
        <v>0</v>
      </c>
      <c r="D292" s="70">
        <v>0</v>
      </c>
      <c r="E292" s="70">
        <v>0</v>
      </c>
      <c r="F292" s="70">
        <v>0</v>
      </c>
      <c r="G292" s="70">
        <v>0</v>
      </c>
      <c r="H292" s="70">
        <v>0</v>
      </c>
      <c r="I292" s="70">
        <v>0</v>
      </c>
      <c r="J292" s="70">
        <v>138000</v>
      </c>
      <c r="K292" s="70">
        <v>138000</v>
      </c>
      <c r="L292" s="70">
        <v>158700</v>
      </c>
      <c r="M292" s="70">
        <v>182505</v>
      </c>
      <c r="N292" s="70">
        <v>209880.75</v>
      </c>
    </row>
    <row r="293" spans="1:14">
      <c r="A293" s="140">
        <f t="shared" si="5"/>
        <v>292</v>
      </c>
      <c r="B293" s="70">
        <v>0</v>
      </c>
      <c r="C293" s="70">
        <v>0</v>
      </c>
      <c r="D293" s="70">
        <v>0</v>
      </c>
      <c r="E293" s="70">
        <v>0</v>
      </c>
      <c r="F293" s="70">
        <v>0</v>
      </c>
      <c r="G293" s="70">
        <v>0</v>
      </c>
      <c r="H293" s="70">
        <v>0</v>
      </c>
      <c r="I293" s="70">
        <v>0</v>
      </c>
      <c r="J293" s="70">
        <v>120000</v>
      </c>
      <c r="K293" s="70">
        <v>158700</v>
      </c>
      <c r="L293" s="70">
        <v>182505</v>
      </c>
      <c r="M293" s="70">
        <v>241362.75</v>
      </c>
      <c r="N293" s="70">
        <v>241362.75</v>
      </c>
    </row>
    <row r="294" spans="1:14">
      <c r="A294" s="140">
        <f t="shared" si="5"/>
        <v>293</v>
      </c>
      <c r="B294" s="70">
        <v>54723.75</v>
      </c>
      <c r="C294" s="70">
        <v>62932.25</v>
      </c>
      <c r="D294" s="70">
        <v>83228</v>
      </c>
      <c r="E294" s="70">
        <v>110069</v>
      </c>
      <c r="F294" s="70">
        <v>126579.25</v>
      </c>
      <c r="G294" s="70">
        <v>145566.25</v>
      </c>
      <c r="H294" s="70">
        <v>167401</v>
      </c>
      <c r="I294" s="70">
        <v>167401</v>
      </c>
      <c r="J294" s="70">
        <v>221388</v>
      </c>
      <c r="K294" s="70">
        <v>221388</v>
      </c>
      <c r="L294" s="70">
        <v>292785.5</v>
      </c>
      <c r="M294" s="70">
        <v>292785.5</v>
      </c>
      <c r="N294" s="70">
        <v>387208.75</v>
      </c>
    </row>
    <row r="295" spans="1:14">
      <c r="A295" s="140">
        <f t="shared" si="5"/>
        <v>294</v>
      </c>
      <c r="B295" s="70">
        <v>0</v>
      </c>
      <c r="C295" s="70">
        <v>0</v>
      </c>
      <c r="D295" s="70">
        <v>0</v>
      </c>
      <c r="E295" s="70">
        <v>0</v>
      </c>
      <c r="F295" s="70">
        <v>0</v>
      </c>
      <c r="G295" s="70">
        <v>0</v>
      </c>
      <c r="H295" s="70">
        <v>120000</v>
      </c>
      <c r="I295" s="70">
        <v>105600</v>
      </c>
      <c r="J295" s="70">
        <v>105600</v>
      </c>
      <c r="K295" s="70">
        <v>105600</v>
      </c>
      <c r="L295" s="70">
        <v>105600</v>
      </c>
      <c r="M295" s="70">
        <v>105600</v>
      </c>
      <c r="N295" s="70">
        <v>121440</v>
      </c>
    </row>
    <row r="296" spans="1:14">
      <c r="A296" s="140">
        <f t="shared" si="5"/>
        <v>295</v>
      </c>
      <c r="B296" s="70">
        <v>105000</v>
      </c>
      <c r="C296" s="70">
        <v>138862.5</v>
      </c>
      <c r="D296" s="70">
        <v>159692</v>
      </c>
      <c r="E296" s="70">
        <v>159692</v>
      </c>
      <c r="F296" s="70">
        <v>183645.75</v>
      </c>
      <c r="G296" s="70">
        <v>211192.5</v>
      </c>
      <c r="H296" s="70">
        <v>211192.5</v>
      </c>
      <c r="I296" s="70">
        <v>242871.5</v>
      </c>
      <c r="J296" s="70">
        <v>213726.75</v>
      </c>
      <c r="K296" s="70">
        <v>188079.5</v>
      </c>
      <c r="L296" s="70">
        <v>216291.5</v>
      </c>
      <c r="M296" s="70">
        <v>248735.25</v>
      </c>
      <c r="N296" s="70">
        <v>0</v>
      </c>
    </row>
    <row r="297" spans="1:14">
      <c r="A297" s="140">
        <f t="shared" si="5"/>
        <v>296</v>
      </c>
      <c r="B297" s="70">
        <v>0</v>
      </c>
      <c r="C297" s="70">
        <v>0</v>
      </c>
      <c r="D297" s="70">
        <v>0</v>
      </c>
      <c r="E297" s="70">
        <v>0</v>
      </c>
      <c r="F297" s="70">
        <v>0</v>
      </c>
      <c r="G297" s="70">
        <v>0</v>
      </c>
      <c r="H297" s="70">
        <v>0</v>
      </c>
      <c r="I297" s="70">
        <v>0</v>
      </c>
      <c r="J297" s="70">
        <v>69000</v>
      </c>
      <c r="K297" s="70">
        <v>79350</v>
      </c>
      <c r="L297" s="70">
        <v>91252.5</v>
      </c>
      <c r="M297" s="70">
        <v>104940.5</v>
      </c>
      <c r="N297" s="70">
        <v>120681.5</v>
      </c>
    </row>
    <row r="298" spans="1:14">
      <c r="A298" s="140">
        <f t="shared" si="5"/>
        <v>297</v>
      </c>
      <c r="B298" s="70">
        <v>0</v>
      </c>
      <c r="C298" s="70">
        <v>0</v>
      </c>
      <c r="D298" s="70">
        <v>0</v>
      </c>
      <c r="E298" s="70">
        <v>0</v>
      </c>
      <c r="F298" s="70">
        <v>0</v>
      </c>
      <c r="G298" s="70">
        <v>0</v>
      </c>
      <c r="H298" s="70">
        <v>0</v>
      </c>
      <c r="I298" s="70">
        <v>0</v>
      </c>
      <c r="J298" s="70">
        <v>0</v>
      </c>
      <c r="K298" s="70">
        <v>0</v>
      </c>
      <c r="L298" s="70">
        <v>0</v>
      </c>
      <c r="M298" s="70">
        <v>120000</v>
      </c>
      <c r="N298" s="70">
        <v>138000</v>
      </c>
    </row>
    <row r="299" spans="1:14">
      <c r="A299" s="140">
        <f t="shared" si="5"/>
        <v>298</v>
      </c>
      <c r="B299" s="70">
        <v>0</v>
      </c>
      <c r="C299" s="70">
        <v>0</v>
      </c>
      <c r="D299" s="70">
        <v>0</v>
      </c>
      <c r="E299" s="70">
        <v>0</v>
      </c>
      <c r="F299" s="70">
        <v>0</v>
      </c>
      <c r="G299" s="70">
        <v>0</v>
      </c>
      <c r="H299" s="70">
        <v>0</v>
      </c>
      <c r="I299" s="70">
        <v>0</v>
      </c>
      <c r="J299" s="70">
        <v>0</v>
      </c>
      <c r="K299" s="70">
        <v>138000</v>
      </c>
      <c r="L299" s="70">
        <v>158700</v>
      </c>
      <c r="M299" s="70">
        <v>182505</v>
      </c>
      <c r="N299" s="70">
        <v>209880.75</v>
      </c>
    </row>
    <row r="300" spans="1:14">
      <c r="A300" s="140">
        <f t="shared" si="5"/>
        <v>299</v>
      </c>
      <c r="B300" s="70">
        <v>0</v>
      </c>
      <c r="C300" s="70">
        <v>0</v>
      </c>
      <c r="D300" s="70">
        <v>0</v>
      </c>
      <c r="E300" s="70">
        <v>120000</v>
      </c>
      <c r="F300" s="70">
        <v>158700</v>
      </c>
      <c r="G300" s="70">
        <v>160604.5</v>
      </c>
      <c r="H300" s="70">
        <v>184695</v>
      </c>
      <c r="I300" s="70">
        <v>184695</v>
      </c>
      <c r="J300" s="70">
        <v>184695</v>
      </c>
      <c r="K300" s="70">
        <v>214948</v>
      </c>
      <c r="L300" s="70">
        <v>189154.25</v>
      </c>
      <c r="M300" s="70">
        <v>0</v>
      </c>
      <c r="N300" s="70">
        <v>0</v>
      </c>
    </row>
    <row r="301" spans="1:14">
      <c r="A301" s="140">
        <f t="shared" si="5"/>
        <v>300</v>
      </c>
      <c r="B301" s="70">
        <v>158700</v>
      </c>
      <c r="C301" s="70">
        <v>182505</v>
      </c>
      <c r="D301" s="70">
        <v>182505</v>
      </c>
      <c r="E301" s="70">
        <v>182505</v>
      </c>
      <c r="F301" s="70">
        <v>209880.75</v>
      </c>
      <c r="G301" s="70">
        <v>277567.25</v>
      </c>
      <c r="H301" s="70">
        <v>319202.5</v>
      </c>
      <c r="I301" s="70">
        <v>485467</v>
      </c>
      <c r="J301" s="70">
        <v>558287</v>
      </c>
      <c r="K301" s="70">
        <v>642030</v>
      </c>
      <c r="L301" s="70">
        <v>849084.75</v>
      </c>
      <c r="M301" s="70">
        <v>747194.5</v>
      </c>
      <c r="N301" s="70">
        <v>747194.5</v>
      </c>
    </row>
    <row r="302" spans="1:14">
      <c r="A302" s="140">
        <f t="shared" si="5"/>
        <v>301</v>
      </c>
      <c r="B302" s="70">
        <v>0</v>
      </c>
      <c r="C302" s="70">
        <v>0</v>
      </c>
      <c r="D302" s="70">
        <v>0</v>
      </c>
      <c r="E302" s="70">
        <v>0</v>
      </c>
      <c r="F302" s="70">
        <v>0</v>
      </c>
      <c r="G302" s="70">
        <v>0</v>
      </c>
      <c r="H302" s="70">
        <v>0</v>
      </c>
      <c r="I302" s="70">
        <v>0</v>
      </c>
      <c r="J302" s="70">
        <v>0</v>
      </c>
      <c r="K302" s="70">
        <v>0</v>
      </c>
      <c r="L302" s="70">
        <v>0</v>
      </c>
      <c r="M302" s="70">
        <v>0</v>
      </c>
      <c r="N302" s="70">
        <v>105000</v>
      </c>
    </row>
    <row r="303" spans="1:14">
      <c r="A303" s="140">
        <f t="shared" si="5"/>
        <v>302</v>
      </c>
      <c r="B303" s="70">
        <v>286045.5</v>
      </c>
      <c r="C303" s="70">
        <v>328952.5</v>
      </c>
      <c r="D303" s="70">
        <v>289478</v>
      </c>
      <c r="E303" s="70">
        <v>289478</v>
      </c>
      <c r="F303" s="70">
        <v>289478</v>
      </c>
      <c r="G303" s="70">
        <v>382834.75</v>
      </c>
      <c r="H303" s="70">
        <v>440260</v>
      </c>
      <c r="I303" s="70">
        <v>440260</v>
      </c>
      <c r="J303" s="70">
        <v>506299</v>
      </c>
      <c r="K303" s="70">
        <v>582243.75</v>
      </c>
      <c r="L303" s="70">
        <v>669580.5</v>
      </c>
      <c r="M303" s="70">
        <v>589230.75</v>
      </c>
      <c r="N303" s="70">
        <v>677615.5</v>
      </c>
    </row>
    <row r="304" spans="1:14">
      <c r="A304" s="140">
        <f t="shared" si="5"/>
        <v>303</v>
      </c>
      <c r="B304" s="70">
        <v>0</v>
      </c>
      <c r="C304" s="70">
        <v>0</v>
      </c>
      <c r="D304" s="70">
        <v>0</v>
      </c>
      <c r="E304" s="70">
        <v>0</v>
      </c>
      <c r="F304" s="70">
        <v>0</v>
      </c>
      <c r="G304" s="70">
        <v>0</v>
      </c>
      <c r="H304" s="70">
        <v>0</v>
      </c>
      <c r="I304" s="70">
        <v>0</v>
      </c>
      <c r="J304" s="70">
        <v>0</v>
      </c>
      <c r="K304" s="70">
        <v>0</v>
      </c>
      <c r="L304" s="70">
        <v>120000</v>
      </c>
      <c r="M304" s="70">
        <v>120000</v>
      </c>
      <c r="N304" s="70">
        <v>138000</v>
      </c>
    </row>
    <row r="305" spans="1:14">
      <c r="A305" s="140">
        <f t="shared" si="5"/>
        <v>304</v>
      </c>
      <c r="B305" s="70">
        <v>0</v>
      </c>
      <c r="C305" s="70">
        <v>0</v>
      </c>
      <c r="D305" s="70">
        <v>0</v>
      </c>
      <c r="E305" s="70">
        <v>0</v>
      </c>
      <c r="F305" s="70">
        <v>0</v>
      </c>
      <c r="G305" s="70">
        <v>0</v>
      </c>
      <c r="H305" s="70">
        <v>0</v>
      </c>
      <c r="I305" s="70">
        <v>60000</v>
      </c>
      <c r="J305" s="70">
        <v>69000</v>
      </c>
      <c r="K305" s="70">
        <v>69000</v>
      </c>
      <c r="L305" s="70">
        <v>79350</v>
      </c>
      <c r="M305" s="70">
        <v>104940.5</v>
      </c>
      <c r="N305" s="70">
        <v>92347.5</v>
      </c>
    </row>
    <row r="306" spans="1:14">
      <c r="A306" s="140">
        <f t="shared" si="5"/>
        <v>305</v>
      </c>
      <c r="B306" s="70">
        <v>0</v>
      </c>
      <c r="C306" s="70">
        <v>0</v>
      </c>
      <c r="D306" s="70">
        <v>0</v>
      </c>
      <c r="E306" s="70">
        <v>0</v>
      </c>
      <c r="F306" s="70">
        <v>0</v>
      </c>
      <c r="G306" s="70">
        <v>0</v>
      </c>
      <c r="H306" s="70">
        <v>0</v>
      </c>
      <c r="I306" s="70">
        <v>0</v>
      </c>
      <c r="J306" s="70">
        <v>0</v>
      </c>
      <c r="K306" s="70">
        <v>60000</v>
      </c>
      <c r="L306" s="70">
        <v>69000</v>
      </c>
      <c r="M306" s="70">
        <v>91252.5</v>
      </c>
      <c r="N306" s="70">
        <v>91252.5</v>
      </c>
    </row>
    <row r="307" spans="1:14">
      <c r="A307" s="140">
        <f t="shared" si="5"/>
        <v>306</v>
      </c>
      <c r="B307" s="70">
        <v>0</v>
      </c>
      <c r="C307" s="70">
        <v>0</v>
      </c>
      <c r="D307" s="70">
        <v>0</v>
      </c>
      <c r="E307" s="70">
        <v>0</v>
      </c>
      <c r="F307" s="70">
        <v>0</v>
      </c>
      <c r="G307" s="70">
        <v>0</v>
      </c>
      <c r="H307" s="70">
        <v>0</v>
      </c>
      <c r="I307" s="70">
        <v>0</v>
      </c>
      <c r="J307" s="70">
        <v>105000</v>
      </c>
      <c r="K307" s="70">
        <v>105000</v>
      </c>
      <c r="L307" s="70">
        <v>120750</v>
      </c>
      <c r="M307" s="70">
        <v>120750</v>
      </c>
      <c r="N307" s="70">
        <v>140528.75</v>
      </c>
    </row>
    <row r="308" spans="1:14">
      <c r="A308" s="140">
        <f t="shared" si="5"/>
        <v>307</v>
      </c>
      <c r="B308" s="70">
        <v>0</v>
      </c>
      <c r="C308" s="70">
        <v>0</v>
      </c>
      <c r="D308" s="70">
        <v>0</v>
      </c>
      <c r="E308" s="70">
        <v>0</v>
      </c>
      <c r="F308" s="70">
        <v>0</v>
      </c>
      <c r="G308" s="70">
        <v>0</v>
      </c>
      <c r="H308" s="70">
        <v>0</v>
      </c>
      <c r="I308" s="70">
        <v>0</v>
      </c>
      <c r="J308" s="70">
        <v>0</v>
      </c>
      <c r="K308" s="70">
        <v>0</v>
      </c>
      <c r="L308" s="70">
        <v>0</v>
      </c>
      <c r="M308" s="70">
        <v>120000</v>
      </c>
      <c r="N308" s="70">
        <v>105600</v>
      </c>
    </row>
    <row r="309" spans="1:14">
      <c r="A309" s="140">
        <f t="shared" si="5"/>
        <v>308</v>
      </c>
      <c r="B309" s="70">
        <v>0</v>
      </c>
      <c r="C309" s="70">
        <v>0</v>
      </c>
      <c r="D309" s="70">
        <v>0</v>
      </c>
      <c r="E309" s="70">
        <v>120000</v>
      </c>
      <c r="F309" s="70">
        <v>138000</v>
      </c>
      <c r="G309" s="70">
        <v>106867.25</v>
      </c>
      <c r="H309" s="70">
        <v>122897.25</v>
      </c>
      <c r="I309" s="70">
        <v>141331.75</v>
      </c>
      <c r="J309" s="70">
        <v>124372</v>
      </c>
      <c r="K309" s="70">
        <v>143027.75</v>
      </c>
      <c r="L309" s="70">
        <v>125864.5</v>
      </c>
      <c r="M309" s="70">
        <v>125864.5</v>
      </c>
      <c r="N309" s="70">
        <v>144744.25</v>
      </c>
    </row>
    <row r="310" spans="1:14">
      <c r="A310" s="140">
        <f t="shared" si="5"/>
        <v>309</v>
      </c>
      <c r="B310" s="70">
        <v>0</v>
      </c>
      <c r="C310" s="70">
        <v>0</v>
      </c>
      <c r="D310" s="70">
        <v>0</v>
      </c>
      <c r="E310" s="70">
        <v>0</v>
      </c>
      <c r="F310" s="70">
        <v>0</v>
      </c>
      <c r="G310" s="70">
        <v>0</v>
      </c>
      <c r="H310" s="70">
        <v>0</v>
      </c>
      <c r="I310" s="70">
        <v>0</v>
      </c>
      <c r="J310" s="70">
        <v>0</v>
      </c>
      <c r="K310" s="70">
        <v>105000</v>
      </c>
      <c r="L310" s="70">
        <v>92400</v>
      </c>
      <c r="M310" s="70">
        <v>122199</v>
      </c>
      <c r="N310" s="70">
        <v>122199</v>
      </c>
    </row>
    <row r="311" spans="1:14">
      <c r="A311" s="140">
        <f t="shared" si="5"/>
        <v>310</v>
      </c>
      <c r="B311" s="70">
        <v>158700</v>
      </c>
      <c r="C311" s="70">
        <v>182505</v>
      </c>
      <c r="D311" s="70">
        <v>241362.75</v>
      </c>
      <c r="E311" s="70">
        <v>277567.25</v>
      </c>
      <c r="F311" s="70">
        <v>319202.5</v>
      </c>
      <c r="G311" s="70">
        <v>319202.5</v>
      </c>
      <c r="H311" s="70">
        <v>367082.75</v>
      </c>
      <c r="I311" s="70">
        <v>367082.75</v>
      </c>
      <c r="J311" s="70">
        <v>367082.75</v>
      </c>
      <c r="K311" s="70">
        <v>371487.75</v>
      </c>
      <c r="L311" s="70">
        <v>491292.5</v>
      </c>
      <c r="M311" s="70">
        <v>564986.5</v>
      </c>
      <c r="N311" s="70">
        <v>859273.75</v>
      </c>
    </row>
    <row r="312" spans="1:14">
      <c r="A312" s="140">
        <f t="shared" si="5"/>
        <v>311</v>
      </c>
      <c r="B312" s="70">
        <v>0</v>
      </c>
      <c r="C312" s="70">
        <v>0</v>
      </c>
      <c r="D312" s="70">
        <v>0</v>
      </c>
      <c r="E312" s="70">
        <v>0</v>
      </c>
      <c r="F312" s="70">
        <v>92400</v>
      </c>
      <c r="G312" s="70">
        <v>106260</v>
      </c>
      <c r="H312" s="70">
        <v>106260</v>
      </c>
      <c r="I312" s="70">
        <v>106260</v>
      </c>
      <c r="J312" s="70">
        <v>123665.5</v>
      </c>
      <c r="K312" s="70">
        <v>123665.5</v>
      </c>
      <c r="L312" s="70">
        <v>142215.25</v>
      </c>
      <c r="M312" s="70">
        <v>163547.5</v>
      </c>
      <c r="N312" s="70">
        <v>188079.5</v>
      </c>
    </row>
    <row r="313" spans="1:14">
      <c r="A313" s="140">
        <f t="shared" si="5"/>
        <v>312</v>
      </c>
      <c r="B313" s="70">
        <v>0</v>
      </c>
      <c r="C313" s="70">
        <v>0</v>
      </c>
      <c r="D313" s="70">
        <v>0</v>
      </c>
      <c r="E313" s="70">
        <v>0</v>
      </c>
      <c r="F313" s="70">
        <v>0</v>
      </c>
      <c r="G313" s="70">
        <v>0</v>
      </c>
      <c r="H313" s="70">
        <v>0</v>
      </c>
      <c r="I313" s="70">
        <v>0</v>
      </c>
      <c r="J313" s="70">
        <v>0</v>
      </c>
      <c r="K313" s="70">
        <v>0</v>
      </c>
      <c r="L313" s="70">
        <v>60000</v>
      </c>
      <c r="M313" s="70">
        <v>69000</v>
      </c>
      <c r="N313" s="70">
        <v>69000</v>
      </c>
    </row>
    <row r="314" spans="1:14">
      <c r="A314" s="140">
        <f t="shared" si="5"/>
        <v>313</v>
      </c>
      <c r="B314" s="70">
        <v>93508.75</v>
      </c>
      <c r="C314" s="70">
        <v>107535</v>
      </c>
      <c r="D314" s="70">
        <v>107535</v>
      </c>
      <c r="E314" s="70">
        <v>123665.5</v>
      </c>
      <c r="F314" s="70">
        <v>108825.5</v>
      </c>
      <c r="G314" s="70">
        <v>165510</v>
      </c>
      <c r="H314" s="70">
        <v>165510</v>
      </c>
      <c r="I314" s="70">
        <v>145648.75</v>
      </c>
      <c r="J314" s="70">
        <v>145648.75</v>
      </c>
      <c r="K314" s="70">
        <v>0</v>
      </c>
      <c r="L314" s="70">
        <v>0</v>
      </c>
      <c r="M314" s="70">
        <v>0</v>
      </c>
      <c r="N314" s="70">
        <v>0</v>
      </c>
    </row>
    <row r="315" spans="1:14">
      <c r="A315" s="140">
        <f t="shared" si="5"/>
        <v>314</v>
      </c>
      <c r="B315" s="70">
        <v>0</v>
      </c>
      <c r="C315" s="70">
        <v>0</v>
      </c>
      <c r="D315" s="70">
        <v>0</v>
      </c>
      <c r="E315" s="70">
        <v>0</v>
      </c>
      <c r="F315" s="70">
        <v>120000</v>
      </c>
      <c r="G315" s="70">
        <v>138000</v>
      </c>
      <c r="H315" s="70">
        <v>138000</v>
      </c>
      <c r="I315" s="70">
        <v>182505</v>
      </c>
      <c r="J315" s="70">
        <v>209880.75</v>
      </c>
      <c r="K315" s="70">
        <v>241362.75</v>
      </c>
      <c r="L315" s="70">
        <v>277567.25</v>
      </c>
      <c r="M315" s="70">
        <v>367082.75</v>
      </c>
      <c r="N315" s="70">
        <v>422145.25</v>
      </c>
    </row>
    <row r="316" spans="1:14">
      <c r="A316" s="140">
        <f t="shared" si="5"/>
        <v>315</v>
      </c>
      <c r="B316" s="70">
        <v>0</v>
      </c>
      <c r="C316" s="70">
        <v>0</v>
      </c>
      <c r="D316" s="70">
        <v>0</v>
      </c>
      <c r="E316" s="70">
        <v>0</v>
      </c>
      <c r="F316" s="70">
        <v>0</v>
      </c>
      <c r="G316" s="70">
        <v>105000</v>
      </c>
      <c r="H316" s="70">
        <v>120750</v>
      </c>
      <c r="I316" s="70">
        <v>120750</v>
      </c>
      <c r="J316" s="70">
        <v>138862.5</v>
      </c>
      <c r="K316" s="70">
        <v>138862.5</v>
      </c>
      <c r="L316" s="70">
        <v>138862.5</v>
      </c>
      <c r="M316" s="70">
        <v>183645.75</v>
      </c>
      <c r="N316" s="70">
        <v>183645.75</v>
      </c>
    </row>
    <row r="317" spans="1:14">
      <c r="A317" s="140">
        <f t="shared" si="5"/>
        <v>316</v>
      </c>
      <c r="B317" s="70">
        <v>0</v>
      </c>
      <c r="C317" s="70">
        <v>0</v>
      </c>
      <c r="D317" s="70">
        <v>0</v>
      </c>
      <c r="E317" s="70">
        <v>0</v>
      </c>
      <c r="F317" s="70">
        <v>60000</v>
      </c>
      <c r="G317" s="70">
        <v>91252.5</v>
      </c>
      <c r="H317" s="70">
        <v>104940.5</v>
      </c>
      <c r="I317" s="70">
        <v>106199.75</v>
      </c>
      <c r="J317" s="70">
        <v>106199.75</v>
      </c>
      <c r="K317" s="70">
        <v>122129.5</v>
      </c>
      <c r="L317" s="70">
        <v>122129.5</v>
      </c>
      <c r="M317" s="70">
        <v>122129.5</v>
      </c>
      <c r="N317" s="70">
        <v>140449</v>
      </c>
    </row>
    <row r="318" spans="1:14">
      <c r="A318" s="140">
        <f t="shared" si="5"/>
        <v>317</v>
      </c>
      <c r="B318" s="70">
        <v>0</v>
      </c>
      <c r="C318" s="70">
        <v>0</v>
      </c>
      <c r="D318" s="70">
        <v>0</v>
      </c>
      <c r="E318" s="70">
        <v>0</v>
      </c>
      <c r="F318" s="70">
        <v>0</v>
      </c>
      <c r="G318" s="70">
        <v>0</v>
      </c>
      <c r="H318" s="70">
        <v>0</v>
      </c>
      <c r="I318" s="70">
        <v>0</v>
      </c>
      <c r="J318" s="70">
        <v>0</v>
      </c>
      <c r="K318" s="70">
        <v>0</v>
      </c>
      <c r="L318" s="70">
        <v>0</v>
      </c>
      <c r="M318" s="70">
        <v>0</v>
      </c>
      <c r="N318" s="70">
        <v>69000</v>
      </c>
    </row>
    <row r="319" spans="1:14">
      <c r="A319" s="140">
        <f t="shared" si="5"/>
        <v>318</v>
      </c>
      <c r="B319" s="70">
        <v>0</v>
      </c>
      <c r="C319" s="70">
        <v>0</v>
      </c>
      <c r="D319" s="70">
        <v>0</v>
      </c>
      <c r="E319" s="70">
        <v>0</v>
      </c>
      <c r="F319" s="70">
        <v>0</v>
      </c>
      <c r="G319" s="70">
        <v>0</v>
      </c>
      <c r="H319" s="70">
        <v>0</v>
      </c>
      <c r="I319" s="70">
        <v>0</v>
      </c>
      <c r="J319" s="70">
        <v>120000</v>
      </c>
      <c r="K319" s="70">
        <v>120000</v>
      </c>
      <c r="L319" s="70">
        <v>138000</v>
      </c>
      <c r="M319" s="70">
        <v>121440</v>
      </c>
      <c r="N319" s="70">
        <v>121440</v>
      </c>
    </row>
    <row r="320" spans="1:14">
      <c r="A320" s="140">
        <f t="shared" si="5"/>
        <v>319</v>
      </c>
      <c r="B320" s="70">
        <v>0</v>
      </c>
      <c r="C320" s="70">
        <v>0</v>
      </c>
      <c r="D320" s="70">
        <v>0</v>
      </c>
      <c r="E320" s="70">
        <v>0</v>
      </c>
      <c r="F320" s="70">
        <v>0</v>
      </c>
      <c r="G320" s="70">
        <v>0</v>
      </c>
      <c r="H320" s="70">
        <v>0</v>
      </c>
      <c r="I320" s="70">
        <v>0</v>
      </c>
      <c r="J320" s="70">
        <v>0</v>
      </c>
      <c r="K320" s="70">
        <v>0</v>
      </c>
      <c r="L320" s="70">
        <v>0</v>
      </c>
      <c r="M320" s="70">
        <v>0</v>
      </c>
      <c r="N320" s="70">
        <v>105000</v>
      </c>
    </row>
    <row r="321" spans="1:14">
      <c r="A321" s="140">
        <f t="shared" si="5"/>
        <v>320</v>
      </c>
      <c r="B321" s="70">
        <v>0</v>
      </c>
      <c r="C321" s="70">
        <v>0</v>
      </c>
      <c r="D321" s="70">
        <v>105000</v>
      </c>
      <c r="E321" s="70">
        <v>138862.5</v>
      </c>
      <c r="F321" s="70">
        <v>138862.5</v>
      </c>
      <c r="G321" s="70">
        <v>138862.5</v>
      </c>
      <c r="H321" s="70">
        <v>183645.75</v>
      </c>
      <c r="I321" s="70">
        <v>185849.5</v>
      </c>
      <c r="J321" s="70">
        <v>245785.75</v>
      </c>
      <c r="K321" s="70">
        <v>216291.5</v>
      </c>
      <c r="L321" s="70">
        <v>248735.25</v>
      </c>
      <c r="M321" s="70">
        <v>286045.5</v>
      </c>
      <c r="N321" s="70">
        <v>328952.5</v>
      </c>
    </row>
    <row r="322" spans="1:14">
      <c r="A322" s="140">
        <f t="shared" si="5"/>
        <v>321</v>
      </c>
      <c r="B322" s="70">
        <v>0</v>
      </c>
      <c r="C322" s="70">
        <v>0</v>
      </c>
      <c r="D322" s="70">
        <v>0</v>
      </c>
      <c r="E322" s="70">
        <v>0</v>
      </c>
      <c r="F322" s="70">
        <v>0</v>
      </c>
      <c r="G322" s="70">
        <v>0</v>
      </c>
      <c r="H322" s="70">
        <v>0</v>
      </c>
      <c r="I322" s="70">
        <v>0</v>
      </c>
      <c r="J322" s="70">
        <v>60000</v>
      </c>
      <c r="K322" s="70">
        <v>60000</v>
      </c>
      <c r="L322" s="70">
        <v>69000</v>
      </c>
      <c r="M322" s="70">
        <v>79350</v>
      </c>
      <c r="N322" s="70">
        <v>69828</v>
      </c>
    </row>
    <row r="323" spans="1:14">
      <c r="A323" s="140">
        <f t="shared" ref="A323:A386" si="6">+A322+1</f>
        <v>322</v>
      </c>
      <c r="B323" s="70">
        <v>0</v>
      </c>
      <c r="C323" s="70">
        <v>0</v>
      </c>
      <c r="D323" s="70">
        <v>0</v>
      </c>
      <c r="E323" s="70">
        <v>0</v>
      </c>
      <c r="F323" s="70">
        <v>0</v>
      </c>
      <c r="G323" s="70">
        <v>0</v>
      </c>
      <c r="H323" s="70">
        <v>105000</v>
      </c>
      <c r="I323" s="70">
        <v>120750</v>
      </c>
      <c r="J323" s="70">
        <v>120750</v>
      </c>
      <c r="K323" s="70">
        <v>138862.5</v>
      </c>
      <c r="L323" s="70">
        <v>140528.75</v>
      </c>
      <c r="M323" s="70">
        <v>123665.5</v>
      </c>
      <c r="N323" s="70">
        <v>163547.5</v>
      </c>
    </row>
    <row r="324" spans="1:14">
      <c r="A324" s="140">
        <f t="shared" si="6"/>
        <v>323</v>
      </c>
      <c r="B324" s="70">
        <v>0</v>
      </c>
      <c r="C324" s="70">
        <v>0</v>
      </c>
      <c r="D324" s="70">
        <v>0</v>
      </c>
      <c r="E324" s="70">
        <v>0</v>
      </c>
      <c r="F324" s="70">
        <v>120000</v>
      </c>
      <c r="G324" s="70">
        <v>120000</v>
      </c>
      <c r="H324" s="70">
        <v>120000</v>
      </c>
      <c r="I324" s="70">
        <v>105600</v>
      </c>
      <c r="J324" s="70">
        <v>105600</v>
      </c>
      <c r="K324" s="70">
        <v>139656</v>
      </c>
      <c r="L324" s="70">
        <v>139656</v>
      </c>
      <c r="M324" s="70">
        <v>160604.5</v>
      </c>
      <c r="N324" s="70">
        <v>184695</v>
      </c>
    </row>
    <row r="325" spans="1:14">
      <c r="A325" s="140">
        <f t="shared" si="6"/>
        <v>324</v>
      </c>
      <c r="B325" s="70">
        <v>0</v>
      </c>
      <c r="C325" s="70">
        <v>0</v>
      </c>
      <c r="D325" s="70">
        <v>0</v>
      </c>
      <c r="E325" s="70">
        <v>0</v>
      </c>
      <c r="F325" s="70">
        <v>0</v>
      </c>
      <c r="G325" s="70">
        <v>0</v>
      </c>
      <c r="H325" s="70">
        <v>0</v>
      </c>
      <c r="I325" s="70">
        <v>60000</v>
      </c>
      <c r="J325" s="70">
        <v>69000</v>
      </c>
      <c r="K325" s="70">
        <v>79350</v>
      </c>
      <c r="L325" s="70">
        <v>91252.5</v>
      </c>
      <c r="M325" s="70">
        <v>104940.5</v>
      </c>
      <c r="N325" s="70">
        <v>104940.5</v>
      </c>
    </row>
    <row r="326" spans="1:14">
      <c r="A326" s="140">
        <f t="shared" si="6"/>
        <v>325</v>
      </c>
      <c r="B326" s="70">
        <v>0</v>
      </c>
      <c r="C326" s="70">
        <v>0</v>
      </c>
      <c r="D326" s="70">
        <v>0</v>
      </c>
      <c r="E326" s="70">
        <v>0</v>
      </c>
      <c r="F326" s="70">
        <v>0</v>
      </c>
      <c r="G326" s="70">
        <v>0</v>
      </c>
      <c r="H326" s="70">
        <v>0</v>
      </c>
      <c r="I326" s="70">
        <v>0</v>
      </c>
      <c r="J326" s="70">
        <v>0</v>
      </c>
      <c r="K326" s="70">
        <v>0</v>
      </c>
      <c r="L326" s="70">
        <v>0</v>
      </c>
      <c r="M326" s="70">
        <v>0</v>
      </c>
      <c r="N326" s="70">
        <v>69000</v>
      </c>
    </row>
    <row r="327" spans="1:14">
      <c r="A327" s="140">
        <f t="shared" si="6"/>
        <v>326</v>
      </c>
      <c r="B327" s="70">
        <v>0</v>
      </c>
      <c r="C327" s="70">
        <v>0</v>
      </c>
      <c r="D327" s="70">
        <v>0</v>
      </c>
      <c r="E327" s="70">
        <v>0</v>
      </c>
      <c r="F327" s="70">
        <v>0</v>
      </c>
      <c r="G327" s="70">
        <v>0</v>
      </c>
      <c r="H327" s="70">
        <v>0</v>
      </c>
      <c r="I327" s="70">
        <v>0</v>
      </c>
      <c r="J327" s="70">
        <v>120750</v>
      </c>
      <c r="K327" s="70">
        <v>120750</v>
      </c>
      <c r="L327" s="70">
        <v>138862.5</v>
      </c>
      <c r="M327" s="70">
        <v>159692</v>
      </c>
      <c r="N327" s="70">
        <v>159692</v>
      </c>
    </row>
    <row r="328" spans="1:14">
      <c r="A328" s="140">
        <f t="shared" si="6"/>
        <v>327</v>
      </c>
      <c r="B328" s="70">
        <v>0</v>
      </c>
      <c r="C328" s="70">
        <v>120000</v>
      </c>
      <c r="D328" s="70">
        <v>138000</v>
      </c>
      <c r="E328" s="70">
        <v>138000</v>
      </c>
      <c r="F328" s="70">
        <v>182505</v>
      </c>
      <c r="G328" s="70">
        <v>182505</v>
      </c>
      <c r="H328" s="70">
        <v>209880.75</v>
      </c>
      <c r="I328" s="70">
        <v>241362.75</v>
      </c>
      <c r="J328" s="70">
        <v>241362.75</v>
      </c>
      <c r="K328" s="70">
        <v>244259.25</v>
      </c>
      <c r="L328" s="70">
        <v>280898</v>
      </c>
      <c r="M328" s="70">
        <v>280898</v>
      </c>
      <c r="N328" s="70">
        <v>323032.75</v>
      </c>
    </row>
    <row r="329" spans="1:14">
      <c r="A329" s="140">
        <f t="shared" si="6"/>
        <v>328</v>
      </c>
      <c r="B329" s="70">
        <v>0</v>
      </c>
      <c r="C329" s="70">
        <v>0</v>
      </c>
      <c r="D329" s="70">
        <v>0</v>
      </c>
      <c r="E329" s="70">
        <v>0</v>
      </c>
      <c r="F329" s="70">
        <v>0</v>
      </c>
      <c r="G329" s="70">
        <v>0</v>
      </c>
      <c r="H329" s="70">
        <v>0</v>
      </c>
      <c r="I329" s="70">
        <v>0</v>
      </c>
      <c r="J329" s="70">
        <v>0</v>
      </c>
      <c r="K329" s="70">
        <v>0</v>
      </c>
      <c r="L329" s="70">
        <v>0</v>
      </c>
      <c r="M329" s="70">
        <v>0</v>
      </c>
      <c r="N329" s="70">
        <v>120000</v>
      </c>
    </row>
    <row r="330" spans="1:14">
      <c r="A330" s="140">
        <f t="shared" si="6"/>
        <v>329</v>
      </c>
      <c r="B330" s="70">
        <v>0</v>
      </c>
      <c r="C330" s="70">
        <v>0</v>
      </c>
      <c r="D330" s="70">
        <v>0</v>
      </c>
      <c r="E330" s="70">
        <v>0</v>
      </c>
      <c r="F330" s="70">
        <v>0</v>
      </c>
      <c r="G330" s="70">
        <v>0</v>
      </c>
      <c r="H330" s="70">
        <v>0</v>
      </c>
      <c r="I330" s="70">
        <v>0</v>
      </c>
      <c r="J330" s="70">
        <v>0</v>
      </c>
      <c r="K330" s="70">
        <v>0</v>
      </c>
      <c r="L330" s="70">
        <v>0</v>
      </c>
      <c r="M330" s="70">
        <v>105000</v>
      </c>
      <c r="N330" s="70">
        <v>122199</v>
      </c>
    </row>
    <row r="331" spans="1:14">
      <c r="A331" s="140">
        <f t="shared" si="6"/>
        <v>330</v>
      </c>
      <c r="B331" s="70">
        <v>0</v>
      </c>
      <c r="C331" s="70">
        <v>0</v>
      </c>
      <c r="D331" s="70">
        <v>0</v>
      </c>
      <c r="E331" s="70">
        <v>0</v>
      </c>
      <c r="F331" s="70">
        <v>0</v>
      </c>
      <c r="G331" s="70">
        <v>0</v>
      </c>
      <c r="H331" s="70">
        <v>0</v>
      </c>
      <c r="I331" s="70">
        <v>105000</v>
      </c>
      <c r="J331" s="70">
        <v>105000</v>
      </c>
      <c r="K331" s="70">
        <v>105000</v>
      </c>
      <c r="L331" s="70">
        <v>138862.5</v>
      </c>
      <c r="M331" s="70">
        <v>122199</v>
      </c>
      <c r="N331" s="70">
        <v>122199</v>
      </c>
    </row>
    <row r="332" spans="1:14">
      <c r="A332" s="140">
        <f t="shared" si="6"/>
        <v>331</v>
      </c>
      <c r="B332" s="70">
        <v>0</v>
      </c>
      <c r="C332" s="70">
        <v>0</v>
      </c>
      <c r="D332" s="70">
        <v>0</v>
      </c>
      <c r="E332" s="70">
        <v>0</v>
      </c>
      <c r="F332" s="70">
        <v>0</v>
      </c>
      <c r="G332" s="70">
        <v>105000</v>
      </c>
      <c r="H332" s="70">
        <v>120750</v>
      </c>
      <c r="I332" s="70">
        <v>106260</v>
      </c>
      <c r="J332" s="70">
        <v>106260</v>
      </c>
      <c r="K332" s="70">
        <v>106260</v>
      </c>
      <c r="L332" s="70">
        <v>140528.75</v>
      </c>
      <c r="M332" s="70">
        <v>161608.25</v>
      </c>
      <c r="N332" s="70">
        <v>213726.75</v>
      </c>
    </row>
    <row r="333" spans="1:14">
      <c r="A333" s="140">
        <f t="shared" si="6"/>
        <v>332</v>
      </c>
      <c r="B333" s="70">
        <v>0</v>
      </c>
      <c r="C333" s="70">
        <v>0</v>
      </c>
      <c r="D333" s="70">
        <v>0</v>
      </c>
      <c r="E333" s="70">
        <v>0</v>
      </c>
      <c r="F333" s="70">
        <v>0</v>
      </c>
      <c r="G333" s="70">
        <v>0</v>
      </c>
      <c r="H333" s="70">
        <v>0</v>
      </c>
      <c r="I333" s="70">
        <v>0</v>
      </c>
      <c r="J333" s="70">
        <v>0</v>
      </c>
      <c r="K333" s="70">
        <v>0</v>
      </c>
      <c r="L333" s="70">
        <v>0</v>
      </c>
      <c r="M333" s="70">
        <v>105000</v>
      </c>
      <c r="N333" s="70">
        <v>105000</v>
      </c>
    </row>
    <row r="334" spans="1:14">
      <c r="A334" s="140">
        <f t="shared" si="6"/>
        <v>333</v>
      </c>
      <c r="B334" s="70">
        <v>0</v>
      </c>
      <c r="C334" s="70">
        <v>0</v>
      </c>
      <c r="D334" s="70">
        <v>0</v>
      </c>
      <c r="E334" s="70">
        <v>0</v>
      </c>
      <c r="F334" s="70">
        <v>0</v>
      </c>
      <c r="G334" s="70">
        <v>0</v>
      </c>
      <c r="H334" s="70">
        <v>0</v>
      </c>
      <c r="I334" s="70">
        <v>0</v>
      </c>
      <c r="J334" s="70">
        <v>0</v>
      </c>
      <c r="K334" s="70">
        <v>0</v>
      </c>
      <c r="L334" s="70">
        <v>120000</v>
      </c>
      <c r="M334" s="70">
        <v>120000</v>
      </c>
      <c r="N334" s="70">
        <v>138000</v>
      </c>
    </row>
    <row r="335" spans="1:14">
      <c r="A335" s="140">
        <f t="shared" si="6"/>
        <v>334</v>
      </c>
      <c r="B335" s="70">
        <v>69000</v>
      </c>
      <c r="C335" s="70">
        <v>53433.5</v>
      </c>
      <c r="D335" s="70">
        <v>61448.75</v>
      </c>
      <c r="E335" s="70">
        <v>70666</v>
      </c>
      <c r="F335" s="70">
        <v>71514</v>
      </c>
      <c r="G335" s="70">
        <v>71514</v>
      </c>
      <c r="H335" s="70">
        <v>62932.25</v>
      </c>
      <c r="I335" s="70">
        <v>62932.25</v>
      </c>
      <c r="J335" s="70">
        <v>72372</v>
      </c>
      <c r="K335" s="70">
        <v>95712</v>
      </c>
      <c r="L335" s="70">
        <v>110069</v>
      </c>
      <c r="M335" s="70">
        <v>111389.75</v>
      </c>
      <c r="N335" s="70">
        <v>128098.25</v>
      </c>
    </row>
    <row r="336" spans="1:14">
      <c r="A336" s="140">
        <f t="shared" si="6"/>
        <v>335</v>
      </c>
      <c r="B336" s="70">
        <v>0</v>
      </c>
      <c r="C336" s="70">
        <v>0</v>
      </c>
      <c r="D336" s="70">
        <v>0</v>
      </c>
      <c r="E336" s="70">
        <v>0</v>
      </c>
      <c r="F336" s="70">
        <v>0</v>
      </c>
      <c r="G336" s="70">
        <v>0</v>
      </c>
      <c r="H336" s="70">
        <v>0</v>
      </c>
      <c r="I336" s="70">
        <v>0</v>
      </c>
      <c r="J336" s="70">
        <v>0</v>
      </c>
      <c r="K336" s="70">
        <v>0</v>
      </c>
      <c r="L336" s="70">
        <v>0</v>
      </c>
      <c r="M336" s="70">
        <v>0</v>
      </c>
      <c r="N336" s="70">
        <v>121440</v>
      </c>
    </row>
    <row r="337" spans="1:14">
      <c r="A337" s="140">
        <f t="shared" si="6"/>
        <v>336</v>
      </c>
      <c r="B337" s="70">
        <v>0</v>
      </c>
      <c r="C337" s="70">
        <v>0</v>
      </c>
      <c r="D337" s="70">
        <v>0</v>
      </c>
      <c r="E337" s="70">
        <v>0</v>
      </c>
      <c r="F337" s="70">
        <v>138000</v>
      </c>
      <c r="G337" s="70">
        <v>138000</v>
      </c>
      <c r="H337" s="70">
        <v>158700</v>
      </c>
      <c r="I337" s="70">
        <v>158700</v>
      </c>
      <c r="J337" s="70">
        <v>160604.5</v>
      </c>
      <c r="K337" s="70">
        <v>184695</v>
      </c>
      <c r="L337" s="70">
        <v>212399.25</v>
      </c>
      <c r="M337" s="70">
        <v>244259.25</v>
      </c>
      <c r="N337" s="70">
        <v>323032.75</v>
      </c>
    </row>
    <row r="338" spans="1:14">
      <c r="A338" s="140">
        <f t="shared" si="6"/>
        <v>337</v>
      </c>
      <c r="B338" s="70">
        <v>0</v>
      </c>
      <c r="C338" s="70">
        <v>0</v>
      </c>
      <c r="D338" s="70">
        <v>0</v>
      </c>
      <c r="E338" s="70">
        <v>0</v>
      </c>
      <c r="F338" s="70">
        <v>0</v>
      </c>
      <c r="G338" s="70">
        <v>0</v>
      </c>
      <c r="H338" s="70">
        <v>0</v>
      </c>
      <c r="I338" s="70">
        <v>0</v>
      </c>
      <c r="J338" s="70">
        <v>0</v>
      </c>
      <c r="K338" s="70">
        <v>0</v>
      </c>
      <c r="L338" s="70">
        <v>0</v>
      </c>
      <c r="M338" s="70">
        <v>0</v>
      </c>
      <c r="N338" s="70">
        <v>138000</v>
      </c>
    </row>
    <row r="339" spans="1:14">
      <c r="A339" s="140">
        <f t="shared" si="6"/>
        <v>338</v>
      </c>
      <c r="B339" s="70">
        <v>0</v>
      </c>
      <c r="C339" s="70">
        <v>0</v>
      </c>
      <c r="D339" s="70">
        <v>0</v>
      </c>
      <c r="E339" s="70">
        <v>120000</v>
      </c>
      <c r="F339" s="70">
        <v>120000</v>
      </c>
      <c r="G339" s="70">
        <v>120000</v>
      </c>
      <c r="H339" s="70">
        <v>158700</v>
      </c>
      <c r="I339" s="70">
        <v>182505</v>
      </c>
      <c r="J339" s="70">
        <v>182505</v>
      </c>
      <c r="K339" s="70">
        <v>160604.5</v>
      </c>
      <c r="L339" s="70">
        <v>160604.5</v>
      </c>
      <c r="M339" s="70">
        <v>160604.5</v>
      </c>
      <c r="N339" s="70">
        <v>160604.5</v>
      </c>
    </row>
    <row r="340" spans="1:14">
      <c r="A340" s="140">
        <f t="shared" si="6"/>
        <v>339</v>
      </c>
      <c r="B340" s="70">
        <v>0</v>
      </c>
      <c r="C340" s="70">
        <v>0</v>
      </c>
      <c r="D340" s="70">
        <v>0</v>
      </c>
      <c r="E340" s="70">
        <v>0</v>
      </c>
      <c r="F340" s="70">
        <v>0</v>
      </c>
      <c r="G340" s="70">
        <v>0</v>
      </c>
      <c r="H340" s="70">
        <v>0</v>
      </c>
      <c r="I340" s="70">
        <v>0</v>
      </c>
      <c r="J340" s="70">
        <v>120000</v>
      </c>
      <c r="K340" s="70">
        <v>138000</v>
      </c>
      <c r="L340" s="70">
        <v>158700</v>
      </c>
      <c r="M340" s="70">
        <v>182505</v>
      </c>
      <c r="N340" s="70">
        <v>209880.75</v>
      </c>
    </row>
    <row r="341" spans="1:14">
      <c r="A341" s="140">
        <f t="shared" si="6"/>
        <v>340</v>
      </c>
      <c r="B341" s="70">
        <v>0</v>
      </c>
      <c r="C341" s="70">
        <v>0</v>
      </c>
      <c r="D341" s="70">
        <v>0</v>
      </c>
      <c r="E341" s="70">
        <v>0</v>
      </c>
      <c r="F341" s="70">
        <v>0</v>
      </c>
      <c r="G341" s="70">
        <v>0</v>
      </c>
      <c r="H341" s="70">
        <v>0</v>
      </c>
      <c r="I341" s="70">
        <v>0</v>
      </c>
      <c r="J341" s="70">
        <v>105000</v>
      </c>
      <c r="K341" s="70">
        <v>105000</v>
      </c>
      <c r="L341" s="70">
        <v>120750</v>
      </c>
      <c r="M341" s="70">
        <v>138862.5</v>
      </c>
      <c r="N341" s="70">
        <v>183645.75</v>
      </c>
    </row>
    <row r="342" spans="1:14">
      <c r="A342" s="140">
        <f t="shared" si="6"/>
        <v>341</v>
      </c>
      <c r="B342" s="70">
        <v>0</v>
      </c>
      <c r="C342" s="70">
        <v>0</v>
      </c>
      <c r="D342" s="70">
        <v>0</v>
      </c>
      <c r="E342" s="70">
        <v>0</v>
      </c>
      <c r="F342" s="70">
        <v>0</v>
      </c>
      <c r="G342" s="70">
        <v>0</v>
      </c>
      <c r="H342" s="70">
        <v>0</v>
      </c>
      <c r="I342" s="70">
        <v>0</v>
      </c>
      <c r="J342" s="70">
        <v>0</v>
      </c>
      <c r="K342" s="70">
        <v>0</v>
      </c>
      <c r="L342" s="70">
        <v>0</v>
      </c>
      <c r="M342" s="70">
        <v>0</v>
      </c>
      <c r="N342" s="70">
        <v>105000</v>
      </c>
    </row>
    <row r="343" spans="1:14">
      <c r="A343" s="140">
        <f t="shared" si="6"/>
        <v>342</v>
      </c>
      <c r="B343" s="70">
        <v>0</v>
      </c>
      <c r="C343" s="70">
        <v>0</v>
      </c>
      <c r="D343" s="70">
        <v>0</v>
      </c>
      <c r="E343" s="70">
        <v>0</v>
      </c>
      <c r="F343" s="70">
        <v>0</v>
      </c>
      <c r="G343" s="70">
        <v>0</v>
      </c>
      <c r="H343" s="70">
        <v>0</v>
      </c>
      <c r="I343" s="70">
        <v>0</v>
      </c>
      <c r="J343" s="70">
        <v>0</v>
      </c>
      <c r="K343" s="70">
        <v>0</v>
      </c>
      <c r="L343" s="70">
        <v>120000</v>
      </c>
      <c r="M343" s="70">
        <v>138000</v>
      </c>
      <c r="N343" s="70">
        <v>121440</v>
      </c>
    </row>
    <row r="344" spans="1:14">
      <c r="A344" s="140">
        <f t="shared" si="6"/>
        <v>343</v>
      </c>
      <c r="B344" s="70">
        <v>0</v>
      </c>
      <c r="C344" s="70">
        <v>0</v>
      </c>
      <c r="D344" s="70">
        <v>0</v>
      </c>
      <c r="E344" s="70">
        <v>0</v>
      </c>
      <c r="F344" s="70">
        <v>0</v>
      </c>
      <c r="G344" s="70">
        <v>0</v>
      </c>
      <c r="H344" s="70">
        <v>0</v>
      </c>
      <c r="I344" s="70">
        <v>0</v>
      </c>
      <c r="J344" s="70">
        <v>0</v>
      </c>
      <c r="K344" s="70">
        <v>0</v>
      </c>
      <c r="L344" s="70">
        <v>105000</v>
      </c>
      <c r="M344" s="70">
        <v>105000</v>
      </c>
      <c r="N344" s="70">
        <v>122199</v>
      </c>
    </row>
    <row r="345" spans="1:14">
      <c r="A345" s="140">
        <f t="shared" si="6"/>
        <v>344</v>
      </c>
      <c r="B345" s="70">
        <v>0</v>
      </c>
      <c r="C345" s="70">
        <v>0</v>
      </c>
      <c r="D345" s="70">
        <v>0</v>
      </c>
      <c r="E345" s="70">
        <v>0</v>
      </c>
      <c r="F345" s="70">
        <v>0</v>
      </c>
      <c r="G345" s="70">
        <v>0</v>
      </c>
      <c r="H345" s="70">
        <v>0</v>
      </c>
      <c r="I345" s="70">
        <v>120000</v>
      </c>
      <c r="J345" s="70">
        <v>138000</v>
      </c>
      <c r="K345" s="70">
        <v>138000</v>
      </c>
      <c r="L345" s="70">
        <v>138000</v>
      </c>
      <c r="M345" s="70">
        <v>158700</v>
      </c>
      <c r="N345" s="70">
        <v>241362.75</v>
      </c>
    </row>
    <row r="346" spans="1:14">
      <c r="A346" s="140">
        <f t="shared" si="6"/>
        <v>345</v>
      </c>
      <c r="B346" s="70">
        <v>188079.5</v>
      </c>
      <c r="C346" s="70">
        <v>218887</v>
      </c>
      <c r="D346" s="70">
        <v>218887</v>
      </c>
      <c r="E346" s="70">
        <v>218887</v>
      </c>
      <c r="F346" s="70">
        <v>289478</v>
      </c>
      <c r="G346" s="70">
        <v>289478</v>
      </c>
      <c r="H346" s="70">
        <v>292951.75</v>
      </c>
      <c r="I346" s="70">
        <v>292951.75</v>
      </c>
      <c r="J346" s="70">
        <v>296467.25</v>
      </c>
      <c r="K346" s="70">
        <v>296467.25</v>
      </c>
      <c r="L346" s="70">
        <v>296467.25</v>
      </c>
      <c r="M346" s="70">
        <v>340937.25</v>
      </c>
      <c r="N346" s="70">
        <v>0</v>
      </c>
    </row>
    <row r="347" spans="1:14">
      <c r="A347" s="140">
        <f t="shared" si="6"/>
        <v>346</v>
      </c>
      <c r="B347" s="70">
        <v>0</v>
      </c>
      <c r="C347" s="70">
        <v>0</v>
      </c>
      <c r="D347" s="70">
        <v>0</v>
      </c>
      <c r="E347" s="70">
        <v>0</v>
      </c>
      <c r="F347" s="70">
        <v>120750</v>
      </c>
      <c r="G347" s="70">
        <v>138862.5</v>
      </c>
      <c r="H347" s="70">
        <v>183645.75</v>
      </c>
      <c r="I347" s="70">
        <v>211192.5</v>
      </c>
      <c r="J347" s="70">
        <v>242871.5</v>
      </c>
      <c r="K347" s="70">
        <v>321197.5</v>
      </c>
      <c r="L347" s="70">
        <v>321197.5</v>
      </c>
      <c r="M347" s="70">
        <v>424783.5</v>
      </c>
      <c r="N347" s="70">
        <v>424783.5</v>
      </c>
    </row>
    <row r="348" spans="1:14">
      <c r="A348" s="140">
        <f t="shared" si="6"/>
        <v>347</v>
      </c>
      <c r="B348" s="70">
        <v>0</v>
      </c>
      <c r="C348" s="70">
        <v>0</v>
      </c>
      <c r="D348" s="70">
        <v>0</v>
      </c>
      <c r="E348" s="70">
        <v>0</v>
      </c>
      <c r="F348" s="70">
        <v>0</v>
      </c>
      <c r="G348" s="70">
        <v>0</v>
      </c>
      <c r="H348" s="70">
        <v>0</v>
      </c>
      <c r="I348" s="70">
        <v>0</v>
      </c>
      <c r="J348" s="70">
        <v>0</v>
      </c>
      <c r="K348" s="70">
        <v>0</v>
      </c>
      <c r="L348" s="70">
        <v>105000</v>
      </c>
      <c r="M348" s="70">
        <v>122199</v>
      </c>
      <c r="N348" s="70">
        <v>140528.75</v>
      </c>
    </row>
    <row r="349" spans="1:14">
      <c r="A349" s="140">
        <f t="shared" si="6"/>
        <v>348</v>
      </c>
      <c r="B349" s="70">
        <v>0</v>
      </c>
      <c r="C349" s="70">
        <v>0</v>
      </c>
      <c r="D349" s="70">
        <v>0</v>
      </c>
      <c r="E349" s="70">
        <v>0</v>
      </c>
      <c r="F349" s="70">
        <v>0</v>
      </c>
      <c r="G349" s="70">
        <v>0</v>
      </c>
      <c r="H349" s="70">
        <v>0</v>
      </c>
      <c r="I349" s="70">
        <v>0</v>
      </c>
      <c r="J349" s="70">
        <v>0</v>
      </c>
      <c r="K349" s="70">
        <v>0</v>
      </c>
      <c r="L349" s="70">
        <v>0</v>
      </c>
      <c r="M349" s="70">
        <v>120000</v>
      </c>
      <c r="N349" s="70">
        <v>138000</v>
      </c>
    </row>
    <row r="350" spans="1:14">
      <c r="A350" s="140">
        <f t="shared" si="6"/>
        <v>349</v>
      </c>
      <c r="B350" s="70">
        <v>0</v>
      </c>
      <c r="C350" s="70">
        <v>0</v>
      </c>
      <c r="D350" s="70">
        <v>0</v>
      </c>
      <c r="E350" s="70">
        <v>0</v>
      </c>
      <c r="F350" s="70">
        <v>0</v>
      </c>
      <c r="G350" s="70">
        <v>0</v>
      </c>
      <c r="H350" s="70">
        <v>0</v>
      </c>
      <c r="I350" s="70">
        <v>69000</v>
      </c>
      <c r="J350" s="70">
        <v>79350</v>
      </c>
      <c r="K350" s="70">
        <v>69828</v>
      </c>
      <c r="L350" s="70">
        <v>80302.25</v>
      </c>
      <c r="M350" s="70">
        <v>70666</v>
      </c>
      <c r="N350" s="70">
        <v>70666</v>
      </c>
    </row>
    <row r="351" spans="1:14">
      <c r="A351" s="140">
        <f t="shared" si="6"/>
        <v>350</v>
      </c>
      <c r="B351" s="70">
        <v>0</v>
      </c>
      <c r="C351" s="70">
        <v>0</v>
      </c>
      <c r="D351" s="70">
        <v>0</v>
      </c>
      <c r="E351" s="70">
        <v>0</v>
      </c>
      <c r="F351" s="70">
        <v>0</v>
      </c>
      <c r="G351" s="70">
        <v>0</v>
      </c>
      <c r="H351" s="70">
        <v>0</v>
      </c>
      <c r="I351" s="70">
        <v>0</v>
      </c>
      <c r="J351" s="70">
        <v>120000</v>
      </c>
      <c r="K351" s="70">
        <v>138000</v>
      </c>
      <c r="L351" s="70">
        <v>158700</v>
      </c>
      <c r="M351" s="70">
        <v>182505</v>
      </c>
      <c r="N351" s="70">
        <v>182505</v>
      </c>
    </row>
    <row r="352" spans="1:14">
      <c r="A352" s="140">
        <f t="shared" si="6"/>
        <v>351</v>
      </c>
      <c r="B352" s="70">
        <v>0</v>
      </c>
      <c r="C352" s="70">
        <v>0</v>
      </c>
      <c r="D352" s="70">
        <v>0</v>
      </c>
      <c r="E352" s="70">
        <v>0</v>
      </c>
      <c r="F352" s="70">
        <v>0</v>
      </c>
      <c r="G352" s="70">
        <v>0</v>
      </c>
      <c r="H352" s="70">
        <v>69000</v>
      </c>
      <c r="I352" s="70">
        <v>60720</v>
      </c>
      <c r="J352" s="70">
        <v>61448.75</v>
      </c>
      <c r="K352" s="70">
        <v>70666</v>
      </c>
      <c r="L352" s="70">
        <v>70666</v>
      </c>
      <c r="M352" s="70">
        <v>70666</v>
      </c>
      <c r="N352" s="70">
        <v>62186</v>
      </c>
    </row>
    <row r="353" spans="1:14">
      <c r="A353" s="140">
        <f t="shared" si="6"/>
        <v>352</v>
      </c>
      <c r="B353" s="70">
        <v>0</v>
      </c>
      <c r="C353" s="70">
        <v>0</v>
      </c>
      <c r="D353" s="70">
        <v>0</v>
      </c>
      <c r="E353" s="70">
        <v>0</v>
      </c>
      <c r="F353" s="70">
        <v>0</v>
      </c>
      <c r="G353" s="70">
        <v>52800</v>
      </c>
      <c r="H353" s="70">
        <v>53433.5</v>
      </c>
      <c r="I353" s="70">
        <v>61448.75</v>
      </c>
      <c r="J353" s="70">
        <v>61448.75</v>
      </c>
      <c r="K353" s="70">
        <v>70666</v>
      </c>
      <c r="L353" s="70">
        <v>70666</v>
      </c>
      <c r="M353" s="70">
        <v>70666</v>
      </c>
      <c r="N353" s="70">
        <v>81265.75</v>
      </c>
    </row>
    <row r="354" spans="1:14">
      <c r="A354" s="140">
        <f t="shared" si="6"/>
        <v>353</v>
      </c>
      <c r="B354" s="70">
        <v>182505</v>
      </c>
      <c r="C354" s="70">
        <v>209880.75</v>
      </c>
      <c r="D354" s="70">
        <v>241362.75</v>
      </c>
      <c r="E354" s="70">
        <v>212399.25</v>
      </c>
      <c r="F354" s="70">
        <v>244259.25</v>
      </c>
      <c r="G354" s="70">
        <v>371487.75</v>
      </c>
      <c r="H354" s="70">
        <v>375945.5</v>
      </c>
      <c r="I354" s="70">
        <v>432337.5</v>
      </c>
      <c r="J354" s="70">
        <v>571766.25</v>
      </c>
      <c r="K354" s="70">
        <v>571766.25</v>
      </c>
      <c r="L354" s="70">
        <v>756160.75</v>
      </c>
      <c r="M354" s="70">
        <v>756160.75</v>
      </c>
      <c r="N354" s="70">
        <v>756160.75</v>
      </c>
    </row>
    <row r="355" spans="1:14">
      <c r="A355" s="140">
        <f t="shared" si="6"/>
        <v>354</v>
      </c>
      <c r="B355" s="70">
        <v>120000</v>
      </c>
      <c r="C355" s="70">
        <v>120000</v>
      </c>
      <c r="D355" s="70">
        <v>138000</v>
      </c>
      <c r="E355" s="70">
        <v>138000</v>
      </c>
      <c r="F355" s="70">
        <v>138000</v>
      </c>
      <c r="G355" s="70">
        <v>138000</v>
      </c>
      <c r="H355" s="70">
        <v>182505</v>
      </c>
      <c r="I355" s="70">
        <v>182505</v>
      </c>
      <c r="J355" s="70">
        <v>212399.25</v>
      </c>
      <c r="K355" s="70">
        <v>244259.25</v>
      </c>
      <c r="L355" s="70">
        <v>244259.25</v>
      </c>
      <c r="M355" s="70">
        <v>189154.25</v>
      </c>
      <c r="N355" s="70">
        <v>217527.5</v>
      </c>
    </row>
    <row r="356" spans="1:14">
      <c r="A356" s="140">
        <f t="shared" si="6"/>
        <v>355</v>
      </c>
      <c r="B356" s="70">
        <v>214948</v>
      </c>
      <c r="C356" s="70">
        <v>284269</v>
      </c>
      <c r="D356" s="70">
        <v>284269</v>
      </c>
      <c r="E356" s="70">
        <v>250156.5</v>
      </c>
      <c r="F356" s="70">
        <v>330832</v>
      </c>
      <c r="G356" s="70">
        <v>330832</v>
      </c>
      <c r="H356" s="70">
        <v>380457</v>
      </c>
      <c r="I356" s="70">
        <v>437525.5</v>
      </c>
      <c r="J356" s="70">
        <v>503154.25</v>
      </c>
      <c r="K356" s="70">
        <v>578627.5</v>
      </c>
      <c r="L356" s="70">
        <v>585571</v>
      </c>
      <c r="M356" s="70">
        <v>673406.5</v>
      </c>
      <c r="N356" s="70">
        <v>774417.5</v>
      </c>
    </row>
    <row r="357" spans="1:14">
      <c r="A357" s="140">
        <f t="shared" si="6"/>
        <v>356</v>
      </c>
      <c r="B357" s="70">
        <v>0</v>
      </c>
      <c r="C357" s="70">
        <v>0</v>
      </c>
      <c r="D357" s="70">
        <v>0</v>
      </c>
      <c r="E357" s="70">
        <v>0</v>
      </c>
      <c r="F357" s="70">
        <v>0</v>
      </c>
      <c r="G357" s="70">
        <v>0</v>
      </c>
      <c r="H357" s="70">
        <v>0</v>
      </c>
      <c r="I357" s="70">
        <v>0</v>
      </c>
      <c r="J357" s="70">
        <v>0</v>
      </c>
      <c r="K357" s="70">
        <v>0</v>
      </c>
      <c r="L357" s="70">
        <v>105000</v>
      </c>
      <c r="M357" s="70">
        <v>120750</v>
      </c>
      <c r="N357" s="70">
        <v>159692</v>
      </c>
    </row>
    <row r="358" spans="1:14">
      <c r="A358" s="140">
        <f t="shared" si="6"/>
        <v>357</v>
      </c>
      <c r="B358" s="70">
        <v>0</v>
      </c>
      <c r="C358" s="70">
        <v>0</v>
      </c>
      <c r="D358" s="70">
        <v>0</v>
      </c>
      <c r="E358" s="70">
        <v>0</v>
      </c>
      <c r="F358" s="70">
        <v>0</v>
      </c>
      <c r="G358" s="70">
        <v>0</v>
      </c>
      <c r="H358" s="70">
        <v>0</v>
      </c>
      <c r="I358" s="70">
        <v>105000</v>
      </c>
      <c r="J358" s="70">
        <v>120750</v>
      </c>
      <c r="K358" s="70">
        <v>120750</v>
      </c>
      <c r="L358" s="70">
        <v>159692</v>
      </c>
      <c r="M358" s="70">
        <v>159692</v>
      </c>
      <c r="N358" s="70">
        <v>183645.75</v>
      </c>
    </row>
    <row r="359" spans="1:14">
      <c r="A359" s="140">
        <f t="shared" si="6"/>
        <v>358</v>
      </c>
      <c r="B359" s="70">
        <v>60000</v>
      </c>
      <c r="C359" s="70">
        <v>60000</v>
      </c>
      <c r="D359" s="70">
        <v>60000</v>
      </c>
      <c r="E359" s="70">
        <v>69000</v>
      </c>
      <c r="F359" s="70">
        <v>69000</v>
      </c>
      <c r="G359" s="70">
        <v>69000</v>
      </c>
      <c r="H359" s="70">
        <v>79350</v>
      </c>
      <c r="I359" s="70">
        <v>79350</v>
      </c>
      <c r="J359" s="70">
        <v>69828</v>
      </c>
      <c r="K359" s="70">
        <v>80302.25</v>
      </c>
      <c r="L359" s="70">
        <v>80302.25</v>
      </c>
      <c r="M359" s="70">
        <v>80302.25</v>
      </c>
      <c r="N359" s="70">
        <v>92347.5</v>
      </c>
    </row>
    <row r="360" spans="1:14">
      <c r="A360" s="140">
        <f t="shared" si="6"/>
        <v>359</v>
      </c>
      <c r="B360" s="70">
        <v>0</v>
      </c>
      <c r="C360" s="70">
        <v>0</v>
      </c>
      <c r="D360" s="70">
        <v>0</v>
      </c>
      <c r="E360" s="70">
        <v>0</v>
      </c>
      <c r="F360" s="70">
        <v>0</v>
      </c>
      <c r="G360" s="70">
        <v>0</v>
      </c>
      <c r="H360" s="70">
        <v>0</v>
      </c>
      <c r="I360" s="70">
        <v>0</v>
      </c>
      <c r="J360" s="70">
        <v>0</v>
      </c>
      <c r="K360" s="70">
        <v>0</v>
      </c>
      <c r="L360" s="70">
        <v>0</v>
      </c>
      <c r="M360" s="70">
        <v>105000</v>
      </c>
      <c r="N360" s="70">
        <v>106260</v>
      </c>
    </row>
    <row r="361" spans="1:14">
      <c r="A361" s="140">
        <f t="shared" si="6"/>
        <v>360</v>
      </c>
      <c r="B361" s="70">
        <v>0</v>
      </c>
      <c r="C361" s="70">
        <v>0</v>
      </c>
      <c r="D361" s="70">
        <v>0</v>
      </c>
      <c r="E361" s="70">
        <v>120000</v>
      </c>
      <c r="F361" s="70">
        <v>138000</v>
      </c>
      <c r="G361" s="70">
        <v>158700</v>
      </c>
      <c r="H361" s="70">
        <v>182505</v>
      </c>
      <c r="I361" s="70">
        <v>182505</v>
      </c>
      <c r="J361" s="70">
        <v>182505</v>
      </c>
      <c r="K361" s="70">
        <v>209880.75</v>
      </c>
      <c r="L361" s="70">
        <v>209880.75</v>
      </c>
      <c r="M361" s="70">
        <v>209880.75</v>
      </c>
      <c r="N361" s="70">
        <v>241362.75</v>
      </c>
    </row>
    <row r="362" spans="1:14">
      <c r="A362" s="140">
        <f t="shared" si="6"/>
        <v>361</v>
      </c>
      <c r="B362" s="70">
        <v>0</v>
      </c>
      <c r="C362" s="70">
        <v>0</v>
      </c>
      <c r="D362" s="70">
        <v>0</v>
      </c>
      <c r="E362" s="70">
        <v>0</v>
      </c>
      <c r="F362" s="70">
        <v>0</v>
      </c>
      <c r="G362" s="70">
        <v>0</v>
      </c>
      <c r="H362" s="70">
        <v>0</v>
      </c>
      <c r="I362" s="70">
        <v>0</v>
      </c>
      <c r="J362" s="70">
        <v>105000</v>
      </c>
      <c r="K362" s="70">
        <v>105000</v>
      </c>
      <c r="L362" s="70">
        <v>120750</v>
      </c>
      <c r="M362" s="70">
        <v>93508.75</v>
      </c>
      <c r="N362" s="70">
        <v>107535</v>
      </c>
    </row>
    <row r="363" spans="1:14">
      <c r="A363" s="140">
        <f t="shared" si="6"/>
        <v>362</v>
      </c>
      <c r="B363" s="70">
        <v>0</v>
      </c>
      <c r="C363" s="70">
        <v>0</v>
      </c>
      <c r="D363" s="70">
        <v>0</v>
      </c>
      <c r="E363" s="70">
        <v>0</v>
      </c>
      <c r="F363" s="70">
        <v>0</v>
      </c>
      <c r="G363" s="70">
        <v>0</v>
      </c>
      <c r="H363" s="70">
        <v>138000</v>
      </c>
      <c r="I363" s="70">
        <v>138000</v>
      </c>
      <c r="J363" s="70">
        <v>158700</v>
      </c>
      <c r="K363" s="70">
        <v>158700</v>
      </c>
      <c r="L363" s="70">
        <v>158700</v>
      </c>
      <c r="M363" s="70">
        <v>158700</v>
      </c>
      <c r="N363" s="70">
        <v>158700</v>
      </c>
    </row>
    <row r="364" spans="1:14">
      <c r="A364" s="140">
        <f t="shared" si="6"/>
        <v>363</v>
      </c>
      <c r="B364" s="70">
        <v>0</v>
      </c>
      <c r="C364" s="70">
        <v>0</v>
      </c>
      <c r="D364" s="70">
        <v>0</v>
      </c>
      <c r="E364" s="70">
        <v>0</v>
      </c>
      <c r="F364" s="70">
        <v>0</v>
      </c>
      <c r="G364" s="70">
        <v>0</v>
      </c>
      <c r="H364" s="70">
        <v>0</v>
      </c>
      <c r="I364" s="70">
        <v>0</v>
      </c>
      <c r="J364" s="70">
        <v>0</v>
      </c>
      <c r="K364" s="70">
        <v>0</v>
      </c>
      <c r="L364" s="70">
        <v>0</v>
      </c>
      <c r="M364" s="70">
        <v>105000</v>
      </c>
      <c r="N364" s="70">
        <v>120750</v>
      </c>
    </row>
    <row r="365" spans="1:14">
      <c r="A365" s="140">
        <f t="shared" si="6"/>
        <v>364</v>
      </c>
      <c r="B365" s="70">
        <v>159692</v>
      </c>
      <c r="C365" s="70">
        <v>211192.5</v>
      </c>
      <c r="D365" s="70">
        <v>242871.5</v>
      </c>
      <c r="E365" s="70">
        <v>321197.5</v>
      </c>
      <c r="F365" s="70">
        <v>321197.5</v>
      </c>
      <c r="G365" s="70">
        <v>369377</v>
      </c>
      <c r="H365" s="70">
        <v>325051.75</v>
      </c>
      <c r="I365" s="70">
        <v>373809.5</v>
      </c>
      <c r="J365" s="70">
        <v>373809.5</v>
      </c>
      <c r="K365" s="70">
        <v>429881</v>
      </c>
      <c r="L365" s="70">
        <v>378295.25</v>
      </c>
      <c r="M365" s="70">
        <v>435039.5</v>
      </c>
      <c r="N365" s="70">
        <v>500295.5</v>
      </c>
    </row>
    <row r="366" spans="1:14">
      <c r="A366" s="140">
        <f t="shared" si="6"/>
        <v>365</v>
      </c>
      <c r="B366" s="70">
        <v>0</v>
      </c>
      <c r="C366" s="70">
        <v>0</v>
      </c>
      <c r="D366" s="70">
        <v>0</v>
      </c>
      <c r="E366" s="70">
        <v>0</v>
      </c>
      <c r="F366" s="70">
        <v>0</v>
      </c>
      <c r="G366" s="70">
        <v>0</v>
      </c>
      <c r="H366" s="70">
        <v>0</v>
      </c>
      <c r="I366" s="70">
        <v>0</v>
      </c>
      <c r="J366" s="70">
        <v>0</v>
      </c>
      <c r="K366" s="70">
        <v>0</v>
      </c>
      <c r="L366" s="70">
        <v>0</v>
      </c>
      <c r="M366" s="70">
        <v>0</v>
      </c>
      <c r="N366" s="70">
        <v>120750</v>
      </c>
    </row>
    <row r="367" spans="1:14">
      <c r="A367" s="140">
        <f t="shared" si="6"/>
        <v>366</v>
      </c>
      <c r="B367" s="70">
        <v>0</v>
      </c>
      <c r="C367" s="70">
        <v>0</v>
      </c>
      <c r="D367" s="70">
        <v>0</v>
      </c>
      <c r="E367" s="70">
        <v>0</v>
      </c>
      <c r="F367" s="70">
        <v>0</v>
      </c>
      <c r="G367" s="70">
        <v>0</v>
      </c>
      <c r="H367" s="70">
        <v>0</v>
      </c>
      <c r="I367" s="70">
        <v>0</v>
      </c>
      <c r="J367" s="70">
        <v>0</v>
      </c>
      <c r="K367" s="70">
        <v>0</v>
      </c>
      <c r="L367" s="70">
        <v>0</v>
      </c>
      <c r="M367" s="70">
        <v>0</v>
      </c>
      <c r="N367" s="70">
        <v>0</v>
      </c>
    </row>
    <row r="368" spans="1:14">
      <c r="A368" s="140">
        <f t="shared" si="6"/>
        <v>367</v>
      </c>
      <c r="B368" s="70">
        <v>0</v>
      </c>
      <c r="C368" s="70">
        <v>0</v>
      </c>
      <c r="D368" s="70">
        <v>105000</v>
      </c>
      <c r="E368" s="70">
        <v>105000</v>
      </c>
      <c r="F368" s="70">
        <v>120750</v>
      </c>
      <c r="G368" s="70">
        <v>120750</v>
      </c>
      <c r="H368" s="70">
        <v>106260</v>
      </c>
      <c r="I368" s="70">
        <v>106260</v>
      </c>
      <c r="J368" s="70">
        <v>122199</v>
      </c>
      <c r="K368" s="70">
        <v>122199</v>
      </c>
      <c r="L368" s="70">
        <v>122199</v>
      </c>
      <c r="M368" s="70">
        <v>161608.25</v>
      </c>
      <c r="N368" s="70">
        <v>142215.25</v>
      </c>
    </row>
    <row r="369" spans="1:14">
      <c r="A369" s="140">
        <f t="shared" si="6"/>
        <v>368</v>
      </c>
      <c r="B369" s="70">
        <v>0</v>
      </c>
      <c r="C369" s="70">
        <v>0</v>
      </c>
      <c r="D369" s="70">
        <v>0</v>
      </c>
      <c r="E369" s="70">
        <v>0</v>
      </c>
      <c r="F369" s="70">
        <v>0</v>
      </c>
      <c r="G369" s="70">
        <v>0</v>
      </c>
      <c r="H369" s="70">
        <v>0</v>
      </c>
      <c r="I369" s="70">
        <v>0</v>
      </c>
      <c r="J369" s="70">
        <v>0</v>
      </c>
      <c r="K369" s="70">
        <v>0</v>
      </c>
      <c r="L369" s="70">
        <v>0</v>
      </c>
      <c r="M369" s="70">
        <v>0</v>
      </c>
      <c r="N369" s="70">
        <v>105000</v>
      </c>
    </row>
    <row r="370" spans="1:14">
      <c r="A370" s="140">
        <f t="shared" si="6"/>
        <v>369</v>
      </c>
      <c r="B370" s="70">
        <v>0</v>
      </c>
      <c r="C370" s="70">
        <v>0</v>
      </c>
      <c r="D370" s="70">
        <v>0</v>
      </c>
      <c r="E370" s="70">
        <v>0</v>
      </c>
      <c r="F370" s="70">
        <v>0</v>
      </c>
      <c r="G370" s="70">
        <v>0</v>
      </c>
      <c r="H370" s="70">
        <v>0</v>
      </c>
      <c r="I370" s="70">
        <v>105000</v>
      </c>
      <c r="J370" s="70">
        <v>120750</v>
      </c>
      <c r="K370" s="70">
        <v>120750</v>
      </c>
      <c r="L370" s="70">
        <v>120750</v>
      </c>
      <c r="M370" s="70">
        <v>0</v>
      </c>
      <c r="N370" s="70">
        <v>0</v>
      </c>
    </row>
    <row r="371" spans="1:14">
      <c r="A371" s="140">
        <f t="shared" si="6"/>
        <v>370</v>
      </c>
      <c r="B371" s="70">
        <v>138000</v>
      </c>
      <c r="C371" s="70">
        <v>121440</v>
      </c>
      <c r="D371" s="70">
        <v>139656</v>
      </c>
      <c r="E371" s="70">
        <v>139656</v>
      </c>
      <c r="F371" s="70">
        <v>160604.5</v>
      </c>
      <c r="G371" s="70">
        <v>184695</v>
      </c>
      <c r="H371" s="70">
        <v>212399.25</v>
      </c>
      <c r="I371" s="70">
        <v>212399.25</v>
      </c>
      <c r="J371" s="70">
        <v>212399.25</v>
      </c>
      <c r="K371" s="70">
        <v>280898</v>
      </c>
      <c r="L371" s="70">
        <v>280898</v>
      </c>
      <c r="M371" s="70">
        <v>280898</v>
      </c>
      <c r="N371" s="70">
        <v>323032.75</v>
      </c>
    </row>
    <row r="372" spans="1:14">
      <c r="A372" s="140">
        <f t="shared" si="6"/>
        <v>371</v>
      </c>
      <c r="B372" s="70">
        <v>0</v>
      </c>
      <c r="C372" s="70">
        <v>0</v>
      </c>
      <c r="D372" s="70">
        <v>0</v>
      </c>
      <c r="E372" s="70">
        <v>0</v>
      </c>
      <c r="F372" s="70">
        <v>0</v>
      </c>
      <c r="G372" s="70">
        <v>0</v>
      </c>
      <c r="H372" s="70">
        <v>0</v>
      </c>
      <c r="I372" s="70">
        <v>0</v>
      </c>
      <c r="J372" s="70">
        <v>0</v>
      </c>
      <c r="K372" s="70">
        <v>0</v>
      </c>
      <c r="L372" s="70">
        <v>0</v>
      </c>
      <c r="M372" s="70">
        <v>105000</v>
      </c>
      <c r="N372" s="70">
        <v>120750</v>
      </c>
    </row>
    <row r="373" spans="1:14">
      <c r="A373" s="140">
        <f t="shared" si="6"/>
        <v>372</v>
      </c>
      <c r="B373" s="70">
        <v>60720</v>
      </c>
      <c r="C373" s="70">
        <v>53433.5</v>
      </c>
      <c r="D373" s="70">
        <v>47021.5</v>
      </c>
      <c r="E373" s="70">
        <v>54074.75</v>
      </c>
      <c r="F373" s="70">
        <v>54074.75</v>
      </c>
      <c r="G373" s="70">
        <v>54074.75</v>
      </c>
      <c r="H373" s="70">
        <v>47585.75</v>
      </c>
      <c r="I373" s="70">
        <v>41875.5</v>
      </c>
      <c r="J373" s="70">
        <v>48156.75</v>
      </c>
      <c r="K373" s="70">
        <v>48156.75</v>
      </c>
      <c r="L373" s="70">
        <v>48156.75</v>
      </c>
      <c r="M373" s="70">
        <v>56045</v>
      </c>
      <c r="N373" s="70">
        <v>56045</v>
      </c>
    </row>
    <row r="374" spans="1:14">
      <c r="A374" s="140">
        <f t="shared" si="6"/>
        <v>373</v>
      </c>
      <c r="B374" s="70">
        <v>0</v>
      </c>
      <c r="C374" s="70">
        <v>0</v>
      </c>
      <c r="D374" s="70">
        <v>0</v>
      </c>
      <c r="E374" s="70">
        <v>0</v>
      </c>
      <c r="F374" s="70">
        <v>0</v>
      </c>
      <c r="G374" s="70">
        <v>0</v>
      </c>
      <c r="H374" s="70">
        <v>0</v>
      </c>
      <c r="I374" s="70">
        <v>0</v>
      </c>
      <c r="J374" s="70">
        <v>120000</v>
      </c>
      <c r="K374" s="70">
        <v>138000</v>
      </c>
      <c r="L374" s="70">
        <v>138000</v>
      </c>
      <c r="M374" s="70">
        <v>138000</v>
      </c>
      <c r="N374" s="70">
        <v>158700</v>
      </c>
    </row>
    <row r="375" spans="1:14">
      <c r="A375" s="140">
        <f t="shared" si="6"/>
        <v>374</v>
      </c>
      <c r="B375" s="70">
        <v>0</v>
      </c>
      <c r="C375" s="70">
        <v>0</v>
      </c>
      <c r="D375" s="70">
        <v>105000</v>
      </c>
      <c r="E375" s="70">
        <v>105000</v>
      </c>
      <c r="F375" s="70">
        <v>105000</v>
      </c>
      <c r="G375" s="70">
        <v>138862.5</v>
      </c>
      <c r="H375" s="70">
        <v>211192.5</v>
      </c>
      <c r="I375" s="70">
        <v>211192.5</v>
      </c>
      <c r="J375" s="70">
        <v>242871.5</v>
      </c>
      <c r="K375" s="70">
        <v>213726.75</v>
      </c>
      <c r="L375" s="70">
        <v>213726.75</v>
      </c>
      <c r="M375" s="70">
        <v>0</v>
      </c>
      <c r="N375" s="70">
        <v>0</v>
      </c>
    </row>
    <row r="376" spans="1:14">
      <c r="A376" s="140">
        <f t="shared" si="6"/>
        <v>375</v>
      </c>
      <c r="B376" s="70">
        <v>160604.5</v>
      </c>
      <c r="C376" s="70">
        <v>141331.75</v>
      </c>
      <c r="D376" s="70">
        <v>162531.75</v>
      </c>
      <c r="E376" s="70">
        <v>186911.5</v>
      </c>
      <c r="F376" s="70">
        <v>186911.5</v>
      </c>
      <c r="G376" s="70">
        <v>214948</v>
      </c>
      <c r="H376" s="70">
        <v>189154.25</v>
      </c>
      <c r="I376" s="70">
        <v>189154.25</v>
      </c>
      <c r="J376" s="70">
        <v>0</v>
      </c>
      <c r="K376" s="70">
        <v>0</v>
      </c>
      <c r="L376" s="70">
        <v>0</v>
      </c>
      <c r="M376" s="70">
        <v>0</v>
      </c>
      <c r="N376" s="70">
        <v>0</v>
      </c>
    </row>
    <row r="377" spans="1:14">
      <c r="A377" s="140">
        <f t="shared" si="6"/>
        <v>376</v>
      </c>
      <c r="B377" s="70">
        <v>0</v>
      </c>
      <c r="C377" s="70">
        <v>0</v>
      </c>
      <c r="D377" s="70">
        <v>0</v>
      </c>
      <c r="E377" s="70">
        <v>0</v>
      </c>
      <c r="F377" s="70">
        <v>0</v>
      </c>
      <c r="G377" s="70">
        <v>0</v>
      </c>
      <c r="H377" s="70">
        <v>0</v>
      </c>
      <c r="I377" s="70">
        <v>0</v>
      </c>
      <c r="J377" s="70">
        <v>0</v>
      </c>
      <c r="K377" s="70">
        <v>0</v>
      </c>
      <c r="L377" s="70">
        <v>138000</v>
      </c>
      <c r="M377" s="70">
        <v>106867.25</v>
      </c>
      <c r="N377" s="70">
        <v>106867.25</v>
      </c>
    </row>
    <row r="378" spans="1:14">
      <c r="A378" s="140">
        <f t="shared" si="6"/>
        <v>377</v>
      </c>
      <c r="B378" s="70">
        <v>0</v>
      </c>
      <c r="C378" s="70">
        <v>0</v>
      </c>
      <c r="D378" s="70">
        <v>0</v>
      </c>
      <c r="E378" s="70">
        <v>0</v>
      </c>
      <c r="F378" s="70">
        <v>0</v>
      </c>
      <c r="G378" s="70">
        <v>0</v>
      </c>
      <c r="H378" s="70">
        <v>0</v>
      </c>
      <c r="I378" s="70">
        <v>0</v>
      </c>
      <c r="J378" s="70">
        <v>0</v>
      </c>
      <c r="K378" s="70">
        <v>0</v>
      </c>
      <c r="L378" s="70">
        <v>105000</v>
      </c>
      <c r="M378" s="70">
        <v>105000</v>
      </c>
      <c r="N378" s="70">
        <v>105000</v>
      </c>
    </row>
    <row r="379" spans="1:14">
      <c r="A379" s="140">
        <f t="shared" si="6"/>
        <v>378</v>
      </c>
      <c r="B379" s="70">
        <v>0</v>
      </c>
      <c r="C379" s="70">
        <v>0</v>
      </c>
      <c r="D379" s="70">
        <v>0</v>
      </c>
      <c r="E379" s="70">
        <v>0</v>
      </c>
      <c r="F379" s="70">
        <v>0</v>
      </c>
      <c r="G379" s="70">
        <v>0</v>
      </c>
      <c r="H379" s="70">
        <v>0</v>
      </c>
      <c r="I379" s="70">
        <v>0</v>
      </c>
      <c r="J379" s="70">
        <v>0</v>
      </c>
      <c r="K379" s="70">
        <v>0</v>
      </c>
      <c r="L379" s="70">
        <v>120000</v>
      </c>
      <c r="M379" s="70">
        <v>138000</v>
      </c>
      <c r="N379" s="70">
        <v>160604.5</v>
      </c>
    </row>
    <row r="380" spans="1:14">
      <c r="A380" s="140">
        <f t="shared" si="6"/>
        <v>379</v>
      </c>
      <c r="B380" s="70">
        <v>0</v>
      </c>
      <c r="C380" s="70">
        <v>0</v>
      </c>
      <c r="D380" s="70">
        <v>0</v>
      </c>
      <c r="E380" s="70">
        <v>0</v>
      </c>
      <c r="F380" s="70">
        <v>0</v>
      </c>
      <c r="G380" s="70">
        <v>0</v>
      </c>
      <c r="H380" s="70">
        <v>0</v>
      </c>
      <c r="I380" s="70">
        <v>0</v>
      </c>
      <c r="J380" s="70">
        <v>105000</v>
      </c>
      <c r="K380" s="70">
        <v>106260</v>
      </c>
      <c r="L380" s="70">
        <v>140528.75</v>
      </c>
      <c r="M380" s="70">
        <v>140528.75</v>
      </c>
      <c r="N380" s="70">
        <v>140528.75</v>
      </c>
    </row>
    <row r="381" spans="1:14">
      <c r="A381" s="140">
        <f t="shared" si="6"/>
        <v>380</v>
      </c>
      <c r="B381" s="70">
        <v>0</v>
      </c>
      <c r="C381" s="70">
        <v>0</v>
      </c>
      <c r="D381" s="70">
        <v>0</v>
      </c>
      <c r="E381" s="70">
        <v>0</v>
      </c>
      <c r="F381" s="70">
        <v>0</v>
      </c>
      <c r="G381" s="70">
        <v>0</v>
      </c>
      <c r="H381" s="70">
        <v>0</v>
      </c>
      <c r="I381" s="70">
        <v>0</v>
      </c>
      <c r="J381" s="70">
        <v>0</v>
      </c>
      <c r="K381" s="70">
        <v>0</v>
      </c>
      <c r="L381" s="70">
        <v>105000</v>
      </c>
      <c r="M381" s="70">
        <v>92400</v>
      </c>
      <c r="N381" s="70">
        <v>92400</v>
      </c>
    </row>
    <row r="382" spans="1:14">
      <c r="A382" s="140">
        <f t="shared" si="6"/>
        <v>381</v>
      </c>
      <c r="B382" s="70">
        <v>0</v>
      </c>
      <c r="C382" s="70">
        <v>0</v>
      </c>
      <c r="D382" s="70">
        <v>0</v>
      </c>
      <c r="E382" s="70">
        <v>0</v>
      </c>
      <c r="F382" s="70">
        <v>0</v>
      </c>
      <c r="G382" s="70">
        <v>0</v>
      </c>
      <c r="H382" s="70">
        <v>0</v>
      </c>
      <c r="I382" s="70">
        <v>0</v>
      </c>
      <c r="J382" s="70">
        <v>0</v>
      </c>
      <c r="K382" s="70">
        <v>0</v>
      </c>
      <c r="L382" s="70">
        <v>105000</v>
      </c>
      <c r="M382" s="70">
        <v>120750</v>
      </c>
      <c r="N382" s="70">
        <v>120750</v>
      </c>
    </row>
    <row r="383" spans="1:14">
      <c r="A383" s="140">
        <f t="shared" si="6"/>
        <v>382</v>
      </c>
      <c r="B383" s="70">
        <v>0</v>
      </c>
      <c r="C383" s="70">
        <v>0</v>
      </c>
      <c r="D383" s="70">
        <v>0</v>
      </c>
      <c r="E383" s="70">
        <v>0</v>
      </c>
      <c r="F383" s="70">
        <v>0</v>
      </c>
      <c r="G383" s="70">
        <v>0</v>
      </c>
      <c r="H383" s="70">
        <v>0</v>
      </c>
      <c r="I383" s="70">
        <v>0</v>
      </c>
      <c r="J383" s="70">
        <v>0</v>
      </c>
      <c r="K383" s="70">
        <v>0</v>
      </c>
      <c r="L383" s="70">
        <v>0</v>
      </c>
      <c r="M383" s="70">
        <v>60000</v>
      </c>
      <c r="N383" s="70">
        <v>60000</v>
      </c>
    </row>
    <row r="384" spans="1:14">
      <c r="A384" s="140">
        <f t="shared" si="6"/>
        <v>383</v>
      </c>
      <c r="B384" s="70">
        <v>0</v>
      </c>
      <c r="C384" s="70">
        <v>0</v>
      </c>
      <c r="D384" s="70">
        <v>0</v>
      </c>
      <c r="E384" s="70">
        <v>0</v>
      </c>
      <c r="F384" s="70">
        <v>0</v>
      </c>
      <c r="G384" s="70">
        <v>0</v>
      </c>
      <c r="H384" s="70">
        <v>0</v>
      </c>
      <c r="I384" s="70">
        <v>105000</v>
      </c>
      <c r="J384" s="70">
        <v>120750</v>
      </c>
      <c r="K384" s="70">
        <v>159692</v>
      </c>
      <c r="L384" s="70">
        <v>159692</v>
      </c>
      <c r="M384" s="70">
        <v>140528.75</v>
      </c>
      <c r="N384" s="70">
        <v>161608.25</v>
      </c>
    </row>
    <row r="385" spans="1:14">
      <c r="A385" s="140">
        <f t="shared" si="6"/>
        <v>384</v>
      </c>
      <c r="B385" s="70">
        <v>0</v>
      </c>
      <c r="C385" s="70">
        <v>0</v>
      </c>
      <c r="D385" s="70">
        <v>0</v>
      </c>
      <c r="E385" s="70">
        <v>0</v>
      </c>
      <c r="F385" s="70">
        <v>0</v>
      </c>
      <c r="G385" s="70">
        <v>138000</v>
      </c>
      <c r="H385" s="70">
        <v>158700</v>
      </c>
      <c r="I385" s="70">
        <v>209880.75</v>
      </c>
      <c r="J385" s="70">
        <v>209880.75</v>
      </c>
      <c r="K385" s="70">
        <v>209880.75</v>
      </c>
      <c r="L385" s="70">
        <v>184695</v>
      </c>
      <c r="M385" s="70">
        <v>212399.25</v>
      </c>
      <c r="N385" s="70">
        <v>280898</v>
      </c>
    </row>
    <row r="386" spans="1:14">
      <c r="A386" s="140">
        <f t="shared" si="6"/>
        <v>385</v>
      </c>
      <c r="B386" s="70">
        <v>0</v>
      </c>
      <c r="C386" s="70">
        <v>0</v>
      </c>
      <c r="D386" s="70">
        <v>0</v>
      </c>
      <c r="E386" s="70">
        <v>0</v>
      </c>
      <c r="F386" s="70">
        <v>105000</v>
      </c>
      <c r="G386" s="70">
        <v>105000</v>
      </c>
      <c r="H386" s="70">
        <v>120750</v>
      </c>
      <c r="I386" s="70">
        <v>120750</v>
      </c>
      <c r="J386" s="70">
        <v>120750</v>
      </c>
      <c r="K386" s="70">
        <v>120750</v>
      </c>
      <c r="L386" s="70">
        <v>120750</v>
      </c>
      <c r="M386" s="70">
        <v>159692</v>
      </c>
      <c r="N386" s="70">
        <v>159692</v>
      </c>
    </row>
    <row r="387" spans="1:14">
      <c r="A387" s="140">
        <f t="shared" ref="A387:A422" si="7">+A386+1</f>
        <v>386</v>
      </c>
      <c r="B387" s="70">
        <v>92400</v>
      </c>
      <c r="C387" s="70">
        <v>92400</v>
      </c>
      <c r="D387" s="70">
        <v>106260</v>
      </c>
      <c r="E387" s="70">
        <v>122199</v>
      </c>
      <c r="F387" s="70">
        <v>140528.75</v>
      </c>
      <c r="G387" s="70">
        <v>185849.5</v>
      </c>
      <c r="H387" s="70">
        <v>185849.5</v>
      </c>
      <c r="I387" s="70">
        <v>213726.75</v>
      </c>
      <c r="J387" s="70">
        <v>245785.75</v>
      </c>
      <c r="K387" s="70">
        <v>216291.5</v>
      </c>
      <c r="L387" s="70">
        <v>216291.5</v>
      </c>
      <c r="M387" s="70">
        <v>216291.5</v>
      </c>
      <c r="N387" s="70">
        <v>218887</v>
      </c>
    </row>
    <row r="388" spans="1:14">
      <c r="A388" s="140">
        <f t="shared" si="7"/>
        <v>387</v>
      </c>
      <c r="B388" s="70">
        <v>0</v>
      </c>
      <c r="C388" s="70">
        <v>0</v>
      </c>
      <c r="D388" s="70">
        <v>0</v>
      </c>
      <c r="E388" s="70">
        <v>0</v>
      </c>
      <c r="F388" s="70">
        <v>138000</v>
      </c>
      <c r="G388" s="70">
        <v>138000</v>
      </c>
      <c r="H388" s="70">
        <v>182505</v>
      </c>
      <c r="I388" s="70">
        <v>182505</v>
      </c>
      <c r="J388" s="70">
        <v>182505</v>
      </c>
      <c r="K388" s="70">
        <v>241362.75</v>
      </c>
      <c r="L388" s="70">
        <v>277567.25</v>
      </c>
      <c r="M388" s="70">
        <v>367082.75</v>
      </c>
      <c r="N388" s="70">
        <v>485467</v>
      </c>
    </row>
    <row r="389" spans="1:14">
      <c r="A389" s="140">
        <f t="shared" si="7"/>
        <v>388</v>
      </c>
      <c r="B389" s="70">
        <v>0</v>
      </c>
      <c r="C389" s="70">
        <v>0</v>
      </c>
      <c r="D389" s="70">
        <v>0</v>
      </c>
      <c r="E389" s="70">
        <v>0</v>
      </c>
      <c r="F389" s="70">
        <v>0</v>
      </c>
      <c r="G389" s="70">
        <v>0</v>
      </c>
      <c r="H389" s="70">
        <v>0</v>
      </c>
      <c r="I389" s="70">
        <v>105000</v>
      </c>
      <c r="J389" s="70">
        <v>120750</v>
      </c>
      <c r="K389" s="70">
        <v>138862.5</v>
      </c>
      <c r="L389" s="70">
        <v>159692</v>
      </c>
      <c r="M389" s="70">
        <v>183645.75</v>
      </c>
      <c r="N389" s="70">
        <v>183645.75</v>
      </c>
    </row>
    <row r="390" spans="1:14">
      <c r="A390" s="140">
        <f t="shared" si="7"/>
        <v>389</v>
      </c>
      <c r="B390" s="70">
        <v>0</v>
      </c>
      <c r="C390" s="70">
        <v>0</v>
      </c>
      <c r="D390" s="70">
        <v>0</v>
      </c>
      <c r="E390" s="70">
        <v>0</v>
      </c>
      <c r="F390" s="70">
        <v>0</v>
      </c>
      <c r="G390" s="70">
        <v>0</v>
      </c>
      <c r="H390" s="70">
        <v>0</v>
      </c>
      <c r="I390" s="70">
        <v>0</v>
      </c>
      <c r="J390" s="70">
        <v>0</v>
      </c>
      <c r="K390" s="70">
        <v>0</v>
      </c>
      <c r="L390" s="70">
        <v>60000</v>
      </c>
      <c r="M390" s="70">
        <v>60000</v>
      </c>
      <c r="N390" s="70">
        <v>60000</v>
      </c>
    </row>
    <row r="391" spans="1:14">
      <c r="A391" s="140">
        <f t="shared" si="7"/>
        <v>390</v>
      </c>
      <c r="B391" s="70">
        <v>138000</v>
      </c>
      <c r="C391" s="70">
        <v>138000</v>
      </c>
      <c r="D391" s="70">
        <v>138000</v>
      </c>
      <c r="E391" s="70">
        <v>182505</v>
      </c>
      <c r="F391" s="70">
        <v>209880.75</v>
      </c>
      <c r="G391" s="70">
        <v>241362.75</v>
      </c>
      <c r="H391" s="70">
        <v>241362.75</v>
      </c>
      <c r="I391" s="70">
        <v>277567.25</v>
      </c>
      <c r="J391" s="70">
        <v>319202.5</v>
      </c>
      <c r="K391" s="70">
        <v>323032.75</v>
      </c>
      <c r="L391" s="70">
        <v>323032.75</v>
      </c>
      <c r="M391" s="70">
        <v>323032.75</v>
      </c>
      <c r="N391" s="70">
        <v>371487.75</v>
      </c>
    </row>
    <row r="392" spans="1:14">
      <c r="A392" s="140">
        <f t="shared" si="7"/>
        <v>391</v>
      </c>
      <c r="B392" s="70">
        <v>0</v>
      </c>
      <c r="C392" s="70">
        <v>0</v>
      </c>
      <c r="D392" s="70">
        <v>0</v>
      </c>
      <c r="E392" s="70">
        <v>120000</v>
      </c>
      <c r="F392" s="70">
        <v>182505</v>
      </c>
      <c r="G392" s="70">
        <v>182505</v>
      </c>
      <c r="H392" s="70">
        <v>184695</v>
      </c>
      <c r="I392" s="70">
        <v>212399.25</v>
      </c>
      <c r="J392" s="70">
        <v>244259.25</v>
      </c>
      <c r="K392" s="70">
        <v>244259.25</v>
      </c>
      <c r="L392" s="70">
        <v>244259.25</v>
      </c>
      <c r="M392" s="70">
        <v>244259.25</v>
      </c>
      <c r="N392" s="70">
        <v>214948</v>
      </c>
    </row>
    <row r="393" spans="1:14">
      <c r="A393" s="140">
        <f t="shared" si="7"/>
        <v>392</v>
      </c>
      <c r="B393" s="70">
        <v>0</v>
      </c>
      <c r="C393" s="70">
        <v>0</v>
      </c>
      <c r="D393" s="70">
        <v>0</v>
      </c>
      <c r="E393" s="70">
        <v>120750</v>
      </c>
      <c r="F393" s="70">
        <v>120750</v>
      </c>
      <c r="G393" s="70">
        <v>120750</v>
      </c>
      <c r="H393" s="70">
        <v>120750</v>
      </c>
      <c r="I393" s="70">
        <v>138862.5</v>
      </c>
      <c r="J393" s="70">
        <v>138862.5</v>
      </c>
      <c r="K393" s="70">
        <v>159692</v>
      </c>
      <c r="L393" s="70">
        <v>211192.5</v>
      </c>
      <c r="M393" s="70">
        <v>242871.5</v>
      </c>
      <c r="N393" s="70">
        <v>321197.5</v>
      </c>
    </row>
    <row r="394" spans="1:14">
      <c r="A394" s="140">
        <f t="shared" si="7"/>
        <v>393</v>
      </c>
      <c r="B394" s="70">
        <v>0</v>
      </c>
      <c r="C394" s="70">
        <v>105000</v>
      </c>
      <c r="D394" s="70">
        <v>120750</v>
      </c>
      <c r="E394" s="70">
        <v>138862.5</v>
      </c>
      <c r="F394" s="70">
        <v>159692</v>
      </c>
      <c r="G394" s="70">
        <v>159692</v>
      </c>
      <c r="H394" s="70">
        <v>183645.75</v>
      </c>
      <c r="I394" s="70">
        <v>183645.75</v>
      </c>
      <c r="J394" s="70">
        <v>211192.5</v>
      </c>
      <c r="K394" s="70">
        <v>242871.5</v>
      </c>
      <c r="L394" s="70">
        <v>279302</v>
      </c>
      <c r="M394" s="70">
        <v>369377</v>
      </c>
      <c r="N394" s="70">
        <v>561776.25</v>
      </c>
    </row>
    <row r="395" spans="1:14">
      <c r="A395" s="140">
        <f t="shared" si="7"/>
        <v>394</v>
      </c>
      <c r="B395" s="70">
        <v>0</v>
      </c>
      <c r="C395" s="70">
        <v>0</v>
      </c>
      <c r="D395" s="70">
        <v>0</v>
      </c>
      <c r="E395" s="70">
        <v>105000</v>
      </c>
      <c r="F395" s="70">
        <v>138862.5</v>
      </c>
      <c r="G395" s="70">
        <v>161608.25</v>
      </c>
      <c r="H395" s="70">
        <v>185849.5</v>
      </c>
      <c r="I395" s="70">
        <v>213726.75</v>
      </c>
      <c r="J395" s="70">
        <v>245785.75</v>
      </c>
      <c r="K395" s="70">
        <v>0</v>
      </c>
      <c r="L395" s="70">
        <v>0</v>
      </c>
      <c r="M395" s="70">
        <v>0</v>
      </c>
      <c r="N395" s="70">
        <v>0</v>
      </c>
    </row>
    <row r="396" spans="1:14">
      <c r="A396" s="140">
        <f t="shared" si="7"/>
        <v>395</v>
      </c>
      <c r="B396" s="70">
        <v>0</v>
      </c>
      <c r="C396" s="70">
        <v>0</v>
      </c>
      <c r="D396" s="70">
        <v>0</v>
      </c>
      <c r="E396" s="70">
        <v>0</v>
      </c>
      <c r="F396" s="70">
        <v>0</v>
      </c>
      <c r="G396" s="70">
        <v>0</v>
      </c>
      <c r="H396" s="70">
        <v>0</v>
      </c>
      <c r="I396" s="70">
        <v>0</v>
      </c>
      <c r="J396" s="70">
        <v>0</v>
      </c>
      <c r="K396" s="70">
        <v>0</v>
      </c>
      <c r="L396" s="70">
        <v>0</v>
      </c>
      <c r="M396" s="70">
        <v>0</v>
      </c>
      <c r="N396" s="70">
        <v>138000</v>
      </c>
    </row>
    <row r="397" spans="1:14">
      <c r="A397" s="140">
        <f t="shared" si="7"/>
        <v>396</v>
      </c>
      <c r="B397" s="70">
        <v>0</v>
      </c>
      <c r="C397" s="70">
        <v>0</v>
      </c>
      <c r="D397" s="70">
        <v>0</v>
      </c>
      <c r="E397" s="70">
        <v>0</v>
      </c>
      <c r="F397" s="70">
        <v>0</v>
      </c>
      <c r="G397" s="70">
        <v>0</v>
      </c>
      <c r="H397" s="70">
        <v>0</v>
      </c>
      <c r="I397" s="70">
        <v>0</v>
      </c>
      <c r="J397" s="70">
        <v>0</v>
      </c>
      <c r="K397" s="70">
        <v>60000</v>
      </c>
      <c r="L397" s="70">
        <v>52800</v>
      </c>
      <c r="M397" s="70">
        <v>52800</v>
      </c>
      <c r="N397" s="70">
        <v>60720</v>
      </c>
    </row>
    <row r="398" spans="1:14">
      <c r="A398" s="140">
        <f t="shared" si="7"/>
        <v>397</v>
      </c>
      <c r="B398" s="70">
        <v>0</v>
      </c>
      <c r="C398" s="70">
        <v>105000</v>
      </c>
      <c r="D398" s="70">
        <v>105000</v>
      </c>
      <c r="E398" s="70">
        <v>120750</v>
      </c>
      <c r="F398" s="70">
        <v>93508.75</v>
      </c>
      <c r="G398" s="70">
        <v>123665.5</v>
      </c>
      <c r="H398" s="70">
        <v>142215.25</v>
      </c>
      <c r="I398" s="70">
        <v>142215.25</v>
      </c>
      <c r="J398" s="70">
        <v>188079.5</v>
      </c>
      <c r="K398" s="70">
        <v>216291.5</v>
      </c>
      <c r="L398" s="70">
        <v>248735.25</v>
      </c>
      <c r="M398" s="70">
        <v>328952.5</v>
      </c>
      <c r="N398" s="70">
        <v>289478</v>
      </c>
    </row>
    <row r="399" spans="1:14">
      <c r="A399" s="140">
        <f t="shared" si="7"/>
        <v>398</v>
      </c>
      <c r="B399" s="70">
        <v>0</v>
      </c>
      <c r="C399" s="70">
        <v>0</v>
      </c>
      <c r="D399" s="70">
        <v>0</v>
      </c>
      <c r="E399" s="70">
        <v>0</v>
      </c>
      <c r="F399" s="70">
        <v>0</v>
      </c>
      <c r="G399" s="70">
        <v>0</v>
      </c>
      <c r="H399" s="70">
        <v>0</v>
      </c>
      <c r="I399" s="70">
        <v>0</v>
      </c>
      <c r="J399" s="70">
        <v>0</v>
      </c>
      <c r="K399" s="70">
        <v>0</v>
      </c>
      <c r="L399" s="70">
        <v>0</v>
      </c>
      <c r="M399" s="70">
        <v>0</v>
      </c>
      <c r="N399" s="70">
        <v>120000</v>
      </c>
    </row>
    <row r="400" spans="1:14">
      <c r="A400" s="140">
        <f t="shared" si="7"/>
        <v>399</v>
      </c>
      <c r="B400" s="70">
        <v>0</v>
      </c>
      <c r="C400" s="70">
        <v>0</v>
      </c>
      <c r="D400" s="70">
        <v>0</v>
      </c>
      <c r="E400" s="70">
        <v>0</v>
      </c>
      <c r="F400" s="70">
        <v>0</v>
      </c>
      <c r="G400" s="70">
        <v>0</v>
      </c>
      <c r="H400" s="70">
        <v>0</v>
      </c>
      <c r="I400" s="70">
        <v>0</v>
      </c>
      <c r="J400" s="70">
        <v>0</v>
      </c>
      <c r="K400" s="70">
        <v>0</v>
      </c>
      <c r="L400" s="70">
        <v>0</v>
      </c>
      <c r="M400" s="70">
        <v>105000</v>
      </c>
      <c r="N400" s="70">
        <v>106260</v>
      </c>
    </row>
    <row r="401" spans="1:14">
      <c r="A401" s="140">
        <f t="shared" si="7"/>
        <v>400</v>
      </c>
      <c r="B401" s="70">
        <v>0</v>
      </c>
      <c r="C401" s="70">
        <v>0</v>
      </c>
      <c r="D401" s="70">
        <v>0</v>
      </c>
      <c r="E401" s="70">
        <v>0</v>
      </c>
      <c r="F401" s="70">
        <v>0</v>
      </c>
      <c r="G401" s="70">
        <v>0</v>
      </c>
      <c r="H401" s="70">
        <v>0</v>
      </c>
      <c r="I401" s="70">
        <v>0</v>
      </c>
      <c r="J401" s="70">
        <v>0</v>
      </c>
      <c r="K401" s="70">
        <v>0</v>
      </c>
      <c r="L401" s="70">
        <v>105000</v>
      </c>
      <c r="M401" s="70">
        <v>105000</v>
      </c>
      <c r="N401" s="70">
        <v>105000</v>
      </c>
    </row>
    <row r="402" spans="1:14">
      <c r="A402" s="140">
        <f t="shared" si="7"/>
        <v>401</v>
      </c>
      <c r="B402" s="70">
        <v>0</v>
      </c>
      <c r="C402" s="70">
        <v>0</v>
      </c>
      <c r="D402" s="70">
        <v>0</v>
      </c>
      <c r="E402" s="70">
        <v>0</v>
      </c>
      <c r="F402" s="70">
        <v>0</v>
      </c>
      <c r="G402" s="70">
        <v>0</v>
      </c>
      <c r="H402" s="70">
        <v>0</v>
      </c>
      <c r="I402" s="70">
        <v>0</v>
      </c>
      <c r="J402" s="70">
        <v>0</v>
      </c>
      <c r="K402" s="70">
        <v>92400</v>
      </c>
      <c r="L402" s="70">
        <v>106260</v>
      </c>
      <c r="M402" s="70">
        <v>106260</v>
      </c>
      <c r="N402" s="70">
        <v>106260</v>
      </c>
    </row>
    <row r="403" spans="1:14">
      <c r="A403" s="140">
        <f t="shared" si="7"/>
        <v>402</v>
      </c>
      <c r="B403" s="70">
        <v>0</v>
      </c>
      <c r="C403" s="70">
        <v>0</v>
      </c>
      <c r="D403" s="70">
        <v>0</v>
      </c>
      <c r="E403" s="70">
        <v>0</v>
      </c>
      <c r="F403" s="70">
        <v>0</v>
      </c>
      <c r="G403" s="70">
        <v>0</v>
      </c>
      <c r="H403" s="70">
        <v>0</v>
      </c>
      <c r="I403" s="70">
        <v>0</v>
      </c>
      <c r="J403" s="70">
        <v>0</v>
      </c>
      <c r="K403" s="70">
        <v>0</v>
      </c>
      <c r="L403" s="70">
        <v>0</v>
      </c>
      <c r="M403" s="70">
        <v>0</v>
      </c>
      <c r="N403" s="70">
        <v>0</v>
      </c>
    </row>
    <row r="404" spans="1:14">
      <c r="A404" s="140">
        <f t="shared" si="7"/>
        <v>403</v>
      </c>
      <c r="B404" s="70">
        <v>0</v>
      </c>
      <c r="C404" s="70">
        <v>105000</v>
      </c>
      <c r="D404" s="70">
        <v>138862.5</v>
      </c>
      <c r="E404" s="70">
        <v>159692</v>
      </c>
      <c r="F404" s="70">
        <v>183645.75</v>
      </c>
      <c r="G404" s="70">
        <v>185849.5</v>
      </c>
      <c r="H404" s="70">
        <v>213726.75</v>
      </c>
      <c r="I404" s="70">
        <v>213726.75</v>
      </c>
      <c r="J404" s="70">
        <v>282653.75</v>
      </c>
      <c r="K404" s="70">
        <v>325051.75</v>
      </c>
      <c r="L404" s="70">
        <v>328952.5</v>
      </c>
      <c r="M404" s="70">
        <v>378295.25</v>
      </c>
      <c r="N404" s="70">
        <v>435039.5</v>
      </c>
    </row>
    <row r="405" spans="1:14">
      <c r="A405" s="140">
        <f t="shared" si="7"/>
        <v>404</v>
      </c>
      <c r="B405" s="70">
        <v>139656</v>
      </c>
      <c r="C405" s="70">
        <v>139656</v>
      </c>
      <c r="D405" s="70">
        <v>160604.5</v>
      </c>
      <c r="E405" s="70">
        <v>160604.5</v>
      </c>
      <c r="F405" s="70">
        <v>160604.5</v>
      </c>
      <c r="G405" s="70">
        <v>141331.75</v>
      </c>
      <c r="H405" s="70">
        <v>162531.75</v>
      </c>
      <c r="I405" s="70">
        <v>214948</v>
      </c>
      <c r="J405" s="70">
        <v>214948</v>
      </c>
      <c r="K405" s="70">
        <v>284269</v>
      </c>
      <c r="L405" s="70">
        <v>326909.25</v>
      </c>
      <c r="M405" s="70">
        <v>326909.25</v>
      </c>
      <c r="N405" s="70">
        <v>330832</v>
      </c>
    </row>
    <row r="406" spans="1:14">
      <c r="A406" s="140">
        <f t="shared" si="7"/>
        <v>405</v>
      </c>
      <c r="B406" s="70">
        <v>0</v>
      </c>
      <c r="C406" s="70">
        <v>0</v>
      </c>
      <c r="D406" s="70">
        <v>0</v>
      </c>
      <c r="E406" s="70">
        <v>0</v>
      </c>
      <c r="F406" s="70">
        <v>0</v>
      </c>
      <c r="G406" s="70">
        <v>0</v>
      </c>
      <c r="H406" s="70">
        <v>0</v>
      </c>
      <c r="I406" s="70">
        <v>0</v>
      </c>
      <c r="J406" s="70">
        <v>60000</v>
      </c>
      <c r="K406" s="70">
        <v>69000</v>
      </c>
      <c r="L406" s="70">
        <v>91252.5</v>
      </c>
      <c r="M406" s="70">
        <v>91252.5</v>
      </c>
      <c r="N406" s="70">
        <v>104940.5</v>
      </c>
    </row>
    <row r="407" spans="1:14">
      <c r="A407" s="140">
        <f t="shared" si="7"/>
        <v>406</v>
      </c>
      <c r="B407" s="70">
        <v>0</v>
      </c>
      <c r="C407" s="70">
        <v>0</v>
      </c>
      <c r="D407" s="70">
        <v>0</v>
      </c>
      <c r="E407" s="70">
        <v>0</v>
      </c>
      <c r="F407" s="70">
        <v>0</v>
      </c>
      <c r="G407" s="70">
        <v>0</v>
      </c>
      <c r="H407" s="70">
        <v>0</v>
      </c>
      <c r="I407" s="70">
        <v>0</v>
      </c>
      <c r="J407" s="70">
        <v>0</v>
      </c>
      <c r="K407" s="70">
        <v>0</v>
      </c>
      <c r="L407" s="70">
        <v>0</v>
      </c>
      <c r="M407" s="70">
        <v>120000</v>
      </c>
      <c r="N407" s="70">
        <v>158700</v>
      </c>
    </row>
    <row r="408" spans="1:14">
      <c r="A408" s="140">
        <f t="shared" si="7"/>
        <v>407</v>
      </c>
      <c r="B408" s="70">
        <v>91252.5</v>
      </c>
      <c r="C408" s="70">
        <v>91252.5</v>
      </c>
      <c r="D408" s="70">
        <v>104940.5</v>
      </c>
      <c r="E408" s="70">
        <v>92347.5</v>
      </c>
      <c r="F408" s="70">
        <v>81265.75</v>
      </c>
      <c r="G408" s="70">
        <v>94577.25</v>
      </c>
      <c r="H408" s="70">
        <v>108763.75</v>
      </c>
      <c r="I408" s="70">
        <v>125078.25</v>
      </c>
      <c r="J408" s="70">
        <v>143840</v>
      </c>
      <c r="K408" s="70">
        <v>218762.75</v>
      </c>
      <c r="L408" s="70">
        <v>289313.75</v>
      </c>
      <c r="M408" s="70">
        <v>332710.75</v>
      </c>
      <c r="N408" s="70">
        <v>332710.75</v>
      </c>
    </row>
    <row r="409" spans="1:14">
      <c r="A409" s="140">
        <f t="shared" si="7"/>
        <v>408</v>
      </c>
      <c r="B409" s="70">
        <v>0</v>
      </c>
      <c r="C409" s="70">
        <v>0</v>
      </c>
      <c r="D409" s="70">
        <v>0</v>
      </c>
      <c r="E409" s="70">
        <v>0</v>
      </c>
      <c r="F409" s="70">
        <v>0</v>
      </c>
      <c r="G409" s="70">
        <v>0</v>
      </c>
      <c r="H409" s="70">
        <v>0</v>
      </c>
      <c r="I409" s="70">
        <v>0</v>
      </c>
      <c r="J409" s="70">
        <v>0</v>
      </c>
      <c r="K409" s="70">
        <v>0</v>
      </c>
      <c r="L409" s="70">
        <v>0</v>
      </c>
      <c r="M409" s="70">
        <v>60000</v>
      </c>
      <c r="N409" s="70">
        <v>60000</v>
      </c>
    </row>
    <row r="410" spans="1:14">
      <c r="A410" s="140">
        <f t="shared" si="7"/>
        <v>409</v>
      </c>
      <c r="B410" s="70">
        <v>0</v>
      </c>
      <c r="C410" s="70">
        <v>0</v>
      </c>
      <c r="D410" s="70">
        <v>0</v>
      </c>
      <c r="E410" s="70">
        <v>0</v>
      </c>
      <c r="F410" s="70">
        <v>0</v>
      </c>
      <c r="G410" s="70">
        <v>0</v>
      </c>
      <c r="H410" s="70">
        <v>0</v>
      </c>
      <c r="I410" s="70">
        <v>120750</v>
      </c>
      <c r="J410" s="70">
        <v>120750</v>
      </c>
      <c r="K410" s="70">
        <v>138862.5</v>
      </c>
      <c r="L410" s="70">
        <v>138862.5</v>
      </c>
      <c r="M410" s="70">
        <v>138862.5</v>
      </c>
      <c r="N410" s="70">
        <v>138862.5</v>
      </c>
    </row>
    <row r="411" spans="1:14">
      <c r="A411" s="140">
        <f t="shared" si="7"/>
        <v>410</v>
      </c>
      <c r="B411" s="70">
        <v>0</v>
      </c>
      <c r="C411" s="70">
        <v>0</v>
      </c>
      <c r="D411" s="70">
        <v>0</v>
      </c>
      <c r="E411" s="70">
        <v>0</v>
      </c>
      <c r="F411" s="70">
        <v>60000</v>
      </c>
      <c r="G411" s="70">
        <v>91252.5</v>
      </c>
      <c r="H411" s="70">
        <v>104940.5</v>
      </c>
      <c r="I411" s="70">
        <v>138783.75</v>
      </c>
      <c r="J411" s="70">
        <v>138783.75</v>
      </c>
      <c r="K411" s="70">
        <v>138783.75</v>
      </c>
      <c r="L411" s="70">
        <v>138783.75</v>
      </c>
      <c r="M411" s="70">
        <v>138783.75</v>
      </c>
      <c r="N411" s="70">
        <v>159601.25</v>
      </c>
    </row>
    <row r="412" spans="1:14">
      <c r="A412" s="140">
        <f t="shared" si="7"/>
        <v>411</v>
      </c>
      <c r="B412" s="70">
        <v>0</v>
      </c>
      <c r="C412" s="70">
        <v>0</v>
      </c>
      <c r="D412" s="70">
        <v>0</v>
      </c>
      <c r="E412" s="70">
        <v>0</v>
      </c>
      <c r="F412" s="70">
        <v>0</v>
      </c>
      <c r="G412" s="70">
        <v>0</v>
      </c>
      <c r="H412" s="70">
        <v>0</v>
      </c>
      <c r="I412" s="70">
        <v>0</v>
      </c>
      <c r="J412" s="70">
        <v>105000</v>
      </c>
      <c r="K412" s="70">
        <v>106260</v>
      </c>
      <c r="L412" s="70">
        <v>122199</v>
      </c>
      <c r="M412" s="70">
        <v>122199</v>
      </c>
      <c r="N412" s="70">
        <v>107535</v>
      </c>
    </row>
    <row r="413" spans="1:14">
      <c r="A413" s="140">
        <f t="shared" si="7"/>
        <v>412</v>
      </c>
      <c r="B413" s="70">
        <v>0</v>
      </c>
      <c r="C413" s="70">
        <v>0</v>
      </c>
      <c r="D413" s="70">
        <v>0</v>
      </c>
      <c r="E413" s="70">
        <v>0</v>
      </c>
      <c r="F413" s="70">
        <v>0</v>
      </c>
      <c r="G413" s="70">
        <v>0</v>
      </c>
      <c r="H413" s="70">
        <v>0</v>
      </c>
      <c r="I413" s="70">
        <v>0</v>
      </c>
      <c r="J413" s="70">
        <v>0</v>
      </c>
      <c r="K413" s="70">
        <v>0</v>
      </c>
      <c r="L413" s="70">
        <v>0</v>
      </c>
      <c r="M413" s="70">
        <v>0</v>
      </c>
      <c r="N413" s="70">
        <v>120000</v>
      </c>
    </row>
    <row r="414" spans="1:14">
      <c r="A414" s="140">
        <f t="shared" si="7"/>
        <v>413</v>
      </c>
      <c r="B414" s="70">
        <v>0</v>
      </c>
      <c r="C414" s="70">
        <v>0</v>
      </c>
      <c r="D414" s="70">
        <v>0</v>
      </c>
      <c r="E414" s="70">
        <v>0</v>
      </c>
      <c r="F414" s="70">
        <v>0</v>
      </c>
      <c r="G414" s="70">
        <v>0</v>
      </c>
      <c r="H414" s="70">
        <v>105000</v>
      </c>
      <c r="I414" s="70">
        <v>92400</v>
      </c>
      <c r="J414" s="70">
        <v>92400</v>
      </c>
      <c r="K414" s="70">
        <v>92400</v>
      </c>
      <c r="L414" s="70">
        <v>106260</v>
      </c>
      <c r="M414" s="70">
        <v>122199</v>
      </c>
      <c r="N414" s="70">
        <v>140528.75</v>
      </c>
    </row>
    <row r="415" spans="1:14">
      <c r="A415" s="140">
        <f t="shared" si="7"/>
        <v>414</v>
      </c>
      <c r="B415" s="70">
        <v>0</v>
      </c>
      <c r="C415" s="70">
        <v>0</v>
      </c>
      <c r="D415" s="70">
        <v>0</v>
      </c>
      <c r="E415" s="70">
        <v>0</v>
      </c>
      <c r="F415" s="70">
        <v>0</v>
      </c>
      <c r="G415" s="70">
        <v>0</v>
      </c>
      <c r="H415" s="70">
        <v>120750</v>
      </c>
      <c r="I415" s="70">
        <v>120750</v>
      </c>
      <c r="J415" s="70">
        <v>122199</v>
      </c>
      <c r="K415" s="70">
        <v>122199</v>
      </c>
      <c r="L415" s="70">
        <v>0</v>
      </c>
      <c r="M415" s="70">
        <v>0</v>
      </c>
      <c r="N415" s="70">
        <v>0</v>
      </c>
    </row>
    <row r="416" spans="1:14">
      <c r="A416" s="140">
        <f t="shared" si="7"/>
        <v>415</v>
      </c>
      <c r="B416" s="70">
        <v>120000</v>
      </c>
      <c r="C416" s="70">
        <v>138000</v>
      </c>
      <c r="D416" s="70">
        <v>158700</v>
      </c>
      <c r="E416" s="70">
        <v>158700</v>
      </c>
      <c r="F416" s="70">
        <v>209880.75</v>
      </c>
      <c r="G416" s="70">
        <v>241362.75</v>
      </c>
      <c r="H416" s="70">
        <v>212399.25</v>
      </c>
      <c r="I416" s="70">
        <v>212399.25</v>
      </c>
      <c r="J416" s="70">
        <v>244259.25</v>
      </c>
      <c r="K416" s="70">
        <v>280898</v>
      </c>
      <c r="L416" s="70">
        <v>427211</v>
      </c>
      <c r="M416" s="70">
        <v>491292.5</v>
      </c>
      <c r="N416" s="70">
        <v>491292.5</v>
      </c>
    </row>
    <row r="417" spans="1:14">
      <c r="A417" s="140">
        <f t="shared" si="7"/>
        <v>416</v>
      </c>
      <c r="B417" s="70">
        <v>0</v>
      </c>
      <c r="C417" s="70">
        <v>0</v>
      </c>
      <c r="D417" s="70">
        <v>0</v>
      </c>
      <c r="E417" s="70">
        <v>0</v>
      </c>
      <c r="F417" s="70">
        <v>0</v>
      </c>
      <c r="G417" s="70">
        <v>0</v>
      </c>
      <c r="H417" s="70">
        <v>0</v>
      </c>
      <c r="I417" s="70">
        <v>0</v>
      </c>
      <c r="J417" s="70">
        <v>0</v>
      </c>
      <c r="K417" s="70">
        <v>0</v>
      </c>
      <c r="L417" s="70">
        <v>0</v>
      </c>
      <c r="M417" s="70">
        <v>120000</v>
      </c>
      <c r="N417" s="70">
        <v>120000</v>
      </c>
    </row>
    <row r="418" spans="1:14">
      <c r="A418" s="140">
        <f t="shared" si="7"/>
        <v>417</v>
      </c>
      <c r="B418" s="70">
        <v>0</v>
      </c>
      <c r="C418" s="70">
        <v>0</v>
      </c>
      <c r="D418" s="70">
        <v>0</v>
      </c>
      <c r="E418" s="70">
        <v>0</v>
      </c>
      <c r="F418" s="70">
        <v>0</v>
      </c>
      <c r="G418" s="70">
        <v>0</v>
      </c>
      <c r="H418" s="70">
        <v>0</v>
      </c>
      <c r="I418" s="70">
        <v>0</v>
      </c>
      <c r="J418" s="70">
        <v>0</v>
      </c>
      <c r="K418" s="70">
        <v>0</v>
      </c>
      <c r="L418" s="70">
        <v>0</v>
      </c>
      <c r="M418" s="70">
        <v>120000</v>
      </c>
      <c r="N418" s="70">
        <v>158700</v>
      </c>
    </row>
    <row r="419" spans="1:14">
      <c r="A419" s="140">
        <f t="shared" si="7"/>
        <v>418</v>
      </c>
      <c r="B419" s="70">
        <v>0</v>
      </c>
      <c r="C419" s="70">
        <v>0</v>
      </c>
      <c r="D419" s="70">
        <v>0</v>
      </c>
      <c r="E419" s="70">
        <v>0</v>
      </c>
      <c r="F419" s="70">
        <v>0</v>
      </c>
      <c r="G419" s="70">
        <v>0</v>
      </c>
      <c r="H419" s="70">
        <v>105000</v>
      </c>
      <c r="I419" s="70">
        <v>105000</v>
      </c>
      <c r="J419" s="70">
        <v>81312</v>
      </c>
      <c r="K419" s="70">
        <v>81312</v>
      </c>
      <c r="L419" s="70">
        <v>93508.75</v>
      </c>
      <c r="M419" s="70">
        <v>107535</v>
      </c>
      <c r="N419" s="70">
        <v>123665.5</v>
      </c>
    </row>
    <row r="420" spans="1:14">
      <c r="A420" s="140">
        <f t="shared" si="7"/>
        <v>419</v>
      </c>
      <c r="B420" s="70">
        <v>213726.75</v>
      </c>
      <c r="C420" s="70">
        <v>188079.5</v>
      </c>
      <c r="D420" s="70">
        <v>188079.5</v>
      </c>
      <c r="E420" s="70">
        <v>188079.5</v>
      </c>
      <c r="F420" s="70">
        <v>216291.5</v>
      </c>
      <c r="G420" s="70">
        <v>0</v>
      </c>
      <c r="H420" s="70">
        <v>0</v>
      </c>
      <c r="I420" s="70">
        <v>0</v>
      </c>
      <c r="J420" s="70">
        <v>0</v>
      </c>
      <c r="K420" s="70">
        <v>0</v>
      </c>
      <c r="L420" s="70">
        <v>0</v>
      </c>
      <c r="M420" s="70">
        <v>0</v>
      </c>
      <c r="N420" s="70">
        <v>0</v>
      </c>
    </row>
    <row r="421" spans="1:14">
      <c r="A421" s="140">
        <f t="shared" si="7"/>
        <v>420</v>
      </c>
      <c r="B421" s="70">
        <v>105000</v>
      </c>
      <c r="C421" s="70">
        <v>105000</v>
      </c>
      <c r="D421" s="70">
        <v>105000</v>
      </c>
      <c r="E421" s="70">
        <v>105000</v>
      </c>
      <c r="F421" s="70">
        <v>106260</v>
      </c>
      <c r="G421" s="70">
        <v>161608.25</v>
      </c>
      <c r="H421" s="70">
        <v>142215.25</v>
      </c>
      <c r="I421" s="70">
        <v>165510</v>
      </c>
      <c r="J421" s="70">
        <v>145648.75</v>
      </c>
      <c r="K421" s="70">
        <v>192620.5</v>
      </c>
      <c r="L421" s="70">
        <v>192620.5</v>
      </c>
      <c r="M421" s="70">
        <v>169506</v>
      </c>
      <c r="N421" s="70">
        <v>169506</v>
      </c>
    </row>
    <row r="422" spans="1:14">
      <c r="A422" s="140">
        <f t="shared" si="7"/>
        <v>421</v>
      </c>
      <c r="B422" s="70">
        <v>143921.75</v>
      </c>
      <c r="C422" s="70">
        <v>126651.25</v>
      </c>
      <c r="D422" s="70">
        <v>111453</v>
      </c>
      <c r="E422" s="70">
        <v>111453</v>
      </c>
      <c r="F422" s="70">
        <v>128171</v>
      </c>
      <c r="G422" s="70">
        <v>128171</v>
      </c>
      <c r="H422" s="70">
        <v>128171</v>
      </c>
      <c r="I422" s="70">
        <v>147396.75</v>
      </c>
      <c r="J422" s="70">
        <v>169506</v>
      </c>
      <c r="K422" s="70">
        <v>194932</v>
      </c>
      <c r="L422" s="70">
        <v>226862</v>
      </c>
      <c r="M422" s="70">
        <v>226862</v>
      </c>
      <c r="N422" s="70">
        <v>226862</v>
      </c>
    </row>
  </sheetData>
  <pageMargins left="0.25" right="0.25" top="0.5" bottom="0.25" header="0.3" footer="0.3"/>
  <pageSetup scale="10" orientation="landscape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Resources</vt:lpstr>
      <vt:lpstr>Model</vt:lpstr>
      <vt:lpstr>Primary Assumptions</vt:lpstr>
      <vt:lpstr>Raw Customer ARR</vt:lpstr>
      <vt:lpstr>Model!Print_Area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mhinckley</dc:creator>
  <cp:lastModifiedBy>Mike Hinckley</cp:lastModifiedBy>
  <dcterms:created xsi:type="dcterms:W3CDTF">2021-01-06T16:29:03Z</dcterms:created>
  <dcterms:modified xsi:type="dcterms:W3CDTF">2023-12-05T00:24:33Z</dcterms:modified>
</cp:coreProperties>
</file>