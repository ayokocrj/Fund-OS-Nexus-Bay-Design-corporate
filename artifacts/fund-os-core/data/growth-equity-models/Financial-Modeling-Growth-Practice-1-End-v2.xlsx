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Mac\Home\Downloads\"/>
    </mc:Choice>
  </mc:AlternateContent>
  <xr:revisionPtr revIDLastSave="0" documentId="8_{3C6BFB73-FFE2-4097-B2C6-FB8BE1BAA104}" xr6:coauthVersionLast="47" xr6:coauthVersionMax="47" xr10:uidLastSave="{00000000-0000-0000-0000-000000000000}"/>
  <bookViews>
    <workbookView xWindow="-83" yWindow="0" windowWidth="22846" windowHeight="14243" firstSheet="3" activeTab="3" xr2:uid="{149DA278-98FA-47F8-A916-DD05CF127C47}"/>
  </bookViews>
  <sheets>
    <sheet name="Start -&gt;" sheetId="57" state="hidden" r:id="rId1"/>
    <sheet name="Model - Start" sheetId="58" state="hidden" r:id="rId2"/>
    <sheet name="End -&gt;" sheetId="43" state="hidden" r:id="rId3"/>
    <sheet name="Model - End" sheetId="54" r:id="rId4"/>
    <sheet name="Revenue Build - End" sheetId="55" r:id="rId5"/>
  </sheets>
  <definedNames>
    <definedName name="_xlnm.Print_Area" localSheetId="3">'Model - End'!$A$1:$K$253</definedName>
    <definedName name="_xlnm.Print_Area" localSheetId="1">'Model - Start'!$A$1:$K$53</definedName>
    <definedName name="_xlnm.Print_Area" localSheetId="4">'Revenue Build - End'!$A$1:$K$20</definedName>
  </definedNames>
  <calcPr calcId="191029" calcMode="autoNoTable" iterate="1" iterateCount="100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42" i="54" l="1"/>
  <c r="J178" i="54"/>
  <c r="I178" i="54"/>
  <c r="H178" i="54"/>
  <c r="G178" i="54"/>
  <c r="F178" i="54"/>
  <c r="E51" i="58"/>
  <c r="E44" i="58"/>
  <c r="G36" i="58"/>
  <c r="H36" i="58" s="1"/>
  <c r="I36" i="58" s="1"/>
  <c r="J36" i="58" s="1"/>
  <c r="G3" i="58"/>
  <c r="H3" i="58" s="1"/>
  <c r="I3" i="58" s="1"/>
  <c r="J3" i="58" s="1"/>
  <c r="D3" i="58"/>
  <c r="C3" i="58" s="1"/>
  <c r="H64" i="54"/>
  <c r="I64" i="54" s="1"/>
  <c r="J64" i="54" s="1"/>
  <c r="G64" i="54"/>
  <c r="E87" i="54"/>
  <c r="D87" i="54"/>
  <c r="C87" i="54"/>
  <c r="C15" i="55"/>
  <c r="E46" i="54"/>
  <c r="E49" i="54" s="1"/>
  <c r="D46" i="54"/>
  <c r="D49" i="54" s="1"/>
  <c r="C46" i="54"/>
  <c r="C50" i="54" s="1"/>
  <c r="D6" i="55"/>
  <c r="E6" i="55"/>
  <c r="F5" i="55"/>
  <c r="F87" i="54" s="1"/>
  <c r="E15" i="55"/>
  <c r="D15" i="55"/>
  <c r="C18" i="55"/>
  <c r="C8" i="55" s="1"/>
  <c r="E11" i="55"/>
  <c r="D11" i="55"/>
  <c r="G4" i="55"/>
  <c r="H4" i="55" s="1"/>
  <c r="I4" i="55" s="1"/>
  <c r="J4" i="55" s="1"/>
  <c r="D4" i="55"/>
  <c r="C4" i="55" s="1"/>
  <c r="G246" i="54"/>
  <c r="H246" i="54" s="1"/>
  <c r="I246" i="54" s="1"/>
  <c r="J246" i="54" s="1"/>
  <c r="G238" i="54"/>
  <c r="H238" i="54" s="1"/>
  <c r="I238" i="54" s="1"/>
  <c r="J238" i="54" s="1"/>
  <c r="C151" i="54"/>
  <c r="I37" i="54"/>
  <c r="I36" i="54"/>
  <c r="I35" i="54"/>
  <c r="G253" i="54"/>
  <c r="H253" i="54" s="1"/>
  <c r="I253" i="54" s="1"/>
  <c r="J253" i="54" s="1"/>
  <c r="J211" i="54"/>
  <c r="I211" i="54"/>
  <c r="H211" i="54"/>
  <c r="G211" i="54"/>
  <c r="F211" i="54"/>
  <c r="G196" i="54"/>
  <c r="H196" i="54" s="1"/>
  <c r="I196" i="54" s="1"/>
  <c r="J196" i="54" s="1"/>
  <c r="G181" i="54"/>
  <c r="H181" i="54" s="1"/>
  <c r="I181" i="54" s="1"/>
  <c r="J181" i="54" s="1"/>
  <c r="G154" i="54"/>
  <c r="H154" i="54" s="1"/>
  <c r="I154" i="54" s="1"/>
  <c r="J154" i="54" s="1"/>
  <c r="G45" i="54"/>
  <c r="H45" i="54" s="1"/>
  <c r="I45" i="54" s="1"/>
  <c r="J45" i="54" s="1"/>
  <c r="D45" i="54"/>
  <c r="C45" i="54" s="1"/>
  <c r="D136" i="54"/>
  <c r="E136" i="54" s="1"/>
  <c r="E174" i="54" s="1"/>
  <c r="E135" i="54"/>
  <c r="E130" i="54"/>
  <c r="E158" i="54" s="1"/>
  <c r="F155" i="54" s="1"/>
  <c r="E129" i="54"/>
  <c r="F129" i="54" s="1"/>
  <c r="G129" i="54" s="1"/>
  <c r="H129" i="54" s="1"/>
  <c r="I129" i="54" s="1"/>
  <c r="J129" i="54" s="1"/>
  <c r="E124" i="54"/>
  <c r="D124" i="54" s="1"/>
  <c r="G123" i="54"/>
  <c r="H123" i="54" s="1"/>
  <c r="I123" i="54" s="1"/>
  <c r="J123" i="54" s="1"/>
  <c r="E34" i="54"/>
  <c r="D19" i="54"/>
  <c r="D13" i="54"/>
  <c r="J23" i="54" s="1"/>
  <c r="C10" i="54"/>
  <c r="J21" i="54" s="1"/>
  <c r="C9" i="54"/>
  <c r="D8" i="54"/>
  <c r="C8" i="54"/>
  <c r="E8" i="58" l="1"/>
  <c r="C8" i="58"/>
  <c r="C49" i="54"/>
  <c r="C51" i="54" s="1"/>
  <c r="C92" i="54" s="1"/>
  <c r="D16" i="55"/>
  <c r="E16" i="55"/>
  <c r="E18" i="55"/>
  <c r="E8" i="55" s="1"/>
  <c r="D18" i="55"/>
  <c r="E50" i="54"/>
  <c r="E51" i="54" s="1"/>
  <c r="E92" i="54" s="1"/>
  <c r="D47" i="54"/>
  <c r="D50" i="54"/>
  <c r="D51" i="54" s="1"/>
  <c r="D92" i="54" s="1"/>
  <c r="E47" i="54"/>
  <c r="F172" i="54"/>
  <c r="E39" i="54"/>
  <c r="D128" i="54"/>
  <c r="E128" i="54" s="1"/>
  <c r="E164" i="54" s="1"/>
  <c r="E168" i="54"/>
  <c r="E12" i="58" l="1"/>
  <c r="E26" i="58"/>
  <c r="D8" i="58"/>
  <c r="C26" i="58"/>
  <c r="D8" i="55"/>
  <c r="E19" i="55"/>
  <c r="D19" i="55"/>
  <c r="C149" i="54"/>
  <c r="C146" i="54"/>
  <c r="E125" i="54"/>
  <c r="E127" i="54"/>
  <c r="F37" i="54"/>
  <c r="F34" i="54"/>
  <c r="F36" i="54"/>
  <c r="D97" i="54"/>
  <c r="D96" i="54"/>
  <c r="E97" i="54"/>
  <c r="E96" i="54"/>
  <c r="C97" i="54"/>
  <c r="C96" i="54"/>
  <c r="D88" i="54"/>
  <c r="E88" i="54"/>
  <c r="C88" i="54"/>
  <c r="E73" i="54"/>
  <c r="E74" i="54"/>
  <c r="E72" i="54"/>
  <c r="D74" i="54"/>
  <c r="D73" i="54"/>
  <c r="D72" i="54"/>
  <c r="D52" i="54"/>
  <c r="C74" i="54"/>
  <c r="C73" i="54"/>
  <c r="C72" i="54"/>
  <c r="C57" i="54"/>
  <c r="E71" i="54"/>
  <c r="D71" i="54"/>
  <c r="C71" i="54"/>
  <c r="D59" i="54"/>
  <c r="D60" i="54"/>
  <c r="E59" i="54"/>
  <c r="E60" i="54"/>
  <c r="C59" i="54"/>
  <c r="C60" i="54"/>
  <c r="D57" i="54"/>
  <c r="E57" i="54"/>
  <c r="C5" i="54"/>
  <c r="C7" i="54" s="1"/>
  <c r="D7" i="54" s="1"/>
  <c r="D11" i="54" s="1"/>
  <c r="E52" i="54"/>
  <c r="F162" i="54"/>
  <c r="E163" i="54"/>
  <c r="F38" i="54"/>
  <c r="F33" i="54"/>
  <c r="F39" i="54"/>
  <c r="F32" i="54"/>
  <c r="F35" i="54"/>
  <c r="F166" i="54"/>
  <c r="F168" i="54" s="1"/>
  <c r="F170" i="54" s="1"/>
  <c r="E31" i="58" l="1"/>
  <c r="E20" i="58"/>
  <c r="C31" i="58"/>
  <c r="D12" i="58"/>
  <c r="D26" i="58"/>
  <c r="E14" i="58"/>
  <c r="C12" i="58"/>
  <c r="D20" i="58"/>
  <c r="C20" i="58"/>
  <c r="F10" i="55"/>
  <c r="D89" i="54"/>
  <c r="D94" i="54" s="1"/>
  <c r="E89" i="54"/>
  <c r="E94" i="54" s="1"/>
  <c r="C75" i="54"/>
  <c r="C82" i="54" s="1"/>
  <c r="D75" i="54"/>
  <c r="D82" i="54" s="1"/>
  <c r="E75" i="54"/>
  <c r="E82" i="54" s="1"/>
  <c r="E61" i="54"/>
  <c r="D61" i="54"/>
  <c r="C61" i="54"/>
  <c r="C147" i="54" s="1"/>
  <c r="D12" i="54"/>
  <c r="C11" i="54"/>
  <c r="D41" i="54" s="1"/>
  <c r="G166" i="54"/>
  <c r="G168" i="54" s="1"/>
  <c r="G170" i="54" s="1"/>
  <c r="F135" i="54"/>
  <c r="I163" i="54"/>
  <c r="H163" i="54"/>
  <c r="G163" i="54"/>
  <c r="F163" i="54"/>
  <c r="F164" i="54" s="1"/>
  <c r="J163" i="54"/>
  <c r="D31" i="58" l="1"/>
  <c r="E22" i="58"/>
  <c r="C14" i="58"/>
  <c r="D14" i="58"/>
  <c r="G5" i="55"/>
  <c r="G87" i="54" s="1"/>
  <c r="F46" i="54"/>
  <c r="F11" i="55"/>
  <c r="F15" i="55"/>
  <c r="C150" i="54"/>
  <c r="C148" i="54"/>
  <c r="E134" i="54"/>
  <c r="D66" i="54"/>
  <c r="E66" i="54"/>
  <c r="J22" i="54"/>
  <c r="H32" i="54" s="1"/>
  <c r="E254" i="54" s="1"/>
  <c r="D14" i="54"/>
  <c r="G162" i="54"/>
  <c r="G164" i="54" s="1"/>
  <c r="F128" i="54"/>
  <c r="F112" i="54"/>
  <c r="F184" i="54"/>
  <c r="J184" i="54"/>
  <c r="J112" i="54"/>
  <c r="G112" i="54"/>
  <c r="G184" i="54"/>
  <c r="H112" i="54"/>
  <c r="H184" i="54"/>
  <c r="I184" i="54"/>
  <c r="I112" i="54"/>
  <c r="G135" i="54"/>
  <c r="H166" i="54"/>
  <c r="H168" i="54" s="1"/>
  <c r="E33" i="58" l="1"/>
  <c r="C22" i="58"/>
  <c r="D22" i="58"/>
  <c r="F49" i="54"/>
  <c r="F50" i="54"/>
  <c r="F47" i="54"/>
  <c r="F16" i="55"/>
  <c r="F18" i="55"/>
  <c r="F19" i="55" s="1"/>
  <c r="D137" i="54"/>
  <c r="E137" i="54" s="1"/>
  <c r="J206" i="54"/>
  <c r="F210" i="54"/>
  <c r="G210" i="54" s="1"/>
  <c r="H210" i="54" s="1"/>
  <c r="I210" i="54" s="1"/>
  <c r="J210" i="54" s="1"/>
  <c r="E133" i="54"/>
  <c r="C138" i="54"/>
  <c r="E126" i="54"/>
  <c r="C131" i="54"/>
  <c r="H135" i="54"/>
  <c r="I166" i="54"/>
  <c r="I168" i="54" s="1"/>
  <c r="G128" i="54"/>
  <c r="H162" i="54"/>
  <c r="H164" i="54" s="1"/>
  <c r="H170" i="54"/>
  <c r="C33" i="58" l="1"/>
  <c r="D33" i="58"/>
  <c r="F51" i="54"/>
  <c r="E138" i="54"/>
  <c r="C139" i="54"/>
  <c r="E131" i="54"/>
  <c r="E151" i="54"/>
  <c r="H128" i="54"/>
  <c r="I162" i="54"/>
  <c r="I164" i="54" s="1"/>
  <c r="I135" i="54"/>
  <c r="J166" i="54"/>
  <c r="J168" i="54" s="1"/>
  <c r="J135" i="54" s="1"/>
  <c r="I170" i="54"/>
  <c r="F59" i="54" l="1"/>
  <c r="F88" i="54"/>
  <c r="F89" i="54" s="1"/>
  <c r="F94" i="54" s="1"/>
  <c r="F72" i="54"/>
  <c r="F57" i="54"/>
  <c r="F52" i="54"/>
  <c r="F125" i="54"/>
  <c r="F73" i="54"/>
  <c r="F71" i="54"/>
  <c r="F60" i="54"/>
  <c r="F98" i="54"/>
  <c r="F74" i="54"/>
  <c r="F127" i="54"/>
  <c r="F97" i="54"/>
  <c r="F110" i="54"/>
  <c r="F159" i="54"/>
  <c r="F96" i="54"/>
  <c r="F92" i="54"/>
  <c r="G10" i="55"/>
  <c r="E139" i="54"/>
  <c r="J170" i="54"/>
  <c r="I128" i="54"/>
  <c r="J162" i="54"/>
  <c r="J164" i="54" s="1"/>
  <c r="J128" i="54" s="1"/>
  <c r="F75" i="54" l="1"/>
  <c r="F82" i="54" s="1"/>
  <c r="H5" i="55"/>
  <c r="H87" i="54" s="1"/>
  <c r="G46" i="54"/>
  <c r="F61" i="54"/>
  <c r="G15" i="55"/>
  <c r="G11" i="55"/>
  <c r="F66" i="54" l="1"/>
  <c r="F134" i="54"/>
  <c r="F133" i="54"/>
  <c r="F126" i="54"/>
  <c r="G50" i="54"/>
  <c r="G49" i="54"/>
  <c r="G47" i="54"/>
  <c r="G51" i="54"/>
  <c r="G16" i="55"/>
  <c r="G18" i="55"/>
  <c r="G19" i="55" s="1"/>
  <c r="F151" i="54" l="1"/>
  <c r="F186" i="54" s="1"/>
  <c r="G92" i="54"/>
  <c r="G74" i="54"/>
  <c r="G73" i="54"/>
  <c r="G57" i="54"/>
  <c r="G60" i="54"/>
  <c r="G71" i="54"/>
  <c r="G97" i="54"/>
  <c r="G127" i="54"/>
  <c r="G72" i="54"/>
  <c r="G52" i="54"/>
  <c r="G98" i="54"/>
  <c r="G125" i="54"/>
  <c r="G59" i="54"/>
  <c r="G61" i="54" s="1"/>
  <c r="G66" i="54" s="1"/>
  <c r="G88" i="54"/>
  <c r="G89" i="54" s="1"/>
  <c r="G94" i="54" s="1"/>
  <c r="G75" i="54" l="1"/>
  <c r="G82" i="54" s="1"/>
  <c r="G134" i="54"/>
  <c r="G133" i="54"/>
  <c r="G126" i="54"/>
  <c r="G151" i="54" s="1"/>
  <c r="G186" i="54" s="1"/>
  <c r="H10" i="55"/>
  <c r="I5" i="55" l="1"/>
  <c r="I87" i="54" s="1"/>
  <c r="H46" i="54"/>
  <c r="H15" i="55"/>
  <c r="H11" i="55"/>
  <c r="H47" i="54" l="1"/>
  <c r="H50" i="54"/>
  <c r="H49" i="54"/>
  <c r="H16" i="55"/>
  <c r="H18" i="55"/>
  <c r="H19" i="55" s="1"/>
  <c r="H51" i="54" l="1"/>
  <c r="H98" i="54" s="1"/>
  <c r="H92" i="54"/>
  <c r="H73" i="54"/>
  <c r="H127" i="54"/>
  <c r="H125" i="54"/>
  <c r="H74" i="54"/>
  <c r="H72" i="54"/>
  <c r="H97" i="54"/>
  <c r="H59" i="54" l="1"/>
  <c r="H61" i="54" s="1"/>
  <c r="H60" i="54"/>
  <c r="H71" i="54"/>
  <c r="H75" i="54" s="1"/>
  <c r="H82" i="54" s="1"/>
  <c r="H88" i="54"/>
  <c r="H89" i="54" s="1"/>
  <c r="H94" i="54" s="1"/>
  <c r="I10" i="55"/>
  <c r="H126" i="54" l="1"/>
  <c r="H151" i="54" s="1"/>
  <c r="H186" i="54" s="1"/>
  <c r="H66" i="54"/>
  <c r="H133" i="54"/>
  <c r="H134" i="54"/>
  <c r="J5" i="55"/>
  <c r="J87" i="54" s="1"/>
  <c r="I46" i="54"/>
  <c r="I11" i="55"/>
  <c r="I15" i="55"/>
  <c r="I47" i="54" l="1"/>
  <c r="I50" i="54"/>
  <c r="I49" i="54"/>
  <c r="I51" i="54" s="1"/>
  <c r="I16" i="55"/>
  <c r="I18" i="55"/>
  <c r="I19" i="55" s="1"/>
  <c r="G110" i="54"/>
  <c r="G96" i="54"/>
  <c r="G99" i="54" s="1"/>
  <c r="G156" i="54"/>
  <c r="G185" i="54" s="1"/>
  <c r="F99" i="54"/>
  <c r="I92" i="54" l="1"/>
  <c r="I60" i="54"/>
  <c r="I73" i="54"/>
  <c r="I97" i="54"/>
  <c r="I72" i="54"/>
  <c r="I125" i="54"/>
  <c r="I127" i="54"/>
  <c r="I59" i="54"/>
  <c r="I61" i="54" s="1"/>
  <c r="I74" i="54"/>
  <c r="I71" i="54"/>
  <c r="I88" i="54"/>
  <c r="I89" i="54" s="1"/>
  <c r="I94" i="54" s="1"/>
  <c r="I98" i="54"/>
  <c r="G105" i="54"/>
  <c r="F105" i="54"/>
  <c r="G183" i="54"/>
  <c r="G157" i="54"/>
  <c r="F185" i="54"/>
  <c r="F183" i="54"/>
  <c r="F157" i="54"/>
  <c r="F158" i="54" s="1"/>
  <c r="I75" i="54" l="1"/>
  <c r="I82" i="54" s="1"/>
  <c r="I66" i="54"/>
  <c r="I133" i="54"/>
  <c r="I134" i="54"/>
  <c r="I126" i="54"/>
  <c r="J10" i="55"/>
  <c r="J46" i="54" s="1"/>
  <c r="F130" i="54"/>
  <c r="G155" i="54"/>
  <c r="G158" i="54" s="1"/>
  <c r="I151" i="54" l="1"/>
  <c r="I186" i="54" s="1"/>
  <c r="J47" i="54"/>
  <c r="J50" i="54"/>
  <c r="J51" i="54" s="1"/>
  <c r="J49" i="54"/>
  <c r="J15" i="55"/>
  <c r="J11" i="55"/>
  <c r="G130" i="54"/>
  <c r="H155" i="54"/>
  <c r="J92" i="54" l="1"/>
  <c r="J72" i="54"/>
  <c r="J125" i="54"/>
  <c r="J71" i="54"/>
  <c r="J60" i="54"/>
  <c r="J73" i="54"/>
  <c r="J127" i="54"/>
  <c r="J98" i="54"/>
  <c r="J59" i="54"/>
  <c r="J88" i="54"/>
  <c r="J89" i="54" s="1"/>
  <c r="J94" i="54" s="1"/>
  <c r="J97" i="54"/>
  <c r="J74" i="54"/>
  <c r="J16" i="55"/>
  <c r="J18" i="55"/>
  <c r="J19" i="55" s="1"/>
  <c r="J61" i="54" l="1"/>
  <c r="J133" i="54" s="1"/>
  <c r="J134" i="54"/>
  <c r="J126" i="54"/>
  <c r="J151" i="54" s="1"/>
  <c r="J186" i="54" s="1"/>
  <c r="J66" i="54"/>
  <c r="J75" i="54"/>
  <c r="J82" i="54" s="1"/>
  <c r="H57" i="54" l="1"/>
  <c r="I57" i="54"/>
  <c r="J57" i="54"/>
  <c r="H52" i="54"/>
  <c r="I52" i="54"/>
  <c r="J52" i="54"/>
  <c r="H96" i="54"/>
  <c r="H99" i="54" s="1"/>
  <c r="I96" i="54"/>
  <c r="I99" i="54" s="1"/>
  <c r="J96" i="54"/>
  <c r="J99" i="54" s="1"/>
  <c r="H110" i="54"/>
  <c r="I110" i="54"/>
  <c r="I183" i="54" s="1"/>
  <c r="J110" i="54"/>
  <c r="H156" i="54"/>
  <c r="H185" i="54" s="1"/>
  <c r="I156" i="54"/>
  <c r="I185" i="54" s="1"/>
  <c r="J156" i="54"/>
  <c r="J185" i="54" s="1"/>
  <c r="J197" i="54"/>
  <c r="J199" i="54" s="1"/>
  <c r="H105" i="54" l="1"/>
  <c r="J105" i="54"/>
  <c r="I105" i="54"/>
  <c r="I157" i="54"/>
  <c r="J183" i="54"/>
  <c r="J157" i="54"/>
  <c r="H157" i="54"/>
  <c r="H158" i="54" s="1"/>
  <c r="H183" i="54"/>
  <c r="H130" i="54" l="1"/>
  <c r="I155" i="54"/>
  <c r="I158" i="54" s="1"/>
  <c r="J155" i="54" l="1"/>
  <c r="J158" i="54" s="1"/>
  <c r="J130" i="54" s="1"/>
  <c r="I130" i="54"/>
  <c r="C68" i="54"/>
  <c r="C66" i="54"/>
  <c r="C84" i="54" l="1"/>
  <c r="C69" i="54"/>
  <c r="D68" i="54"/>
  <c r="E68" i="54"/>
  <c r="F68" i="54"/>
  <c r="G68" i="54"/>
  <c r="H68" i="54"/>
  <c r="H84" i="54" s="1"/>
  <c r="I68" i="54"/>
  <c r="I84" i="54" s="1"/>
  <c r="J68" i="54"/>
  <c r="I85" i="54" l="1"/>
  <c r="I107" i="54"/>
  <c r="H85" i="54"/>
  <c r="H107" i="54"/>
  <c r="H108" i="54" s="1"/>
  <c r="C85" i="54"/>
  <c r="G84" i="54"/>
  <c r="F69" i="54"/>
  <c r="F84" i="54"/>
  <c r="E69" i="54"/>
  <c r="E84" i="54"/>
  <c r="D69" i="54"/>
  <c r="D84" i="54"/>
  <c r="J69" i="54"/>
  <c r="J84" i="54"/>
  <c r="H69" i="54"/>
  <c r="I69" i="54"/>
  <c r="G69" i="54"/>
  <c r="C89" i="54"/>
  <c r="C94" i="54" s="1"/>
  <c r="D85" i="54" l="1"/>
  <c r="E85" i="54"/>
  <c r="J85" i="54"/>
  <c r="J107" i="54"/>
  <c r="G85" i="54"/>
  <c r="G107" i="54"/>
  <c r="F85" i="54"/>
  <c r="F107" i="54"/>
  <c r="F108" i="54" s="1"/>
  <c r="I108" i="54"/>
  <c r="C98" i="54"/>
  <c r="C99" i="54" s="1"/>
  <c r="D98" i="54"/>
  <c r="D99" i="54" s="1"/>
  <c r="E98" i="54"/>
  <c r="E99" i="54" s="1"/>
  <c r="G108" i="54" l="1"/>
  <c r="E105" i="54"/>
  <c r="E107" i="54"/>
  <c r="J108" i="54"/>
  <c r="D105" i="54"/>
  <c r="D107" i="54"/>
  <c r="D108" i="54" s="1"/>
  <c r="C105" i="54"/>
  <c r="C107" i="54"/>
  <c r="C108" i="54" s="1"/>
  <c r="H41" i="54"/>
  <c r="E108" i="54" l="1"/>
  <c r="E143" i="54"/>
  <c r="E142" i="54"/>
  <c r="I32" i="54"/>
  <c r="H37" i="54"/>
  <c r="H35" i="54"/>
  <c r="H36" i="54"/>
  <c r="D32" i="54"/>
  <c r="D38" i="54"/>
  <c r="D37" i="54"/>
  <c r="D36" i="54"/>
  <c r="D35" i="54"/>
  <c r="D33" i="54"/>
  <c r="H33" i="54" l="1"/>
  <c r="E255" i="54" s="1"/>
  <c r="E256" i="54" s="1"/>
  <c r="J20" i="54"/>
  <c r="D20" i="54" s="1"/>
  <c r="J19" i="54"/>
  <c r="D34" i="54"/>
  <c r="D39" i="54" s="1"/>
  <c r="J25" i="54" l="1"/>
  <c r="D21" i="54" s="1"/>
  <c r="H34" i="54"/>
  <c r="I33" i="54"/>
  <c r="D25" i="54" l="1"/>
  <c r="D26" i="54" s="1"/>
  <c r="D27" i="54"/>
  <c r="J224" i="54"/>
  <c r="H39" i="54"/>
  <c r="I34" i="54"/>
  <c r="J208" i="54" l="1"/>
  <c r="J217" i="54" s="1"/>
  <c r="I38" i="54"/>
  <c r="I39" i="54" s="1"/>
  <c r="J39" i="54" l="1"/>
  <c r="J36" i="54"/>
  <c r="J37" i="54"/>
  <c r="J35" i="54"/>
  <c r="J32" i="54"/>
  <c r="E220" i="54" s="1"/>
  <c r="E231" i="54" s="1"/>
  <c r="J33" i="54"/>
  <c r="J34" i="54"/>
  <c r="J203" i="54"/>
  <c r="J38" i="54"/>
  <c r="F212" i="54" l="1"/>
  <c r="G212" i="54"/>
  <c r="H212" i="54"/>
  <c r="I212" i="54"/>
  <c r="J212" i="54"/>
  <c r="J213" i="54" l="1"/>
  <c r="J218" i="54" s="1"/>
  <c r="J229" i="54" l="1"/>
  <c r="F111" i="54"/>
  <c r="G111" i="54"/>
  <c r="H111" i="54"/>
  <c r="I111" i="54"/>
  <c r="J111" i="54"/>
  <c r="F113" i="54"/>
  <c r="G113" i="54"/>
  <c r="H113" i="54"/>
  <c r="I113" i="54"/>
  <c r="J113" i="54"/>
  <c r="F114" i="54"/>
  <c r="G114" i="54"/>
  <c r="H114" i="54"/>
  <c r="I114" i="54"/>
  <c r="J114" i="54"/>
  <c r="F116" i="54"/>
  <c r="G116" i="54"/>
  <c r="H116" i="54"/>
  <c r="I116" i="54"/>
  <c r="J116" i="54"/>
  <c r="F119" i="54"/>
  <c r="G119" i="54"/>
  <c r="H119" i="54"/>
  <c r="I119" i="54"/>
  <c r="J119" i="54"/>
  <c r="F120" i="54"/>
  <c r="G120" i="54"/>
  <c r="H120" i="54"/>
  <c r="I120" i="54"/>
  <c r="J120" i="54"/>
  <c r="F124" i="54"/>
  <c r="G124" i="54"/>
  <c r="H124" i="54"/>
  <c r="I124" i="54"/>
  <c r="J124" i="54"/>
  <c r="F131" i="54"/>
  <c r="G131" i="54"/>
  <c r="H131" i="54"/>
  <c r="I131" i="54"/>
  <c r="J131" i="54"/>
  <c r="F136" i="54"/>
  <c r="G136" i="54"/>
  <c r="H136" i="54"/>
  <c r="I136" i="54"/>
  <c r="J136" i="54"/>
  <c r="F137" i="54"/>
  <c r="G137" i="54"/>
  <c r="H137" i="54"/>
  <c r="I137" i="54"/>
  <c r="J137" i="54"/>
  <c r="F138" i="54"/>
  <c r="G138" i="54"/>
  <c r="H138" i="54"/>
  <c r="I138" i="54"/>
  <c r="J138" i="54"/>
  <c r="F139" i="54"/>
  <c r="G139" i="54"/>
  <c r="H139" i="54"/>
  <c r="I139" i="54"/>
  <c r="J139" i="54"/>
  <c r="F142" i="54"/>
  <c r="G142" i="54"/>
  <c r="H142" i="54"/>
  <c r="I142" i="54"/>
  <c r="J142" i="54"/>
  <c r="F143" i="54"/>
  <c r="G143" i="54"/>
  <c r="H143" i="54"/>
  <c r="I143" i="54"/>
  <c r="J143" i="54"/>
  <c r="G172" i="54"/>
  <c r="H172" i="54"/>
  <c r="I172" i="54"/>
  <c r="J172" i="54"/>
  <c r="F173" i="54"/>
  <c r="G173" i="54"/>
  <c r="H173" i="54"/>
  <c r="I173" i="54"/>
  <c r="J173" i="54"/>
  <c r="F174" i="54"/>
  <c r="G174" i="54"/>
  <c r="H174" i="54"/>
  <c r="I174" i="54"/>
  <c r="J174" i="54"/>
  <c r="F176" i="54"/>
  <c r="G176" i="54"/>
  <c r="H176" i="54"/>
  <c r="I176" i="54"/>
  <c r="J176" i="54"/>
  <c r="F182" i="54"/>
  <c r="G182" i="54"/>
  <c r="H182" i="54"/>
  <c r="I182" i="54"/>
  <c r="J182" i="54"/>
  <c r="F187" i="54"/>
  <c r="G187" i="54"/>
  <c r="H187" i="54"/>
  <c r="I187" i="54"/>
  <c r="J187" i="54"/>
  <c r="F189" i="54"/>
  <c r="G189" i="54"/>
  <c r="H189" i="54"/>
  <c r="I189" i="54"/>
  <c r="J189" i="54"/>
  <c r="F190" i="54"/>
  <c r="G190" i="54"/>
  <c r="H190" i="54"/>
  <c r="I190" i="54"/>
  <c r="J190" i="54"/>
  <c r="F192" i="54"/>
  <c r="G192" i="54"/>
  <c r="H192" i="54"/>
  <c r="I192" i="54"/>
  <c r="J192" i="54"/>
  <c r="J200" i="54"/>
  <c r="J201" i="54"/>
  <c r="J202" i="54"/>
  <c r="J204" i="54"/>
  <c r="J216" i="54"/>
  <c r="J219" i="54"/>
  <c r="J220" i="54"/>
  <c r="J221" i="54"/>
  <c r="J223" i="54"/>
  <c r="J225" i="54"/>
  <c r="J228" i="54"/>
  <c r="J230" i="54"/>
  <c r="J231" i="54"/>
  <c r="J232" i="54"/>
  <c r="J233" i="54"/>
  <c r="J235" i="54"/>
  <c r="J239" i="54"/>
  <c r="J240" i="54"/>
  <c r="J241" i="54"/>
  <c r="J242" i="54"/>
  <c r="J243" i="54"/>
  <c r="J247" i="54"/>
  <c r="J248" i="54"/>
  <c r="J249" i="54"/>
  <c r="J254" i="54"/>
  <c r="L254" i="54"/>
  <c r="M254" i="54"/>
  <c r="J255" i="54"/>
  <c r="L255" i="54"/>
  <c r="M255" i="54"/>
  <c r="J256" i="54"/>
  <c r="L256" i="54"/>
  <c r="M256" i="5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mhinckley</author>
  </authors>
  <commentList>
    <comment ref="E242" authorId="0" shapeId="0" xr:uid="{2D666750-3A1D-461A-8504-E4EEBF945298}">
      <text>
        <r>
          <rPr>
            <b/>
            <sz val="9"/>
            <color indexed="81"/>
            <rFont val="Tahoma"/>
            <family val="2"/>
          </rPr>
          <t>mhinckley:</t>
        </r>
        <r>
          <rPr>
            <sz val="9"/>
            <color indexed="81"/>
            <rFont val="Tahoma"/>
            <family val="2"/>
          </rPr>
          <t xml:space="preserve">
The ownership here is NOT 15.0%.  Here's the rationale:
In this waterfall, we've already "accounted for" the preferred shares.  According to the prompt, all other shares are the same level of priority (common).  Therefore, the remaining proceeds after the preferred is taken care of, should be split according to the relative ownership amonst all REMAINING owners who have yet to be paid (common).  </t>
        </r>
      </text>
    </comment>
  </commentList>
</comments>
</file>

<file path=xl/sharedStrings.xml><?xml version="1.0" encoding="utf-8"?>
<sst xmlns="http://schemas.openxmlformats.org/spreadsheetml/2006/main" count="293" uniqueCount="197">
  <si>
    <t>Assumptions</t>
  </si>
  <si>
    <t>Entry multiple</t>
  </si>
  <si>
    <t>LTM revenue</t>
  </si>
  <si>
    <t>Model</t>
  </si>
  <si>
    <t>Sources &amp; uses</t>
  </si>
  <si>
    <t>Sources</t>
  </si>
  <si>
    <t>Uses</t>
  </si>
  <si>
    <t>Total sources</t>
  </si>
  <si>
    <t>Total uses</t>
  </si>
  <si>
    <t>Income statement</t>
  </si>
  <si>
    <t>EBITDA</t>
  </si>
  <si>
    <t>D&amp;A</t>
  </si>
  <si>
    <t>Net income</t>
  </si>
  <si>
    <t>Earnings before taxes</t>
  </si>
  <si>
    <t>Interest expense</t>
  </si>
  <si>
    <t>% tax rate</t>
  </si>
  <si>
    <t>Cash flow statement</t>
  </si>
  <si>
    <t>Balance sheet</t>
  </si>
  <si>
    <t>Cash</t>
  </si>
  <si>
    <t>Net working capital</t>
  </si>
  <si>
    <t>Total assets</t>
  </si>
  <si>
    <t>Net PP&amp;E</t>
  </si>
  <si>
    <t>Shareholder equity</t>
  </si>
  <si>
    <t>Total liabilities &amp; equity</t>
  </si>
  <si>
    <t>Supporting schedules</t>
  </si>
  <si>
    <t>PP&amp;E, beginning</t>
  </si>
  <si>
    <t>PP&amp;E, ending</t>
  </si>
  <si>
    <t>Cash from operations &amp; investing</t>
  </si>
  <si>
    <t>Cash from financing</t>
  </si>
  <si>
    <t>Net change in cash</t>
  </si>
  <si>
    <t>Check</t>
  </si>
  <si>
    <t>Returns analysis</t>
  </si>
  <si>
    <t>$ millions</t>
  </si>
  <si>
    <t>Exit multiple</t>
  </si>
  <si>
    <t>Exit enterprise value</t>
  </si>
  <si>
    <t>Exit equity value</t>
  </si>
  <si>
    <t>IRR</t>
  </si>
  <si>
    <t>Pro forma</t>
  </si>
  <si>
    <t>Adjust.</t>
  </si>
  <si>
    <t>Capitalized financing fees</t>
  </si>
  <si>
    <t>Goodwill</t>
  </si>
  <si>
    <t>Financing fees</t>
  </si>
  <si>
    <t>Capitalized financing fees, beginning</t>
  </si>
  <si>
    <t>Capitalized financing fees, ending</t>
  </si>
  <si>
    <t>Fee amortization expense</t>
  </si>
  <si>
    <t>Sponsor equity</t>
  </si>
  <si>
    <t>Existing debt</t>
  </si>
  <si>
    <t>New debt</t>
  </si>
  <si>
    <t>Rollover equity</t>
  </si>
  <si>
    <t>Shares</t>
  </si>
  <si>
    <t>Pre-Money</t>
  </si>
  <si>
    <t>Post-Money</t>
  </si>
  <si>
    <t>Equity value</t>
  </si>
  <si>
    <t>Enterprise value</t>
  </si>
  <si>
    <t>(-) Debt</t>
  </si>
  <si>
    <t>(+) Cash</t>
  </si>
  <si>
    <t>Capitalization table</t>
  </si>
  <si>
    <t>(-) Existing debt</t>
  </si>
  <si>
    <t>(+) Financing fees</t>
  </si>
  <si>
    <t>(-) New debt</t>
  </si>
  <si>
    <t>$ Amount</t>
  </si>
  <si>
    <t>IRR cash flows</t>
  </si>
  <si>
    <t>(+) D&amp;A</t>
  </si>
  <si>
    <t>(+) Fee amortization expense</t>
  </si>
  <si>
    <t>(-) Capex</t>
  </si>
  <si>
    <t>(+) Debt issuance / (paydown)</t>
  </si>
  <si>
    <t>(+) Capex</t>
  </si>
  <si>
    <t>(-) D&amp;A</t>
  </si>
  <si>
    <t>(-) Fee amortization expense</t>
  </si>
  <si>
    <t>(-) Net issuance / (paydown)</t>
  </si>
  <si>
    <t>Tax provision</t>
  </si>
  <si>
    <t>Liquidation preference multiple</t>
  </si>
  <si>
    <t>Marketing expenses</t>
  </si>
  <si>
    <t>Gross profit</t>
  </si>
  <si>
    <t>Minimum cash balance</t>
  </si>
  <si>
    <t>Transaction fees</t>
  </si>
  <si>
    <t>Entry assumptions</t>
  </si>
  <si>
    <t>New debt, beginning</t>
  </si>
  <si>
    <t>New debt, ending</t>
  </si>
  <si>
    <t>% Interest rate</t>
  </si>
  <si>
    <t>Existing debt, beginning</t>
  </si>
  <si>
    <t>Existing debt, ending</t>
  </si>
  <si>
    <t>Capex - % of revenue</t>
  </si>
  <si>
    <t>D&amp;A - % of revenue</t>
  </si>
  <si>
    <t>Amort. years?</t>
  </si>
  <si>
    <t>Yearly exp.</t>
  </si>
  <si>
    <t>Secondary</t>
  </si>
  <si>
    <t>Total company</t>
  </si>
  <si>
    <t>Primary (incl. fees)</t>
  </si>
  <si>
    <t>Equity value (incl. fees)</t>
  </si>
  <si>
    <t>Proceeds to selling shareholders</t>
  </si>
  <si>
    <t>(+) Transaction fees</t>
  </si>
  <si>
    <t>Cash added to B/S</t>
  </si>
  <si>
    <t>Share price</t>
  </si>
  <si>
    <t>Total new sponsor</t>
  </si>
  <si>
    <t>Other assumptions</t>
  </si>
  <si>
    <t>Management option pool</t>
  </si>
  <si>
    <t>(+) Cash from options proceeds</t>
  </si>
  <si>
    <t>Exit LTM revenue</t>
  </si>
  <si>
    <t>Exit equity value (incl. options) - total available for distribution</t>
  </si>
  <si>
    <t>Preferred dividend rate</t>
  </si>
  <si>
    <t>Initial investment</t>
  </si>
  <si>
    <t>Liquidation preference</t>
  </si>
  <si>
    <t>Preferred dividend</t>
  </si>
  <si>
    <t>Cumulative dividends in arrears at exit</t>
  </si>
  <si>
    <t>On/off?</t>
  </si>
  <si>
    <t>Rate</t>
  </si>
  <si>
    <t>Ownership</t>
  </si>
  <si>
    <t>(-) Liquidation preference</t>
  </si>
  <si>
    <t>(-) Preferred dividends</t>
  </si>
  <si>
    <t>Proceeds available for distribution</t>
  </si>
  <si>
    <t>Proceeds available for common</t>
  </si>
  <si>
    <t>(-) Participation proceeds</t>
  </si>
  <si>
    <t>Proceeds available before participation</t>
  </si>
  <si>
    <t>Returns waterfall (as preferred)</t>
  </si>
  <si>
    <t>Remaining proceeds for other shareholders</t>
  </si>
  <si>
    <t>(-) Sponsor stake converted to common</t>
  </si>
  <si>
    <t>Total sponsor proceeds</t>
  </si>
  <si>
    <t>Total sponsor proceeds before cap</t>
  </si>
  <si>
    <t>Maxmium cap</t>
  </si>
  <si>
    <t>Cap</t>
  </si>
  <si>
    <t>Total sponsor proceeds after cap</t>
  </si>
  <si>
    <t>Discounts</t>
  </si>
  <si>
    <t>Returns</t>
  </si>
  <si>
    <t>COGS</t>
  </si>
  <si>
    <t>Contribution Profit</t>
  </si>
  <si>
    <t>% of net revenue</t>
  </si>
  <si>
    <t>% Growth</t>
  </si>
  <si>
    <t>Headcount</t>
  </si>
  <si>
    <t>Gross revenue</t>
  </si>
  <si>
    <t>Net revenue</t>
  </si>
  <si>
    <t>% of gross revenue</t>
  </si>
  <si>
    <t>Product cost</t>
  </si>
  <si>
    <t>Freight, duties, &amp; taxes</t>
  </si>
  <si>
    <t>Picking &amp; packing</t>
  </si>
  <si>
    <t>Packaging material</t>
  </si>
  <si>
    <t>Shipping to customers</t>
  </si>
  <si>
    <t>Merchant fees</t>
  </si>
  <si>
    <t>Fulfillment costs</t>
  </si>
  <si>
    <t>Ad spend</t>
  </si>
  <si>
    <t xml:space="preserve">Other marketing spend </t>
  </si>
  <si>
    <t>Research &amp; development</t>
  </si>
  <si>
    <t>General &amp; administrative</t>
  </si>
  <si>
    <t>Operating expenses</t>
  </si>
  <si>
    <t>FD own %</t>
  </si>
  <si>
    <t>Founders</t>
  </si>
  <si>
    <t>Investor 1</t>
  </si>
  <si>
    <t>Investor 2</t>
  </si>
  <si>
    <t>Investor 1 - % shares sold</t>
  </si>
  <si>
    <t>Investor 2 - % shares sold</t>
  </si>
  <si>
    <t>Founders - % shares sold</t>
  </si>
  <si>
    <t>Check 2?</t>
  </si>
  <si>
    <t>Check 1?</t>
  </si>
  <si>
    <t>Inventory</t>
  </si>
  <si>
    <t>Prepaid expenses</t>
  </si>
  <si>
    <t>Accounts receivable</t>
  </si>
  <si>
    <t>Accounts payable</t>
  </si>
  <si>
    <t>Accrued expenses</t>
  </si>
  <si>
    <t>Days Sales Outstanding</t>
  </si>
  <si>
    <t>Days Payables Outstanding</t>
  </si>
  <si>
    <t>Days Inventory Outstanding</t>
  </si>
  <si>
    <t>Prepaid expenses, % of net revenue</t>
  </si>
  <si>
    <t>Accrued expenses, % of COGS</t>
  </si>
  <si>
    <t>Working capital</t>
  </si>
  <si>
    <t>(-) Increase in NWC</t>
  </si>
  <si>
    <t>Leverage metrics</t>
  </si>
  <si>
    <t>EBITDA/Interest expense</t>
  </si>
  <si>
    <t>Debt/EBITDA</t>
  </si>
  <si>
    <t>Proceeds available for distribution before preferred</t>
  </si>
  <si>
    <t>Proceeds available for others</t>
  </si>
  <si>
    <t>Exit proceeds waterfall - Step #1 Preferred shares only</t>
  </si>
  <si>
    <t>Exit proceeds waterfall - Step #2 rest of stake</t>
  </si>
  <si>
    <t>(-) Total proceeds paid to Sponsor preferred shares (regardless of conversion)</t>
  </si>
  <si>
    <t>(-) Proceeds paid to Sponsor for common shares</t>
  </si>
  <si>
    <t>Actual sponsor proceeds from preferred shares only</t>
  </si>
  <si>
    <t>Exit proceeds waterfall - Step #3 combined sponsor proceeds</t>
  </si>
  <si>
    <t>Sponsor proceeds from preferred</t>
  </si>
  <si>
    <t>(+) Sponsor proceeds from common</t>
  </si>
  <si>
    <t>Total sponsor proceeds from deal</t>
  </si>
  <si>
    <t>Returns waterfall (if converted to common)</t>
  </si>
  <si>
    <t>Sponsor cash flows - Preferred shares only</t>
  </si>
  <si>
    <t>Sponsor cash flows - Common shares only</t>
  </si>
  <si>
    <t>Sponsor cash flows - Combined stake</t>
  </si>
  <si>
    <t>Initial investment - preferred stake only</t>
  </si>
  <si>
    <t>MoM</t>
  </si>
  <si>
    <t>Units sold</t>
  </si>
  <si>
    <t>Price per unit</t>
  </si>
  <si>
    <t>Total ad budget</t>
  </si>
  <si>
    <t>% of previous gross revenue</t>
  </si>
  <si>
    <t>Revenue Build</t>
  </si>
  <si>
    <t>Paid Traffic</t>
  </si>
  <si>
    <t>New management option pool</t>
  </si>
  <si>
    <t>Ad spend per unit sold</t>
  </si>
  <si>
    <t xml:space="preserve">    aka CAC</t>
  </si>
  <si>
    <t>Revenue per ad dollar spent</t>
  </si>
  <si>
    <t>Historical financials</t>
  </si>
  <si>
    <t>Own % of remaining proceeds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</si>
</sst>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5" formatCode="&quot;$&quot;#,##0_);\(&quot;$&quot;#,##0\)"/>
    <numFmt numFmtId="7" formatCode="&quot;$&quot;#,##0.00_);\(&quot;$&quot;#,##0.00\)"/>
    <numFmt numFmtId="43" formatCode="_(* #,##0.00_);_(* \(#,##0.00\);_(* &quot;-&quot;??_);_(@_)"/>
    <numFmt numFmtId="164" formatCode="0.0\x"/>
    <numFmt numFmtId="165" formatCode="0.0%"/>
    <numFmt numFmtId="166" formatCode="&quot;Year &quot;0"/>
    <numFmt numFmtId="167" formatCode="&quot;Year &quot;0;\ &quot;Year -&quot;0"/>
    <numFmt numFmtId="168" formatCode="&quot;$&quot;#,##0.0_);\(&quot;$&quot;#,##0.0\)"/>
    <numFmt numFmtId="169" formatCode="#,##0.0_);\(#,##0.0\)"/>
    <numFmt numFmtId="170" formatCode="0.000"/>
    <numFmt numFmtId="171" formatCode="#,##0.000_);\(#,##0.000\)"/>
    <numFmt numFmtId="172" formatCode="0.0%;\(0.0%\);0.0%"/>
    <numFmt numFmtId="173" formatCode="&quot;$&quot;#,##0.000_);\(&quot;$&quot;#,##0.000\)"/>
    <numFmt numFmtId="174" formatCode="#,##0.0_);[Red]\(#,##0.0\)"/>
    <numFmt numFmtId="175" formatCode="&quot;$&quot;#,##0.0"/>
    <numFmt numFmtId="176" formatCode="#,##0.0\x_);\(#,##0.0\x\);&quot;-&quot;_)"/>
    <numFmt numFmtId="177" formatCode="0.0\x;\(0.0\x\);0.0\x"/>
  </numFmts>
  <fonts count="29" x14ac:knownFonts="1">
    <font>
      <sz val="11"/>
      <color theme="1"/>
      <name val="Calibri"/>
      <family val="2"/>
      <scheme val="minor"/>
    </font>
    <font>
      <sz val="11"/>
      <color theme="1"/>
      <name val="Calibri"/>
      <family val="2"/>
      <scheme val="minor"/>
    </font>
    <font>
      <sz val="10"/>
      <color theme="1"/>
      <name val="Arial"/>
      <family val="2"/>
    </font>
    <font>
      <sz val="10"/>
      <color theme="1"/>
      <name val="Garamond"/>
      <family val="1"/>
    </font>
    <font>
      <b/>
      <sz val="10"/>
      <color theme="0"/>
      <name val="Garamond"/>
      <family val="1"/>
    </font>
    <font>
      <sz val="10"/>
      <color theme="0"/>
      <name val="Garamond"/>
      <family val="1"/>
    </font>
    <font>
      <sz val="10"/>
      <color rgb="FF0000FF"/>
      <name val="Garamond"/>
      <family val="1"/>
    </font>
    <font>
      <u/>
      <sz val="10"/>
      <color theme="1"/>
      <name val="Garamond"/>
      <family val="1"/>
    </font>
    <font>
      <sz val="10"/>
      <name val="Garamond"/>
      <family val="1"/>
    </font>
    <font>
      <b/>
      <sz val="10"/>
      <color theme="1"/>
      <name val="Garamond"/>
      <family val="1"/>
    </font>
    <font>
      <sz val="10"/>
      <color rgb="FFFF0000"/>
      <name val="Garamond"/>
      <family val="1"/>
    </font>
    <font>
      <i/>
      <sz val="10"/>
      <color theme="1"/>
      <name val="Garamond"/>
      <family val="1"/>
    </font>
    <font>
      <i/>
      <sz val="10"/>
      <name val="Garamond"/>
      <family val="1"/>
    </font>
    <font>
      <i/>
      <sz val="10"/>
      <color theme="0"/>
      <name val="Garamond"/>
      <family val="1"/>
    </font>
    <font>
      <i/>
      <sz val="10"/>
      <color rgb="FF0000FF"/>
      <name val="Garamond"/>
      <family val="1"/>
    </font>
    <font>
      <i/>
      <u/>
      <sz val="10"/>
      <color theme="1"/>
      <name val="Garamond"/>
      <family val="1"/>
    </font>
    <font>
      <b/>
      <sz val="10"/>
      <color rgb="FF0000FF"/>
      <name val="Garamond"/>
      <family val="1"/>
    </font>
    <font>
      <b/>
      <sz val="10"/>
      <color theme="1"/>
      <name val="Arial"/>
      <family val="2"/>
    </font>
    <font>
      <u val="singleAccounting"/>
      <sz val="10"/>
      <color theme="1"/>
      <name val="Garamond"/>
      <family val="1"/>
    </font>
    <font>
      <b/>
      <sz val="10"/>
      <name val="Garamond"/>
      <family val="1"/>
    </font>
    <font>
      <i/>
      <sz val="10"/>
      <color theme="1"/>
      <name val="Arial"/>
      <family val="2"/>
    </font>
    <font>
      <b/>
      <i/>
      <sz val="10"/>
      <color theme="0"/>
      <name val="Garamond"/>
      <family val="1"/>
    </font>
    <font>
      <b/>
      <u/>
      <sz val="10"/>
      <color theme="1"/>
      <name val="Garamond"/>
      <family val="1"/>
    </font>
    <font>
      <i/>
      <sz val="10"/>
      <color rgb="FFFF0000"/>
      <name val="Garamond"/>
      <family val="1"/>
    </font>
    <font>
      <b/>
      <i/>
      <sz val="10"/>
      <color theme="1"/>
      <name val="Garamond"/>
      <family val="1"/>
    </font>
    <font>
      <b/>
      <i/>
      <sz val="10"/>
      <name val="Garamond"/>
      <family val="1"/>
    </font>
    <font>
      <i/>
      <sz val="8"/>
      <color theme="1"/>
      <name val="Garamond"/>
      <family val="1"/>
    </font>
    <font>
      <sz val="9"/>
      <color indexed="81"/>
      <name val="Tahoma"/>
      <family val="2"/>
    </font>
    <font>
      <b/>
      <sz val="9"/>
      <color indexed="81"/>
      <name val="Tahoma"/>
      <family val="2"/>
    </font>
  </fonts>
  <fills count="6">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0"/>
        <bgColor indexed="64"/>
      </patternFill>
    </fill>
  </fills>
  <borders count="19">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style="thin">
        <color indexed="64"/>
      </top>
      <bottom/>
      <diagonal/>
    </border>
    <border>
      <left style="hair">
        <color indexed="64"/>
      </left>
      <right style="hair">
        <color indexed="64"/>
      </right>
      <top/>
      <bottom style="hair">
        <color indexed="64"/>
      </bottom>
      <diagonal/>
    </border>
    <border>
      <left style="thin">
        <color indexed="64"/>
      </left>
      <right style="thin">
        <color indexed="64"/>
      </right>
      <top/>
      <bottom style="thin">
        <color indexed="64"/>
      </bottom>
      <diagonal/>
    </border>
    <border>
      <left/>
      <right/>
      <top style="thin">
        <color auto="1"/>
      </top>
      <bottom style="thin">
        <color auto="1"/>
      </bottom>
      <diagonal/>
    </border>
    <border>
      <left/>
      <right style="hair">
        <color auto="1"/>
      </right>
      <top/>
      <bottom/>
      <diagonal/>
    </border>
    <border>
      <left/>
      <right style="hair">
        <color auto="1"/>
      </right>
      <top style="thin">
        <color indexed="64"/>
      </top>
      <bottom/>
      <diagonal/>
    </border>
    <border>
      <left/>
      <right/>
      <top/>
      <bottom style="thin">
        <color indexed="64"/>
      </bottom>
      <diagonal/>
    </border>
    <border>
      <left/>
      <right style="thin">
        <color auto="1"/>
      </right>
      <top/>
      <bottom style="thin">
        <color auto="1"/>
      </bottom>
      <diagonal/>
    </border>
    <border>
      <left style="thin">
        <color indexed="64"/>
      </left>
      <right style="hair">
        <color indexed="64"/>
      </right>
      <top style="thin">
        <color indexed="64"/>
      </top>
      <bottom style="thin">
        <color indexed="64"/>
      </bottom>
      <diagonal/>
    </border>
    <border>
      <left/>
      <right style="thin">
        <color auto="1"/>
      </right>
      <top/>
      <bottom/>
      <diagonal/>
    </border>
    <border>
      <left/>
      <right style="hair">
        <color auto="1"/>
      </right>
      <top/>
      <bottom style="thin">
        <color auto="1"/>
      </bottom>
      <diagonal/>
    </border>
    <border>
      <left/>
      <right style="hair">
        <color auto="1"/>
      </right>
      <top style="thin">
        <color auto="1"/>
      </top>
      <bottom style="thin">
        <color auto="1"/>
      </bottom>
      <diagonal/>
    </border>
    <border>
      <left style="thin">
        <color indexed="64"/>
      </left>
      <right style="thin">
        <color indexed="64"/>
      </right>
      <top/>
      <bottom/>
      <diagonal/>
    </border>
  </borders>
  <cellStyleXfs count="3">
    <xf numFmtId="0" fontId="0" fillId="0" borderId="0"/>
    <xf numFmtId="9" fontId="1" fillId="0" borderId="0" applyFont="0" applyFill="0" applyBorder="0" applyAlignment="0" applyProtection="0"/>
    <xf numFmtId="0" fontId="1" fillId="0" borderId="0"/>
  </cellStyleXfs>
  <cellXfs count="208">
    <xf numFmtId="0" fontId="0" fillId="0" borderId="0" xfId="0"/>
    <xf numFmtId="0" fontId="2" fillId="0" borderId="0" xfId="0" applyFont="1"/>
    <xf numFmtId="0" fontId="3" fillId="0" borderId="0" xfId="0" applyFont="1"/>
    <xf numFmtId="0" fontId="11" fillId="0" borderId="0" xfId="0" applyFont="1"/>
    <xf numFmtId="0" fontId="3" fillId="0" borderId="0" xfId="0" applyFont="1" applyAlignment="1">
      <alignment vertical="center"/>
    </xf>
    <xf numFmtId="0" fontId="4" fillId="2" borderId="0" xfId="0" applyFont="1" applyFill="1" applyAlignment="1">
      <alignment vertical="center"/>
    </xf>
    <xf numFmtId="0" fontId="5" fillId="2" borderId="0" xfId="0" applyFont="1" applyFill="1" applyAlignment="1">
      <alignment vertical="center"/>
    </xf>
    <xf numFmtId="0" fontId="13" fillId="2" borderId="0" xfId="0" applyFont="1" applyFill="1" applyAlignment="1">
      <alignment horizontal="right" vertical="center"/>
    </xf>
    <xf numFmtId="0" fontId="3" fillId="3" borderId="0" xfId="0" applyFont="1" applyFill="1" applyAlignment="1">
      <alignment vertical="center"/>
    </xf>
    <xf numFmtId="43" fontId="18" fillId="0" borderId="0" xfId="2" applyNumberFormat="1" applyFont="1" applyAlignment="1">
      <alignment horizontal="center" vertical="center"/>
    </xf>
    <xf numFmtId="5" fontId="6" fillId="0" borderId="0" xfId="0" applyNumberFormat="1" applyFont="1" applyAlignment="1">
      <alignment vertical="center"/>
    </xf>
    <xf numFmtId="164" fontId="6" fillId="0" borderId="0" xfId="0" applyNumberFormat="1" applyFont="1" applyAlignment="1">
      <alignment vertical="center"/>
    </xf>
    <xf numFmtId="0" fontId="3" fillId="0" borderId="0" xfId="0" quotePrefix="1" applyFont="1" applyAlignment="1">
      <alignment vertical="center"/>
    </xf>
    <xf numFmtId="0" fontId="9" fillId="0" borderId="1" xfId="0" applyFont="1" applyBorder="1" applyAlignment="1">
      <alignment vertical="center"/>
    </xf>
    <xf numFmtId="5" fontId="9" fillId="0" borderId="1" xfId="0" applyNumberFormat="1" applyFont="1" applyBorder="1" applyAlignment="1">
      <alignment vertical="center"/>
    </xf>
    <xf numFmtId="0" fontId="3" fillId="0" borderId="1" xfId="0" applyFont="1" applyBorder="1" applyAlignment="1">
      <alignment vertical="center"/>
    </xf>
    <xf numFmtId="37" fontId="3" fillId="0" borderId="0" xfId="0" applyNumberFormat="1" applyFont="1" applyAlignment="1">
      <alignment vertical="center"/>
    </xf>
    <xf numFmtId="0" fontId="9" fillId="0" borderId="0" xfId="0" applyFont="1" applyAlignment="1">
      <alignment vertical="center"/>
    </xf>
    <xf numFmtId="5" fontId="9" fillId="0" borderId="0" xfId="0" applyNumberFormat="1" applyFont="1" applyAlignment="1">
      <alignment vertical="center"/>
    </xf>
    <xf numFmtId="5" fontId="3" fillId="0" borderId="0" xfId="0" applyNumberFormat="1" applyFont="1" applyAlignment="1">
      <alignment vertical="center"/>
    </xf>
    <xf numFmtId="0" fontId="2" fillId="0" borderId="0" xfId="0" applyFont="1" applyAlignment="1">
      <alignment vertical="center"/>
    </xf>
    <xf numFmtId="0" fontId="2" fillId="3" borderId="0" xfId="0" applyFont="1" applyFill="1" applyAlignment="1">
      <alignment vertical="center"/>
    </xf>
    <xf numFmtId="0" fontId="11" fillId="0" borderId="0" xfId="2" applyFont="1" applyAlignment="1">
      <alignment vertical="center"/>
    </xf>
    <xf numFmtId="43" fontId="18" fillId="0" borderId="0" xfId="2" applyNumberFormat="1" applyFont="1" applyAlignment="1">
      <alignment horizontal="centerContinuous" vertical="center"/>
    </xf>
    <xf numFmtId="171" fontId="7" fillId="0" borderId="0" xfId="2" applyNumberFormat="1" applyFont="1" applyAlignment="1">
      <alignment horizontal="right" vertical="center"/>
    </xf>
    <xf numFmtId="0" fontId="7" fillId="0" borderId="0" xfId="2" applyFont="1" applyAlignment="1">
      <alignment horizontal="right" vertical="center"/>
    </xf>
    <xf numFmtId="37" fontId="3" fillId="0" borderId="0" xfId="2" applyNumberFormat="1" applyFont="1" applyAlignment="1">
      <alignment vertical="center"/>
    </xf>
    <xf numFmtId="0" fontId="9" fillId="0" borderId="1" xfId="2" applyFont="1" applyBorder="1" applyAlignment="1">
      <alignment vertical="center"/>
    </xf>
    <xf numFmtId="5" fontId="9" fillId="0" borderId="1" xfId="2" applyNumberFormat="1" applyFont="1" applyBorder="1" applyAlignment="1">
      <alignment vertical="center"/>
    </xf>
    <xf numFmtId="37" fontId="9" fillId="0" borderId="1" xfId="2" applyNumberFormat="1" applyFont="1" applyBorder="1" applyAlignment="1">
      <alignment vertical="center"/>
    </xf>
    <xf numFmtId="10" fontId="9" fillId="0" borderId="0" xfId="1" applyNumberFormat="1" applyFont="1" applyBorder="1" applyAlignment="1">
      <alignment vertical="center"/>
    </xf>
    <xf numFmtId="167" fontId="3" fillId="3" borderId="0" xfId="0" applyNumberFormat="1" applyFont="1" applyFill="1" applyAlignment="1">
      <alignment vertical="center"/>
    </xf>
    <xf numFmtId="166" fontId="3" fillId="3" borderId="0" xfId="0" applyNumberFormat="1" applyFont="1" applyFill="1" applyAlignment="1">
      <alignment vertical="center"/>
    </xf>
    <xf numFmtId="5" fontId="8" fillId="0" borderId="0" xfId="0" applyNumberFormat="1" applyFont="1" applyAlignment="1">
      <alignment vertical="center"/>
    </xf>
    <xf numFmtId="0" fontId="11" fillId="0" borderId="0" xfId="0" applyFont="1" applyAlignment="1">
      <alignment horizontal="left" vertical="center"/>
    </xf>
    <xf numFmtId="9" fontId="12" fillId="0" borderId="0" xfId="1" applyFont="1" applyAlignment="1">
      <alignment vertical="center"/>
    </xf>
    <xf numFmtId="0" fontId="8" fillId="0" borderId="0" xfId="0" applyFont="1" applyAlignment="1">
      <alignment vertical="center"/>
    </xf>
    <xf numFmtId="166" fontId="3" fillId="3" borderId="4" xfId="0" applyNumberFormat="1" applyFont="1" applyFill="1" applyBorder="1" applyAlignment="1">
      <alignment horizontal="right" vertical="center"/>
    </xf>
    <xf numFmtId="0" fontId="11" fillId="0" borderId="0" xfId="0" applyFont="1" applyAlignment="1">
      <alignment vertical="center"/>
    </xf>
    <xf numFmtId="170" fontId="11" fillId="0" borderId="0" xfId="0" applyNumberFormat="1" applyFont="1" applyAlignment="1">
      <alignment vertical="center"/>
    </xf>
    <xf numFmtId="170" fontId="11" fillId="0" borderId="7" xfId="0" applyNumberFormat="1" applyFont="1" applyBorder="1" applyAlignment="1">
      <alignment vertical="center"/>
    </xf>
    <xf numFmtId="5" fontId="11" fillId="0" borderId="0" xfId="0" applyNumberFormat="1" applyFont="1" applyAlignment="1">
      <alignment vertical="center"/>
    </xf>
    <xf numFmtId="165" fontId="8" fillId="0" borderId="0" xfId="0" applyNumberFormat="1" applyFont="1" applyAlignment="1">
      <alignment vertical="center"/>
    </xf>
    <xf numFmtId="10" fontId="6" fillId="4" borderId="0" xfId="0" applyNumberFormat="1" applyFont="1" applyFill="1" applyAlignment="1">
      <alignment horizontal="right" vertical="center"/>
    </xf>
    <xf numFmtId="165" fontId="6" fillId="4" borderId="0" xfId="0" applyNumberFormat="1" applyFont="1" applyFill="1" applyAlignment="1">
      <alignment vertical="center"/>
    </xf>
    <xf numFmtId="0" fontId="3" fillId="0" borderId="0" xfId="0" applyFont="1" applyAlignment="1">
      <alignment horizontal="center" vertical="center"/>
    </xf>
    <xf numFmtId="0" fontId="3" fillId="0" borderId="0" xfId="0" applyFont="1" applyAlignment="1">
      <alignment horizontal="left" vertical="center" indent="1"/>
    </xf>
    <xf numFmtId="0" fontId="20" fillId="0" borderId="0" xfId="0" applyFont="1" applyAlignment="1">
      <alignment vertical="center"/>
    </xf>
    <xf numFmtId="0" fontId="21" fillId="2" borderId="0" xfId="0" applyFont="1" applyFill="1" applyAlignment="1">
      <alignment vertical="center"/>
    </xf>
    <xf numFmtId="0" fontId="13" fillId="2" borderId="0" xfId="0" applyFont="1" applyFill="1" applyAlignment="1">
      <alignment vertical="center"/>
    </xf>
    <xf numFmtId="0" fontId="11" fillId="0" borderId="0" xfId="0" applyFont="1" applyAlignment="1">
      <alignment horizontal="left" vertical="center" indent="1"/>
    </xf>
    <xf numFmtId="169" fontId="6" fillId="0" borderId="2" xfId="0" applyNumberFormat="1" applyFont="1" applyBorder="1" applyAlignment="1">
      <alignment horizontal="center" vertical="center"/>
    </xf>
    <xf numFmtId="169" fontId="3" fillId="0" borderId="0" xfId="0" applyNumberFormat="1" applyFont="1" applyAlignment="1">
      <alignment vertical="center"/>
    </xf>
    <xf numFmtId="168" fontId="8" fillId="0" borderId="0" xfId="0" applyNumberFormat="1" applyFont="1" applyAlignment="1">
      <alignment vertical="center"/>
    </xf>
    <xf numFmtId="0" fontId="3" fillId="0" borderId="0" xfId="2" applyFont="1" applyAlignment="1">
      <alignment horizontal="left" vertical="center" indent="1"/>
    </xf>
    <xf numFmtId="168" fontId="9" fillId="0" borderId="1" xfId="0" applyNumberFormat="1" applyFont="1" applyBorder="1" applyAlignment="1">
      <alignment vertical="center"/>
    </xf>
    <xf numFmtId="168" fontId="3" fillId="0" borderId="0" xfId="0" applyNumberFormat="1" applyFont="1" applyAlignment="1">
      <alignment vertical="center"/>
    </xf>
    <xf numFmtId="7" fontId="3" fillId="0" borderId="0" xfId="0" applyNumberFormat="1" applyFont="1" applyAlignment="1">
      <alignment vertical="center"/>
    </xf>
    <xf numFmtId="0" fontId="3" fillId="0" borderId="10" xfId="0" applyFont="1" applyBorder="1"/>
    <xf numFmtId="0" fontId="5" fillId="2" borderId="10" xfId="0" applyFont="1" applyFill="1" applyBorder="1" applyAlignment="1">
      <alignment vertical="center"/>
    </xf>
    <xf numFmtId="166" fontId="3" fillId="3" borderId="10" xfId="0" applyNumberFormat="1" applyFont="1" applyFill="1" applyBorder="1" applyAlignment="1">
      <alignment vertical="center"/>
    </xf>
    <xf numFmtId="5" fontId="8" fillId="0" borderId="10" xfId="0" applyNumberFormat="1" applyFont="1" applyBorder="1" applyAlignment="1">
      <alignment vertical="center"/>
    </xf>
    <xf numFmtId="9" fontId="12" fillId="0" borderId="10" xfId="1" applyFont="1" applyBorder="1" applyAlignment="1">
      <alignment vertical="center"/>
    </xf>
    <xf numFmtId="0" fontId="8" fillId="0" borderId="10" xfId="0" applyFont="1" applyBorder="1" applyAlignment="1">
      <alignment vertical="center"/>
    </xf>
    <xf numFmtId="0" fontId="3" fillId="0" borderId="10" xfId="0" applyFont="1" applyBorder="1" applyAlignment="1">
      <alignment vertical="center"/>
    </xf>
    <xf numFmtId="5" fontId="3" fillId="0" borderId="10" xfId="0" applyNumberFormat="1" applyFont="1" applyBorder="1" applyAlignment="1">
      <alignment vertical="center"/>
    </xf>
    <xf numFmtId="0" fontId="9" fillId="0" borderId="11" xfId="0" applyFont="1" applyBorder="1" applyAlignment="1">
      <alignment vertical="center"/>
    </xf>
    <xf numFmtId="166" fontId="8" fillId="3" borderId="10" xfId="0" applyNumberFormat="1" applyFont="1" applyFill="1" applyBorder="1" applyAlignment="1">
      <alignment horizontal="right" vertical="center"/>
    </xf>
    <xf numFmtId="170" fontId="11" fillId="0" borderId="10" xfId="0" applyNumberFormat="1" applyFont="1" applyBorder="1" applyAlignment="1">
      <alignment vertical="center"/>
    </xf>
    <xf numFmtId="5" fontId="11" fillId="0" borderId="10" xfId="0" applyNumberFormat="1" applyFont="1" applyBorder="1" applyAlignment="1">
      <alignment vertical="center"/>
    </xf>
    <xf numFmtId="165" fontId="10" fillId="0" borderId="10" xfId="0" applyNumberFormat="1" applyFont="1" applyBorder="1" applyAlignment="1">
      <alignment vertical="center"/>
    </xf>
    <xf numFmtId="167" fontId="3" fillId="3" borderId="10" xfId="0" applyNumberFormat="1" applyFont="1" applyFill="1" applyBorder="1" applyAlignment="1">
      <alignment vertical="center"/>
    </xf>
    <xf numFmtId="172" fontId="12" fillId="0" borderId="0" xfId="1" applyNumberFormat="1" applyFont="1" applyFill="1" applyBorder="1" applyAlignment="1">
      <alignment vertical="center"/>
    </xf>
    <xf numFmtId="172" fontId="12" fillId="0" borderId="10" xfId="1" applyNumberFormat="1" applyFont="1" applyFill="1" applyBorder="1" applyAlignment="1">
      <alignment vertical="center"/>
    </xf>
    <xf numFmtId="172" fontId="12" fillId="0" borderId="0" xfId="0" applyNumberFormat="1" applyFont="1" applyAlignment="1">
      <alignment vertical="center"/>
    </xf>
    <xf numFmtId="165" fontId="12" fillId="0" borderId="0" xfId="1" applyNumberFormat="1" applyFont="1" applyFill="1" applyBorder="1" applyAlignment="1">
      <alignment vertical="center"/>
    </xf>
    <xf numFmtId="165" fontId="12" fillId="0" borderId="10" xfId="1" applyNumberFormat="1" applyFont="1" applyFill="1" applyBorder="1" applyAlignment="1">
      <alignment vertical="center"/>
    </xf>
    <xf numFmtId="165" fontId="14" fillId="4" borderId="0" xfId="0" applyNumberFormat="1" applyFont="1" applyFill="1" applyAlignment="1">
      <alignment vertical="center"/>
    </xf>
    <xf numFmtId="168" fontId="6" fillId="0" borderId="0" xfId="0" applyNumberFormat="1" applyFont="1" applyAlignment="1">
      <alignment vertical="center"/>
    </xf>
    <xf numFmtId="168" fontId="6" fillId="0" borderId="10" xfId="0" applyNumberFormat="1" applyFont="1" applyBorder="1" applyAlignment="1">
      <alignment vertical="center"/>
    </xf>
    <xf numFmtId="168" fontId="8" fillId="0" borderId="10" xfId="0" applyNumberFormat="1" applyFont="1" applyBorder="1" applyAlignment="1">
      <alignment vertical="center"/>
    </xf>
    <xf numFmtId="169" fontId="8" fillId="0" borderId="0" xfId="0" applyNumberFormat="1" applyFont="1" applyAlignment="1">
      <alignment vertical="center"/>
    </xf>
    <xf numFmtId="168" fontId="8" fillId="0" borderId="5" xfId="0" applyNumberFormat="1" applyFont="1" applyBorder="1" applyAlignment="1">
      <alignment vertical="center"/>
    </xf>
    <xf numFmtId="169" fontId="6" fillId="0" borderId="0" xfId="0" applyNumberFormat="1" applyFont="1" applyAlignment="1">
      <alignment vertical="center"/>
    </xf>
    <xf numFmtId="169" fontId="8" fillId="0" borderId="5" xfId="0" applyNumberFormat="1" applyFont="1" applyBorder="1" applyAlignment="1">
      <alignment vertical="center"/>
    </xf>
    <xf numFmtId="169" fontId="8" fillId="0" borderId="10" xfId="0" applyNumberFormat="1" applyFont="1" applyBorder="1" applyAlignment="1">
      <alignment vertical="center"/>
    </xf>
    <xf numFmtId="169" fontId="3" fillId="0" borderId="5" xfId="0" applyNumberFormat="1" applyFont="1" applyBorder="1" applyAlignment="1">
      <alignment vertical="center"/>
    </xf>
    <xf numFmtId="168" fontId="9" fillId="0" borderId="6" xfId="0" applyNumberFormat="1" applyFont="1" applyBorder="1" applyAlignment="1">
      <alignment vertical="center"/>
    </xf>
    <xf numFmtId="168" fontId="19" fillId="0" borderId="11" xfId="0" applyNumberFormat="1" applyFont="1" applyBorder="1" applyAlignment="1">
      <alignment vertical="center"/>
    </xf>
    <xf numFmtId="168" fontId="3" fillId="0" borderId="5" xfId="0" applyNumberFormat="1" applyFont="1" applyBorder="1" applyAlignment="1">
      <alignment vertical="center"/>
    </xf>
    <xf numFmtId="168" fontId="9" fillId="0" borderId="11" xfId="0" applyNumberFormat="1" applyFont="1" applyBorder="1" applyAlignment="1">
      <alignment vertical="center"/>
    </xf>
    <xf numFmtId="168" fontId="3" fillId="0" borderId="10" xfId="0" applyNumberFormat="1" applyFont="1" applyBorder="1" applyAlignment="1">
      <alignment vertical="center"/>
    </xf>
    <xf numFmtId="168" fontId="11" fillId="0" borderId="0" xfId="0" applyNumberFormat="1" applyFont="1" applyAlignment="1">
      <alignment vertical="center"/>
    </xf>
    <xf numFmtId="168" fontId="9" fillId="0" borderId="0" xfId="0" applyNumberFormat="1" applyFont="1" applyAlignment="1">
      <alignment vertical="center"/>
    </xf>
    <xf numFmtId="168" fontId="9" fillId="0" borderId="1" xfId="2" applyNumberFormat="1" applyFont="1" applyBorder="1" applyAlignment="1">
      <alignment vertical="center"/>
    </xf>
    <xf numFmtId="165" fontId="3" fillId="0" borderId="0" xfId="1" applyNumberFormat="1" applyFont="1" applyAlignment="1">
      <alignment vertical="center"/>
    </xf>
    <xf numFmtId="165" fontId="9" fillId="0" borderId="1" xfId="1" applyNumberFormat="1" applyFont="1" applyBorder="1" applyAlignment="1">
      <alignment vertical="center"/>
    </xf>
    <xf numFmtId="174" fontId="8" fillId="0" borderId="0" xfId="0" applyNumberFormat="1" applyFont="1" applyAlignment="1">
      <alignment vertical="center"/>
    </xf>
    <xf numFmtId="0" fontId="3" fillId="0" borderId="0" xfId="0" applyFont="1" applyAlignment="1">
      <alignment horizontal="left" vertical="center"/>
    </xf>
    <xf numFmtId="169" fontId="6" fillId="4" borderId="0" xfId="0" applyNumberFormat="1" applyFont="1" applyFill="1" applyAlignment="1">
      <alignment vertical="center"/>
    </xf>
    <xf numFmtId="164" fontId="6" fillId="4" borderId="0" xfId="0" applyNumberFormat="1" applyFont="1" applyFill="1" applyAlignment="1">
      <alignment vertical="center"/>
    </xf>
    <xf numFmtId="168" fontId="19" fillId="0" borderId="10" xfId="0" applyNumberFormat="1" applyFont="1" applyBorder="1" applyAlignment="1">
      <alignment vertical="center"/>
    </xf>
    <xf numFmtId="168" fontId="8" fillId="0" borderId="0" xfId="2" applyNumberFormat="1" applyFont="1" applyAlignment="1">
      <alignment vertical="center"/>
    </xf>
    <xf numFmtId="169" fontId="8" fillId="0" borderId="0" xfId="2" applyNumberFormat="1" applyFont="1" applyAlignment="1">
      <alignment vertical="center"/>
    </xf>
    <xf numFmtId="37" fontId="6" fillId="4" borderId="0" xfId="2" applyNumberFormat="1" applyFont="1" applyFill="1" applyAlignment="1">
      <alignment vertical="center"/>
    </xf>
    <xf numFmtId="165" fontId="12" fillId="0" borderId="0" xfId="0" applyNumberFormat="1" applyFont="1" applyAlignment="1">
      <alignment vertical="center"/>
    </xf>
    <xf numFmtId="0" fontId="3" fillId="0" borderId="10" xfId="0" applyFont="1" applyBorder="1" applyAlignment="1">
      <alignment horizontal="center" vertical="center"/>
    </xf>
    <xf numFmtId="169" fontId="6" fillId="0" borderId="14" xfId="0" applyNumberFormat="1" applyFont="1" applyBorder="1" applyAlignment="1">
      <alignment horizontal="center" vertical="center"/>
    </xf>
    <xf numFmtId="169" fontId="10" fillId="0" borderId="0" xfId="0" applyNumberFormat="1" applyFont="1" applyAlignment="1">
      <alignment vertical="center"/>
    </xf>
    <xf numFmtId="0" fontId="17" fillId="0" borderId="1" xfId="0" applyFont="1" applyBorder="1" applyAlignment="1">
      <alignment vertical="center"/>
    </xf>
    <xf numFmtId="169" fontId="6" fillId="4" borderId="0" xfId="2" applyNumberFormat="1" applyFont="1" applyFill="1" applyAlignment="1">
      <alignment vertical="center"/>
    </xf>
    <xf numFmtId="0" fontId="9" fillId="0" borderId="0" xfId="2" applyFont="1" applyAlignment="1">
      <alignment vertical="center"/>
    </xf>
    <xf numFmtId="5" fontId="9" fillId="0" borderId="0" xfId="2" applyNumberFormat="1" applyFont="1" applyAlignment="1">
      <alignment vertical="center"/>
    </xf>
    <xf numFmtId="37" fontId="9" fillId="0" borderId="0" xfId="2" applyNumberFormat="1" applyFont="1" applyAlignment="1">
      <alignment vertical="center"/>
    </xf>
    <xf numFmtId="7" fontId="8" fillId="0" borderId="0" xfId="0" applyNumberFormat="1" applyFont="1" applyAlignment="1">
      <alignment vertical="center"/>
    </xf>
    <xf numFmtId="168" fontId="6" fillId="4" borderId="0" xfId="0" applyNumberFormat="1" applyFont="1" applyFill="1" applyAlignment="1">
      <alignment vertical="center"/>
    </xf>
    <xf numFmtId="0" fontId="3" fillId="0" borderId="15" xfId="0" applyFont="1" applyBorder="1"/>
    <xf numFmtId="173" fontId="3" fillId="0" borderId="0" xfId="0" applyNumberFormat="1" applyFont="1" applyAlignment="1">
      <alignment vertical="center"/>
    </xf>
    <xf numFmtId="0" fontId="11" fillId="0" borderId="10" xfId="0" applyFont="1" applyBorder="1" applyAlignment="1">
      <alignment vertical="center"/>
    </xf>
    <xf numFmtId="0" fontId="13" fillId="2" borderId="10" xfId="0" applyFont="1" applyFill="1" applyBorder="1" applyAlignment="1">
      <alignment vertical="center"/>
    </xf>
    <xf numFmtId="164" fontId="6" fillId="0" borderId="10" xfId="0" applyNumberFormat="1" applyFont="1" applyBorder="1" applyAlignment="1">
      <alignment vertical="center"/>
    </xf>
    <xf numFmtId="5" fontId="9" fillId="0" borderId="11" xfId="0" applyNumberFormat="1" applyFont="1" applyBorder="1" applyAlignment="1">
      <alignment vertical="center"/>
    </xf>
    <xf numFmtId="37" fontId="3" fillId="0" borderId="10" xfId="0" applyNumberFormat="1" applyFont="1" applyBorder="1" applyAlignment="1">
      <alignment vertical="center"/>
    </xf>
    <xf numFmtId="5" fontId="9" fillId="0" borderId="10" xfId="0" applyNumberFormat="1" applyFont="1" applyBorder="1" applyAlignment="1">
      <alignment vertical="center"/>
    </xf>
    <xf numFmtId="9" fontId="6" fillId="0" borderId="0" xfId="0" applyNumberFormat="1" applyFont="1" applyAlignment="1">
      <alignment vertical="center"/>
    </xf>
    <xf numFmtId="0" fontId="6" fillId="4" borderId="2" xfId="0" applyFont="1" applyFill="1" applyBorder="1" applyAlignment="1">
      <alignment horizontal="center" vertical="center"/>
    </xf>
    <xf numFmtId="10" fontId="8" fillId="0" borderId="0" xfId="0" applyNumberFormat="1" applyFont="1" applyAlignment="1">
      <alignment vertical="center"/>
    </xf>
    <xf numFmtId="0" fontId="3" fillId="0" borderId="9" xfId="0" applyFont="1" applyBorder="1" applyAlignment="1">
      <alignment horizontal="center" vertical="center"/>
    </xf>
    <xf numFmtId="0" fontId="3" fillId="0" borderId="1" xfId="0" applyFont="1" applyBorder="1" applyAlignment="1">
      <alignment horizontal="center" vertical="center"/>
    </xf>
    <xf numFmtId="0" fontId="3" fillId="0" borderId="12" xfId="0" applyFont="1" applyBorder="1" applyAlignment="1">
      <alignment horizontal="center" vertical="center"/>
    </xf>
    <xf numFmtId="0" fontId="3" fillId="0" borderId="16" xfId="0" applyFont="1" applyBorder="1" applyAlignment="1">
      <alignment horizontal="center" vertical="center"/>
    </xf>
    <xf numFmtId="0" fontId="22" fillId="0" borderId="0" xfId="0" applyFont="1" applyAlignment="1">
      <alignment vertical="center"/>
    </xf>
    <xf numFmtId="0" fontId="3" fillId="0" borderId="17" xfId="0" applyFont="1" applyBorder="1" applyAlignment="1">
      <alignment horizontal="center" vertical="center"/>
    </xf>
    <xf numFmtId="0" fontId="3" fillId="0" borderId="11" xfId="0" applyFont="1" applyBorder="1" applyAlignment="1">
      <alignment horizontal="center" vertical="center"/>
    </xf>
    <xf numFmtId="0" fontId="9" fillId="0" borderId="13" xfId="0" applyFont="1" applyBorder="1" applyAlignment="1">
      <alignment vertical="center"/>
    </xf>
    <xf numFmtId="37" fontId="10" fillId="0" borderId="0" xfId="2" applyNumberFormat="1" applyFont="1" applyAlignment="1">
      <alignment vertical="center"/>
    </xf>
    <xf numFmtId="172" fontId="14" fillId="0" borderId="0" xfId="1" applyNumberFormat="1" applyFont="1" applyFill="1" applyBorder="1" applyAlignment="1">
      <alignment vertical="center"/>
    </xf>
    <xf numFmtId="168" fontId="19" fillId="0" borderId="1" xfId="0" applyNumberFormat="1" applyFont="1" applyBorder="1" applyAlignment="1">
      <alignment vertical="center"/>
    </xf>
    <xf numFmtId="168" fontId="19" fillId="0" borderId="0" xfId="0" applyNumberFormat="1" applyFont="1" applyAlignment="1">
      <alignment vertical="center"/>
    </xf>
    <xf numFmtId="0" fontId="19" fillId="0" borderId="1" xfId="0" applyFont="1" applyBorder="1" applyAlignment="1">
      <alignment vertical="center"/>
    </xf>
    <xf numFmtId="0" fontId="15" fillId="0" borderId="0" xfId="0" applyFont="1" applyAlignment="1">
      <alignment vertical="center"/>
    </xf>
    <xf numFmtId="0" fontId="24" fillId="0" borderId="0" xfId="0" applyFont="1" applyAlignment="1">
      <alignment vertical="center"/>
    </xf>
    <xf numFmtId="168" fontId="25" fillId="0" borderId="0" xfId="0" applyNumberFormat="1" applyFont="1" applyAlignment="1">
      <alignment vertical="center"/>
    </xf>
    <xf numFmtId="7" fontId="11" fillId="0" borderId="0" xfId="0" applyNumberFormat="1" applyFont="1" applyAlignment="1">
      <alignment vertical="center"/>
    </xf>
    <xf numFmtId="0" fontId="19" fillId="0" borderId="0" xfId="0" applyFont="1" applyAlignment="1">
      <alignment vertical="center"/>
    </xf>
    <xf numFmtId="172" fontId="14" fillId="4" borderId="0" xfId="1" applyNumberFormat="1" applyFont="1" applyFill="1" applyBorder="1" applyAlignment="1">
      <alignment vertical="center"/>
    </xf>
    <xf numFmtId="172" fontId="6" fillId="4" borderId="0" xfId="1" applyNumberFormat="1" applyFont="1" applyFill="1" applyBorder="1" applyAlignment="1">
      <alignment vertical="center"/>
    </xf>
    <xf numFmtId="168" fontId="6" fillId="4" borderId="10" xfId="0" applyNumberFormat="1" applyFont="1" applyFill="1" applyBorder="1" applyAlignment="1">
      <alignment vertical="center"/>
    </xf>
    <xf numFmtId="175" fontId="8" fillId="0" borderId="0" xfId="0" applyNumberFormat="1" applyFont="1" applyAlignment="1">
      <alignment vertical="center"/>
    </xf>
    <xf numFmtId="168" fontId="19" fillId="0" borderId="1" xfId="2" applyNumberFormat="1" applyFont="1" applyBorder="1" applyAlignment="1">
      <alignment vertical="center"/>
    </xf>
    <xf numFmtId="169" fontId="8" fillId="4" borderId="0" xfId="2" applyNumberFormat="1" applyFont="1" applyFill="1" applyAlignment="1">
      <alignment vertical="center"/>
    </xf>
    <xf numFmtId="37" fontId="8" fillId="5" borderId="0" xfId="2" applyNumberFormat="1" applyFont="1" applyFill="1" applyAlignment="1">
      <alignment vertical="center"/>
    </xf>
    <xf numFmtId="173" fontId="11" fillId="0" borderId="0" xfId="0" applyNumberFormat="1" applyFont="1" applyAlignment="1">
      <alignment vertical="center"/>
    </xf>
    <xf numFmtId="0" fontId="7" fillId="0" borderId="0" xfId="0" applyFont="1" applyAlignment="1">
      <alignment vertical="center"/>
    </xf>
    <xf numFmtId="37" fontId="8" fillId="0" borderId="0" xfId="0" applyNumberFormat="1" applyFont="1" applyAlignment="1">
      <alignment vertical="center"/>
    </xf>
    <xf numFmtId="165" fontId="8" fillId="0" borderId="0" xfId="1" applyNumberFormat="1" applyFont="1" applyAlignment="1">
      <alignment vertical="center"/>
    </xf>
    <xf numFmtId="37" fontId="6" fillId="0" borderId="0" xfId="0" applyNumberFormat="1" applyFont="1" applyAlignment="1">
      <alignment vertical="center"/>
    </xf>
    <xf numFmtId="165" fontId="6" fillId="0" borderId="0" xfId="1" applyNumberFormat="1" applyFont="1" applyAlignment="1">
      <alignment vertical="center"/>
    </xf>
    <xf numFmtId="5" fontId="19" fillId="0" borderId="10" xfId="0" applyNumberFormat="1" applyFont="1" applyBorder="1" applyAlignment="1">
      <alignment vertical="center"/>
    </xf>
    <xf numFmtId="5" fontId="19" fillId="0" borderId="11" xfId="0" applyNumberFormat="1" applyFont="1" applyBorder="1" applyAlignment="1">
      <alignment vertical="center"/>
    </xf>
    <xf numFmtId="171" fontId="11" fillId="0" borderId="0" xfId="0" applyNumberFormat="1" applyFont="1" applyAlignment="1">
      <alignment vertical="center"/>
    </xf>
    <xf numFmtId="168" fontId="8" fillId="4" borderId="0" xfId="2" applyNumberFormat="1" applyFont="1" applyFill="1" applyAlignment="1">
      <alignment vertical="center"/>
    </xf>
    <xf numFmtId="176" fontId="3" fillId="0" borderId="10" xfId="0" applyNumberFormat="1" applyFont="1" applyBorder="1" applyAlignment="1">
      <alignment horizontal="right" vertical="center"/>
    </xf>
    <xf numFmtId="176" fontId="3" fillId="0" borderId="0" xfId="0" applyNumberFormat="1" applyFont="1" applyAlignment="1">
      <alignment horizontal="right" vertical="center"/>
    </xf>
    <xf numFmtId="169" fontId="3" fillId="0" borderId="10" xfId="0" applyNumberFormat="1" applyFont="1" applyBorder="1"/>
    <xf numFmtId="169" fontId="3" fillId="0" borderId="0" xfId="0" applyNumberFormat="1" applyFont="1"/>
    <xf numFmtId="168" fontId="25" fillId="0" borderId="10" xfId="0" applyNumberFormat="1" applyFont="1" applyBorder="1" applyAlignment="1">
      <alignment vertical="center"/>
    </xf>
    <xf numFmtId="172" fontId="14" fillId="4" borderId="10" xfId="1" applyNumberFormat="1" applyFont="1" applyFill="1" applyBorder="1" applyAlignment="1">
      <alignment vertical="center"/>
    </xf>
    <xf numFmtId="172" fontId="6" fillId="4" borderId="10" xfId="1" applyNumberFormat="1" applyFont="1" applyFill="1" applyBorder="1" applyAlignment="1">
      <alignment vertical="center"/>
    </xf>
    <xf numFmtId="165" fontId="14" fillId="4" borderId="10" xfId="0" applyNumberFormat="1" applyFont="1" applyFill="1" applyBorder="1" applyAlignment="1">
      <alignment vertical="center"/>
    </xf>
    <xf numFmtId="165" fontId="6" fillId="4" borderId="14" xfId="0" applyNumberFormat="1" applyFont="1" applyFill="1" applyBorder="1" applyAlignment="1">
      <alignment horizontal="center" vertical="center"/>
    </xf>
    <xf numFmtId="165" fontId="8" fillId="0" borderId="14" xfId="0" applyNumberFormat="1" applyFont="1" applyBorder="1" applyAlignment="1">
      <alignment horizontal="center" vertical="center"/>
    </xf>
    <xf numFmtId="164" fontId="6" fillId="4" borderId="14" xfId="0" applyNumberFormat="1" applyFont="1" applyFill="1" applyBorder="1" applyAlignment="1">
      <alignment horizontal="center" vertical="center"/>
    </xf>
    <xf numFmtId="0" fontId="3" fillId="5" borderId="0" xfId="0" applyFont="1" applyFill="1"/>
    <xf numFmtId="0" fontId="3" fillId="5" borderId="0" xfId="0" applyFont="1" applyFill="1" applyAlignment="1">
      <alignment vertical="center"/>
    </xf>
    <xf numFmtId="5" fontId="6" fillId="5" borderId="0" xfId="0" applyNumberFormat="1" applyFont="1" applyFill="1" applyAlignment="1">
      <alignment vertical="center"/>
    </xf>
    <xf numFmtId="165" fontId="3" fillId="5" borderId="0" xfId="0" applyNumberFormat="1" applyFont="1" applyFill="1" applyAlignment="1">
      <alignment vertical="center"/>
    </xf>
    <xf numFmtId="165" fontId="6" fillId="5" borderId="0" xfId="0" applyNumberFormat="1" applyFont="1" applyFill="1" applyAlignment="1">
      <alignment vertical="center"/>
    </xf>
    <xf numFmtId="0" fontId="11" fillId="5" borderId="0" xfId="0" applyFont="1" applyFill="1" applyAlignment="1">
      <alignment vertical="center"/>
    </xf>
    <xf numFmtId="37" fontId="3" fillId="5" borderId="0" xfId="0" applyNumberFormat="1" applyFont="1" applyFill="1" applyAlignment="1">
      <alignment vertical="center"/>
    </xf>
    <xf numFmtId="0" fontId="8" fillId="5" borderId="0" xfId="0" applyFont="1" applyFill="1" applyAlignment="1">
      <alignment vertical="center"/>
    </xf>
    <xf numFmtId="171" fontId="3" fillId="5" borderId="0" xfId="0" applyNumberFormat="1" applyFont="1" applyFill="1" applyAlignment="1">
      <alignment vertical="center"/>
    </xf>
    <xf numFmtId="0" fontId="2" fillId="5" borderId="0" xfId="0" applyFont="1" applyFill="1" applyAlignment="1">
      <alignment vertical="center"/>
    </xf>
    <xf numFmtId="0" fontId="9" fillId="5" borderId="0" xfId="0" applyFont="1" applyFill="1" applyAlignment="1">
      <alignment horizontal="center" vertical="center"/>
    </xf>
    <xf numFmtId="172" fontId="11" fillId="5" borderId="3" xfId="0" applyNumberFormat="1" applyFont="1" applyFill="1" applyBorder="1" applyAlignment="1">
      <alignment horizontal="center" vertical="center"/>
    </xf>
    <xf numFmtId="172" fontId="11" fillId="5" borderId="18" xfId="0" applyNumberFormat="1" applyFont="1" applyFill="1" applyBorder="1" applyAlignment="1">
      <alignment horizontal="center" vertical="center"/>
    </xf>
    <xf numFmtId="172" fontId="11" fillId="5" borderId="8" xfId="0" applyNumberFormat="1" applyFont="1" applyFill="1" applyBorder="1" applyAlignment="1">
      <alignment horizontal="center" vertical="center"/>
    </xf>
    <xf numFmtId="177" fontId="11" fillId="5" borderId="3" xfId="0" applyNumberFormat="1" applyFont="1" applyFill="1" applyBorder="1" applyAlignment="1">
      <alignment horizontal="center" vertical="center"/>
    </xf>
    <xf numFmtId="177" fontId="11" fillId="5" borderId="18" xfId="0" applyNumberFormat="1" applyFont="1" applyFill="1" applyBorder="1" applyAlignment="1">
      <alignment horizontal="center" vertical="center"/>
    </xf>
    <xf numFmtId="177" fontId="11" fillId="5" borderId="8" xfId="0" applyNumberFormat="1" applyFont="1" applyFill="1" applyBorder="1" applyAlignment="1">
      <alignment horizontal="center" vertical="center"/>
    </xf>
    <xf numFmtId="5" fontId="6" fillId="0" borderId="10" xfId="0" applyNumberFormat="1" applyFont="1" applyBorder="1" applyAlignment="1">
      <alignment vertical="center"/>
    </xf>
    <xf numFmtId="37" fontId="8" fillId="0" borderId="10" xfId="0" applyNumberFormat="1" applyFont="1" applyBorder="1" applyAlignment="1">
      <alignment vertical="center"/>
    </xf>
    <xf numFmtId="5" fontId="19" fillId="0" borderId="0" xfId="0" applyNumberFormat="1" applyFont="1" applyAlignment="1">
      <alignment vertical="center"/>
    </xf>
    <xf numFmtId="177" fontId="8" fillId="0" borderId="0" xfId="0" applyNumberFormat="1" applyFont="1" applyAlignment="1">
      <alignment vertical="center"/>
    </xf>
    <xf numFmtId="165" fontId="12" fillId="0" borderId="0" xfId="1" applyNumberFormat="1" applyFont="1" applyAlignment="1">
      <alignment vertical="center"/>
    </xf>
    <xf numFmtId="165" fontId="14" fillId="4" borderId="0" xfId="1" applyNumberFormat="1" applyFont="1" applyFill="1" applyAlignment="1">
      <alignment vertical="center"/>
    </xf>
    <xf numFmtId="168" fontId="16" fillId="4" borderId="0" xfId="0" applyNumberFormat="1" applyFont="1" applyFill="1" applyAlignment="1">
      <alignment vertical="center"/>
    </xf>
    <xf numFmtId="168" fontId="16" fillId="4" borderId="10" xfId="0" applyNumberFormat="1" applyFont="1" applyFill="1" applyBorder="1" applyAlignment="1">
      <alignment vertical="center"/>
    </xf>
    <xf numFmtId="165" fontId="12" fillId="0" borderId="10" xfId="1" applyNumberFormat="1" applyFont="1" applyBorder="1" applyAlignment="1">
      <alignment vertical="center"/>
    </xf>
    <xf numFmtId="165" fontId="8" fillId="0" borderId="10" xfId="1" applyNumberFormat="1" applyFont="1" applyBorder="1" applyAlignment="1">
      <alignment vertical="center"/>
    </xf>
    <xf numFmtId="0" fontId="26" fillId="0" borderId="0" xfId="0" applyFont="1" applyAlignment="1">
      <alignment vertical="center"/>
    </xf>
    <xf numFmtId="172" fontId="23" fillId="4" borderId="0" xfId="1" applyNumberFormat="1" applyFont="1" applyFill="1" applyBorder="1" applyAlignment="1">
      <alignment vertical="center"/>
    </xf>
    <xf numFmtId="7" fontId="8" fillId="0" borderId="0" xfId="1" applyNumberFormat="1" applyFont="1" applyFill="1" applyBorder="1" applyAlignment="1">
      <alignment vertical="center"/>
    </xf>
    <xf numFmtId="7" fontId="8" fillId="0" borderId="10" xfId="1" applyNumberFormat="1" applyFont="1" applyFill="1" applyBorder="1" applyAlignment="1">
      <alignment vertical="center"/>
    </xf>
    <xf numFmtId="7" fontId="6" fillId="4" borderId="0" xfId="1" applyNumberFormat="1" applyFont="1" applyFill="1" applyBorder="1" applyAlignment="1">
      <alignment vertical="center"/>
    </xf>
    <xf numFmtId="169" fontId="6" fillId="0" borderId="10" xfId="0" applyNumberFormat="1" applyFont="1" applyBorder="1" applyAlignment="1">
      <alignment vertical="center"/>
    </xf>
    <xf numFmtId="169" fontId="6" fillId="4" borderId="10" xfId="0" applyNumberFormat="1" applyFont="1" applyFill="1" applyBorder="1" applyAlignment="1">
      <alignment vertical="center"/>
    </xf>
    <xf numFmtId="165" fontId="10" fillId="0" borderId="14" xfId="0" applyNumberFormat="1" applyFont="1" applyBorder="1" applyAlignment="1">
      <alignment horizontal="center" vertical="center"/>
    </xf>
  </cellXfs>
  <cellStyles count="3">
    <cellStyle name="Normal" xfId="0" builtinId="0"/>
    <cellStyle name="Normal 2" xfId="2" xr:uid="{FE34F453-BE46-4638-A718-6F04F1594BE6}"/>
    <cellStyle name="Percent" xfId="1"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70DC0-0FC1-4017-8F2F-BF01AB25198C}">
  <sheetPr>
    <tabColor theme="7" tint="0.39997558519241921"/>
  </sheetPr>
  <dimension ref="A1"/>
  <sheetViews>
    <sheetView workbookViewId="0"/>
  </sheetViews>
  <sheetFormatPr defaultRowHeight="14.25" x14ac:dyDescent="0.4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33E75-78BD-49F8-913A-25707F22CC4B}">
  <dimension ref="A1:Q53"/>
  <sheetViews>
    <sheetView showGridLines="0" zoomScaleNormal="100" zoomScaleSheetLayoutView="130" workbookViewId="0">
      <selection activeCell="D30" sqref="D30"/>
    </sheetView>
  </sheetViews>
  <sheetFormatPr defaultColWidth="9.1328125" defaultRowHeight="13.15" x14ac:dyDescent="0.4"/>
  <cols>
    <col min="1" max="1" width="10" style="2" customWidth="1"/>
    <col min="2" max="2" width="25.59765625" style="2" customWidth="1"/>
    <col min="3" max="10" width="11.265625" style="2" customWidth="1"/>
    <col min="11" max="11" width="9.1328125" style="2"/>
    <col min="12" max="12" width="9.1328125" style="173"/>
    <col min="13" max="17" width="9.1328125" style="2" customWidth="1"/>
    <col min="18" max="20" width="9.1328125" style="1" customWidth="1"/>
    <col min="21" max="16384" width="9.1328125" style="1"/>
  </cols>
  <sheetData>
    <row r="1" spans="2:13" x14ac:dyDescent="0.4">
      <c r="B1" s="3"/>
    </row>
    <row r="2" spans="2:13" s="4" customFormat="1" ht="13.5" customHeight="1" x14ac:dyDescent="0.45">
      <c r="B2" s="5" t="s">
        <v>195</v>
      </c>
      <c r="C2" s="5"/>
      <c r="D2" s="5"/>
      <c r="E2" s="6"/>
      <c r="F2" s="6"/>
      <c r="G2" s="6"/>
      <c r="H2" s="6"/>
      <c r="I2" s="6"/>
      <c r="J2" s="7" t="s">
        <v>32</v>
      </c>
      <c r="L2" s="174"/>
    </row>
    <row r="3" spans="2:13" s="4" customFormat="1" ht="13.5" customHeight="1" x14ac:dyDescent="0.45">
      <c r="B3" s="8" t="s">
        <v>9</v>
      </c>
      <c r="C3" s="31">
        <f>+D3-1</f>
        <v>-2</v>
      </c>
      <c r="D3" s="31">
        <f>+E3-1</f>
        <v>-1</v>
      </c>
      <c r="E3" s="71">
        <v>0</v>
      </c>
      <c r="F3" s="31">
        <v>1</v>
      </c>
      <c r="G3" s="31">
        <f>F3+1</f>
        <v>2</v>
      </c>
      <c r="H3" s="31">
        <f>G3+1</f>
        <v>3</v>
      </c>
      <c r="I3" s="31">
        <f>H3+1</f>
        <v>4</v>
      </c>
      <c r="J3" s="31">
        <f>I3+1</f>
        <v>5</v>
      </c>
      <c r="L3" s="174"/>
    </row>
    <row r="4" spans="2:13" s="4" customFormat="1" ht="13.5" customHeight="1" x14ac:dyDescent="0.45">
      <c r="B4" s="4" t="s">
        <v>129</v>
      </c>
      <c r="C4" s="115">
        <v>27.24</v>
      </c>
      <c r="D4" s="115">
        <v>13.08</v>
      </c>
      <c r="E4" s="147">
        <v>33.200000000000003</v>
      </c>
      <c r="F4" s="53"/>
      <c r="G4" s="53"/>
      <c r="H4" s="53"/>
      <c r="I4" s="53"/>
      <c r="J4" s="53"/>
      <c r="K4" s="57"/>
      <c r="L4" s="174"/>
      <c r="M4" s="17"/>
    </row>
    <row r="5" spans="2:13" s="4" customFormat="1" ht="13.5" customHeight="1" x14ac:dyDescent="0.45">
      <c r="B5" s="50"/>
      <c r="C5" s="136"/>
      <c r="D5" s="72"/>
      <c r="E5" s="73"/>
      <c r="F5" s="72"/>
      <c r="G5" s="72"/>
      <c r="H5" s="72"/>
      <c r="I5" s="72"/>
      <c r="J5" s="72"/>
      <c r="K5" s="72"/>
      <c r="L5" s="174"/>
    </row>
    <row r="6" spans="2:13" s="4" customFormat="1" ht="13.5" customHeight="1" x14ac:dyDescent="0.45">
      <c r="B6" s="4" t="s">
        <v>122</v>
      </c>
      <c r="C6" s="115">
        <v>1.6343999999999999</v>
      </c>
      <c r="D6" s="115">
        <v>1.635</v>
      </c>
      <c r="E6" s="147">
        <v>2.7224000000000004</v>
      </c>
      <c r="F6" s="53"/>
      <c r="G6" s="53"/>
      <c r="H6" s="53"/>
      <c r="I6" s="53"/>
      <c r="J6" s="53"/>
      <c r="L6" s="174"/>
    </row>
    <row r="7" spans="2:13" s="4" customFormat="1" ht="13.5" customHeight="1" x14ac:dyDescent="0.45">
      <c r="B7" s="4" t="s">
        <v>123</v>
      </c>
      <c r="C7" s="99">
        <v>2.1791999999999998</v>
      </c>
      <c r="D7" s="99">
        <v>1.5957600000000001</v>
      </c>
      <c r="E7" s="206">
        <v>2.6228000000000002</v>
      </c>
      <c r="F7" s="81"/>
      <c r="G7" s="81"/>
      <c r="H7" s="81"/>
      <c r="I7" s="81"/>
      <c r="J7" s="81"/>
      <c r="L7" s="174"/>
    </row>
    <row r="8" spans="2:13" s="4" customFormat="1" ht="13.5" customHeight="1" x14ac:dyDescent="0.45">
      <c r="B8" s="13" t="s">
        <v>130</v>
      </c>
      <c r="C8" s="137">
        <f>C4-C6-C7</f>
        <v>23.426400000000001</v>
      </c>
      <c r="D8" s="137">
        <f>D4-D6-D7</f>
        <v>9.84924</v>
      </c>
      <c r="E8" s="88">
        <f>E4-E6-E7</f>
        <v>27.854800000000001</v>
      </c>
      <c r="F8" s="137"/>
      <c r="G8" s="137"/>
      <c r="H8" s="137"/>
      <c r="I8" s="137"/>
      <c r="J8" s="137"/>
      <c r="K8" s="57"/>
      <c r="L8" s="174"/>
      <c r="M8" s="17"/>
    </row>
    <row r="9" spans="2:13" s="38" customFormat="1" ht="13.5" customHeight="1" x14ac:dyDescent="0.45">
      <c r="B9" s="141"/>
      <c r="C9" s="142"/>
      <c r="D9" s="142"/>
      <c r="E9" s="166"/>
      <c r="F9" s="142"/>
      <c r="G9" s="142"/>
      <c r="H9" s="142"/>
      <c r="I9" s="142"/>
      <c r="J9" s="142"/>
      <c r="K9" s="143"/>
      <c r="L9" s="178"/>
      <c r="M9" s="141"/>
    </row>
    <row r="10" spans="2:13" s="4" customFormat="1" ht="13.5" customHeight="1" x14ac:dyDescent="0.45">
      <c r="B10" s="4" t="s">
        <v>132</v>
      </c>
      <c r="C10" s="115">
        <v>8.9254584000000001</v>
      </c>
      <c r="D10" s="115">
        <v>3.9593944800000003</v>
      </c>
      <c r="E10" s="147">
        <v>13.426013599999999</v>
      </c>
      <c r="F10" s="53"/>
      <c r="G10" s="53"/>
      <c r="H10" s="53"/>
      <c r="I10" s="53"/>
      <c r="J10" s="53"/>
      <c r="K10" s="36"/>
      <c r="L10" s="180"/>
    </row>
    <row r="11" spans="2:13" s="4" customFormat="1" ht="13.5" customHeight="1" x14ac:dyDescent="0.45">
      <c r="B11" s="4" t="s">
        <v>133</v>
      </c>
      <c r="C11" s="99">
        <v>0.5622336</v>
      </c>
      <c r="D11" s="99">
        <v>0.34472340000000001</v>
      </c>
      <c r="E11" s="206">
        <v>1.0584823999999999</v>
      </c>
      <c r="F11" s="81"/>
      <c r="G11" s="81"/>
      <c r="H11" s="81"/>
      <c r="I11" s="81"/>
      <c r="J11" s="81"/>
      <c r="K11" s="36"/>
      <c r="L11" s="180"/>
    </row>
    <row r="12" spans="2:13" s="4" customFormat="1" ht="13.5" customHeight="1" x14ac:dyDescent="0.45">
      <c r="B12" s="13" t="s">
        <v>124</v>
      </c>
      <c r="C12" s="137">
        <f>C10+C11</f>
        <v>9.4876920000000009</v>
      </c>
      <c r="D12" s="137">
        <f t="shared" ref="D12:E12" si="0">D10+D11</f>
        <v>4.3041178800000006</v>
      </c>
      <c r="E12" s="88">
        <f t="shared" si="0"/>
        <v>14.484496</v>
      </c>
      <c r="F12" s="137"/>
      <c r="G12" s="137"/>
      <c r="H12" s="137"/>
      <c r="I12" s="137"/>
      <c r="J12" s="137"/>
      <c r="K12" s="36"/>
      <c r="L12" s="180"/>
    </row>
    <row r="13" spans="2:13" s="4" customFormat="1" ht="13.5" customHeight="1" x14ac:dyDescent="0.45">
      <c r="B13" s="17"/>
      <c r="C13" s="138"/>
      <c r="D13" s="138"/>
      <c r="E13" s="101"/>
      <c r="F13" s="138"/>
      <c r="G13" s="138"/>
      <c r="H13" s="138"/>
      <c r="I13" s="138"/>
      <c r="J13" s="138"/>
      <c r="K13" s="36"/>
      <c r="L13" s="180"/>
    </row>
    <row r="14" spans="2:13" s="4" customFormat="1" ht="13.5" customHeight="1" x14ac:dyDescent="0.45">
      <c r="B14" s="17" t="s">
        <v>73</v>
      </c>
      <c r="C14" s="138">
        <f>C8-C12</f>
        <v>13.938708</v>
      </c>
      <c r="D14" s="138">
        <f>D8-D12</f>
        <v>5.5451221199999994</v>
      </c>
      <c r="E14" s="101">
        <f>E8-E12</f>
        <v>13.370304000000001</v>
      </c>
      <c r="F14" s="138"/>
      <c r="G14" s="138"/>
      <c r="H14" s="138"/>
      <c r="I14" s="138"/>
      <c r="J14" s="138"/>
      <c r="K14" s="36"/>
      <c r="L14" s="180"/>
    </row>
    <row r="15" spans="2:13" s="4" customFormat="1" ht="13.5" customHeight="1" x14ac:dyDescent="0.45">
      <c r="B15" s="50"/>
      <c r="C15" s="75"/>
      <c r="D15" s="75"/>
      <c r="E15" s="76"/>
      <c r="F15" s="105"/>
      <c r="G15" s="105"/>
      <c r="H15" s="105"/>
      <c r="I15" s="105"/>
      <c r="J15" s="105"/>
      <c r="K15" s="36"/>
      <c r="L15" s="180"/>
    </row>
    <row r="16" spans="2:13" s="4" customFormat="1" ht="13.5" customHeight="1" x14ac:dyDescent="0.45">
      <c r="B16" s="4" t="s">
        <v>134</v>
      </c>
      <c r="C16" s="115">
        <v>0.49195440000000007</v>
      </c>
      <c r="D16" s="115">
        <v>0.20683404000000002</v>
      </c>
      <c r="E16" s="147">
        <v>0.5849508000000001</v>
      </c>
      <c r="F16" s="53"/>
      <c r="G16" s="53"/>
      <c r="H16" s="53"/>
      <c r="I16" s="53"/>
      <c r="J16" s="53"/>
      <c r="K16" s="36"/>
      <c r="L16" s="180"/>
    </row>
    <row r="17" spans="2:12" s="4" customFormat="1" ht="13.5" customHeight="1" x14ac:dyDescent="0.45">
      <c r="B17" s="4" t="s">
        <v>135</v>
      </c>
      <c r="C17" s="99">
        <v>0.11713200000000001</v>
      </c>
      <c r="D17" s="99">
        <v>3.9396960000000002E-2</v>
      </c>
      <c r="E17" s="206">
        <v>0.13927400000000001</v>
      </c>
      <c r="F17" s="81"/>
      <c r="G17" s="81"/>
      <c r="H17" s="81"/>
      <c r="I17" s="81"/>
      <c r="J17" s="81"/>
      <c r="K17" s="36"/>
      <c r="L17" s="180"/>
    </row>
    <row r="18" spans="2:12" s="4" customFormat="1" ht="13.5" customHeight="1" x14ac:dyDescent="0.45">
      <c r="B18" s="4" t="s">
        <v>136</v>
      </c>
      <c r="C18" s="99">
        <v>1.6164216000000002</v>
      </c>
      <c r="D18" s="99">
        <v>0.73869299999999993</v>
      </c>
      <c r="E18" s="206">
        <v>2.0055456</v>
      </c>
      <c r="F18" s="81"/>
      <c r="G18" s="81"/>
      <c r="H18" s="81"/>
      <c r="I18" s="81"/>
      <c r="J18" s="81"/>
      <c r="K18" s="36"/>
      <c r="L18" s="180"/>
    </row>
    <row r="19" spans="2:12" s="4" customFormat="1" ht="13.5" customHeight="1" x14ac:dyDescent="0.45">
      <c r="B19" s="4" t="s">
        <v>137</v>
      </c>
      <c r="C19" s="99">
        <v>0.7496448</v>
      </c>
      <c r="D19" s="99">
        <v>0.31517568000000001</v>
      </c>
      <c r="E19" s="206">
        <v>0.89135360000000008</v>
      </c>
      <c r="F19" s="81"/>
      <c r="G19" s="81"/>
      <c r="H19" s="81"/>
      <c r="I19" s="81"/>
      <c r="J19" s="81"/>
      <c r="K19" s="36"/>
      <c r="L19" s="180"/>
    </row>
    <row r="20" spans="2:12" s="4" customFormat="1" ht="13.5" customHeight="1" x14ac:dyDescent="0.45">
      <c r="B20" s="13" t="s">
        <v>138</v>
      </c>
      <c r="C20" s="137">
        <f>SUM(C16:C19)</f>
        <v>2.9751528000000005</v>
      </c>
      <c r="D20" s="137">
        <f t="shared" ref="D20:E20" si="1">SUM(D16:D19)</f>
        <v>1.30009968</v>
      </c>
      <c r="E20" s="88">
        <f t="shared" si="1"/>
        <v>3.621124</v>
      </c>
      <c r="F20" s="137"/>
      <c r="G20" s="137"/>
      <c r="H20" s="137"/>
      <c r="I20" s="137"/>
      <c r="J20" s="137"/>
      <c r="K20" s="36"/>
      <c r="L20" s="180"/>
    </row>
    <row r="21" spans="2:12" s="4" customFormat="1" ht="13.5" customHeight="1" x14ac:dyDescent="0.45">
      <c r="B21" s="17"/>
      <c r="C21" s="138"/>
      <c r="D21" s="138"/>
      <c r="E21" s="101"/>
      <c r="F21" s="138"/>
      <c r="G21" s="138"/>
      <c r="H21" s="138"/>
      <c r="I21" s="138"/>
      <c r="J21" s="138"/>
      <c r="K21" s="36"/>
      <c r="L21" s="180"/>
    </row>
    <row r="22" spans="2:12" s="4" customFormat="1" ht="13.5" customHeight="1" x14ac:dyDescent="0.45">
      <c r="B22" s="17" t="s">
        <v>125</v>
      </c>
      <c r="C22" s="138">
        <f>C14-C20</f>
        <v>10.9635552</v>
      </c>
      <c r="D22" s="138">
        <f>D14-D20</f>
        <v>4.2450224399999996</v>
      </c>
      <c r="E22" s="101">
        <f>E14-E20</f>
        <v>9.7491800000000008</v>
      </c>
      <c r="F22" s="138"/>
      <c r="G22" s="138"/>
      <c r="H22" s="138"/>
      <c r="I22" s="138"/>
      <c r="J22" s="138"/>
      <c r="K22" s="36"/>
      <c r="L22" s="180"/>
    </row>
    <row r="23" spans="2:12" s="4" customFormat="1" ht="13.5" customHeight="1" x14ac:dyDescent="0.45">
      <c r="B23" s="50"/>
      <c r="C23" s="75"/>
      <c r="D23" s="75"/>
      <c r="E23" s="76"/>
      <c r="F23" s="105"/>
      <c r="G23" s="105"/>
      <c r="H23" s="105"/>
      <c r="I23" s="105"/>
      <c r="J23" s="105"/>
      <c r="K23" s="36"/>
      <c r="L23" s="180"/>
    </row>
    <row r="24" spans="2:12" s="4" customFormat="1" ht="13.5" customHeight="1" x14ac:dyDescent="0.45">
      <c r="B24" s="4" t="s">
        <v>139</v>
      </c>
      <c r="C24" s="115">
        <v>4.7087064000000005</v>
      </c>
      <c r="D24" s="115">
        <v>1.4773859999999999</v>
      </c>
      <c r="E24" s="147">
        <v>6.2673300000000003</v>
      </c>
      <c r="F24" s="53"/>
      <c r="G24" s="53"/>
      <c r="H24" s="53"/>
      <c r="I24" s="53"/>
      <c r="J24" s="53"/>
      <c r="K24" s="36"/>
      <c r="L24" s="180"/>
    </row>
    <row r="25" spans="2:12" s="4" customFormat="1" ht="13.5" customHeight="1" x14ac:dyDescent="0.45">
      <c r="B25" s="4" t="s">
        <v>140</v>
      </c>
      <c r="C25" s="99">
        <v>0.35139599999999999</v>
      </c>
      <c r="D25" s="99">
        <v>4.9246200000000004E-2</v>
      </c>
      <c r="E25" s="206">
        <v>0.55709600000000004</v>
      </c>
      <c r="F25" s="81"/>
      <c r="G25" s="81"/>
      <c r="H25" s="81"/>
      <c r="I25" s="81"/>
      <c r="J25" s="81"/>
      <c r="K25" s="36"/>
      <c r="L25" s="180"/>
    </row>
    <row r="26" spans="2:12" s="4" customFormat="1" ht="13.5" customHeight="1" x14ac:dyDescent="0.45">
      <c r="B26" s="139" t="s">
        <v>72</v>
      </c>
      <c r="C26" s="137">
        <f>SUM(C24:C25)</f>
        <v>5.0601024000000008</v>
      </c>
      <c r="D26" s="137">
        <f t="shared" ref="D26:E26" si="2">SUM(D24:D25)</f>
        <v>1.5266321999999999</v>
      </c>
      <c r="E26" s="88">
        <f t="shared" si="2"/>
        <v>6.8244260000000008</v>
      </c>
      <c r="F26" s="137"/>
      <c r="G26" s="137"/>
      <c r="H26" s="137"/>
      <c r="I26" s="137"/>
      <c r="J26" s="137"/>
      <c r="L26" s="174"/>
    </row>
    <row r="27" spans="2:12" s="4" customFormat="1" ht="13.5" customHeight="1" x14ac:dyDescent="0.45">
      <c r="B27" s="144"/>
      <c r="C27" s="138"/>
      <c r="D27" s="138"/>
      <c r="E27" s="101"/>
      <c r="F27" s="138"/>
      <c r="G27" s="138"/>
      <c r="H27" s="138"/>
      <c r="I27" s="138"/>
      <c r="J27" s="138"/>
      <c r="L27" s="174"/>
    </row>
    <row r="28" spans="2:12" s="4" customFormat="1" ht="13.5" customHeight="1" x14ac:dyDescent="0.45">
      <c r="B28" s="4" t="s">
        <v>128</v>
      </c>
      <c r="C28" s="115">
        <v>2</v>
      </c>
      <c r="D28" s="115">
        <v>1.2</v>
      </c>
      <c r="E28" s="147">
        <v>3.2549019607843142</v>
      </c>
      <c r="F28" s="53"/>
      <c r="G28" s="53"/>
      <c r="H28" s="53"/>
      <c r="I28" s="53"/>
      <c r="J28" s="53"/>
      <c r="K28" s="36"/>
      <c r="L28" s="180"/>
    </row>
    <row r="29" spans="2:12" s="4" customFormat="1" ht="13.5" customHeight="1" x14ac:dyDescent="0.45">
      <c r="B29" s="4" t="s">
        <v>141</v>
      </c>
      <c r="C29" s="99">
        <v>0.23426400000000003</v>
      </c>
      <c r="D29" s="99">
        <v>4.9246200000000004E-2</v>
      </c>
      <c r="E29" s="206">
        <v>0.16712880000000002</v>
      </c>
      <c r="F29" s="81"/>
      <c r="G29" s="81"/>
      <c r="H29" s="81"/>
      <c r="I29" s="81"/>
      <c r="J29" s="81"/>
      <c r="K29" s="36"/>
      <c r="L29" s="180"/>
    </row>
    <row r="30" spans="2:12" s="4" customFormat="1" ht="13.5" customHeight="1" x14ac:dyDescent="0.45">
      <c r="B30" s="4" t="s">
        <v>142</v>
      </c>
      <c r="C30" s="99">
        <v>1.1713200000000001</v>
      </c>
      <c r="D30" s="99">
        <v>0.78793920000000006</v>
      </c>
      <c r="E30" s="206">
        <v>1.1699016000000002</v>
      </c>
      <c r="F30" s="81"/>
      <c r="G30" s="81"/>
      <c r="H30" s="81"/>
      <c r="I30" s="81"/>
      <c r="J30" s="81"/>
      <c r="K30" s="36"/>
      <c r="L30" s="180"/>
    </row>
    <row r="31" spans="2:12" s="4" customFormat="1" ht="13.5" customHeight="1" x14ac:dyDescent="0.45">
      <c r="B31" s="139" t="s">
        <v>143</v>
      </c>
      <c r="C31" s="137">
        <f>SUM(C28:C30)</f>
        <v>3.4055840000000002</v>
      </c>
      <c r="D31" s="137">
        <f t="shared" ref="D31:E31" si="3">SUM(D28:D30)</f>
        <v>2.0371854000000003</v>
      </c>
      <c r="E31" s="88">
        <f t="shared" si="3"/>
        <v>4.5919323607843143</v>
      </c>
      <c r="F31" s="137"/>
      <c r="G31" s="137"/>
      <c r="H31" s="137"/>
      <c r="I31" s="137"/>
      <c r="J31" s="137"/>
      <c r="K31" s="36"/>
      <c r="L31" s="180"/>
    </row>
    <row r="32" spans="2:12" s="4" customFormat="1" ht="13.5" customHeight="1" x14ac:dyDescent="0.45">
      <c r="C32" s="78"/>
      <c r="D32" s="78"/>
      <c r="E32" s="79"/>
      <c r="F32" s="53"/>
      <c r="G32" s="53"/>
      <c r="H32" s="53"/>
      <c r="I32" s="53"/>
      <c r="J32" s="53"/>
      <c r="K32" s="36"/>
      <c r="L32" s="180"/>
    </row>
    <row r="33" spans="1:17" s="4" customFormat="1" ht="13.5" customHeight="1" x14ac:dyDescent="0.45">
      <c r="B33" s="17" t="s">
        <v>10</v>
      </c>
      <c r="C33" s="138">
        <f>+C22-C26-C31</f>
        <v>2.4978687999999991</v>
      </c>
      <c r="D33" s="138">
        <f>+D22-D26-D31</f>
        <v>0.68120483999999948</v>
      </c>
      <c r="E33" s="101">
        <f>+E22-E26-E31</f>
        <v>-1.6671783607843143</v>
      </c>
      <c r="F33" s="138"/>
      <c r="G33" s="138"/>
      <c r="H33" s="138"/>
      <c r="I33" s="138"/>
      <c r="J33" s="138"/>
      <c r="K33" s="36"/>
      <c r="L33" s="180"/>
    </row>
    <row r="34" spans="1:17" s="4" customFormat="1" ht="13.5" customHeight="1" x14ac:dyDescent="0.45">
      <c r="E34" s="63"/>
      <c r="F34" s="36"/>
      <c r="G34" s="36"/>
      <c r="H34" s="36"/>
      <c r="I34" s="36"/>
      <c r="J34" s="36"/>
      <c r="K34" s="36"/>
      <c r="L34" s="180"/>
    </row>
    <row r="35" spans="1:17" s="20" customFormat="1" ht="13.5" customHeight="1" x14ac:dyDescent="0.45">
      <c r="A35" s="4"/>
      <c r="B35" s="4"/>
      <c r="C35" s="4"/>
      <c r="D35" s="4"/>
      <c r="E35" s="64"/>
      <c r="F35" s="4"/>
      <c r="G35" s="4"/>
      <c r="H35" s="4"/>
      <c r="I35" s="4"/>
      <c r="J35" s="4"/>
      <c r="K35" s="4"/>
      <c r="L35" s="174"/>
      <c r="M35" s="4"/>
      <c r="N35" s="4"/>
      <c r="O35" s="4"/>
      <c r="P35" s="4"/>
      <c r="Q35" s="4"/>
    </row>
    <row r="36" spans="1:17" s="4" customFormat="1" ht="13.5" customHeight="1" x14ac:dyDescent="0.45">
      <c r="B36" s="8" t="s">
        <v>17</v>
      </c>
      <c r="C36" s="8"/>
      <c r="D36" s="8"/>
      <c r="E36" s="60">
        <v>0</v>
      </c>
      <c r="F36" s="32">
        <v>1</v>
      </c>
      <c r="G36" s="32">
        <f>F36+1</f>
        <v>2</v>
      </c>
      <c r="H36" s="32">
        <f>G36+1</f>
        <v>3</v>
      </c>
      <c r="I36" s="32">
        <f>H36+1</f>
        <v>4</v>
      </c>
      <c r="J36" s="32">
        <f>I36+1</f>
        <v>5</v>
      </c>
      <c r="L36" s="174"/>
    </row>
    <row r="37" spans="1:17" s="4" customFormat="1" ht="13.5" customHeight="1" x14ac:dyDescent="0.45">
      <c r="B37" s="4" t="s">
        <v>18</v>
      </c>
      <c r="E37" s="79">
        <v>2.2000000000000002</v>
      </c>
      <c r="F37" s="56"/>
      <c r="G37" s="56"/>
      <c r="H37" s="56"/>
      <c r="I37" s="56"/>
      <c r="J37" s="56"/>
      <c r="L37" s="174"/>
    </row>
    <row r="38" spans="1:17" s="20" customFormat="1" ht="13.5" customHeight="1" x14ac:dyDescent="0.45">
      <c r="A38" s="4"/>
      <c r="B38" s="4" t="s">
        <v>155</v>
      </c>
      <c r="C38" s="4"/>
      <c r="D38" s="4"/>
      <c r="E38" s="205">
        <v>0.12836383561643835</v>
      </c>
      <c r="F38" s="52"/>
      <c r="G38" s="52"/>
      <c r="H38" s="52"/>
      <c r="I38" s="52"/>
      <c r="J38" s="52"/>
      <c r="K38" s="160"/>
      <c r="L38" s="174"/>
      <c r="M38" s="12"/>
      <c r="N38" s="4"/>
      <c r="O38" s="4"/>
      <c r="P38" s="4"/>
      <c r="Q38" s="4"/>
    </row>
    <row r="39" spans="1:17" s="20" customFormat="1" ht="13.5" customHeight="1" x14ac:dyDescent="0.45">
      <c r="A39" s="4"/>
      <c r="B39" s="4" t="s">
        <v>153</v>
      </c>
      <c r="C39" s="4"/>
      <c r="D39" s="4"/>
      <c r="E39" s="205">
        <v>2.5993676712328768</v>
      </c>
      <c r="F39" s="52"/>
      <c r="G39" s="52"/>
      <c r="H39" s="52"/>
      <c r="I39" s="52"/>
      <c r="J39" s="52"/>
      <c r="K39" s="160"/>
      <c r="L39" s="181"/>
      <c r="M39" s="12"/>
      <c r="N39" s="4"/>
      <c r="O39" s="4"/>
      <c r="P39" s="4"/>
      <c r="Q39" s="4"/>
    </row>
    <row r="40" spans="1:17" s="20" customFormat="1" ht="13.5" customHeight="1" x14ac:dyDescent="0.45">
      <c r="A40" s="4"/>
      <c r="B40" s="4" t="s">
        <v>154</v>
      </c>
      <c r="C40" s="4"/>
      <c r="D40" s="4"/>
      <c r="E40" s="205">
        <v>0.46852800000000006</v>
      </c>
      <c r="F40" s="52"/>
      <c r="G40" s="52"/>
      <c r="H40" s="52"/>
      <c r="I40" s="52"/>
      <c r="J40" s="52"/>
      <c r="K40" s="160"/>
      <c r="L40" s="174"/>
      <c r="M40" s="12"/>
      <c r="N40" s="4"/>
      <c r="O40" s="4"/>
      <c r="P40" s="4"/>
      <c r="Q40" s="4"/>
    </row>
    <row r="41" spans="1:17" s="4" customFormat="1" ht="13.5" customHeight="1" x14ac:dyDescent="0.45">
      <c r="B41" s="4" t="s">
        <v>39</v>
      </c>
      <c r="E41" s="205">
        <v>0</v>
      </c>
      <c r="F41" s="52"/>
      <c r="G41" s="52"/>
      <c r="H41" s="52"/>
      <c r="I41" s="52"/>
      <c r="J41" s="52"/>
      <c r="L41" s="174"/>
    </row>
    <row r="42" spans="1:17" s="4" customFormat="1" ht="13.5" customHeight="1" x14ac:dyDescent="0.45">
      <c r="B42" s="4" t="s">
        <v>40</v>
      </c>
      <c r="E42" s="205">
        <v>0</v>
      </c>
      <c r="F42" s="81"/>
      <c r="G42" s="81"/>
      <c r="H42" s="81"/>
      <c r="I42" s="81"/>
      <c r="J42" s="81"/>
      <c r="L42" s="174"/>
    </row>
    <row r="43" spans="1:17" s="4" customFormat="1" ht="13.5" customHeight="1" x14ac:dyDescent="0.45">
      <c r="B43" s="4" t="s">
        <v>21</v>
      </c>
      <c r="E43" s="205">
        <v>2.5</v>
      </c>
      <c r="F43" s="52"/>
      <c r="G43" s="52"/>
      <c r="H43" s="52"/>
      <c r="I43" s="52"/>
      <c r="J43" s="52"/>
      <c r="L43" s="174"/>
    </row>
    <row r="44" spans="1:17" s="4" customFormat="1" ht="13.5" customHeight="1" x14ac:dyDescent="0.45">
      <c r="B44" s="13" t="s">
        <v>20</v>
      </c>
      <c r="C44" s="13"/>
      <c r="D44" s="13"/>
      <c r="E44" s="90">
        <f>SUM(E37:E43)</f>
        <v>7.896259506849316</v>
      </c>
      <c r="F44" s="55"/>
      <c r="G44" s="55"/>
      <c r="H44" s="55"/>
      <c r="I44" s="55"/>
      <c r="J44" s="55"/>
      <c r="L44" s="174"/>
    </row>
    <row r="45" spans="1:17" s="20" customFormat="1" ht="13.5" customHeight="1" x14ac:dyDescent="0.45">
      <c r="A45" s="4"/>
      <c r="B45" s="4"/>
      <c r="C45" s="4"/>
      <c r="D45" s="4"/>
      <c r="E45" s="91"/>
      <c r="F45" s="56"/>
      <c r="G45" s="56"/>
      <c r="H45" s="56"/>
      <c r="I45" s="56"/>
      <c r="J45" s="56"/>
      <c r="K45" s="4"/>
      <c r="L45" s="174"/>
      <c r="M45" s="4"/>
      <c r="N45" s="4"/>
      <c r="O45" s="4"/>
      <c r="P45" s="4"/>
      <c r="Q45" s="4"/>
    </row>
    <row r="46" spans="1:17" s="20" customFormat="1" ht="13.5" customHeight="1" x14ac:dyDescent="0.45">
      <c r="A46" s="4"/>
      <c r="B46" s="4" t="s">
        <v>156</v>
      </c>
      <c r="C46" s="4"/>
      <c r="D46" s="4"/>
      <c r="E46" s="79">
        <v>1.2996838356164384</v>
      </c>
      <c r="F46" s="56"/>
      <c r="G46" s="56"/>
      <c r="H46" s="56"/>
      <c r="I46" s="56"/>
      <c r="J46" s="56"/>
      <c r="K46" s="160"/>
      <c r="L46" s="174"/>
      <c r="M46" s="12"/>
      <c r="N46" s="4"/>
      <c r="O46" s="4"/>
      <c r="P46" s="4"/>
      <c r="Q46" s="4"/>
    </row>
    <row r="47" spans="1:17" s="20" customFormat="1" ht="13.5" customHeight="1" x14ac:dyDescent="0.45">
      <c r="A47" s="4"/>
      <c r="B47" s="4" t="s">
        <v>157</v>
      </c>
      <c r="C47" s="4"/>
      <c r="D47" s="4"/>
      <c r="E47" s="205">
        <v>0.47438460000000005</v>
      </c>
      <c r="F47" s="81"/>
      <c r="G47" s="81"/>
      <c r="H47" s="81"/>
      <c r="I47" s="81"/>
      <c r="J47" s="81"/>
      <c r="K47" s="160"/>
      <c r="L47" s="174"/>
      <c r="M47" s="12"/>
      <c r="N47" s="4"/>
      <c r="O47" s="4"/>
      <c r="P47" s="4"/>
      <c r="Q47" s="4"/>
    </row>
    <row r="48" spans="1:17" s="4" customFormat="1" ht="13.5" customHeight="1" x14ac:dyDescent="0.45">
      <c r="B48" s="4" t="s">
        <v>46</v>
      </c>
      <c r="E48" s="205">
        <v>0</v>
      </c>
      <c r="F48" s="81"/>
      <c r="G48" s="81"/>
      <c r="H48" s="81"/>
      <c r="I48" s="81"/>
      <c r="J48" s="81"/>
      <c r="L48" s="174"/>
    </row>
    <row r="49" spans="1:17" s="4" customFormat="1" ht="13.5" customHeight="1" x14ac:dyDescent="0.45">
      <c r="B49" s="4" t="s">
        <v>47</v>
      </c>
      <c r="E49" s="205">
        <v>0</v>
      </c>
      <c r="F49" s="81"/>
      <c r="G49" s="81"/>
      <c r="H49" s="81"/>
      <c r="I49" s="81"/>
      <c r="J49" s="81"/>
      <c r="L49" s="174"/>
    </row>
    <row r="50" spans="1:17" s="4" customFormat="1" ht="13.5" customHeight="1" x14ac:dyDescent="0.45">
      <c r="B50" s="4" t="s">
        <v>22</v>
      </c>
      <c r="E50" s="205">
        <v>6.1221910712328773</v>
      </c>
      <c r="F50" s="52"/>
      <c r="G50" s="52"/>
      <c r="H50" s="52"/>
      <c r="I50" s="52"/>
      <c r="J50" s="52"/>
      <c r="L50" s="174"/>
    </row>
    <row r="51" spans="1:17" s="4" customFormat="1" ht="13.5" customHeight="1" x14ac:dyDescent="0.45">
      <c r="B51" s="13" t="s">
        <v>23</v>
      </c>
      <c r="C51" s="13"/>
      <c r="D51" s="13"/>
      <c r="E51" s="90">
        <f>SUM(E46:E50)</f>
        <v>7.896259506849316</v>
      </c>
      <c r="F51" s="55"/>
      <c r="G51" s="55"/>
      <c r="H51" s="55"/>
      <c r="I51" s="55"/>
      <c r="J51" s="55"/>
      <c r="L51" s="174"/>
    </row>
    <row r="52" spans="1:17" s="4" customFormat="1" ht="13.5" customHeight="1" x14ac:dyDescent="0.45">
      <c r="B52" s="38"/>
      <c r="C52" s="38"/>
      <c r="D52" s="38"/>
      <c r="E52" s="68"/>
      <c r="F52" s="39"/>
      <c r="G52" s="39"/>
      <c r="H52" s="39"/>
      <c r="I52" s="39"/>
      <c r="J52" s="39"/>
      <c r="L52" s="174"/>
    </row>
    <row r="53" spans="1:17" s="20" customFormat="1" ht="13.5" customHeight="1" x14ac:dyDescent="0.45">
      <c r="A53" s="4"/>
      <c r="B53" s="4"/>
      <c r="C53" s="154"/>
      <c r="D53" s="4"/>
      <c r="E53" s="91"/>
      <c r="F53" s="156"/>
      <c r="G53" s="156"/>
      <c r="H53" s="156"/>
      <c r="I53" s="156"/>
      <c r="J53" s="156"/>
      <c r="K53" s="4"/>
      <c r="L53" s="174"/>
      <c r="M53" s="12"/>
      <c r="N53" s="4"/>
      <c r="O53" s="4"/>
      <c r="P53" s="4"/>
      <c r="Q53" s="4"/>
    </row>
  </sheetData>
  <pageMargins left="0.7" right="0.7" top="0.75" bottom="0.75" header="0.3" footer="0.3"/>
  <pageSetup scale="80" orientation="portrait" r:id="rId1"/>
  <colBreaks count="1" manualBreakCount="1">
    <brk id="12"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6C296-DCE3-4686-9AE2-28368FB02D8D}">
  <sheetPr>
    <tabColor theme="7" tint="0.39997558519241921"/>
  </sheetPr>
  <dimension ref="A1"/>
  <sheetViews>
    <sheetView workbookViewId="0"/>
  </sheetViews>
  <sheetFormatPr defaultRowHeight="14.25" x14ac:dyDescent="0.4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E6DE5-CA0A-449F-9305-9AE8C8602974}">
  <dimension ref="A1:Q257"/>
  <sheetViews>
    <sheetView showGridLines="0" tabSelected="1" zoomScaleNormal="100" zoomScaleSheetLayoutView="130" workbookViewId="0"/>
  </sheetViews>
  <sheetFormatPr defaultColWidth="9.1328125" defaultRowHeight="13.15" x14ac:dyDescent="0.4"/>
  <cols>
    <col min="1" max="1" width="10" style="2" customWidth="1"/>
    <col min="2" max="2" width="25.59765625" style="2" customWidth="1"/>
    <col min="3" max="10" width="11.265625" style="2" customWidth="1"/>
    <col min="11" max="11" width="9.1328125" style="2"/>
    <col min="12" max="12" width="9.1328125" style="173"/>
    <col min="13" max="17" width="9.1328125" style="2" customWidth="1"/>
    <col min="18" max="20" width="9.1328125" style="1" customWidth="1"/>
    <col min="21" max="16384" width="9.1328125" style="1"/>
  </cols>
  <sheetData>
    <row r="1" spans="2:17" x14ac:dyDescent="0.4">
      <c r="B1" s="3"/>
    </row>
    <row r="2" spans="2:17" s="4" customFormat="1" ht="13.5" customHeight="1" x14ac:dyDescent="0.45">
      <c r="B2" s="5" t="s">
        <v>0</v>
      </c>
      <c r="C2" s="5"/>
      <c r="D2" s="5"/>
      <c r="E2" s="6"/>
      <c r="F2" s="6"/>
      <c r="G2" s="6"/>
      <c r="H2" s="6"/>
      <c r="I2" s="6"/>
      <c r="J2" s="7" t="s">
        <v>32</v>
      </c>
      <c r="L2" s="174"/>
    </row>
    <row r="3" spans="2:17" s="4" customFormat="1" ht="13.5" customHeight="1" x14ac:dyDescent="0.45">
      <c r="B3" s="8" t="s">
        <v>76</v>
      </c>
      <c r="C3" s="8"/>
      <c r="D3" s="8"/>
      <c r="E3" s="8"/>
      <c r="G3" s="8" t="s">
        <v>95</v>
      </c>
      <c r="H3" s="8"/>
      <c r="I3" s="8"/>
      <c r="J3" s="8"/>
      <c r="L3" s="174"/>
    </row>
    <row r="4" spans="2:17" s="4" customFormat="1" ht="13.5" customHeight="1" x14ac:dyDescent="0.45">
      <c r="C4" s="9" t="s">
        <v>50</v>
      </c>
      <c r="D4" s="9" t="s">
        <v>51</v>
      </c>
      <c r="E4" s="9" t="s">
        <v>0</v>
      </c>
      <c r="F4" s="9"/>
      <c r="G4" s="4" t="s">
        <v>96</v>
      </c>
      <c r="J4" s="43">
        <v>0.05</v>
      </c>
      <c r="L4" s="174"/>
    </row>
    <row r="5" spans="2:17" s="4" customFormat="1" ht="13.5" customHeight="1" x14ac:dyDescent="0.45">
      <c r="B5" s="4" t="s">
        <v>2</v>
      </c>
      <c r="C5" s="53">
        <f>E51</f>
        <v>27.854800000000001</v>
      </c>
      <c r="G5" s="4" t="s">
        <v>150</v>
      </c>
      <c r="J5" s="43">
        <v>0.25</v>
      </c>
      <c r="L5" s="175"/>
    </row>
    <row r="6" spans="2:17" s="4" customFormat="1" ht="13.5" customHeight="1" x14ac:dyDescent="0.45">
      <c r="B6" s="4" t="s">
        <v>1</v>
      </c>
      <c r="C6" s="100">
        <v>3</v>
      </c>
      <c r="D6" s="11"/>
      <c r="G6" s="4" t="s">
        <v>148</v>
      </c>
      <c r="J6" s="43">
        <v>0</v>
      </c>
      <c r="L6" s="176"/>
      <c r="Q6" s="12"/>
    </row>
    <row r="7" spans="2:17" s="4" customFormat="1" ht="13.5" customHeight="1" x14ac:dyDescent="0.45">
      <c r="B7" s="13" t="s">
        <v>53</v>
      </c>
      <c r="C7" s="55">
        <f>C5*C6</f>
        <v>83.564400000000006</v>
      </c>
      <c r="D7" s="55">
        <f>C7</f>
        <v>83.564400000000006</v>
      </c>
      <c r="E7" s="15"/>
      <c r="G7" s="4" t="s">
        <v>149</v>
      </c>
      <c r="J7" s="43">
        <v>1</v>
      </c>
      <c r="L7" s="176"/>
      <c r="Q7" s="12"/>
    </row>
    <row r="8" spans="2:17" s="4" customFormat="1" ht="13.5" customHeight="1" x14ac:dyDescent="0.45">
      <c r="B8" s="54" t="s">
        <v>57</v>
      </c>
      <c r="C8" s="52">
        <f>C135</f>
        <v>0</v>
      </c>
      <c r="D8" s="99">
        <f>D135</f>
        <v>0</v>
      </c>
      <c r="L8" s="177"/>
      <c r="Q8" s="12"/>
    </row>
    <row r="9" spans="2:17" s="4" customFormat="1" ht="13.5" customHeight="1" x14ac:dyDescent="0.45">
      <c r="B9" s="54" t="s">
        <v>59</v>
      </c>
      <c r="C9" s="52">
        <f>+C136</f>
        <v>0</v>
      </c>
      <c r="D9" s="99">
        <v>0</v>
      </c>
      <c r="L9" s="177"/>
      <c r="Q9" s="12"/>
    </row>
    <row r="10" spans="2:17" s="4" customFormat="1" ht="13.5" customHeight="1" x14ac:dyDescent="0.45">
      <c r="B10" s="54" t="s">
        <v>55</v>
      </c>
      <c r="C10" s="52">
        <f>C124</f>
        <v>2.2000000000000002</v>
      </c>
      <c r="D10" s="99">
        <v>35</v>
      </c>
      <c r="L10" s="175"/>
    </row>
    <row r="11" spans="2:17" s="4" customFormat="1" ht="13.5" customHeight="1" x14ac:dyDescent="0.45">
      <c r="B11" s="13" t="s">
        <v>52</v>
      </c>
      <c r="C11" s="55">
        <f>C7-C8+C10-C9</f>
        <v>85.764400000000009</v>
      </c>
      <c r="D11" s="55">
        <f>D7-D8+D10-D9</f>
        <v>118.56440000000001</v>
      </c>
      <c r="E11" s="15"/>
      <c r="L11" s="174"/>
    </row>
    <row r="12" spans="2:17" s="4" customFormat="1" ht="13.5" customHeight="1" x14ac:dyDescent="0.45">
      <c r="B12" s="54" t="s">
        <v>91</v>
      </c>
      <c r="C12" s="52"/>
      <c r="D12" s="81">
        <f>+E12*D7</f>
        <v>0</v>
      </c>
      <c r="E12" s="43">
        <v>0</v>
      </c>
      <c r="L12" s="175"/>
    </row>
    <row r="13" spans="2:17" s="4" customFormat="1" ht="13.5" customHeight="1" x14ac:dyDescent="0.45">
      <c r="B13" s="54" t="s">
        <v>58</v>
      </c>
      <c r="C13" s="52"/>
      <c r="D13" s="81">
        <f>+E13*D9</f>
        <v>0</v>
      </c>
      <c r="E13" s="43">
        <v>0</v>
      </c>
      <c r="L13" s="175"/>
    </row>
    <row r="14" spans="2:17" s="4" customFormat="1" ht="13.5" customHeight="1" x14ac:dyDescent="0.45">
      <c r="B14" s="13" t="s">
        <v>89</v>
      </c>
      <c r="C14" s="55"/>
      <c r="D14" s="55">
        <f>+D11+D12+D13</f>
        <v>118.56440000000001</v>
      </c>
      <c r="E14" s="15"/>
      <c r="L14" s="174"/>
    </row>
    <row r="15" spans="2:17" s="4" customFormat="1" ht="13.5" customHeight="1" x14ac:dyDescent="0.45">
      <c r="B15" s="17"/>
      <c r="C15" s="93"/>
      <c r="D15" s="93"/>
      <c r="E15" s="117"/>
      <c r="L15" s="174"/>
    </row>
    <row r="16" spans="2:17" s="4" customFormat="1" ht="13.5" customHeight="1" x14ac:dyDescent="0.45">
      <c r="L16" s="174"/>
      <c r="Q16" s="12"/>
    </row>
    <row r="17" spans="1:17" s="4" customFormat="1" ht="13.5" customHeight="1" x14ac:dyDescent="0.45">
      <c r="B17" s="5" t="s">
        <v>4</v>
      </c>
      <c r="C17" s="5"/>
      <c r="D17" s="5"/>
      <c r="E17" s="6"/>
      <c r="F17" s="6"/>
      <c r="G17" s="6"/>
      <c r="H17" s="6"/>
      <c r="I17" s="6"/>
      <c r="J17" s="7" t="s">
        <v>32</v>
      </c>
      <c r="L17" s="174"/>
      <c r="M17" s="17"/>
    </row>
    <row r="18" spans="1:17" s="4" customFormat="1" ht="13.5" customHeight="1" x14ac:dyDescent="0.45">
      <c r="B18" s="8" t="s">
        <v>5</v>
      </c>
      <c r="C18" s="8"/>
      <c r="D18" s="8"/>
      <c r="G18" s="8" t="s">
        <v>6</v>
      </c>
      <c r="H18" s="8"/>
      <c r="I18" s="8"/>
      <c r="J18" s="8"/>
      <c r="L18" s="174"/>
    </row>
    <row r="19" spans="1:17" s="4" customFormat="1" ht="13.5" customHeight="1" x14ac:dyDescent="0.45">
      <c r="B19" s="4" t="s">
        <v>47</v>
      </c>
      <c r="D19" s="53">
        <f>+D9</f>
        <v>0</v>
      </c>
      <c r="G19" s="4" t="s">
        <v>90</v>
      </c>
      <c r="J19" s="56">
        <f>+SUM(D35:D37)-SUM(H35:H37)</f>
        <v>18.760962500000005</v>
      </c>
      <c r="L19" s="174"/>
    </row>
    <row r="20" spans="1:17" s="4" customFormat="1" ht="13.5" customHeight="1" x14ac:dyDescent="0.45">
      <c r="B20" s="4" t="s">
        <v>48</v>
      </c>
      <c r="D20" s="97">
        <f>+J20</f>
        <v>67.003437500000004</v>
      </c>
      <c r="G20" s="4" t="s">
        <v>48</v>
      </c>
      <c r="J20" s="97">
        <f>SUM(H35:H37)</f>
        <v>67.003437500000004</v>
      </c>
      <c r="L20" s="174"/>
    </row>
    <row r="21" spans="1:17" s="4" customFormat="1" ht="13.5" customHeight="1" x14ac:dyDescent="0.45">
      <c r="B21" s="4" t="s">
        <v>45</v>
      </c>
      <c r="D21" s="97">
        <f>+J25-D20-D19</f>
        <v>51.560962500000002</v>
      </c>
      <c r="G21" s="4" t="s">
        <v>92</v>
      </c>
      <c r="J21" s="97">
        <f>+D10-C10</f>
        <v>32.799999999999997</v>
      </c>
      <c r="L21" s="174"/>
    </row>
    <row r="22" spans="1:17" s="4" customFormat="1" ht="13.5" customHeight="1" x14ac:dyDescent="0.45">
      <c r="D22" s="97"/>
      <c r="G22" s="4" t="s">
        <v>75</v>
      </c>
      <c r="J22" s="97">
        <f>+D12</f>
        <v>0</v>
      </c>
      <c r="L22" s="174"/>
    </row>
    <row r="23" spans="1:17" s="4" customFormat="1" ht="13.5" customHeight="1" x14ac:dyDescent="0.45">
      <c r="D23" s="97"/>
      <c r="G23" s="4" t="s">
        <v>41</v>
      </c>
      <c r="J23" s="97">
        <f>+D13</f>
        <v>0</v>
      </c>
      <c r="L23" s="174"/>
    </row>
    <row r="24" spans="1:17" s="4" customFormat="1" ht="13.5" customHeight="1" x14ac:dyDescent="0.45">
      <c r="D24" s="97"/>
      <c r="J24" s="97"/>
      <c r="L24" s="174"/>
    </row>
    <row r="25" spans="1:17" s="4" customFormat="1" ht="13.5" customHeight="1" x14ac:dyDescent="0.45">
      <c r="B25" s="13" t="s">
        <v>7</v>
      </c>
      <c r="C25" s="13"/>
      <c r="D25" s="55">
        <f>SUM(D19:D24)</f>
        <v>118.56440000000001</v>
      </c>
      <c r="G25" s="13" t="s">
        <v>8</v>
      </c>
      <c r="H25" s="14"/>
      <c r="I25" s="14"/>
      <c r="J25" s="55">
        <f>SUM(J19:J24)</f>
        <v>118.56440000000001</v>
      </c>
      <c r="L25" s="174"/>
    </row>
    <row r="26" spans="1:17" s="47" customFormat="1" ht="13.5" customHeight="1" x14ac:dyDescent="0.45">
      <c r="A26" s="38"/>
      <c r="B26" s="38" t="s">
        <v>152</v>
      </c>
      <c r="C26" s="38"/>
      <c r="D26" s="152">
        <f>+D25-J25</f>
        <v>0</v>
      </c>
      <c r="E26" s="38"/>
      <c r="F26" s="38"/>
      <c r="G26" s="38"/>
      <c r="H26" s="38"/>
      <c r="I26" s="38"/>
      <c r="J26" s="38"/>
      <c r="K26" s="38"/>
      <c r="L26" s="178"/>
      <c r="M26" s="38"/>
      <c r="N26" s="38"/>
      <c r="O26" s="38"/>
      <c r="P26" s="38"/>
      <c r="Q26" s="38"/>
    </row>
    <row r="27" spans="1:17" s="47" customFormat="1" ht="13.5" customHeight="1" x14ac:dyDescent="0.45">
      <c r="A27" s="38"/>
      <c r="B27" s="38" t="s">
        <v>151</v>
      </c>
      <c r="C27" s="38"/>
      <c r="D27" s="152">
        <f>+D21-H34</f>
        <v>0</v>
      </c>
      <c r="E27" s="38"/>
      <c r="F27" s="38"/>
      <c r="G27" s="38"/>
      <c r="H27" s="38"/>
      <c r="I27" s="38"/>
      <c r="J27" s="38"/>
      <c r="K27" s="38"/>
      <c r="L27" s="178"/>
      <c r="M27" s="38"/>
      <c r="N27" s="38"/>
      <c r="O27" s="38"/>
      <c r="P27" s="38"/>
      <c r="Q27" s="38"/>
    </row>
    <row r="28" spans="1:17" s="20" customFormat="1" ht="13.5" customHeight="1" x14ac:dyDescent="0.45">
      <c r="A28" s="4"/>
      <c r="B28" s="4"/>
      <c r="C28" s="4"/>
      <c r="D28" s="4"/>
      <c r="E28" s="4"/>
      <c r="F28" s="4"/>
      <c r="G28" s="4"/>
      <c r="H28" s="4"/>
      <c r="I28" s="4"/>
      <c r="J28" s="4"/>
      <c r="K28" s="4"/>
      <c r="L28" s="174"/>
      <c r="M28" s="4"/>
      <c r="N28" s="4"/>
      <c r="O28" s="4"/>
      <c r="P28" s="4"/>
      <c r="Q28" s="4"/>
    </row>
    <row r="29" spans="1:17" s="20" customFormat="1" ht="13.5" customHeight="1" x14ac:dyDescent="0.45">
      <c r="A29" s="4"/>
      <c r="B29" s="8" t="s">
        <v>56</v>
      </c>
      <c r="C29" s="21"/>
      <c r="D29" s="21"/>
      <c r="E29" s="21"/>
      <c r="F29" s="8"/>
      <c r="G29" s="21"/>
      <c r="H29" s="21"/>
      <c r="I29" s="21"/>
      <c r="J29" s="21"/>
      <c r="K29" s="4"/>
      <c r="L29" s="174"/>
      <c r="M29" s="4"/>
      <c r="N29" s="4"/>
      <c r="O29" s="4"/>
      <c r="P29" s="4"/>
      <c r="Q29" s="4"/>
    </row>
    <row r="30" spans="1:17" s="20" customFormat="1" ht="13.5" customHeight="1" x14ac:dyDescent="0.45">
      <c r="A30" s="4"/>
      <c r="B30" s="22"/>
      <c r="D30" s="23" t="s">
        <v>50</v>
      </c>
      <c r="E30" s="23"/>
      <c r="F30" s="23"/>
      <c r="H30" s="23" t="s">
        <v>51</v>
      </c>
      <c r="I30" s="23"/>
      <c r="J30" s="23"/>
      <c r="K30" s="4"/>
      <c r="L30" s="174"/>
      <c r="M30" s="4"/>
      <c r="N30" s="4"/>
      <c r="O30" s="4"/>
      <c r="P30" s="4"/>
      <c r="Q30" s="4"/>
    </row>
    <row r="31" spans="1:17" s="20" customFormat="1" ht="13.5" customHeight="1" x14ac:dyDescent="0.45">
      <c r="A31" s="4"/>
      <c r="B31" s="22"/>
      <c r="D31" s="24" t="s">
        <v>60</v>
      </c>
      <c r="E31" s="24" t="s">
        <v>49</v>
      </c>
      <c r="F31" s="25" t="s">
        <v>144</v>
      </c>
      <c r="H31" s="24" t="s">
        <v>60</v>
      </c>
      <c r="I31" s="24" t="s">
        <v>49</v>
      </c>
      <c r="J31" s="25" t="s">
        <v>144</v>
      </c>
      <c r="K31" s="4"/>
      <c r="L31" s="174"/>
      <c r="M31" s="4"/>
      <c r="N31" s="4"/>
      <c r="O31" s="4"/>
      <c r="P31" s="4"/>
      <c r="Q31" s="4"/>
    </row>
    <row r="32" spans="1:17" s="20" customFormat="1" ht="13.5" customHeight="1" x14ac:dyDescent="0.45">
      <c r="A32" s="4"/>
      <c r="B32" s="54" t="s">
        <v>88</v>
      </c>
      <c r="D32" s="102">
        <f>+E32*D$41/1000000</f>
        <v>0</v>
      </c>
      <c r="E32" s="104">
        <v>0</v>
      </c>
      <c r="F32" s="95">
        <f t="shared" ref="F32:F39" si="0">+E32/E$39</f>
        <v>0</v>
      </c>
      <c r="H32" s="161">
        <f>+J21+J22+J23</f>
        <v>32.799999999999997</v>
      </c>
      <c r="I32" s="26">
        <f>+H32*1000000/H$41</f>
        <v>152977.2259818759</v>
      </c>
      <c r="J32" s="95">
        <f>+I32/I$39</f>
        <v>0.26281075938477316</v>
      </c>
      <c r="K32" s="4"/>
      <c r="L32" s="174"/>
      <c r="M32" s="4"/>
      <c r="N32" s="4"/>
      <c r="O32" s="4"/>
      <c r="P32" s="4"/>
      <c r="Q32" s="4"/>
    </row>
    <row r="33" spans="1:17" s="20" customFormat="1" ht="13.5" customHeight="1" x14ac:dyDescent="0.45">
      <c r="A33" s="4"/>
      <c r="B33" s="54" t="s">
        <v>86</v>
      </c>
      <c r="D33" s="103">
        <f>+E33*D$41/1000000</f>
        <v>0</v>
      </c>
      <c r="E33" s="104">
        <v>0</v>
      </c>
      <c r="F33" s="95">
        <f t="shared" si="0"/>
        <v>0</v>
      </c>
      <c r="H33" s="150">
        <f>D35-H35+D36-H36+D37-H37</f>
        <v>18.760962499999998</v>
      </c>
      <c r="I33" s="26">
        <f>+H33*1000000/H$41</f>
        <v>87499.999999999971</v>
      </c>
      <c r="J33" s="95">
        <f>+I33/I$39</f>
        <v>0.15032264638458084</v>
      </c>
      <c r="K33" s="4"/>
      <c r="L33" s="174"/>
      <c r="M33" s="4"/>
      <c r="N33" s="4"/>
      <c r="O33" s="4"/>
      <c r="P33" s="4"/>
      <c r="Q33" s="4"/>
    </row>
    <row r="34" spans="1:17" s="20" customFormat="1" ht="13.5" customHeight="1" x14ac:dyDescent="0.45">
      <c r="A34" s="4"/>
      <c r="B34" s="27" t="s">
        <v>94</v>
      </c>
      <c r="C34" s="109"/>
      <c r="D34" s="94">
        <f>SUM(D32:D33)</f>
        <v>0</v>
      </c>
      <c r="E34" s="29">
        <f>SUM(E32:E33)</f>
        <v>0</v>
      </c>
      <c r="F34" s="96">
        <f t="shared" si="0"/>
        <v>0</v>
      </c>
      <c r="G34" s="109"/>
      <c r="H34" s="94">
        <f>+SUM(H32:H33)</f>
        <v>51.560962499999995</v>
      </c>
      <c r="I34" s="29">
        <f>+H34*1000000/H$41</f>
        <v>240477.22598187588</v>
      </c>
      <c r="J34" s="96">
        <f>+I34/I$39</f>
        <v>0.41313340576935398</v>
      </c>
      <c r="K34" s="4"/>
      <c r="L34" s="179"/>
      <c r="M34" s="4"/>
      <c r="N34" s="4"/>
      <c r="O34" s="4"/>
      <c r="P34" s="4"/>
      <c r="Q34" s="4"/>
    </row>
    <row r="35" spans="1:17" s="20" customFormat="1" ht="13.5" customHeight="1" x14ac:dyDescent="0.45">
      <c r="A35" s="4"/>
      <c r="B35" s="54" t="s">
        <v>145</v>
      </c>
      <c r="D35" s="103">
        <f>+E35*D$41/1000000</f>
        <v>32.161650000000002</v>
      </c>
      <c r="E35" s="104">
        <v>150000</v>
      </c>
      <c r="F35" s="95">
        <f t="shared" si="0"/>
        <v>0.375</v>
      </c>
      <c r="H35" s="103">
        <f>+I35*H$41/1000000</f>
        <v>24.121237500000003</v>
      </c>
      <c r="I35" s="151">
        <f>+E35*(1-J5)</f>
        <v>112500</v>
      </c>
      <c r="J35" s="95">
        <f>+I35/I$39</f>
        <v>0.19327197392303255</v>
      </c>
      <c r="K35" s="4"/>
      <c r="L35" s="174"/>
      <c r="M35" s="4"/>
      <c r="N35" s="4"/>
      <c r="O35" s="4"/>
      <c r="P35" s="4"/>
      <c r="Q35" s="4"/>
    </row>
    <row r="36" spans="1:17" s="20" customFormat="1" ht="13.5" customHeight="1" x14ac:dyDescent="0.45">
      <c r="A36" s="4"/>
      <c r="B36" s="54" t="s">
        <v>146</v>
      </c>
      <c r="D36" s="103">
        <f>+E36*D$41/1000000</f>
        <v>42.882200000000005</v>
      </c>
      <c r="E36" s="104">
        <v>200000</v>
      </c>
      <c r="F36" s="95">
        <f t="shared" si="0"/>
        <v>0.5</v>
      </c>
      <c r="H36" s="103">
        <f>+I36*H$41/1000000</f>
        <v>42.882200000000005</v>
      </c>
      <c r="I36" s="151">
        <f>+E36*(1-J6)</f>
        <v>200000</v>
      </c>
      <c r="J36" s="95">
        <f t="shared" ref="J36:J38" si="1">+I36/I$39</f>
        <v>0.34359462030761345</v>
      </c>
      <c r="K36" s="4"/>
      <c r="L36" s="174"/>
      <c r="M36" s="4"/>
      <c r="N36" s="4"/>
      <c r="O36" s="4"/>
      <c r="P36" s="4"/>
      <c r="Q36" s="4"/>
    </row>
    <row r="37" spans="1:17" s="20" customFormat="1" ht="13.5" customHeight="1" x14ac:dyDescent="0.45">
      <c r="A37" s="4"/>
      <c r="B37" s="54" t="s">
        <v>147</v>
      </c>
      <c r="D37" s="103">
        <f>+E37*D$41/1000000</f>
        <v>10.720550000000001</v>
      </c>
      <c r="E37" s="104">
        <v>50000</v>
      </c>
      <c r="F37" s="95">
        <f t="shared" si="0"/>
        <v>0.125</v>
      </c>
      <c r="H37" s="103">
        <f>+I37*H$41/1000000</f>
        <v>0</v>
      </c>
      <c r="I37" s="151">
        <f>+E37*(1-J7)</f>
        <v>0</v>
      </c>
      <c r="J37" s="95">
        <f t="shared" si="1"/>
        <v>0</v>
      </c>
      <c r="K37" s="4"/>
      <c r="L37" s="174"/>
      <c r="M37" s="4"/>
      <c r="N37" s="4"/>
      <c r="O37" s="4"/>
      <c r="P37" s="4"/>
      <c r="Q37" s="4"/>
    </row>
    <row r="38" spans="1:17" s="20" customFormat="1" ht="13.5" customHeight="1" x14ac:dyDescent="0.45">
      <c r="A38" s="4"/>
      <c r="B38" s="54" t="s">
        <v>191</v>
      </c>
      <c r="D38" s="103">
        <f>+E38*D$41/1000000</f>
        <v>0</v>
      </c>
      <c r="E38" s="104">
        <v>0</v>
      </c>
      <c r="F38" s="95">
        <f t="shared" si="0"/>
        <v>0</v>
      </c>
      <c r="H38" s="110">
        <v>0</v>
      </c>
      <c r="I38" s="135">
        <f>SUM(I34:I37)/(1-J4)*J4</f>
        <v>29104.06452536189</v>
      </c>
      <c r="J38" s="95">
        <f t="shared" si="1"/>
        <v>0.05</v>
      </c>
      <c r="K38" s="4"/>
      <c r="L38" s="174"/>
      <c r="M38" s="4"/>
      <c r="N38" s="4"/>
      <c r="O38" s="4"/>
      <c r="P38" s="4"/>
      <c r="Q38" s="4"/>
    </row>
    <row r="39" spans="1:17" s="20" customFormat="1" ht="13.5" customHeight="1" x14ac:dyDescent="0.45">
      <c r="A39" s="4"/>
      <c r="B39" s="27" t="s">
        <v>87</v>
      </c>
      <c r="C39" s="28"/>
      <c r="D39" s="149">
        <f>SUM(D34:D38)</f>
        <v>85.764400000000009</v>
      </c>
      <c r="E39" s="29">
        <f>SUM(E34:E38)</f>
        <v>400000</v>
      </c>
      <c r="F39" s="96">
        <f t="shared" si="0"/>
        <v>1</v>
      </c>
      <c r="G39" s="28"/>
      <c r="H39" s="94">
        <f>SUM(H34:H38)</f>
        <v>118.56440000000001</v>
      </c>
      <c r="I39" s="29">
        <f>SUM(I34:I38)</f>
        <v>582081.29050723778</v>
      </c>
      <c r="J39" s="96">
        <f>+I39/I$39</f>
        <v>1</v>
      </c>
      <c r="K39" s="4"/>
      <c r="L39" s="174"/>
      <c r="M39" s="4"/>
      <c r="N39" s="4"/>
      <c r="O39" s="4"/>
      <c r="P39" s="4"/>
      <c r="Q39" s="4"/>
    </row>
    <row r="40" spans="1:17" s="20" customFormat="1" ht="13.5" customHeight="1" x14ac:dyDescent="0.45">
      <c r="A40" s="4"/>
      <c r="B40" s="111"/>
      <c r="D40" s="111"/>
      <c r="E40" s="112"/>
      <c r="F40" s="113"/>
      <c r="G40" s="30"/>
      <c r="H40" s="111"/>
      <c r="I40" s="112"/>
      <c r="J40" s="113"/>
      <c r="K40" s="4"/>
      <c r="L40" s="174"/>
      <c r="M40" s="4"/>
      <c r="N40" s="4"/>
      <c r="O40" s="4"/>
      <c r="P40" s="4"/>
      <c r="Q40" s="4"/>
    </row>
    <row r="41" spans="1:17" s="20" customFormat="1" ht="13.5" customHeight="1" x14ac:dyDescent="0.45">
      <c r="A41" s="4"/>
      <c r="B41" s="4" t="s">
        <v>93</v>
      </c>
      <c r="D41" s="114">
        <f>+C11*1000000/E39</f>
        <v>214.41100000000003</v>
      </c>
      <c r="G41" s="4"/>
      <c r="H41" s="57">
        <f>+D41</f>
        <v>214.41100000000003</v>
      </c>
      <c r="I41" s="57"/>
      <c r="J41" s="4"/>
      <c r="K41" s="4"/>
      <c r="L41" s="174"/>
      <c r="M41" s="4"/>
      <c r="N41" s="4"/>
      <c r="O41" s="4"/>
      <c r="P41" s="4"/>
      <c r="Q41" s="4"/>
    </row>
    <row r="42" spans="1:17" s="20" customFormat="1" ht="13.5" customHeight="1" x14ac:dyDescent="0.45">
      <c r="A42" s="4"/>
      <c r="B42" s="4"/>
      <c r="C42" s="4"/>
      <c r="D42" s="4"/>
      <c r="E42" s="4"/>
      <c r="F42" s="4"/>
      <c r="G42" s="4"/>
      <c r="H42" s="4"/>
      <c r="I42" s="4"/>
      <c r="J42" s="4"/>
      <c r="K42" s="4"/>
      <c r="L42" s="174"/>
      <c r="M42" s="4"/>
      <c r="N42" s="4"/>
      <c r="O42" s="4"/>
      <c r="P42" s="4"/>
      <c r="Q42" s="4"/>
    </row>
    <row r="43" spans="1:17" s="20" customFormat="1" ht="13.5" customHeight="1" x14ac:dyDescent="0.45">
      <c r="A43" s="4"/>
      <c r="B43" s="4"/>
      <c r="C43" s="4"/>
      <c r="D43" s="4"/>
      <c r="E43" s="4"/>
      <c r="F43" s="4"/>
      <c r="G43" s="4"/>
      <c r="H43" s="57"/>
      <c r="I43" s="4"/>
      <c r="J43" s="4"/>
      <c r="K43" s="4"/>
      <c r="L43" s="174"/>
      <c r="M43" s="4"/>
      <c r="N43" s="4"/>
      <c r="O43" s="4"/>
      <c r="P43" s="4"/>
      <c r="Q43" s="4"/>
    </row>
    <row r="44" spans="1:17" s="4" customFormat="1" ht="13.5" customHeight="1" x14ac:dyDescent="0.45">
      <c r="B44" s="5" t="s">
        <v>3</v>
      </c>
      <c r="C44" s="5"/>
      <c r="D44" s="5"/>
      <c r="E44" s="59"/>
      <c r="F44" s="6"/>
      <c r="G44" s="6"/>
      <c r="H44" s="6"/>
      <c r="I44" s="6"/>
      <c r="J44" s="7" t="s">
        <v>32</v>
      </c>
      <c r="L44" s="174"/>
    </row>
    <row r="45" spans="1:17" s="4" customFormat="1" ht="13.5" customHeight="1" x14ac:dyDescent="0.45">
      <c r="B45" s="8" t="s">
        <v>9</v>
      </c>
      <c r="C45" s="31">
        <f>+D45-1</f>
        <v>-2</v>
      </c>
      <c r="D45" s="31">
        <f>+E45-1</f>
        <v>-1</v>
      </c>
      <c r="E45" s="71">
        <v>0</v>
      </c>
      <c r="F45" s="31">
        <v>1</v>
      </c>
      <c r="G45" s="31">
        <f>F45+1</f>
        <v>2</v>
      </c>
      <c r="H45" s="31">
        <f>G45+1</f>
        <v>3</v>
      </c>
      <c r="I45" s="31">
        <f>H45+1</f>
        <v>4</v>
      </c>
      <c r="J45" s="31">
        <f>I45+1</f>
        <v>5</v>
      </c>
      <c r="L45" s="174"/>
    </row>
    <row r="46" spans="1:17" s="4" customFormat="1" ht="13.5" customHeight="1" x14ac:dyDescent="0.45">
      <c r="B46" s="4" t="s">
        <v>129</v>
      </c>
      <c r="C46" s="53">
        <f>+'Revenue Build - End'!C10</f>
        <v>27.24</v>
      </c>
      <c r="D46" s="53">
        <f>+'Revenue Build - End'!D10</f>
        <v>13.08</v>
      </c>
      <c r="E46" s="80">
        <f>+'Revenue Build - End'!E10</f>
        <v>33.200000000000003</v>
      </c>
      <c r="F46" s="53">
        <f>+'Revenue Build - End'!F10</f>
        <v>58.100000000000009</v>
      </c>
      <c r="G46" s="53">
        <f>+'Revenue Build - End'!G10</f>
        <v>96.591250000000002</v>
      </c>
      <c r="H46" s="53">
        <f>+'Revenue Build - End'!H10</f>
        <v>152.13121874999999</v>
      </c>
      <c r="I46" s="53">
        <f>+'Revenue Build - End'!I10</f>
        <v>226.29518789062499</v>
      </c>
      <c r="J46" s="53">
        <f>+'Revenue Build - End'!J10</f>
        <v>316.81326304687497</v>
      </c>
      <c r="K46" s="57"/>
      <c r="L46" s="174"/>
      <c r="M46" s="17"/>
    </row>
    <row r="47" spans="1:17" s="4" customFormat="1" ht="13.5" customHeight="1" x14ac:dyDescent="0.45">
      <c r="B47" s="50" t="s">
        <v>127</v>
      </c>
      <c r="C47" s="136"/>
      <c r="D47" s="72">
        <f t="shared" ref="D47" si="2">D46/C46-1</f>
        <v>-0.51982378854625555</v>
      </c>
      <c r="E47" s="73">
        <f>E46/D46-1</f>
        <v>1.5382262996941898</v>
      </c>
      <c r="F47" s="72">
        <f t="shared" ref="F47" si="3">F46/E46-1</f>
        <v>0.75</v>
      </c>
      <c r="G47" s="72">
        <f t="shared" ref="G47" si="4">G46/F46-1</f>
        <v>0.66249999999999987</v>
      </c>
      <c r="H47" s="72">
        <f t="shared" ref="H47" si="5">H46/G46-1</f>
        <v>0.57499999999999973</v>
      </c>
      <c r="I47" s="72">
        <f t="shared" ref="I47" si="6">I46/H46-1</f>
        <v>0.48750000000000004</v>
      </c>
      <c r="J47" s="72">
        <f t="shared" ref="J47" si="7">J46/I46-1</f>
        <v>0.39999999999999991</v>
      </c>
      <c r="L47" s="174"/>
    </row>
    <row r="48" spans="1:17" s="4" customFormat="1" ht="13.5" customHeight="1" x14ac:dyDescent="0.45">
      <c r="B48" s="50"/>
      <c r="C48" s="136"/>
      <c r="D48" s="72"/>
      <c r="E48" s="73"/>
      <c r="F48" s="72"/>
      <c r="G48" s="72"/>
      <c r="H48" s="72"/>
      <c r="I48" s="72"/>
      <c r="J48" s="72"/>
      <c r="K48" s="72"/>
      <c r="L48" s="174"/>
    </row>
    <row r="49" spans="2:13" s="4" customFormat="1" ht="13.5" customHeight="1" x14ac:dyDescent="0.45">
      <c r="B49" s="4" t="s">
        <v>122</v>
      </c>
      <c r="C49" s="53">
        <f t="shared" ref="C49:J50" si="8">C55*C$46</f>
        <v>1.6343999999999999</v>
      </c>
      <c r="D49" s="53">
        <f t="shared" si="8"/>
        <v>1.635</v>
      </c>
      <c r="E49" s="80">
        <f t="shared" si="8"/>
        <v>2.7224000000000004</v>
      </c>
      <c r="F49" s="53">
        <f t="shared" si="8"/>
        <v>4.6480000000000006</v>
      </c>
      <c r="G49" s="53">
        <f t="shared" si="8"/>
        <v>7.7273000000000005</v>
      </c>
      <c r="H49" s="53">
        <f t="shared" si="8"/>
        <v>12.1704975</v>
      </c>
      <c r="I49" s="53">
        <f t="shared" si="8"/>
        <v>18.103615031249998</v>
      </c>
      <c r="J49" s="53">
        <f t="shared" si="8"/>
        <v>25.345061043749997</v>
      </c>
      <c r="L49" s="174"/>
    </row>
    <row r="50" spans="2:13" s="4" customFormat="1" ht="13.5" customHeight="1" x14ac:dyDescent="0.45">
      <c r="B50" s="4" t="s">
        <v>123</v>
      </c>
      <c r="C50" s="81">
        <f t="shared" si="8"/>
        <v>2.1791999999999998</v>
      </c>
      <c r="D50" s="81">
        <f t="shared" si="8"/>
        <v>1.5957600000000001</v>
      </c>
      <c r="E50" s="85">
        <f t="shared" si="8"/>
        <v>2.6228000000000002</v>
      </c>
      <c r="F50" s="81">
        <f t="shared" si="8"/>
        <v>4.6480000000000006</v>
      </c>
      <c r="G50" s="81">
        <f t="shared" si="8"/>
        <v>7.7273000000000005</v>
      </c>
      <c r="H50" s="81">
        <f t="shared" si="8"/>
        <v>12.1704975</v>
      </c>
      <c r="I50" s="81">
        <f t="shared" si="8"/>
        <v>18.103615031249998</v>
      </c>
      <c r="J50" s="81">
        <f t="shared" si="8"/>
        <v>25.345061043749997</v>
      </c>
      <c r="L50" s="174"/>
    </row>
    <row r="51" spans="2:13" s="4" customFormat="1" ht="13.5" customHeight="1" x14ac:dyDescent="0.45">
      <c r="B51" s="13" t="s">
        <v>130</v>
      </c>
      <c r="C51" s="137">
        <f>C46-C49-C50</f>
        <v>23.426400000000001</v>
      </c>
      <c r="D51" s="137">
        <f t="shared" ref="D51:J51" si="9">D46-D49-D50</f>
        <v>9.84924</v>
      </c>
      <c r="E51" s="88">
        <f t="shared" si="9"/>
        <v>27.854800000000001</v>
      </c>
      <c r="F51" s="137">
        <f t="shared" si="9"/>
        <v>48.804000000000002</v>
      </c>
      <c r="G51" s="137">
        <f t="shared" si="9"/>
        <v>81.136650000000003</v>
      </c>
      <c r="H51" s="137">
        <f t="shared" si="9"/>
        <v>127.79022374999998</v>
      </c>
      <c r="I51" s="137">
        <f t="shared" si="9"/>
        <v>190.08795782812498</v>
      </c>
      <c r="J51" s="137">
        <f t="shared" si="9"/>
        <v>266.12314095937501</v>
      </c>
      <c r="K51" s="57"/>
      <c r="L51" s="174"/>
      <c r="M51" s="17"/>
    </row>
    <row r="52" spans="2:13" s="4" customFormat="1" ht="13.5" customHeight="1" x14ac:dyDescent="0.45">
      <c r="B52" s="50" t="s">
        <v>127</v>
      </c>
      <c r="C52" s="136"/>
      <c r="D52" s="72">
        <f t="shared" ref="D52:J52" si="10">D51/C51-1</f>
        <v>-0.57956664276201209</v>
      </c>
      <c r="E52" s="73">
        <f t="shared" si="10"/>
        <v>1.8281166871758634</v>
      </c>
      <c r="F52" s="72">
        <f t="shared" si="10"/>
        <v>0.75208581644815253</v>
      </c>
      <c r="G52" s="72">
        <f t="shared" si="10"/>
        <v>0.66250000000000009</v>
      </c>
      <c r="H52" s="72">
        <f t="shared" si="10"/>
        <v>0.57499999999999973</v>
      </c>
      <c r="I52" s="72">
        <f t="shared" si="10"/>
        <v>0.48750000000000004</v>
      </c>
      <c r="J52" s="72">
        <f t="shared" si="10"/>
        <v>0.40000000000000013</v>
      </c>
      <c r="L52" s="174"/>
    </row>
    <row r="53" spans="2:13" s="38" customFormat="1" ht="13.5" customHeight="1" x14ac:dyDescent="0.45">
      <c r="B53" s="141"/>
      <c r="C53" s="142"/>
      <c r="D53" s="142"/>
      <c r="E53" s="166"/>
      <c r="F53" s="142"/>
      <c r="G53" s="142"/>
      <c r="H53" s="142"/>
      <c r="I53" s="142"/>
      <c r="J53" s="142"/>
      <c r="K53" s="143"/>
      <c r="L53" s="178"/>
      <c r="M53" s="141"/>
    </row>
    <row r="54" spans="2:13" s="4" customFormat="1" ht="13.5" customHeight="1" x14ac:dyDescent="0.45">
      <c r="B54" s="140" t="s">
        <v>131</v>
      </c>
      <c r="C54" s="138"/>
      <c r="D54" s="138"/>
      <c r="E54" s="101"/>
      <c r="F54" s="138"/>
      <c r="G54" s="138"/>
      <c r="H54" s="138"/>
      <c r="I54" s="138"/>
      <c r="J54" s="138"/>
      <c r="K54" s="57"/>
      <c r="L54" s="174"/>
      <c r="M54" s="17"/>
    </row>
    <row r="55" spans="2:13" s="4" customFormat="1" ht="13.5" customHeight="1" x14ac:dyDescent="0.45">
      <c r="B55" s="50" t="s">
        <v>122</v>
      </c>
      <c r="C55" s="145">
        <v>0.06</v>
      </c>
      <c r="D55" s="145">
        <v>0.125</v>
      </c>
      <c r="E55" s="167">
        <v>8.2000000000000003E-2</v>
      </c>
      <c r="F55" s="145">
        <v>0.08</v>
      </c>
      <c r="G55" s="145">
        <v>0.08</v>
      </c>
      <c r="H55" s="145">
        <v>0.08</v>
      </c>
      <c r="I55" s="145">
        <v>0.08</v>
      </c>
      <c r="J55" s="145">
        <v>0.08</v>
      </c>
      <c r="K55" s="57"/>
      <c r="L55" s="174"/>
      <c r="M55" s="17"/>
    </row>
    <row r="56" spans="2:13" s="4" customFormat="1" ht="13.5" customHeight="1" x14ac:dyDescent="0.45">
      <c r="B56" s="50" t="s">
        <v>123</v>
      </c>
      <c r="C56" s="145">
        <v>0.08</v>
      </c>
      <c r="D56" s="145">
        <v>0.122</v>
      </c>
      <c r="E56" s="167">
        <v>7.9000000000000001E-2</v>
      </c>
      <c r="F56" s="145">
        <v>0.08</v>
      </c>
      <c r="G56" s="145">
        <v>0.08</v>
      </c>
      <c r="H56" s="145">
        <v>0.08</v>
      </c>
      <c r="I56" s="145">
        <v>0.08</v>
      </c>
      <c r="J56" s="145">
        <v>0.08</v>
      </c>
      <c r="K56" s="57"/>
      <c r="L56" s="174"/>
      <c r="M56" s="17"/>
    </row>
    <row r="57" spans="2:13" s="4" customFormat="1" ht="13.5" customHeight="1" x14ac:dyDescent="0.45">
      <c r="B57" s="50" t="s">
        <v>130</v>
      </c>
      <c r="C57" s="72">
        <f t="shared" ref="C57:J57" si="11">C51/C$46</f>
        <v>0.8600000000000001</v>
      </c>
      <c r="D57" s="72">
        <f t="shared" si="11"/>
        <v>0.753</v>
      </c>
      <c r="E57" s="73">
        <f t="shared" si="11"/>
        <v>0.83899999999999997</v>
      </c>
      <c r="F57" s="72">
        <f t="shared" si="11"/>
        <v>0.83999999999999986</v>
      </c>
      <c r="G57" s="72">
        <f t="shared" si="11"/>
        <v>0.84</v>
      </c>
      <c r="H57" s="72">
        <f t="shared" si="11"/>
        <v>0.84</v>
      </c>
      <c r="I57" s="72">
        <f t="shared" si="11"/>
        <v>0.84</v>
      </c>
      <c r="J57" s="72">
        <f t="shared" si="11"/>
        <v>0.84000000000000008</v>
      </c>
      <c r="L57" s="174"/>
    </row>
    <row r="58" spans="2:13" s="4" customFormat="1" ht="13.5" customHeight="1" x14ac:dyDescent="0.45">
      <c r="B58" s="34"/>
      <c r="C58" s="34"/>
      <c r="D58" s="34"/>
      <c r="E58" s="62"/>
      <c r="F58" s="35"/>
      <c r="G58" s="35"/>
      <c r="H58" s="35"/>
      <c r="I58" s="35"/>
      <c r="J58" s="35"/>
      <c r="K58" s="36"/>
      <c r="L58" s="180"/>
    </row>
    <row r="59" spans="2:13" s="4" customFormat="1" ht="13.5" customHeight="1" x14ac:dyDescent="0.45">
      <c r="B59" s="4" t="s">
        <v>132</v>
      </c>
      <c r="C59" s="53">
        <f t="shared" ref="C59:J60" si="12">C64*C$51</f>
        <v>8.9254584000000001</v>
      </c>
      <c r="D59" s="53">
        <f t="shared" si="12"/>
        <v>3.9593944800000003</v>
      </c>
      <c r="E59" s="80">
        <f t="shared" si="12"/>
        <v>13.426013599999999</v>
      </c>
      <c r="F59" s="53">
        <f t="shared" si="12"/>
        <v>22.449840000000002</v>
      </c>
      <c r="G59" s="53">
        <f t="shared" si="12"/>
        <v>35.700126000000004</v>
      </c>
      <c r="H59" s="53">
        <f t="shared" si="12"/>
        <v>53.671893974999989</v>
      </c>
      <c r="I59" s="53">
        <f t="shared" si="12"/>
        <v>76.035183131249994</v>
      </c>
      <c r="J59" s="53">
        <f t="shared" si="12"/>
        <v>101.12679356456249</v>
      </c>
      <c r="K59" s="36"/>
      <c r="L59" s="180"/>
    </row>
    <row r="60" spans="2:13" s="4" customFormat="1" ht="13.5" customHeight="1" x14ac:dyDescent="0.45">
      <c r="B60" s="4" t="s">
        <v>133</v>
      </c>
      <c r="C60" s="81">
        <f t="shared" si="12"/>
        <v>0.5622336</v>
      </c>
      <c r="D60" s="81">
        <f t="shared" si="12"/>
        <v>0.34472340000000001</v>
      </c>
      <c r="E60" s="85">
        <f t="shared" si="12"/>
        <v>1.0584823999999999</v>
      </c>
      <c r="F60" s="81">
        <f t="shared" si="12"/>
        <v>1.7081400000000002</v>
      </c>
      <c r="G60" s="81">
        <f t="shared" si="12"/>
        <v>2.8397827500000004</v>
      </c>
      <c r="H60" s="81">
        <f t="shared" si="12"/>
        <v>4.4726578312499994</v>
      </c>
      <c r="I60" s="81">
        <f t="shared" si="12"/>
        <v>6.6530785239843748</v>
      </c>
      <c r="J60" s="81">
        <f t="shared" si="12"/>
        <v>9.3143099335781265</v>
      </c>
      <c r="K60" s="36"/>
      <c r="L60" s="180"/>
    </row>
    <row r="61" spans="2:13" s="4" customFormat="1" ht="13.5" customHeight="1" x14ac:dyDescent="0.45">
      <c r="B61" s="13" t="s">
        <v>124</v>
      </c>
      <c r="C61" s="137">
        <f>C59+C60</f>
        <v>9.4876920000000009</v>
      </c>
      <c r="D61" s="137">
        <f t="shared" ref="D61:J61" si="13">D59+D60</f>
        <v>4.3041178800000006</v>
      </c>
      <c r="E61" s="88">
        <f t="shared" si="13"/>
        <v>14.484496</v>
      </c>
      <c r="F61" s="137">
        <f t="shared" si="13"/>
        <v>24.157980000000002</v>
      </c>
      <c r="G61" s="137">
        <f t="shared" si="13"/>
        <v>38.539908750000002</v>
      </c>
      <c r="H61" s="137">
        <f t="shared" si="13"/>
        <v>58.144551806249986</v>
      </c>
      <c r="I61" s="137">
        <f t="shared" si="13"/>
        <v>82.688261655234371</v>
      </c>
      <c r="J61" s="137">
        <f t="shared" si="13"/>
        <v>110.44110349814062</v>
      </c>
      <c r="K61" s="36"/>
      <c r="L61" s="180"/>
    </row>
    <row r="62" spans="2:13" s="4" customFormat="1" ht="13.5" customHeight="1" x14ac:dyDescent="0.45">
      <c r="B62" s="17"/>
      <c r="C62" s="138"/>
      <c r="D62" s="138"/>
      <c r="E62" s="101"/>
      <c r="F62" s="138"/>
      <c r="G62" s="138"/>
      <c r="H62" s="138"/>
      <c r="I62" s="138"/>
      <c r="J62" s="138"/>
      <c r="K62" s="36"/>
      <c r="L62" s="180"/>
    </row>
    <row r="63" spans="2:13" s="4" customFormat="1" ht="13.5" customHeight="1" x14ac:dyDescent="0.45">
      <c r="B63" s="140" t="s">
        <v>126</v>
      </c>
      <c r="C63" s="138"/>
      <c r="D63" s="138"/>
      <c r="E63" s="101"/>
      <c r="F63" s="138"/>
      <c r="G63" s="138"/>
      <c r="H63" s="138"/>
      <c r="I63" s="138"/>
      <c r="J63" s="138"/>
      <c r="K63" s="36"/>
      <c r="L63" s="180"/>
    </row>
    <row r="64" spans="2:13" s="4" customFormat="1" ht="13.5" customHeight="1" x14ac:dyDescent="0.45">
      <c r="B64" s="50" t="s">
        <v>132</v>
      </c>
      <c r="C64" s="145">
        <v>0.38100000000000001</v>
      </c>
      <c r="D64" s="145">
        <v>0.40200000000000002</v>
      </c>
      <c r="E64" s="167">
        <v>0.48199999999999998</v>
      </c>
      <c r="F64" s="145">
        <v>0.46</v>
      </c>
      <c r="G64" s="201">
        <f>+F64-2%</f>
        <v>0.44</v>
      </c>
      <c r="H64" s="201">
        <f t="shared" ref="H64:J64" si="14">+G64-2%</f>
        <v>0.42</v>
      </c>
      <c r="I64" s="201">
        <f t="shared" si="14"/>
        <v>0.39999999999999997</v>
      </c>
      <c r="J64" s="201">
        <f t="shared" si="14"/>
        <v>0.37999999999999995</v>
      </c>
      <c r="K64" s="57"/>
      <c r="L64" s="180"/>
      <c r="M64" s="17"/>
    </row>
    <row r="65" spans="2:13" s="4" customFormat="1" ht="13.5" customHeight="1" x14ac:dyDescent="0.45">
      <c r="B65" s="50" t="s">
        <v>133</v>
      </c>
      <c r="C65" s="145">
        <v>2.4E-2</v>
      </c>
      <c r="D65" s="145">
        <v>3.5000000000000003E-2</v>
      </c>
      <c r="E65" s="167">
        <v>3.7999999999999999E-2</v>
      </c>
      <c r="F65" s="145">
        <v>3.5000000000000003E-2</v>
      </c>
      <c r="G65" s="145">
        <v>3.5000000000000003E-2</v>
      </c>
      <c r="H65" s="145">
        <v>3.5000000000000003E-2</v>
      </c>
      <c r="I65" s="145">
        <v>3.5000000000000003E-2</v>
      </c>
      <c r="J65" s="145">
        <v>3.5000000000000003E-2</v>
      </c>
      <c r="K65" s="57"/>
      <c r="L65" s="180"/>
      <c r="M65" s="17"/>
    </row>
    <row r="66" spans="2:13" s="4" customFormat="1" ht="13.5" customHeight="1" x14ac:dyDescent="0.45">
      <c r="B66" s="50" t="s">
        <v>124</v>
      </c>
      <c r="C66" s="75">
        <f t="shared" ref="C66:J66" si="15">C61/C51</f>
        <v>0.40500000000000003</v>
      </c>
      <c r="D66" s="75">
        <f t="shared" si="15"/>
        <v>0.43700000000000006</v>
      </c>
      <c r="E66" s="76">
        <f t="shared" si="15"/>
        <v>0.52</v>
      </c>
      <c r="F66" s="75">
        <f t="shared" si="15"/>
        <v>0.495</v>
      </c>
      <c r="G66" s="75">
        <f t="shared" si="15"/>
        <v>0.47500000000000003</v>
      </c>
      <c r="H66" s="75">
        <f t="shared" si="15"/>
        <v>0.45499999999999996</v>
      </c>
      <c r="I66" s="75">
        <f t="shared" si="15"/>
        <v>0.435</v>
      </c>
      <c r="J66" s="75">
        <f t="shared" si="15"/>
        <v>0.41499999999999998</v>
      </c>
      <c r="K66" s="36"/>
      <c r="L66" s="180"/>
    </row>
    <row r="67" spans="2:13" s="4" customFormat="1" ht="13.5" customHeight="1" x14ac:dyDescent="0.45">
      <c r="B67" s="34"/>
      <c r="C67" s="34"/>
      <c r="D67" s="34"/>
      <c r="E67" s="62"/>
      <c r="F67" s="35"/>
      <c r="G67" s="35"/>
      <c r="H67" s="35"/>
      <c r="I67" s="35"/>
      <c r="J67" s="35"/>
      <c r="K67" s="36"/>
      <c r="L67" s="180"/>
    </row>
    <row r="68" spans="2:13" s="4" customFormat="1" ht="13.5" customHeight="1" x14ac:dyDescent="0.45">
      <c r="B68" s="17" t="s">
        <v>73</v>
      </c>
      <c r="C68" s="138">
        <f t="shared" ref="C68:J68" si="16">C51-C61</f>
        <v>13.938708</v>
      </c>
      <c r="D68" s="138">
        <f t="shared" si="16"/>
        <v>5.5451221199999994</v>
      </c>
      <c r="E68" s="101">
        <f t="shared" si="16"/>
        <v>13.370304000000001</v>
      </c>
      <c r="F68" s="138">
        <f t="shared" si="16"/>
        <v>24.64602</v>
      </c>
      <c r="G68" s="138">
        <f t="shared" si="16"/>
        <v>42.596741250000001</v>
      </c>
      <c r="H68" s="138">
        <f t="shared" si="16"/>
        <v>69.645671943749988</v>
      </c>
      <c r="I68" s="138">
        <f t="shared" si="16"/>
        <v>107.39969617289061</v>
      </c>
      <c r="J68" s="138">
        <f t="shared" si="16"/>
        <v>155.68203746123439</v>
      </c>
      <c r="K68" s="36"/>
      <c r="L68" s="180"/>
    </row>
    <row r="69" spans="2:13" s="4" customFormat="1" ht="13.5" customHeight="1" x14ac:dyDescent="0.45">
      <c r="B69" s="50" t="s">
        <v>126</v>
      </c>
      <c r="C69" s="75">
        <f t="shared" ref="C69:J69" si="17">+C68/C$51</f>
        <v>0.59499999999999997</v>
      </c>
      <c r="D69" s="75">
        <f t="shared" si="17"/>
        <v>0.56299999999999994</v>
      </c>
      <c r="E69" s="76">
        <f t="shared" si="17"/>
        <v>0.48000000000000004</v>
      </c>
      <c r="F69" s="105">
        <f t="shared" si="17"/>
        <v>0.505</v>
      </c>
      <c r="G69" s="105">
        <f t="shared" si="17"/>
        <v>0.52500000000000002</v>
      </c>
      <c r="H69" s="105">
        <f t="shared" si="17"/>
        <v>0.54500000000000004</v>
      </c>
      <c r="I69" s="105">
        <f t="shared" si="17"/>
        <v>0.56499999999999995</v>
      </c>
      <c r="J69" s="105">
        <f t="shared" si="17"/>
        <v>0.58500000000000008</v>
      </c>
      <c r="K69" s="36"/>
      <c r="L69" s="180"/>
    </row>
    <row r="70" spans="2:13" s="4" customFormat="1" ht="13.5" customHeight="1" x14ac:dyDescent="0.45">
      <c r="B70" s="50"/>
      <c r="C70" s="75"/>
      <c r="D70" s="75"/>
      <c r="E70" s="76"/>
      <c r="F70" s="105"/>
      <c r="G70" s="105"/>
      <c r="H70" s="105"/>
      <c r="I70" s="105"/>
      <c r="J70" s="105"/>
      <c r="K70" s="36"/>
      <c r="L70" s="180"/>
    </row>
    <row r="71" spans="2:13" s="4" customFormat="1" ht="13.5" customHeight="1" x14ac:dyDescent="0.45">
      <c r="B71" s="4" t="s">
        <v>134</v>
      </c>
      <c r="C71" s="53">
        <f t="shared" ref="C71:J74" si="18">C78*C$51</f>
        <v>0.49195440000000007</v>
      </c>
      <c r="D71" s="53">
        <f t="shared" si="18"/>
        <v>0.20683404000000002</v>
      </c>
      <c r="E71" s="80">
        <f t="shared" si="18"/>
        <v>0.5849508000000001</v>
      </c>
      <c r="F71" s="53">
        <f t="shared" si="18"/>
        <v>0.97608000000000006</v>
      </c>
      <c r="G71" s="53">
        <f t="shared" si="18"/>
        <v>1.6227330000000002</v>
      </c>
      <c r="H71" s="53">
        <f t="shared" si="18"/>
        <v>2.5558044749999995</v>
      </c>
      <c r="I71" s="53">
        <f t="shared" si="18"/>
        <v>3.8017591565625</v>
      </c>
      <c r="J71" s="53">
        <f t="shared" si="18"/>
        <v>5.3224628191874999</v>
      </c>
      <c r="K71" s="36"/>
      <c r="L71" s="180"/>
    </row>
    <row r="72" spans="2:13" s="4" customFormat="1" ht="13.5" customHeight="1" x14ac:dyDescent="0.45">
      <c r="B72" s="4" t="s">
        <v>135</v>
      </c>
      <c r="C72" s="81">
        <f t="shared" si="18"/>
        <v>0.11713200000000001</v>
      </c>
      <c r="D72" s="81">
        <f t="shared" si="18"/>
        <v>3.9396960000000002E-2</v>
      </c>
      <c r="E72" s="85">
        <f t="shared" si="18"/>
        <v>0.13927400000000001</v>
      </c>
      <c r="F72" s="81">
        <f t="shared" si="18"/>
        <v>0.24402000000000001</v>
      </c>
      <c r="G72" s="81">
        <f t="shared" si="18"/>
        <v>0.40568325000000005</v>
      </c>
      <c r="H72" s="81">
        <f t="shared" si="18"/>
        <v>0.63895111874999988</v>
      </c>
      <c r="I72" s="81">
        <f t="shared" si="18"/>
        <v>0.95043978914062499</v>
      </c>
      <c r="J72" s="81">
        <f t="shared" si="18"/>
        <v>1.330615704796875</v>
      </c>
      <c r="K72" s="36"/>
      <c r="L72" s="180"/>
    </row>
    <row r="73" spans="2:13" s="4" customFormat="1" ht="13.5" customHeight="1" x14ac:dyDescent="0.45">
      <c r="B73" s="4" t="s">
        <v>136</v>
      </c>
      <c r="C73" s="81">
        <f t="shared" si="18"/>
        <v>1.6164216000000002</v>
      </c>
      <c r="D73" s="81">
        <f t="shared" si="18"/>
        <v>0.73869299999999993</v>
      </c>
      <c r="E73" s="85">
        <f t="shared" si="18"/>
        <v>2.0055456</v>
      </c>
      <c r="F73" s="81">
        <f t="shared" si="18"/>
        <v>3.4162800000000004</v>
      </c>
      <c r="G73" s="81">
        <f t="shared" si="18"/>
        <v>5.6795655000000007</v>
      </c>
      <c r="H73" s="81">
        <f t="shared" si="18"/>
        <v>8.3063645437499982</v>
      </c>
      <c r="I73" s="81">
        <f t="shared" si="18"/>
        <v>11.405277469687499</v>
      </c>
      <c r="J73" s="81">
        <f t="shared" si="18"/>
        <v>14.636772752765625</v>
      </c>
      <c r="K73" s="36"/>
      <c r="L73" s="180"/>
    </row>
    <row r="74" spans="2:13" s="4" customFormat="1" ht="13.5" customHeight="1" x14ac:dyDescent="0.45">
      <c r="B74" s="4" t="s">
        <v>137</v>
      </c>
      <c r="C74" s="81">
        <f t="shared" si="18"/>
        <v>0.7496448</v>
      </c>
      <c r="D74" s="81">
        <f t="shared" si="18"/>
        <v>0.31517568000000001</v>
      </c>
      <c r="E74" s="85">
        <f t="shared" si="18"/>
        <v>0.89135360000000008</v>
      </c>
      <c r="F74" s="81">
        <f t="shared" si="18"/>
        <v>1.4641200000000001</v>
      </c>
      <c r="G74" s="81">
        <f t="shared" si="18"/>
        <v>2.4340994999999999</v>
      </c>
      <c r="H74" s="81">
        <f t="shared" si="18"/>
        <v>3.8337067124999993</v>
      </c>
      <c r="I74" s="81">
        <f t="shared" si="18"/>
        <v>5.7026387348437497</v>
      </c>
      <c r="J74" s="81">
        <f t="shared" si="18"/>
        <v>7.9836942287812498</v>
      </c>
      <c r="K74" s="36"/>
      <c r="L74" s="180"/>
    </row>
    <row r="75" spans="2:13" s="4" customFormat="1" ht="13.5" customHeight="1" x14ac:dyDescent="0.45">
      <c r="B75" s="13" t="s">
        <v>138</v>
      </c>
      <c r="C75" s="137">
        <f>SUM(C71:C74)</f>
        <v>2.9751528000000005</v>
      </c>
      <c r="D75" s="137">
        <f t="shared" ref="D75:J75" si="19">SUM(D71:D74)</f>
        <v>1.30009968</v>
      </c>
      <c r="E75" s="88">
        <f t="shared" si="19"/>
        <v>3.621124</v>
      </c>
      <c r="F75" s="137">
        <f t="shared" si="19"/>
        <v>6.1005000000000011</v>
      </c>
      <c r="G75" s="137">
        <f t="shared" si="19"/>
        <v>10.14208125</v>
      </c>
      <c r="H75" s="137">
        <f t="shared" si="19"/>
        <v>15.334826849999997</v>
      </c>
      <c r="I75" s="137">
        <f t="shared" si="19"/>
        <v>21.860115150234375</v>
      </c>
      <c r="J75" s="137">
        <f t="shared" si="19"/>
        <v>29.273545505531249</v>
      </c>
      <c r="K75" s="36"/>
      <c r="L75" s="180"/>
    </row>
    <row r="76" spans="2:13" s="4" customFormat="1" ht="13.5" customHeight="1" x14ac:dyDescent="0.45">
      <c r="B76" s="17"/>
      <c r="C76" s="138"/>
      <c r="D76" s="138"/>
      <c r="E76" s="101"/>
      <c r="F76" s="138"/>
      <c r="G76" s="138"/>
      <c r="H76" s="138"/>
      <c r="I76" s="138"/>
      <c r="J76" s="138"/>
      <c r="K76" s="36"/>
      <c r="L76" s="180"/>
    </row>
    <row r="77" spans="2:13" s="4" customFormat="1" ht="13.5" customHeight="1" x14ac:dyDescent="0.45">
      <c r="B77" s="140" t="s">
        <v>126</v>
      </c>
      <c r="C77" s="138"/>
      <c r="D77" s="138"/>
      <c r="E77" s="101"/>
      <c r="F77" s="138"/>
      <c r="G77" s="138"/>
      <c r="H77" s="138"/>
      <c r="I77" s="138"/>
      <c r="J77" s="138"/>
      <c r="K77" s="36"/>
      <c r="L77" s="180"/>
    </row>
    <row r="78" spans="2:13" s="4" customFormat="1" ht="13.5" customHeight="1" x14ac:dyDescent="0.45">
      <c r="B78" s="50" t="s">
        <v>134</v>
      </c>
      <c r="C78" s="146">
        <v>2.1000000000000001E-2</v>
      </c>
      <c r="D78" s="146">
        <v>2.1000000000000001E-2</v>
      </c>
      <c r="E78" s="168">
        <v>2.1000000000000001E-2</v>
      </c>
      <c r="F78" s="146">
        <v>0.02</v>
      </c>
      <c r="G78" s="146">
        <v>0.02</v>
      </c>
      <c r="H78" s="146">
        <v>0.02</v>
      </c>
      <c r="I78" s="146">
        <v>0.02</v>
      </c>
      <c r="J78" s="146">
        <v>0.02</v>
      </c>
      <c r="K78" s="36"/>
      <c r="L78" s="180"/>
    </row>
    <row r="79" spans="2:13" s="4" customFormat="1" ht="13.5" customHeight="1" x14ac:dyDescent="0.45">
      <c r="B79" s="50" t="s">
        <v>135</v>
      </c>
      <c r="C79" s="145">
        <v>5.0000000000000001E-3</v>
      </c>
      <c r="D79" s="145">
        <v>4.0000000000000001E-3</v>
      </c>
      <c r="E79" s="167">
        <v>5.0000000000000001E-3</v>
      </c>
      <c r="F79" s="145">
        <v>5.0000000000000001E-3</v>
      </c>
      <c r="G79" s="145">
        <v>5.0000000000000001E-3</v>
      </c>
      <c r="H79" s="145">
        <v>5.0000000000000001E-3</v>
      </c>
      <c r="I79" s="145">
        <v>5.0000000000000001E-3</v>
      </c>
      <c r="J79" s="145">
        <v>5.0000000000000001E-3</v>
      </c>
      <c r="K79" s="36"/>
      <c r="L79" s="180"/>
    </row>
    <row r="80" spans="2:13" s="4" customFormat="1" ht="13.5" customHeight="1" x14ac:dyDescent="0.45">
      <c r="B80" s="50" t="s">
        <v>136</v>
      </c>
      <c r="C80" s="145">
        <v>6.9000000000000006E-2</v>
      </c>
      <c r="D80" s="145">
        <v>7.4999999999999997E-2</v>
      </c>
      <c r="E80" s="167">
        <v>7.1999999999999995E-2</v>
      </c>
      <c r="F80" s="145">
        <v>7.0000000000000007E-2</v>
      </c>
      <c r="G80" s="145">
        <v>7.0000000000000007E-2</v>
      </c>
      <c r="H80" s="145">
        <v>6.5000000000000002E-2</v>
      </c>
      <c r="I80" s="145">
        <v>0.06</v>
      </c>
      <c r="J80" s="145">
        <v>5.5E-2</v>
      </c>
      <c r="K80" s="36"/>
      <c r="L80" s="180"/>
    </row>
    <row r="81" spans="2:12" s="4" customFormat="1" ht="13.5" customHeight="1" x14ac:dyDescent="0.45">
      <c r="B81" s="50" t="s">
        <v>137</v>
      </c>
      <c r="C81" s="145">
        <v>3.2000000000000001E-2</v>
      </c>
      <c r="D81" s="145">
        <v>3.2000000000000001E-2</v>
      </c>
      <c r="E81" s="167">
        <v>3.2000000000000001E-2</v>
      </c>
      <c r="F81" s="145">
        <v>0.03</v>
      </c>
      <c r="G81" s="145">
        <v>0.03</v>
      </c>
      <c r="H81" s="145">
        <v>0.03</v>
      </c>
      <c r="I81" s="145">
        <v>0.03</v>
      </c>
      <c r="J81" s="145">
        <v>0.03</v>
      </c>
      <c r="K81" s="36"/>
      <c r="L81" s="180"/>
    </row>
    <row r="82" spans="2:12" s="4" customFormat="1" ht="13.5" customHeight="1" x14ac:dyDescent="0.45">
      <c r="B82" s="50" t="s">
        <v>138</v>
      </c>
      <c r="C82" s="75">
        <f t="shared" ref="C82:I82" si="20">C75/C51</f>
        <v>0.127</v>
      </c>
      <c r="D82" s="75">
        <f t="shared" si="20"/>
        <v>0.13200000000000001</v>
      </c>
      <c r="E82" s="76">
        <f t="shared" si="20"/>
        <v>0.13</v>
      </c>
      <c r="F82" s="75">
        <f t="shared" si="20"/>
        <v>0.12500000000000003</v>
      </c>
      <c r="G82" s="75">
        <f t="shared" si="20"/>
        <v>0.125</v>
      </c>
      <c r="H82" s="75">
        <f t="shared" si="20"/>
        <v>0.12</v>
      </c>
      <c r="I82" s="75">
        <f t="shared" si="20"/>
        <v>0.115</v>
      </c>
      <c r="J82" s="75">
        <f>J75/J51</f>
        <v>0.11</v>
      </c>
      <c r="K82" s="36"/>
      <c r="L82" s="180"/>
    </row>
    <row r="83" spans="2:12" s="4" customFormat="1" ht="13.5" customHeight="1" x14ac:dyDescent="0.45">
      <c r="B83" s="50"/>
      <c r="C83" s="75"/>
      <c r="D83" s="75"/>
      <c r="E83" s="76"/>
      <c r="F83" s="75"/>
      <c r="G83" s="75"/>
      <c r="H83" s="75"/>
      <c r="I83" s="75"/>
      <c r="J83" s="75"/>
      <c r="K83" s="36"/>
      <c r="L83" s="180"/>
    </row>
    <row r="84" spans="2:12" s="4" customFormat="1" ht="13.5" customHeight="1" x14ac:dyDescent="0.45">
      <c r="B84" s="17" t="s">
        <v>125</v>
      </c>
      <c r="C84" s="138">
        <f>C68-C75</f>
        <v>10.9635552</v>
      </c>
      <c r="D84" s="138">
        <f t="shared" ref="D84:J84" si="21">D68-D75</f>
        <v>4.2450224399999996</v>
      </c>
      <c r="E84" s="101">
        <f t="shared" si="21"/>
        <v>9.7491800000000008</v>
      </c>
      <c r="F84" s="138">
        <f t="shared" si="21"/>
        <v>18.54552</v>
      </c>
      <c r="G84" s="138">
        <f t="shared" si="21"/>
        <v>32.454660000000004</v>
      </c>
      <c r="H84" s="138">
        <f t="shared" si="21"/>
        <v>54.31084509374999</v>
      </c>
      <c r="I84" s="138">
        <f t="shared" si="21"/>
        <v>85.539581022656236</v>
      </c>
      <c r="J84" s="138">
        <f t="shared" si="21"/>
        <v>126.40849195570314</v>
      </c>
      <c r="K84" s="36"/>
      <c r="L84" s="180"/>
    </row>
    <row r="85" spans="2:12" s="4" customFormat="1" ht="13.5" customHeight="1" x14ac:dyDescent="0.45">
      <c r="B85" s="50" t="s">
        <v>126</v>
      </c>
      <c r="C85" s="75">
        <f t="shared" ref="C85:J85" si="22">C84/C51</f>
        <v>0.46799999999999997</v>
      </c>
      <c r="D85" s="75">
        <f t="shared" si="22"/>
        <v>0.43099999999999994</v>
      </c>
      <c r="E85" s="76">
        <f t="shared" si="22"/>
        <v>0.35000000000000003</v>
      </c>
      <c r="F85" s="75">
        <f t="shared" si="22"/>
        <v>0.38</v>
      </c>
      <c r="G85" s="75">
        <f t="shared" si="22"/>
        <v>0.4</v>
      </c>
      <c r="H85" s="75">
        <f t="shared" si="22"/>
        <v>0.42499999999999999</v>
      </c>
      <c r="I85" s="75">
        <f t="shared" si="22"/>
        <v>0.44999999999999996</v>
      </c>
      <c r="J85" s="75">
        <f t="shared" si="22"/>
        <v>0.47500000000000003</v>
      </c>
      <c r="K85" s="36"/>
      <c r="L85" s="180"/>
    </row>
    <row r="86" spans="2:12" s="4" customFormat="1" ht="13.5" customHeight="1" x14ac:dyDescent="0.45">
      <c r="B86" s="50"/>
      <c r="C86" s="75"/>
      <c r="D86" s="75"/>
      <c r="E86" s="76"/>
      <c r="F86" s="105"/>
      <c r="G86" s="105"/>
      <c r="H86" s="105"/>
      <c r="I86" s="105"/>
      <c r="J86" s="105"/>
      <c r="K86" s="36"/>
      <c r="L86" s="180"/>
    </row>
    <row r="87" spans="2:12" s="4" customFormat="1" ht="13.5" customHeight="1" x14ac:dyDescent="0.45">
      <c r="B87" s="4" t="s">
        <v>139</v>
      </c>
      <c r="C87" s="53">
        <f>+'Revenue Build - End'!C5</f>
        <v>4.7087064000000005</v>
      </c>
      <c r="D87" s="53">
        <f>+'Revenue Build - End'!D5</f>
        <v>1.4773859999999999</v>
      </c>
      <c r="E87" s="80">
        <f>+'Revenue Build - End'!E5</f>
        <v>6.2673300000000003</v>
      </c>
      <c r="F87" s="53">
        <f>+'Revenue Build - End'!F5</f>
        <v>11.620000000000001</v>
      </c>
      <c r="G87" s="53">
        <f>+'Revenue Build - End'!G5</f>
        <v>20.335000000000001</v>
      </c>
      <c r="H87" s="53">
        <f>+'Revenue Build - End'!H5</f>
        <v>33.806937499999997</v>
      </c>
      <c r="I87" s="53">
        <f>+'Revenue Build - End'!I5</f>
        <v>53.245926562499996</v>
      </c>
      <c r="J87" s="53">
        <f>+'Revenue Build - End'!J5</f>
        <v>79.203315761718741</v>
      </c>
      <c r="K87" s="36"/>
      <c r="L87" s="180"/>
    </row>
    <row r="88" spans="2:12" s="4" customFormat="1" ht="13.5" customHeight="1" x14ac:dyDescent="0.45">
      <c r="B88" s="4" t="s">
        <v>140</v>
      </c>
      <c r="C88" s="81">
        <f t="shared" ref="C88:J88" si="23">C93*C$51</f>
        <v>0.35139599999999999</v>
      </c>
      <c r="D88" s="81">
        <f t="shared" si="23"/>
        <v>4.9246200000000004E-2</v>
      </c>
      <c r="E88" s="85">
        <f t="shared" si="23"/>
        <v>0.55709600000000004</v>
      </c>
      <c r="F88" s="81">
        <f t="shared" si="23"/>
        <v>0.97608000000000006</v>
      </c>
      <c r="G88" s="81">
        <f t="shared" si="23"/>
        <v>1.6227330000000002</v>
      </c>
      <c r="H88" s="81">
        <f t="shared" si="23"/>
        <v>2.5558044749999995</v>
      </c>
      <c r="I88" s="81">
        <f t="shared" si="23"/>
        <v>3.8017591565625</v>
      </c>
      <c r="J88" s="81">
        <f t="shared" si="23"/>
        <v>5.3224628191874999</v>
      </c>
      <c r="K88" s="36"/>
      <c r="L88" s="180"/>
    </row>
    <row r="89" spans="2:12" s="4" customFormat="1" ht="13.5" customHeight="1" x14ac:dyDescent="0.45">
      <c r="B89" s="139" t="s">
        <v>72</v>
      </c>
      <c r="C89" s="137">
        <f>SUM(C87:C88)</f>
        <v>5.0601024000000008</v>
      </c>
      <c r="D89" s="137">
        <f t="shared" ref="D89:J89" si="24">SUM(D87:D88)</f>
        <v>1.5266321999999999</v>
      </c>
      <c r="E89" s="88">
        <f t="shared" si="24"/>
        <v>6.8244260000000008</v>
      </c>
      <c r="F89" s="137">
        <f t="shared" si="24"/>
        <v>12.596080000000001</v>
      </c>
      <c r="G89" s="137">
        <f t="shared" si="24"/>
        <v>21.957733000000001</v>
      </c>
      <c r="H89" s="137">
        <f t="shared" si="24"/>
        <v>36.362741974999999</v>
      </c>
      <c r="I89" s="137">
        <f t="shared" si="24"/>
        <v>57.047685719062493</v>
      </c>
      <c r="J89" s="137">
        <f t="shared" si="24"/>
        <v>84.525778580906234</v>
      </c>
      <c r="L89" s="174"/>
    </row>
    <row r="90" spans="2:12" s="4" customFormat="1" ht="13.5" customHeight="1" x14ac:dyDescent="0.45">
      <c r="B90" s="144"/>
      <c r="C90" s="138"/>
      <c r="D90" s="138"/>
      <c r="E90" s="101"/>
      <c r="F90" s="138"/>
      <c r="G90" s="138"/>
      <c r="H90" s="138"/>
      <c r="I90" s="138"/>
      <c r="J90" s="138"/>
      <c r="L90" s="174"/>
    </row>
    <row r="91" spans="2:12" s="4" customFormat="1" ht="13.5" customHeight="1" x14ac:dyDescent="0.45">
      <c r="B91" s="140" t="s">
        <v>126</v>
      </c>
      <c r="C91" s="138"/>
      <c r="D91" s="138"/>
      <c r="E91" s="101"/>
      <c r="F91" s="138"/>
      <c r="G91" s="138"/>
      <c r="H91" s="138"/>
      <c r="I91" s="138"/>
      <c r="J91" s="138"/>
      <c r="K91" s="36"/>
      <c r="L91" s="180"/>
    </row>
    <row r="92" spans="2:12" s="4" customFormat="1" ht="13.5" customHeight="1" x14ac:dyDescent="0.45">
      <c r="B92" s="50" t="s">
        <v>139</v>
      </c>
      <c r="C92" s="72">
        <f>+C87/C51</f>
        <v>0.20100000000000001</v>
      </c>
      <c r="D92" s="72">
        <f t="shared" ref="D92:J92" si="25">+D87/D51</f>
        <v>0.15</v>
      </c>
      <c r="E92" s="73">
        <f t="shared" si="25"/>
        <v>0.22500000000000001</v>
      </c>
      <c r="F92" s="72">
        <f t="shared" si="25"/>
        <v>0.23809523809523811</v>
      </c>
      <c r="G92" s="72">
        <f t="shared" si="25"/>
        <v>0.25062656641604009</v>
      </c>
      <c r="H92" s="72">
        <f t="shared" si="25"/>
        <v>0.26455026455026454</v>
      </c>
      <c r="I92" s="72">
        <f t="shared" si="25"/>
        <v>0.28011204481792717</v>
      </c>
      <c r="J92" s="72">
        <f t="shared" si="25"/>
        <v>0.29761904761904756</v>
      </c>
      <c r="K92" s="36"/>
      <c r="L92" s="180"/>
    </row>
    <row r="93" spans="2:12" s="4" customFormat="1" ht="13.5" customHeight="1" x14ac:dyDescent="0.45">
      <c r="B93" s="50" t="s">
        <v>140</v>
      </c>
      <c r="C93" s="145">
        <v>1.4999999999999999E-2</v>
      </c>
      <c r="D93" s="145">
        <v>5.0000000000000001E-3</v>
      </c>
      <c r="E93" s="167">
        <v>0.02</v>
      </c>
      <c r="F93" s="145">
        <v>0.02</v>
      </c>
      <c r="G93" s="145">
        <v>0.02</v>
      </c>
      <c r="H93" s="145">
        <v>0.02</v>
      </c>
      <c r="I93" s="145">
        <v>0.02</v>
      </c>
      <c r="J93" s="145">
        <v>0.02</v>
      </c>
      <c r="K93" s="36"/>
      <c r="L93" s="180"/>
    </row>
    <row r="94" spans="2:12" s="4" customFormat="1" ht="13.5" customHeight="1" x14ac:dyDescent="0.45">
      <c r="B94" s="50" t="s">
        <v>72</v>
      </c>
      <c r="C94" s="72">
        <f t="shared" ref="C94:J94" si="26">+C89/C51</f>
        <v>0.21600000000000003</v>
      </c>
      <c r="D94" s="72">
        <f t="shared" si="26"/>
        <v>0.155</v>
      </c>
      <c r="E94" s="73">
        <f t="shared" si="26"/>
        <v>0.24500000000000002</v>
      </c>
      <c r="F94" s="72">
        <f t="shared" si="26"/>
        <v>0.2580952380952381</v>
      </c>
      <c r="G94" s="72">
        <f t="shared" si="26"/>
        <v>0.2706265664160401</v>
      </c>
      <c r="H94" s="72">
        <f t="shared" si="26"/>
        <v>0.28455026455026461</v>
      </c>
      <c r="I94" s="72">
        <f t="shared" si="26"/>
        <v>0.30011204481792714</v>
      </c>
      <c r="J94" s="72">
        <f t="shared" si="26"/>
        <v>0.31761904761904752</v>
      </c>
      <c r="L94" s="180"/>
    </row>
    <row r="95" spans="2:12" s="4" customFormat="1" ht="13.5" customHeight="1" x14ac:dyDescent="0.45">
      <c r="B95" s="50"/>
      <c r="C95" s="72"/>
      <c r="D95" s="72"/>
      <c r="E95" s="73"/>
      <c r="F95" s="72"/>
      <c r="G95" s="72"/>
      <c r="H95" s="72"/>
      <c r="I95" s="72"/>
      <c r="J95" s="72"/>
      <c r="L95" s="180"/>
    </row>
    <row r="96" spans="2:12" s="4" customFormat="1" ht="13.5" customHeight="1" x14ac:dyDescent="0.45">
      <c r="B96" s="4" t="s">
        <v>128</v>
      </c>
      <c r="C96" s="53">
        <f t="shared" ref="C96:J96" si="27">C102*C$51</f>
        <v>2</v>
      </c>
      <c r="D96" s="53">
        <f t="shared" si="27"/>
        <v>1.2</v>
      </c>
      <c r="E96" s="80">
        <f t="shared" si="27"/>
        <v>3.2549019607843142</v>
      </c>
      <c r="F96" s="53">
        <f t="shared" si="27"/>
        <v>5.3684400000000005</v>
      </c>
      <c r="G96" s="53">
        <f t="shared" si="27"/>
        <v>8.113665000000001</v>
      </c>
      <c r="H96" s="53">
        <f t="shared" si="27"/>
        <v>11.501120137499997</v>
      </c>
      <c r="I96" s="53">
        <f t="shared" si="27"/>
        <v>15.20703662625</v>
      </c>
      <c r="J96" s="53">
        <f t="shared" si="27"/>
        <v>18.628619867156253</v>
      </c>
      <c r="K96" s="36"/>
      <c r="L96" s="180"/>
    </row>
    <row r="97" spans="2:12" s="4" customFormat="1" ht="13.5" customHeight="1" x14ac:dyDescent="0.45">
      <c r="B97" s="4" t="s">
        <v>141</v>
      </c>
      <c r="C97" s="81">
        <f t="shared" ref="C97:J98" si="28">+C103*C$51</f>
        <v>0.23426400000000003</v>
      </c>
      <c r="D97" s="81">
        <f t="shared" si="28"/>
        <v>4.9246200000000004E-2</v>
      </c>
      <c r="E97" s="85">
        <f t="shared" si="28"/>
        <v>0.16712880000000002</v>
      </c>
      <c r="F97" s="81">
        <f t="shared" si="28"/>
        <v>0.24402000000000001</v>
      </c>
      <c r="G97" s="81">
        <f t="shared" si="28"/>
        <v>0.40568325000000005</v>
      </c>
      <c r="H97" s="81">
        <f t="shared" si="28"/>
        <v>0.63895111874999988</v>
      </c>
      <c r="I97" s="81">
        <f t="shared" si="28"/>
        <v>0.95043978914062499</v>
      </c>
      <c r="J97" s="81">
        <f t="shared" si="28"/>
        <v>1.330615704796875</v>
      </c>
      <c r="K97" s="36"/>
      <c r="L97" s="180"/>
    </row>
    <row r="98" spans="2:12" s="4" customFormat="1" ht="13.5" customHeight="1" x14ac:dyDescent="0.45">
      <c r="B98" s="4" t="s">
        <v>142</v>
      </c>
      <c r="C98" s="81">
        <f t="shared" si="28"/>
        <v>1.1713200000000001</v>
      </c>
      <c r="D98" s="81">
        <f t="shared" si="28"/>
        <v>0.78793920000000006</v>
      </c>
      <c r="E98" s="85">
        <f t="shared" si="28"/>
        <v>1.1699016000000002</v>
      </c>
      <c r="F98" s="81">
        <f t="shared" si="28"/>
        <v>2.4402000000000004</v>
      </c>
      <c r="G98" s="81">
        <f t="shared" si="28"/>
        <v>4.0568325000000005</v>
      </c>
      <c r="H98" s="81">
        <f t="shared" si="28"/>
        <v>6.3895111874999992</v>
      </c>
      <c r="I98" s="81">
        <f t="shared" si="28"/>
        <v>9.5043978914062492</v>
      </c>
      <c r="J98" s="81">
        <f t="shared" si="28"/>
        <v>13.306157047968751</v>
      </c>
      <c r="K98" s="36"/>
      <c r="L98" s="180"/>
    </row>
    <row r="99" spans="2:12" s="4" customFormat="1" ht="13.5" customHeight="1" x14ac:dyDescent="0.45">
      <c r="B99" s="139" t="s">
        <v>143</v>
      </c>
      <c r="C99" s="137">
        <f>SUM(C96:C98)</f>
        <v>3.4055840000000002</v>
      </c>
      <c r="D99" s="137">
        <f t="shared" ref="D99:J99" si="29">SUM(D96:D98)</f>
        <v>2.0371854000000003</v>
      </c>
      <c r="E99" s="88">
        <f t="shared" si="29"/>
        <v>4.5919323607843143</v>
      </c>
      <c r="F99" s="137">
        <f t="shared" si="29"/>
        <v>8.0526600000000013</v>
      </c>
      <c r="G99" s="137">
        <f t="shared" si="29"/>
        <v>12.576180750000001</v>
      </c>
      <c r="H99" s="137">
        <f t="shared" si="29"/>
        <v>18.529582443749998</v>
      </c>
      <c r="I99" s="137">
        <f t="shared" si="29"/>
        <v>25.661874306796875</v>
      </c>
      <c r="J99" s="137">
        <f t="shared" si="29"/>
        <v>33.265392619921883</v>
      </c>
      <c r="K99" s="36"/>
      <c r="L99" s="180"/>
    </row>
    <row r="100" spans="2:12" s="4" customFormat="1" ht="13.5" customHeight="1" x14ac:dyDescent="0.45">
      <c r="C100" s="78"/>
      <c r="D100" s="78"/>
      <c r="E100" s="79"/>
      <c r="F100" s="53"/>
      <c r="G100" s="53"/>
      <c r="H100" s="53"/>
      <c r="I100" s="53"/>
      <c r="J100" s="53"/>
      <c r="K100" s="36"/>
      <c r="L100" s="180"/>
    </row>
    <row r="101" spans="2:12" s="4" customFormat="1" ht="13.5" customHeight="1" x14ac:dyDescent="0.45">
      <c r="B101" s="140" t="s">
        <v>126</v>
      </c>
      <c r="C101" s="138"/>
      <c r="D101" s="138"/>
      <c r="E101" s="101"/>
      <c r="F101" s="138"/>
      <c r="G101" s="138"/>
      <c r="H101" s="138"/>
      <c r="I101" s="138"/>
      <c r="J101" s="138"/>
      <c r="K101" s="36"/>
      <c r="L101" s="180"/>
    </row>
    <row r="102" spans="2:12" s="4" customFormat="1" ht="13.5" customHeight="1" x14ac:dyDescent="0.45">
      <c r="B102" s="50" t="s">
        <v>128</v>
      </c>
      <c r="C102" s="77">
        <v>8.5373766349076258E-2</v>
      </c>
      <c r="D102" s="77">
        <v>0.12183681177430948</v>
      </c>
      <c r="E102" s="169">
        <v>0.11685246208137606</v>
      </c>
      <c r="F102" s="77">
        <v>0.11</v>
      </c>
      <c r="G102" s="77">
        <v>0.1</v>
      </c>
      <c r="H102" s="77">
        <v>0.09</v>
      </c>
      <c r="I102" s="77">
        <v>0.08</v>
      </c>
      <c r="J102" s="77">
        <v>7.0000000000000007E-2</v>
      </c>
      <c r="K102" s="36"/>
      <c r="L102" s="180"/>
    </row>
    <row r="103" spans="2:12" s="4" customFormat="1" ht="13.5" customHeight="1" x14ac:dyDescent="0.45">
      <c r="B103" s="50" t="s">
        <v>141</v>
      </c>
      <c r="C103" s="77">
        <v>0.01</v>
      </c>
      <c r="D103" s="77">
        <v>5.0000000000000001E-3</v>
      </c>
      <c r="E103" s="169">
        <v>6.0000000000000001E-3</v>
      </c>
      <c r="F103" s="77">
        <v>5.0000000000000001E-3</v>
      </c>
      <c r="G103" s="77">
        <v>5.0000000000000001E-3</v>
      </c>
      <c r="H103" s="77">
        <v>5.0000000000000001E-3</v>
      </c>
      <c r="I103" s="77">
        <v>5.0000000000000001E-3</v>
      </c>
      <c r="J103" s="77">
        <v>5.0000000000000001E-3</v>
      </c>
      <c r="K103" s="36"/>
      <c r="L103" s="180"/>
    </row>
    <row r="104" spans="2:12" s="4" customFormat="1" ht="13.5" customHeight="1" x14ac:dyDescent="0.45">
      <c r="B104" s="50" t="s">
        <v>142</v>
      </c>
      <c r="C104" s="77">
        <v>0.05</v>
      </c>
      <c r="D104" s="77">
        <v>0.08</v>
      </c>
      <c r="E104" s="169">
        <v>4.2000000000000003E-2</v>
      </c>
      <c r="F104" s="77">
        <v>0.05</v>
      </c>
      <c r="G104" s="77">
        <v>0.05</v>
      </c>
      <c r="H104" s="77">
        <v>0.05</v>
      </c>
      <c r="I104" s="77">
        <v>0.05</v>
      </c>
      <c r="J104" s="77">
        <v>0.05</v>
      </c>
      <c r="K104" s="36"/>
      <c r="L104" s="180"/>
    </row>
    <row r="105" spans="2:12" s="4" customFormat="1" ht="13.5" customHeight="1" x14ac:dyDescent="0.45">
      <c r="B105" s="50" t="s">
        <v>143</v>
      </c>
      <c r="C105" s="72">
        <f t="shared" ref="C105:J105" si="30">+C99/C$51</f>
        <v>0.14537376634907626</v>
      </c>
      <c r="D105" s="72">
        <f t="shared" si="30"/>
        <v>0.20683681177430951</v>
      </c>
      <c r="E105" s="73">
        <f t="shared" si="30"/>
        <v>0.16485246208137608</v>
      </c>
      <c r="F105" s="72">
        <f t="shared" si="30"/>
        <v>0.16500000000000001</v>
      </c>
      <c r="G105" s="72">
        <f t="shared" si="30"/>
        <v>0.155</v>
      </c>
      <c r="H105" s="72">
        <f t="shared" si="30"/>
        <v>0.14500000000000002</v>
      </c>
      <c r="I105" s="72">
        <f t="shared" si="30"/>
        <v>0.13500000000000001</v>
      </c>
      <c r="J105" s="72">
        <f t="shared" si="30"/>
        <v>0.12500000000000003</v>
      </c>
      <c r="L105" s="180"/>
    </row>
    <row r="106" spans="2:12" s="4" customFormat="1" ht="13.5" customHeight="1" x14ac:dyDescent="0.45">
      <c r="B106" s="46"/>
      <c r="E106" s="64"/>
      <c r="K106" s="36"/>
      <c r="L106" s="174"/>
    </row>
    <row r="107" spans="2:12" s="4" customFormat="1" ht="13.5" customHeight="1" x14ac:dyDescent="0.45">
      <c r="B107" s="17" t="s">
        <v>10</v>
      </c>
      <c r="C107" s="138">
        <f t="shared" ref="C107:J107" si="31">+C84-C89-C99</f>
        <v>2.4978687999999991</v>
      </c>
      <c r="D107" s="138">
        <f t="shared" si="31"/>
        <v>0.68120483999999948</v>
      </c>
      <c r="E107" s="101">
        <f t="shared" si="31"/>
        <v>-1.6671783607843143</v>
      </c>
      <c r="F107" s="138">
        <f t="shared" si="31"/>
        <v>-2.1032200000000021</v>
      </c>
      <c r="G107" s="138">
        <f t="shared" si="31"/>
        <v>-2.0792537499999977</v>
      </c>
      <c r="H107" s="138">
        <f t="shared" si="31"/>
        <v>-0.58147932500000721</v>
      </c>
      <c r="I107" s="138">
        <f t="shared" si="31"/>
        <v>2.8300209967968684</v>
      </c>
      <c r="J107" s="138">
        <f t="shared" si="31"/>
        <v>8.6173207548750241</v>
      </c>
      <c r="K107" s="36"/>
      <c r="L107" s="180"/>
    </row>
    <row r="108" spans="2:12" s="4" customFormat="1" ht="13.5" customHeight="1" x14ac:dyDescent="0.45">
      <c r="B108" s="50" t="s">
        <v>126</v>
      </c>
      <c r="C108" s="72">
        <f t="shared" ref="C108:J108" si="32">+C107/C$51</f>
        <v>0.1066262336509237</v>
      </c>
      <c r="D108" s="72">
        <f t="shared" si="32"/>
        <v>6.9163188225690453E-2</v>
      </c>
      <c r="E108" s="73">
        <f t="shared" si="32"/>
        <v>-5.9852462081376075E-2</v>
      </c>
      <c r="F108" s="74">
        <f t="shared" si="32"/>
        <v>-4.3095238095238138E-2</v>
      </c>
      <c r="G108" s="74">
        <f t="shared" si="32"/>
        <v>-2.562656641604007E-2</v>
      </c>
      <c r="H108" s="74">
        <f t="shared" si="32"/>
        <v>-4.5502645502646074E-3</v>
      </c>
      <c r="I108" s="74">
        <f t="shared" si="32"/>
        <v>1.4887955182072796E-2</v>
      </c>
      <c r="J108" s="74">
        <f t="shared" si="32"/>
        <v>3.2380952380952469E-2</v>
      </c>
      <c r="K108" s="36"/>
      <c r="L108" s="180"/>
    </row>
    <row r="109" spans="2:12" s="4" customFormat="1" ht="13.5" customHeight="1" x14ac:dyDescent="0.45">
      <c r="E109" s="63"/>
      <c r="F109" s="36"/>
      <c r="G109" s="36"/>
      <c r="H109" s="36"/>
      <c r="I109" s="36"/>
      <c r="J109" s="36"/>
      <c r="K109" s="36"/>
      <c r="L109" s="180"/>
    </row>
    <row r="110" spans="2:12" s="4" customFormat="1" ht="13.5" customHeight="1" x14ac:dyDescent="0.45">
      <c r="B110" s="4" t="s">
        <v>11</v>
      </c>
      <c r="C110" s="53"/>
      <c r="D110" s="53"/>
      <c r="E110" s="80"/>
      <c r="F110" s="53">
        <f>F160*F$51</f>
        <v>1.4641200000000001</v>
      </c>
      <c r="G110" s="53">
        <f>G160*G$51</f>
        <v>2.4340994999999999</v>
      </c>
      <c r="H110" s="53">
        <f>H160*H$51</f>
        <v>3.8337067124999993</v>
      </c>
      <c r="I110" s="53">
        <f>I160*I$51</f>
        <v>5.7026387348437497</v>
      </c>
      <c r="J110" s="53">
        <f>J160*J$51</f>
        <v>7.9836942287812498</v>
      </c>
      <c r="K110" s="36"/>
      <c r="L110" s="180"/>
    </row>
    <row r="111" spans="2:12" s="4" customFormat="1" ht="13.5" customHeight="1" x14ac:dyDescent="0.45">
      <c r="B111" s="4" t="s">
        <v>14</v>
      </c>
      <c r="E111" s="61"/>
      <c r="F111" s="81">
        <f ca="1">F170+F176</f>
        <v>0</v>
      </c>
      <c r="G111" s="81">
        <f ca="1">G170+G176</f>
        <v>0</v>
      </c>
      <c r="H111" s="81">
        <f ca="1">H170+H176</f>
        <v>0.94541166012105871</v>
      </c>
      <c r="I111" s="81">
        <f ca="1">I170+I176</f>
        <v>3.2062406148163256</v>
      </c>
      <c r="J111" s="81">
        <f ca="1">J170+J176</f>
        <v>6.0087240514606162</v>
      </c>
      <c r="K111" s="36"/>
      <c r="L111" s="180"/>
    </row>
    <row r="112" spans="2:12" s="4" customFormat="1" ht="13.5" customHeight="1" x14ac:dyDescent="0.45">
      <c r="B112" s="4" t="s">
        <v>44</v>
      </c>
      <c r="E112" s="61"/>
      <c r="F112" s="81">
        <f>F163</f>
        <v>0</v>
      </c>
      <c r="G112" s="81">
        <f>G163</f>
        <v>0</v>
      </c>
      <c r="H112" s="81">
        <f>H163</f>
        <v>0</v>
      </c>
      <c r="I112" s="81">
        <f>I163</f>
        <v>0</v>
      </c>
      <c r="J112" s="81">
        <f>J163</f>
        <v>0</v>
      </c>
      <c r="K112" s="36"/>
      <c r="L112" s="180"/>
    </row>
    <row r="113" spans="1:17" s="4" customFormat="1" ht="13.5" customHeight="1" x14ac:dyDescent="0.45">
      <c r="B113" s="13" t="s">
        <v>13</v>
      </c>
      <c r="C113" s="13"/>
      <c r="D113" s="13"/>
      <c r="E113" s="159"/>
      <c r="F113" s="137">
        <f ca="1">F107-F110-F111-F112</f>
        <v>-3.5673400000000024</v>
      </c>
      <c r="G113" s="137">
        <f ca="1">G107-G110-G111-G112</f>
        <v>-4.513353249999998</v>
      </c>
      <c r="H113" s="137">
        <f ca="1">H107-H110-H111-H112</f>
        <v>-5.3605976976210652</v>
      </c>
      <c r="I113" s="137">
        <f ca="1">I107-I110-I111-I112</f>
        <v>-6.0788583528632074</v>
      </c>
      <c r="J113" s="137">
        <f ca="1">J107-J110-J111-J112</f>
        <v>-5.3750975253668418</v>
      </c>
      <c r="K113" s="36"/>
      <c r="L113" s="180"/>
    </row>
    <row r="114" spans="1:17" s="4" customFormat="1" ht="13.5" customHeight="1" x14ac:dyDescent="0.45">
      <c r="B114" s="50" t="s">
        <v>126</v>
      </c>
      <c r="C114" s="72"/>
      <c r="D114" s="72"/>
      <c r="E114" s="73"/>
      <c r="F114" s="74">
        <f ca="1">+F113/F$51</f>
        <v>-7.3095238095238144E-2</v>
      </c>
      <c r="G114" s="74">
        <f ca="1">+G113/G$51</f>
        <v>-5.5626566416040073E-2</v>
      </c>
      <c r="H114" s="74">
        <f ca="1">+H113/H$51</f>
        <v>-4.1948417807829888E-2</v>
      </c>
      <c r="I114" s="74">
        <f ca="1">+I113/I$51</f>
        <v>-3.1979187015937278E-2</v>
      </c>
      <c r="J114" s="74">
        <f ca="1">+J113/J$51</f>
        <v>-2.0197783274275186E-2</v>
      </c>
      <c r="L114" s="174"/>
    </row>
    <row r="115" spans="1:17" s="20" customFormat="1" ht="13.5" customHeight="1" x14ac:dyDescent="0.45">
      <c r="A115" s="4"/>
      <c r="B115" s="4"/>
      <c r="C115" s="4"/>
      <c r="D115" s="4"/>
      <c r="E115" s="64"/>
      <c r="F115" s="4"/>
      <c r="G115" s="4"/>
      <c r="H115" s="4"/>
      <c r="I115" s="4"/>
      <c r="J115" s="4"/>
      <c r="K115" s="4"/>
      <c r="L115" s="174"/>
      <c r="M115" s="4"/>
      <c r="N115" s="4"/>
      <c r="O115" s="4"/>
      <c r="P115" s="4"/>
      <c r="Q115" s="4"/>
    </row>
    <row r="116" spans="1:17" s="4" customFormat="1" ht="13.5" customHeight="1" x14ac:dyDescent="0.45">
      <c r="B116" s="4" t="s">
        <v>70</v>
      </c>
      <c r="E116" s="65"/>
      <c r="F116" s="56">
        <f ca="1">+IF(F113&lt;0, 0, F113*F117)</f>
        <v>0</v>
      </c>
      <c r="G116" s="56">
        <f t="shared" ref="G116:J116" ca="1" si="33">+IF(G113&lt;0, 0, G113*G117)</f>
        <v>0</v>
      </c>
      <c r="H116" s="56">
        <f t="shared" ca="1" si="33"/>
        <v>0</v>
      </c>
      <c r="I116" s="56">
        <f t="shared" ca="1" si="33"/>
        <v>0</v>
      </c>
      <c r="J116" s="56">
        <f t="shared" ca="1" si="33"/>
        <v>0</v>
      </c>
      <c r="L116" s="174"/>
    </row>
    <row r="117" spans="1:17" s="4" customFormat="1" ht="13.5" customHeight="1" x14ac:dyDescent="0.45">
      <c r="B117" s="50" t="s">
        <v>15</v>
      </c>
      <c r="E117" s="65"/>
      <c r="F117" s="77">
        <v>0.25</v>
      </c>
      <c r="G117" s="77">
        <v>0.25</v>
      </c>
      <c r="H117" s="77">
        <v>0.25</v>
      </c>
      <c r="I117" s="77">
        <v>0.25</v>
      </c>
      <c r="J117" s="77">
        <v>0.25</v>
      </c>
      <c r="L117" s="174"/>
    </row>
    <row r="118" spans="1:17" s="4" customFormat="1" ht="13.5" customHeight="1" x14ac:dyDescent="0.45">
      <c r="B118" s="50"/>
      <c r="C118" s="34"/>
      <c r="D118" s="34"/>
      <c r="E118" s="64"/>
      <c r="F118" s="56"/>
      <c r="G118" s="56"/>
      <c r="H118" s="56"/>
      <c r="I118" s="56"/>
      <c r="J118" s="56"/>
      <c r="L118" s="174"/>
    </row>
    <row r="119" spans="1:17" s="4" customFormat="1" ht="13.5" customHeight="1" x14ac:dyDescent="0.45">
      <c r="B119" s="17" t="s">
        <v>12</v>
      </c>
      <c r="C119" s="17"/>
      <c r="D119" s="17"/>
      <c r="E119" s="123"/>
      <c r="F119" s="93">
        <f ca="1">F113-F116</f>
        <v>-3.5673400000000024</v>
      </c>
      <c r="G119" s="93">
        <f t="shared" ref="G119:J119" ca="1" si="34">G113-G116</f>
        <v>-4.513353249999998</v>
      </c>
      <c r="H119" s="93">
        <f t="shared" ca="1" si="34"/>
        <v>-5.3605976976210652</v>
      </c>
      <c r="I119" s="93">
        <f t="shared" ca="1" si="34"/>
        <v>-6.0788583528632074</v>
      </c>
      <c r="J119" s="93">
        <f t="shared" ca="1" si="34"/>
        <v>-5.3750975253668418</v>
      </c>
      <c r="L119" s="174"/>
    </row>
    <row r="120" spans="1:17" s="4" customFormat="1" ht="13.5" customHeight="1" x14ac:dyDescent="0.45">
      <c r="B120" s="50" t="s">
        <v>126</v>
      </c>
      <c r="C120" s="72"/>
      <c r="D120" s="72"/>
      <c r="E120" s="73"/>
      <c r="F120" s="74">
        <f ca="1">+F119/F$51</f>
        <v>-7.3095238095238144E-2</v>
      </c>
      <c r="G120" s="74">
        <f ca="1">+G119/G$51</f>
        <v>-5.5626566416040073E-2</v>
      </c>
      <c r="H120" s="74">
        <f ca="1">+H119/H$51</f>
        <v>-4.1948417807829888E-2</v>
      </c>
      <c r="I120" s="74">
        <f ca="1">+I119/I$51</f>
        <v>-3.1979187015937278E-2</v>
      </c>
      <c r="J120" s="74">
        <f ca="1">+J119/J$51</f>
        <v>-2.0197783274275186E-2</v>
      </c>
      <c r="L120" s="174"/>
    </row>
    <row r="121" spans="1:17" s="4" customFormat="1" ht="13.5" customHeight="1" x14ac:dyDescent="0.45">
      <c r="B121" s="50"/>
      <c r="C121" s="72"/>
      <c r="D121" s="72"/>
      <c r="E121" s="73"/>
      <c r="F121" s="74"/>
      <c r="G121" s="74"/>
      <c r="H121" s="74"/>
      <c r="I121" s="74"/>
      <c r="J121" s="74"/>
      <c r="L121" s="174"/>
    </row>
    <row r="122" spans="1:17" s="20" customFormat="1" ht="13.5" customHeight="1" x14ac:dyDescent="0.45">
      <c r="A122" s="4"/>
      <c r="B122" s="4"/>
      <c r="C122" s="4"/>
      <c r="D122" s="4"/>
      <c r="E122" s="64"/>
      <c r="F122" s="4"/>
      <c r="G122" s="4"/>
      <c r="H122" s="4"/>
      <c r="I122" s="4"/>
      <c r="J122" s="4"/>
      <c r="K122" s="4"/>
      <c r="L122" s="174"/>
      <c r="M122" s="4"/>
      <c r="N122" s="4"/>
      <c r="O122" s="4"/>
      <c r="P122" s="4"/>
      <c r="Q122" s="4"/>
    </row>
    <row r="123" spans="1:17" s="4" customFormat="1" ht="13.5" customHeight="1" x14ac:dyDescent="0.45">
      <c r="B123" s="8" t="s">
        <v>17</v>
      </c>
      <c r="C123" s="32">
        <v>0</v>
      </c>
      <c r="D123" s="37" t="s">
        <v>38</v>
      </c>
      <c r="E123" s="67" t="s">
        <v>37</v>
      </c>
      <c r="F123" s="32">
        <v>1</v>
      </c>
      <c r="G123" s="32">
        <f>F123+1</f>
        <v>2</v>
      </c>
      <c r="H123" s="32">
        <f>G123+1</f>
        <v>3</v>
      </c>
      <c r="I123" s="32">
        <f>H123+1</f>
        <v>4</v>
      </c>
      <c r="J123" s="32">
        <f>I123+1</f>
        <v>5</v>
      </c>
      <c r="L123" s="174"/>
    </row>
    <row r="124" spans="1:17" s="4" customFormat="1" ht="13.5" customHeight="1" x14ac:dyDescent="0.45">
      <c r="B124" s="4" t="s">
        <v>18</v>
      </c>
      <c r="C124" s="78">
        <v>2.2000000000000002</v>
      </c>
      <c r="D124" s="82">
        <f>E124-C124</f>
        <v>32.799999999999997</v>
      </c>
      <c r="E124" s="80">
        <f>+D10</f>
        <v>35</v>
      </c>
      <c r="F124" s="56">
        <f ca="1">F192+E124</f>
        <v>20.974058564383562</v>
      </c>
      <c r="G124" s="56">
        <f ca="1">G192+F124</f>
        <v>13.574489820376712</v>
      </c>
      <c r="H124" s="56">
        <f ca="1">H192+G124</f>
        <v>19.168533562499995</v>
      </c>
      <c r="I124" s="56">
        <f ca="1">I192+H124</f>
        <v>28.513193674123048</v>
      </c>
      <c r="J124" s="56">
        <f ca="1">J192+I124</f>
        <v>39.918471141105002</v>
      </c>
      <c r="L124" s="174"/>
    </row>
    <row r="125" spans="1:17" s="20" customFormat="1" ht="13.5" customHeight="1" x14ac:dyDescent="0.45">
      <c r="A125" s="4"/>
      <c r="B125" s="4" t="s">
        <v>155</v>
      </c>
      <c r="C125" s="83">
        <v>0.12836383561643835</v>
      </c>
      <c r="D125" s="84"/>
      <c r="E125" s="85">
        <f t="shared" ref="E125:E127" si="35">+D125+C125</f>
        <v>0.12836383561643835</v>
      </c>
      <c r="F125" s="52">
        <f>F146/365*F51</f>
        <v>0.26741917808219179</v>
      </c>
      <c r="G125" s="52">
        <f>G146/365*G51</f>
        <v>0.44458438356164387</v>
      </c>
      <c r="H125" s="52">
        <f>H146/365*H51</f>
        <v>0.70022040410958897</v>
      </c>
      <c r="I125" s="52">
        <f>I146/365*I51</f>
        <v>1.0415778511130136</v>
      </c>
      <c r="J125" s="52">
        <f>J146/365*J51</f>
        <v>1.4582089915582193</v>
      </c>
      <c r="K125" s="160"/>
      <c r="L125" s="174"/>
      <c r="M125" s="12"/>
      <c r="N125" s="4"/>
      <c r="O125" s="4"/>
      <c r="P125" s="4"/>
      <c r="Q125" s="4"/>
    </row>
    <row r="126" spans="1:17" s="20" customFormat="1" ht="13.5" customHeight="1" x14ac:dyDescent="0.45">
      <c r="A126" s="4"/>
      <c r="B126" s="4" t="s">
        <v>153</v>
      </c>
      <c r="C126" s="83">
        <v>2.5993676712328768</v>
      </c>
      <c r="D126" s="84"/>
      <c r="E126" s="85">
        <f t="shared" si="35"/>
        <v>2.5993676712328768</v>
      </c>
      <c r="F126" s="52">
        <f>+F147*F61/365</f>
        <v>6.6186246575342471</v>
      </c>
      <c r="G126" s="52">
        <f>+G147*G61/365</f>
        <v>10.558879109589043</v>
      </c>
      <c r="H126" s="52">
        <f>+H147*H61/365</f>
        <v>15.930014193493147</v>
      </c>
      <c r="I126" s="52">
        <f>+I147*I61/365</f>
        <v>22.654318261708045</v>
      </c>
      <c r="J126" s="52">
        <f>+J147*J61/365</f>
        <v>30.257836574833046</v>
      </c>
      <c r="K126" s="160"/>
      <c r="L126" s="181"/>
      <c r="M126" s="12"/>
      <c r="N126" s="4"/>
      <c r="O126" s="4"/>
      <c r="P126" s="4"/>
      <c r="Q126" s="4"/>
    </row>
    <row r="127" spans="1:17" s="20" customFormat="1" ht="13.5" customHeight="1" x14ac:dyDescent="0.45">
      <c r="A127" s="4"/>
      <c r="B127" s="4" t="s">
        <v>154</v>
      </c>
      <c r="C127" s="83">
        <v>0.46852800000000006</v>
      </c>
      <c r="D127" s="84"/>
      <c r="E127" s="85">
        <f t="shared" si="35"/>
        <v>0.46852800000000006</v>
      </c>
      <c r="F127" s="52">
        <f>+F149*F51</f>
        <v>0.97608000000000006</v>
      </c>
      <c r="G127" s="52">
        <f>+G149*G51</f>
        <v>1.6227330000000002</v>
      </c>
      <c r="H127" s="52">
        <f>+H149*H51</f>
        <v>2.5558044749999995</v>
      </c>
      <c r="I127" s="52">
        <f>+I149*I51</f>
        <v>3.8017591565625</v>
      </c>
      <c r="J127" s="52">
        <f>+J149*J51</f>
        <v>5.3224628191874999</v>
      </c>
      <c r="K127" s="160"/>
      <c r="L127" s="174"/>
      <c r="M127" s="12"/>
      <c r="N127" s="4"/>
      <c r="O127" s="4"/>
      <c r="P127" s="4"/>
      <c r="Q127" s="4"/>
    </row>
    <row r="128" spans="1:17" s="4" customFormat="1" ht="13.5" customHeight="1" x14ac:dyDescent="0.45">
      <c r="B128" s="4" t="s">
        <v>39</v>
      </c>
      <c r="C128" s="83">
        <v>0</v>
      </c>
      <c r="D128" s="84">
        <f>+D13</f>
        <v>0</v>
      </c>
      <c r="E128" s="85">
        <f>D128+C128</f>
        <v>0</v>
      </c>
      <c r="F128" s="52">
        <f>F164</f>
        <v>0</v>
      </c>
      <c r="G128" s="52">
        <f t="shared" ref="G128:J128" si="36">G164</f>
        <v>0</v>
      </c>
      <c r="H128" s="52">
        <f t="shared" si="36"/>
        <v>0</v>
      </c>
      <c r="I128" s="52">
        <f t="shared" si="36"/>
        <v>0</v>
      </c>
      <c r="J128" s="52">
        <f t="shared" si="36"/>
        <v>0</v>
      </c>
      <c r="L128" s="174"/>
    </row>
    <row r="129" spans="1:17" s="4" customFormat="1" ht="13.5" customHeight="1" x14ac:dyDescent="0.45">
      <c r="B129" s="4" t="s">
        <v>40</v>
      </c>
      <c r="C129" s="83">
        <v>0</v>
      </c>
      <c r="D129" s="84"/>
      <c r="E129" s="85">
        <f>D129+C129</f>
        <v>0</v>
      </c>
      <c r="F129" s="81">
        <f>E129</f>
        <v>0</v>
      </c>
      <c r="G129" s="81">
        <f t="shared" ref="G129:J129" si="37">F129</f>
        <v>0</v>
      </c>
      <c r="H129" s="81">
        <f t="shared" si="37"/>
        <v>0</v>
      </c>
      <c r="I129" s="81">
        <f t="shared" si="37"/>
        <v>0</v>
      </c>
      <c r="J129" s="81">
        <f t="shared" si="37"/>
        <v>0</v>
      </c>
      <c r="L129" s="174"/>
    </row>
    <row r="130" spans="1:17" s="4" customFormat="1" ht="13.5" customHeight="1" x14ac:dyDescent="0.45">
      <c r="B130" s="4" t="s">
        <v>21</v>
      </c>
      <c r="C130" s="83">
        <v>2.5</v>
      </c>
      <c r="D130" s="86"/>
      <c r="E130" s="85">
        <f>D130+C130</f>
        <v>2.5</v>
      </c>
      <c r="F130" s="52">
        <f>F158</f>
        <v>11.035880000000001</v>
      </c>
      <c r="G130" s="52">
        <f t="shared" ref="G130:J130" si="38">G158</f>
        <v>11.847246500000001</v>
      </c>
      <c r="H130" s="52">
        <f t="shared" si="38"/>
        <v>13.125148737500002</v>
      </c>
      <c r="I130" s="52">
        <f t="shared" si="38"/>
        <v>15.026028315781254</v>
      </c>
      <c r="J130" s="52">
        <f t="shared" si="38"/>
        <v>17.687259725375004</v>
      </c>
      <c r="L130" s="174"/>
    </row>
    <row r="131" spans="1:17" s="4" customFormat="1" ht="13.5" customHeight="1" x14ac:dyDescent="0.45">
      <c r="B131" s="13" t="s">
        <v>20</v>
      </c>
      <c r="C131" s="55">
        <f>SUM(C124:C130)</f>
        <v>7.896259506849316</v>
      </c>
      <c r="D131" s="87"/>
      <c r="E131" s="88">
        <f t="shared" ref="E131:J131" si="39">SUM(E124:E130)</f>
        <v>40.696259506849316</v>
      </c>
      <c r="F131" s="55">
        <f t="shared" ca="1" si="39"/>
        <v>39.872062400000004</v>
      </c>
      <c r="G131" s="55">
        <f t="shared" ca="1" si="39"/>
        <v>38.047932813527396</v>
      </c>
      <c r="H131" s="55">
        <f t="shared" ca="1" si="39"/>
        <v>51.479721372602739</v>
      </c>
      <c r="I131" s="55">
        <f t="shared" ca="1" si="39"/>
        <v>71.036877259287849</v>
      </c>
      <c r="J131" s="55">
        <f t="shared" ca="1" si="39"/>
        <v>94.644239252058767</v>
      </c>
      <c r="L131" s="174"/>
    </row>
    <row r="132" spans="1:17" s="20" customFormat="1" ht="13.5" customHeight="1" x14ac:dyDescent="0.45">
      <c r="A132" s="4"/>
      <c r="B132" s="4"/>
      <c r="C132" s="56"/>
      <c r="D132" s="89"/>
      <c r="E132" s="80"/>
      <c r="F132" s="56"/>
      <c r="G132" s="56"/>
      <c r="H132" s="56"/>
      <c r="I132" s="56"/>
      <c r="J132" s="56"/>
      <c r="K132" s="4"/>
      <c r="L132" s="174"/>
      <c r="M132" s="4"/>
      <c r="N132" s="4"/>
      <c r="O132" s="4"/>
      <c r="P132" s="4"/>
      <c r="Q132" s="4"/>
    </row>
    <row r="133" spans="1:17" s="20" customFormat="1" ht="13.5" customHeight="1" x14ac:dyDescent="0.45">
      <c r="A133" s="4"/>
      <c r="B133" s="4" t="s">
        <v>156</v>
      </c>
      <c r="C133" s="78">
        <v>1.2996838356164384</v>
      </c>
      <c r="D133" s="89"/>
      <c r="E133" s="80">
        <f>+D133+C133</f>
        <v>1.2996838356164384</v>
      </c>
      <c r="F133" s="56">
        <f>+F148/365*F61</f>
        <v>3.3093123287671236</v>
      </c>
      <c r="G133" s="56">
        <f>+G148/365*G61</f>
        <v>5.2794395547945205</v>
      </c>
      <c r="H133" s="56">
        <f>+H148/365*H61</f>
        <v>7.9650070967465734</v>
      </c>
      <c r="I133" s="56">
        <f>+I148/365*I61</f>
        <v>11.327159130854023</v>
      </c>
      <c r="J133" s="56">
        <f>+J148/365*J61</f>
        <v>15.128918287416523</v>
      </c>
      <c r="K133" s="160"/>
      <c r="L133" s="174"/>
      <c r="M133" s="12"/>
      <c r="N133" s="4"/>
      <c r="O133" s="4"/>
      <c r="P133" s="4"/>
      <c r="Q133" s="4"/>
    </row>
    <row r="134" spans="1:17" s="20" customFormat="1" ht="13.5" customHeight="1" x14ac:dyDescent="0.45">
      <c r="A134" s="4"/>
      <c r="B134" s="4" t="s">
        <v>157</v>
      </c>
      <c r="C134" s="83">
        <v>0.47438460000000005</v>
      </c>
      <c r="D134" s="86"/>
      <c r="E134" s="85">
        <f>+D134+C134</f>
        <v>0.47438460000000005</v>
      </c>
      <c r="F134" s="81">
        <f>+F150*F61</f>
        <v>1.2078990000000003</v>
      </c>
      <c r="G134" s="81">
        <f>+G150*G61</f>
        <v>1.9269954375000002</v>
      </c>
      <c r="H134" s="81">
        <f>+H150*H61</f>
        <v>2.9072275903124996</v>
      </c>
      <c r="I134" s="81">
        <f>+I150*I61</f>
        <v>4.1344130827617187</v>
      </c>
      <c r="J134" s="81">
        <f>+J150*J61</f>
        <v>5.522055174907031</v>
      </c>
      <c r="K134" s="160"/>
      <c r="L134" s="174"/>
      <c r="M134" s="12"/>
      <c r="N134" s="4"/>
      <c r="O134" s="4"/>
      <c r="P134" s="4"/>
      <c r="Q134" s="4"/>
    </row>
    <row r="135" spans="1:17" s="4" customFormat="1" ht="13.5" customHeight="1" x14ac:dyDescent="0.45">
      <c r="B135" s="4" t="s">
        <v>46</v>
      </c>
      <c r="C135" s="83">
        <v>0</v>
      </c>
      <c r="D135" s="86"/>
      <c r="E135" s="85">
        <f>D135+C135</f>
        <v>0</v>
      </c>
      <c r="F135" s="81">
        <f>F168</f>
        <v>0</v>
      </c>
      <c r="G135" s="81">
        <f>G168</f>
        <v>0</v>
      </c>
      <c r="H135" s="81">
        <f>H168</f>
        <v>0</v>
      </c>
      <c r="I135" s="81">
        <f>I168</f>
        <v>0</v>
      </c>
      <c r="J135" s="81">
        <f>J168</f>
        <v>0</v>
      </c>
      <c r="L135" s="174"/>
    </row>
    <row r="136" spans="1:17" s="4" customFormat="1" ht="13.5" customHeight="1" x14ac:dyDescent="0.45">
      <c r="B136" s="4" t="s">
        <v>47</v>
      </c>
      <c r="C136" s="83">
        <v>0</v>
      </c>
      <c r="D136" s="86">
        <f>+D9</f>
        <v>0</v>
      </c>
      <c r="E136" s="85">
        <f t="shared" ref="E136:E137" si="40">D136+C136</f>
        <v>0</v>
      </c>
      <c r="F136" s="81">
        <f ca="1">F174</f>
        <v>0</v>
      </c>
      <c r="G136" s="81">
        <f t="shared" ref="G136:J136" ca="1" si="41">G174</f>
        <v>0</v>
      </c>
      <c r="H136" s="81">
        <f t="shared" ca="1" si="41"/>
        <v>15.126586561936939</v>
      </c>
      <c r="I136" s="81">
        <f t="shared" ca="1" si="41"/>
        <v>36.17326327512427</v>
      </c>
      <c r="J136" s="81">
        <f t="shared" ca="1" si="41"/>
        <v>59.966321548245595</v>
      </c>
      <c r="L136" s="174"/>
    </row>
    <row r="137" spans="1:17" s="4" customFormat="1" ht="13.5" customHeight="1" x14ac:dyDescent="0.45">
      <c r="B137" s="4" t="s">
        <v>22</v>
      </c>
      <c r="C137" s="83">
        <v>6.1221910712328773</v>
      </c>
      <c r="D137" s="86">
        <f>+H32-J22</f>
        <v>32.799999999999997</v>
      </c>
      <c r="E137" s="85">
        <f t="shared" si="40"/>
        <v>38.922191071232874</v>
      </c>
      <c r="F137" s="52">
        <f ca="1">E137+F119</f>
        <v>35.354851071232872</v>
      </c>
      <c r="G137" s="52">
        <f ca="1">F137+G119</f>
        <v>30.841497821232874</v>
      </c>
      <c r="H137" s="52">
        <f ca="1">G137+H119</f>
        <v>25.480900123611811</v>
      </c>
      <c r="I137" s="52">
        <f ca="1">H137+I119</f>
        <v>19.402041770748603</v>
      </c>
      <c r="J137" s="52">
        <f ca="1">I137+J119</f>
        <v>14.026944245381761</v>
      </c>
      <c r="L137" s="174"/>
    </row>
    <row r="138" spans="1:17" s="4" customFormat="1" ht="13.5" customHeight="1" x14ac:dyDescent="0.45">
      <c r="B138" s="13" t="s">
        <v>23</v>
      </c>
      <c r="C138" s="55">
        <f>SUM(C133:C137)</f>
        <v>7.896259506849316</v>
      </c>
      <c r="D138" s="87"/>
      <c r="E138" s="90">
        <f t="shared" ref="E138:J138" si="42">SUM(E133:E137)</f>
        <v>40.696259506849309</v>
      </c>
      <c r="F138" s="55">
        <f t="shared" ca="1" si="42"/>
        <v>39.872062399999997</v>
      </c>
      <c r="G138" s="55">
        <f t="shared" ca="1" si="42"/>
        <v>38.047932813527396</v>
      </c>
      <c r="H138" s="55">
        <f t="shared" ca="1" si="42"/>
        <v>51.479721372607827</v>
      </c>
      <c r="I138" s="55">
        <f t="shared" ca="1" si="42"/>
        <v>71.03687725948862</v>
      </c>
      <c r="J138" s="55">
        <f t="shared" ca="1" si="42"/>
        <v>94.644239255950907</v>
      </c>
      <c r="L138" s="174"/>
    </row>
    <row r="139" spans="1:17" s="4" customFormat="1" ht="13.5" customHeight="1" x14ac:dyDescent="0.45">
      <c r="B139" s="38" t="s">
        <v>30</v>
      </c>
      <c r="C139" s="39">
        <f>C131-C138</f>
        <v>0</v>
      </c>
      <c r="D139" s="40"/>
      <c r="E139" s="68">
        <f t="shared" ref="E139:J139" si="43">E131-E138</f>
        <v>0</v>
      </c>
      <c r="F139" s="39">
        <f t="shared" ca="1" si="43"/>
        <v>0</v>
      </c>
      <c r="G139" s="39">
        <f t="shared" ca="1" si="43"/>
        <v>0</v>
      </c>
      <c r="H139" s="39">
        <f t="shared" ca="1" si="43"/>
        <v>-5.0874859880423173E-12</v>
      </c>
      <c r="I139" s="39">
        <f t="shared" ca="1" si="43"/>
        <v>-2.0077095541637391E-10</v>
      </c>
      <c r="J139" s="39">
        <f t="shared" ca="1" si="43"/>
        <v>-3.8921399436731008E-9</v>
      </c>
      <c r="L139" s="174"/>
    </row>
    <row r="140" spans="1:17" s="4" customFormat="1" ht="13.5" customHeight="1" x14ac:dyDescent="0.45">
      <c r="B140" s="38"/>
      <c r="C140" s="38"/>
      <c r="D140" s="38"/>
      <c r="E140" s="69"/>
      <c r="F140" s="41"/>
      <c r="G140" s="41"/>
      <c r="H140" s="41"/>
      <c r="I140" s="41"/>
      <c r="J140" s="41"/>
      <c r="L140" s="174"/>
    </row>
    <row r="141" spans="1:17" s="4" customFormat="1" ht="13.5" customHeight="1" x14ac:dyDescent="0.45">
      <c r="B141" s="153" t="s">
        <v>165</v>
      </c>
      <c r="C141" s="38"/>
      <c r="D141" s="38"/>
      <c r="E141" s="69"/>
      <c r="F141" s="41"/>
      <c r="G141" s="41"/>
      <c r="H141" s="41"/>
      <c r="I141" s="41"/>
      <c r="J141" s="41"/>
      <c r="L141" s="174"/>
    </row>
    <row r="142" spans="1:17" s="20" customFormat="1" ht="13.5" customHeight="1" x14ac:dyDescent="0.45">
      <c r="A142" s="4"/>
      <c r="B142" s="4" t="s">
        <v>167</v>
      </c>
      <c r="C142" s="154"/>
      <c r="D142" s="4"/>
      <c r="E142" s="162">
        <f>+(E135+E136)/E107</f>
        <v>0</v>
      </c>
      <c r="F142" s="163">
        <f t="shared" ref="F142:J142" ca="1" si="44">+(F135+F136)/F107</f>
        <v>0</v>
      </c>
      <c r="G142" s="163">
        <f t="shared" ca="1" si="44"/>
        <v>0</v>
      </c>
      <c r="H142" s="163">
        <f t="shared" ca="1" si="44"/>
        <v>-26.013971454508294</v>
      </c>
      <c r="I142" s="163">
        <f t="shared" ca="1" si="44"/>
        <v>12.781976994540544</v>
      </c>
      <c r="J142" s="163">
        <f t="shared" ca="1" si="44"/>
        <v>6.9588127509726521</v>
      </c>
      <c r="K142" s="4"/>
      <c r="L142" s="174"/>
      <c r="M142" s="12"/>
      <c r="N142" s="4"/>
      <c r="O142" s="4"/>
      <c r="P142" s="4"/>
      <c r="Q142" s="4"/>
    </row>
    <row r="143" spans="1:17" s="20" customFormat="1" ht="13.5" customHeight="1" x14ac:dyDescent="0.45">
      <c r="A143" s="4"/>
      <c r="B143" s="4" t="s">
        <v>166</v>
      </c>
      <c r="C143" s="154"/>
      <c r="D143" s="4"/>
      <c r="E143" s="162" t="str">
        <f>IFERROR(E107/E176, "n/a")</f>
        <v>n/a</v>
      </c>
      <c r="F143" s="163" t="str">
        <f t="shared" ref="F143:J143" ca="1" si="45">IFERROR(F107/F176, "n/a")</f>
        <v>n/a</v>
      </c>
      <c r="G143" s="163" t="str">
        <f t="shared" ca="1" si="45"/>
        <v>n/a</v>
      </c>
      <c r="H143" s="163">
        <f t="shared" ca="1" si="45"/>
        <v>-0.61505410767363455</v>
      </c>
      <c r="I143" s="163">
        <f t="shared" ca="1" si="45"/>
        <v>0.8826602045146229</v>
      </c>
      <c r="J143" s="163">
        <f t="shared" ca="1" si="45"/>
        <v>1.4341348813947119</v>
      </c>
      <c r="K143" s="4"/>
      <c r="L143" s="174"/>
      <c r="M143" s="12"/>
      <c r="N143" s="4"/>
      <c r="O143" s="4"/>
      <c r="P143" s="4"/>
      <c r="Q143" s="4"/>
    </row>
    <row r="144" spans="1:17" s="20" customFormat="1" ht="13.5" customHeight="1" x14ac:dyDescent="0.45">
      <c r="A144" s="4"/>
      <c r="B144" s="4"/>
      <c r="C144" s="154"/>
      <c r="D144" s="4"/>
      <c r="E144" s="91"/>
      <c r="F144" s="156"/>
      <c r="G144" s="156"/>
      <c r="H144" s="156"/>
      <c r="I144" s="156"/>
      <c r="J144" s="156"/>
      <c r="K144" s="4"/>
      <c r="L144" s="174"/>
      <c r="M144" s="12"/>
      <c r="N144" s="4"/>
      <c r="O144" s="4"/>
      <c r="P144" s="4"/>
      <c r="Q144" s="4"/>
    </row>
    <row r="145" spans="1:17" s="4" customFormat="1" ht="13.5" customHeight="1" x14ac:dyDescent="0.45">
      <c r="B145" s="153" t="s">
        <v>163</v>
      </c>
      <c r="C145" s="38"/>
      <c r="D145" s="38"/>
      <c r="E145" s="69"/>
      <c r="F145" s="41"/>
      <c r="G145" s="41"/>
      <c r="H145" s="41"/>
      <c r="I145" s="41"/>
      <c r="J145" s="41"/>
      <c r="L145" s="174"/>
    </row>
    <row r="146" spans="1:17" s="20" customFormat="1" ht="13.5" customHeight="1" x14ac:dyDescent="0.45">
      <c r="A146" s="4"/>
      <c r="B146" s="4" t="s">
        <v>158</v>
      </c>
      <c r="C146" s="154">
        <f>+C125*365/C51</f>
        <v>2</v>
      </c>
      <c r="D146" s="4"/>
      <c r="E146" s="91"/>
      <c r="F146" s="156">
        <v>2</v>
      </c>
      <c r="G146" s="156">
        <v>2</v>
      </c>
      <c r="H146" s="156">
        <v>2</v>
      </c>
      <c r="I146" s="156">
        <v>2</v>
      </c>
      <c r="J146" s="156">
        <v>2</v>
      </c>
      <c r="K146" s="4"/>
      <c r="L146" s="174"/>
      <c r="M146" s="12"/>
      <c r="N146" s="4"/>
      <c r="O146" s="4"/>
      <c r="P146" s="4"/>
      <c r="Q146" s="4"/>
    </row>
    <row r="147" spans="1:17" s="20" customFormat="1" ht="13.5" customHeight="1" x14ac:dyDescent="0.45">
      <c r="A147" s="4"/>
      <c r="B147" s="4" t="s">
        <v>160</v>
      </c>
      <c r="C147" s="154">
        <f>+C126/C61*365</f>
        <v>100</v>
      </c>
      <c r="D147" s="4"/>
      <c r="E147" s="91"/>
      <c r="F147" s="156">
        <v>100</v>
      </c>
      <c r="G147" s="156">
        <v>100</v>
      </c>
      <c r="H147" s="156">
        <v>100</v>
      </c>
      <c r="I147" s="156">
        <v>100</v>
      </c>
      <c r="J147" s="156">
        <v>100</v>
      </c>
      <c r="K147" s="4"/>
      <c r="L147" s="174"/>
      <c r="M147" s="12"/>
      <c r="N147" s="4"/>
      <c r="O147" s="4"/>
      <c r="P147" s="4"/>
      <c r="Q147" s="4"/>
    </row>
    <row r="148" spans="1:17" s="20" customFormat="1" ht="13.5" customHeight="1" x14ac:dyDescent="0.45">
      <c r="A148" s="4"/>
      <c r="B148" s="4" t="s">
        <v>159</v>
      </c>
      <c r="C148" s="154">
        <f>+C133*365/C61</f>
        <v>50</v>
      </c>
      <c r="D148" s="4"/>
      <c r="E148" s="91"/>
      <c r="F148" s="156">
        <v>50</v>
      </c>
      <c r="G148" s="156">
        <v>50</v>
      </c>
      <c r="H148" s="156">
        <v>50</v>
      </c>
      <c r="I148" s="156">
        <v>50</v>
      </c>
      <c r="J148" s="156">
        <v>50</v>
      </c>
      <c r="K148" s="4"/>
      <c r="L148" s="174"/>
      <c r="M148" s="12"/>
      <c r="N148" s="4"/>
      <c r="O148" s="4"/>
      <c r="P148" s="4"/>
      <c r="Q148" s="4"/>
    </row>
    <row r="149" spans="1:17" s="20" customFormat="1" ht="13.5" customHeight="1" x14ac:dyDescent="0.45">
      <c r="A149" s="4"/>
      <c r="B149" s="4" t="s">
        <v>161</v>
      </c>
      <c r="C149" s="155">
        <f>+C127/C51</f>
        <v>0.02</v>
      </c>
      <c r="D149" s="4"/>
      <c r="E149" s="91"/>
      <c r="F149" s="157">
        <v>0.02</v>
      </c>
      <c r="G149" s="157">
        <v>0.02</v>
      </c>
      <c r="H149" s="157">
        <v>0.02</v>
      </c>
      <c r="I149" s="157">
        <v>0.02</v>
      </c>
      <c r="J149" s="157">
        <v>0.02</v>
      </c>
      <c r="K149" s="4"/>
      <c r="L149" s="174"/>
      <c r="M149" s="12"/>
      <c r="N149" s="4"/>
      <c r="O149" s="4"/>
      <c r="P149" s="4"/>
      <c r="Q149" s="4"/>
    </row>
    <row r="150" spans="1:17" s="20" customFormat="1" ht="13.5" customHeight="1" x14ac:dyDescent="0.45">
      <c r="A150" s="4"/>
      <c r="B150" s="4" t="s">
        <v>162</v>
      </c>
      <c r="C150" s="155">
        <f>+C134/C61</f>
        <v>0.05</v>
      </c>
      <c r="D150" s="4"/>
      <c r="E150" s="91"/>
      <c r="F150" s="157">
        <v>0.05</v>
      </c>
      <c r="G150" s="157">
        <v>0.05</v>
      </c>
      <c r="H150" s="157">
        <v>0.05</v>
      </c>
      <c r="I150" s="157">
        <v>0.05</v>
      </c>
      <c r="J150" s="157">
        <v>0.05</v>
      </c>
      <c r="K150" s="4"/>
      <c r="L150" s="174"/>
      <c r="M150" s="12"/>
      <c r="N150" s="4"/>
      <c r="O150" s="4"/>
      <c r="P150" s="4"/>
      <c r="Q150" s="4"/>
    </row>
    <row r="151" spans="1:17" s="20" customFormat="1" ht="13.5" customHeight="1" x14ac:dyDescent="0.45">
      <c r="A151" s="4"/>
      <c r="B151" s="4" t="s">
        <v>19</v>
      </c>
      <c r="C151" s="56">
        <f>+C125+C126+C127-C133-C134</f>
        <v>1.4221910712328769</v>
      </c>
      <c r="D151" s="4"/>
      <c r="E151" s="91">
        <f>+E125+E126+E127-E133-E134</f>
        <v>1.4221910712328769</v>
      </c>
      <c r="F151" s="56">
        <f t="shared" ref="F151:J151" si="46">+F125+F126+F127-F133-F134</f>
        <v>3.3449125068493144</v>
      </c>
      <c r="G151" s="56">
        <f t="shared" si="46"/>
        <v>5.4197615008561657</v>
      </c>
      <c r="H151" s="56">
        <f t="shared" si="46"/>
        <v>8.3138043855436621</v>
      </c>
      <c r="I151" s="56">
        <f t="shared" si="46"/>
        <v>12.036083055767818</v>
      </c>
      <c r="J151" s="56">
        <f t="shared" si="46"/>
        <v>16.38753492325521</v>
      </c>
      <c r="K151" s="4"/>
      <c r="L151" s="174"/>
      <c r="M151" s="12"/>
      <c r="N151" s="4"/>
      <c r="O151" s="4"/>
      <c r="P151" s="4"/>
      <c r="Q151" s="4"/>
    </row>
    <row r="152" spans="1:17" s="4" customFormat="1" ht="13.5" customHeight="1" x14ac:dyDescent="0.45">
      <c r="B152" s="38"/>
      <c r="C152" s="38"/>
      <c r="D152" s="38"/>
      <c r="E152" s="69"/>
      <c r="F152" s="41"/>
      <c r="G152" s="41"/>
      <c r="H152" s="41"/>
      <c r="I152" s="41"/>
      <c r="J152" s="41"/>
      <c r="L152" s="174"/>
    </row>
    <row r="153" spans="1:17" s="20" customFormat="1" ht="13.5" customHeight="1" x14ac:dyDescent="0.45">
      <c r="A153" s="4"/>
      <c r="B153" s="4"/>
      <c r="C153" s="4"/>
      <c r="D153" s="4"/>
      <c r="E153" s="64"/>
      <c r="L153" s="182"/>
      <c r="M153" s="4"/>
      <c r="N153" s="4"/>
      <c r="O153" s="4"/>
      <c r="P153" s="4"/>
      <c r="Q153" s="4"/>
    </row>
    <row r="154" spans="1:17" s="4" customFormat="1" ht="13.5" customHeight="1" x14ac:dyDescent="0.45">
      <c r="B154" s="8" t="s">
        <v>24</v>
      </c>
      <c r="C154" s="8"/>
      <c r="D154" s="8"/>
      <c r="E154" s="60">
        <v>0</v>
      </c>
      <c r="F154" s="32">
        <v>1</v>
      </c>
      <c r="G154" s="32">
        <f>F154+1</f>
        <v>2</v>
      </c>
      <c r="H154" s="32">
        <f>G154+1</f>
        <v>3</v>
      </c>
      <c r="I154" s="32">
        <f>H154+1</f>
        <v>4</v>
      </c>
      <c r="J154" s="32">
        <f>I154+1</f>
        <v>5</v>
      </c>
      <c r="L154" s="174"/>
    </row>
    <row r="155" spans="1:17" s="4" customFormat="1" ht="13.5" customHeight="1" x14ac:dyDescent="0.45">
      <c r="B155" s="4" t="s">
        <v>25</v>
      </c>
      <c r="E155" s="91"/>
      <c r="F155" s="56">
        <f>E158</f>
        <v>2.5</v>
      </c>
      <c r="G155" s="56">
        <f t="shared" ref="G155:J155" si="47">F158</f>
        <v>11.035880000000001</v>
      </c>
      <c r="H155" s="56">
        <f t="shared" si="47"/>
        <v>11.847246500000001</v>
      </c>
      <c r="I155" s="56">
        <f t="shared" si="47"/>
        <v>13.125148737500002</v>
      </c>
      <c r="J155" s="56">
        <f t="shared" si="47"/>
        <v>15.026028315781254</v>
      </c>
      <c r="L155" s="174"/>
      <c r="M155" s="12"/>
    </row>
    <row r="156" spans="1:17" s="4" customFormat="1" ht="13.5" customHeight="1" x14ac:dyDescent="0.45">
      <c r="B156" s="46" t="s">
        <v>66</v>
      </c>
      <c r="E156" s="64"/>
      <c r="F156" s="99">
        <v>10</v>
      </c>
      <c r="G156" s="52">
        <f>G159*G51</f>
        <v>3.2454660000000004</v>
      </c>
      <c r="H156" s="52">
        <f>H159*H51</f>
        <v>5.111608949999999</v>
      </c>
      <c r="I156" s="52">
        <f>I159*I51</f>
        <v>7.6035183131249999</v>
      </c>
      <c r="J156" s="52">
        <f>J159*J51</f>
        <v>10.644925638375</v>
      </c>
      <c r="L156" s="174"/>
      <c r="M156" s="12"/>
    </row>
    <row r="157" spans="1:17" s="4" customFormat="1" ht="13.5" customHeight="1" x14ac:dyDescent="0.45">
      <c r="B157" s="46" t="s">
        <v>67</v>
      </c>
      <c r="E157" s="64"/>
      <c r="F157" s="52">
        <f>F110</f>
        <v>1.4641200000000001</v>
      </c>
      <c r="G157" s="52">
        <f>G110</f>
        <v>2.4340994999999999</v>
      </c>
      <c r="H157" s="52">
        <f>H110</f>
        <v>3.8337067124999993</v>
      </c>
      <c r="I157" s="52">
        <f>I110</f>
        <v>5.7026387348437497</v>
      </c>
      <c r="J157" s="52">
        <f>J110</f>
        <v>7.9836942287812498</v>
      </c>
      <c r="L157" s="174"/>
    </row>
    <row r="158" spans="1:17" s="4" customFormat="1" ht="13.5" customHeight="1" x14ac:dyDescent="0.45">
      <c r="B158" s="13" t="s">
        <v>26</v>
      </c>
      <c r="C158" s="13"/>
      <c r="D158" s="13"/>
      <c r="E158" s="88">
        <f>E130</f>
        <v>2.5</v>
      </c>
      <c r="F158" s="55">
        <f>F155+F156-F157</f>
        <v>11.035880000000001</v>
      </c>
      <c r="G158" s="55">
        <f t="shared" ref="G158:J158" si="48">G155+G156-G157</f>
        <v>11.847246500000001</v>
      </c>
      <c r="H158" s="55">
        <f t="shared" si="48"/>
        <v>13.125148737500002</v>
      </c>
      <c r="I158" s="55">
        <f t="shared" si="48"/>
        <v>15.026028315781254</v>
      </c>
      <c r="J158" s="55">
        <f t="shared" si="48"/>
        <v>17.687259725375004</v>
      </c>
      <c r="L158" s="174"/>
    </row>
    <row r="159" spans="1:17" s="4" customFormat="1" ht="13.5" customHeight="1" x14ac:dyDescent="0.45">
      <c r="B159" s="34" t="s">
        <v>82</v>
      </c>
      <c r="E159" s="64"/>
      <c r="F159" s="105">
        <f>+F156/F51</f>
        <v>0.20490123760347512</v>
      </c>
      <c r="G159" s="77">
        <v>0.04</v>
      </c>
      <c r="H159" s="77">
        <v>0.04</v>
      </c>
      <c r="I159" s="77">
        <v>0.04</v>
      </c>
      <c r="J159" s="77">
        <v>0.04</v>
      </c>
      <c r="L159" s="174"/>
      <c r="M159" s="12"/>
    </row>
    <row r="160" spans="1:17" s="4" customFormat="1" ht="13.5" customHeight="1" x14ac:dyDescent="0.45">
      <c r="B160" s="34" t="s">
        <v>83</v>
      </c>
      <c r="E160" s="64"/>
      <c r="F160" s="77">
        <v>0.03</v>
      </c>
      <c r="G160" s="77">
        <v>0.03</v>
      </c>
      <c r="H160" s="77">
        <v>0.03</v>
      </c>
      <c r="I160" s="77">
        <v>0.03</v>
      </c>
      <c r="J160" s="77">
        <v>0.03</v>
      </c>
      <c r="L160" s="174"/>
      <c r="M160" s="12"/>
    </row>
    <row r="161" spans="1:17" s="4" customFormat="1" ht="13.5" customHeight="1" x14ac:dyDescent="0.45">
      <c r="B161" s="17"/>
      <c r="C161" s="17"/>
      <c r="D161" s="17"/>
      <c r="E161" s="101"/>
      <c r="F161" s="93"/>
      <c r="G161" s="93"/>
      <c r="H161" s="93"/>
      <c r="I161" s="93"/>
      <c r="J161" s="93"/>
      <c r="L161" s="174"/>
    </row>
    <row r="162" spans="1:17" s="20" customFormat="1" ht="13.5" customHeight="1" x14ac:dyDescent="0.45">
      <c r="A162" s="4"/>
      <c r="B162" s="4" t="s">
        <v>42</v>
      </c>
      <c r="C162" s="4"/>
      <c r="D162" s="45" t="s">
        <v>84</v>
      </c>
      <c r="E162" s="106" t="s">
        <v>85</v>
      </c>
      <c r="F162" s="56">
        <f>E164</f>
        <v>0</v>
      </c>
      <c r="G162" s="56">
        <f t="shared" ref="G162:J162" si="49">F164</f>
        <v>0</v>
      </c>
      <c r="H162" s="56">
        <f t="shared" si="49"/>
        <v>0</v>
      </c>
      <c r="I162" s="56">
        <f t="shared" si="49"/>
        <v>0</v>
      </c>
      <c r="J162" s="56">
        <f t="shared" si="49"/>
        <v>0</v>
      </c>
      <c r="K162" s="4"/>
      <c r="L162" s="174"/>
      <c r="M162" s="4"/>
      <c r="N162" s="4"/>
      <c r="O162" s="4"/>
      <c r="P162" s="4"/>
      <c r="Q162" s="4"/>
    </row>
    <row r="163" spans="1:17" s="20" customFormat="1" ht="13.5" customHeight="1" x14ac:dyDescent="0.45">
      <c r="A163" s="4"/>
      <c r="B163" s="46" t="s">
        <v>68</v>
      </c>
      <c r="C163" s="4"/>
      <c r="D163" s="51">
        <v>5</v>
      </c>
      <c r="E163" s="107">
        <f>E164/D163</f>
        <v>0</v>
      </c>
      <c r="F163" s="108">
        <f>$E$163</f>
        <v>0</v>
      </c>
      <c r="G163" s="108">
        <f t="shared" ref="G163:J163" si="50">$E$163</f>
        <v>0</v>
      </c>
      <c r="H163" s="108">
        <f t="shared" si="50"/>
        <v>0</v>
      </c>
      <c r="I163" s="108">
        <f t="shared" si="50"/>
        <v>0</v>
      </c>
      <c r="J163" s="108">
        <f t="shared" si="50"/>
        <v>0</v>
      </c>
      <c r="K163" s="4"/>
      <c r="L163" s="174"/>
      <c r="M163" s="4"/>
      <c r="N163" s="4"/>
      <c r="O163" s="4"/>
      <c r="P163" s="4"/>
      <c r="Q163" s="4"/>
    </row>
    <row r="164" spans="1:17" s="20" customFormat="1" ht="13.5" customHeight="1" x14ac:dyDescent="0.45">
      <c r="A164" s="4"/>
      <c r="B164" s="13" t="s">
        <v>43</v>
      </c>
      <c r="C164" s="13"/>
      <c r="D164" s="13"/>
      <c r="E164" s="88">
        <f>E128</f>
        <v>0</v>
      </c>
      <c r="F164" s="55">
        <f>F162-F163</f>
        <v>0</v>
      </c>
      <c r="G164" s="55">
        <f t="shared" ref="G164:J164" si="51">G162-G163</f>
        <v>0</v>
      </c>
      <c r="H164" s="55">
        <f t="shared" si="51"/>
        <v>0</v>
      </c>
      <c r="I164" s="55">
        <f t="shared" si="51"/>
        <v>0</v>
      </c>
      <c r="J164" s="55">
        <f t="shared" si="51"/>
        <v>0</v>
      </c>
      <c r="K164" s="4"/>
      <c r="L164" s="174"/>
      <c r="M164" s="4"/>
      <c r="N164" s="4"/>
      <c r="O164" s="4"/>
      <c r="P164" s="4"/>
      <c r="Q164" s="4"/>
    </row>
    <row r="165" spans="1:17" s="20" customFormat="1" ht="13.5" customHeight="1" x14ac:dyDescent="0.45">
      <c r="A165" s="4"/>
      <c r="B165" s="4"/>
      <c r="C165" s="4"/>
      <c r="D165" s="4"/>
      <c r="E165" s="64"/>
      <c r="F165" s="4"/>
      <c r="G165" s="4"/>
      <c r="H165" s="4"/>
      <c r="I165" s="4"/>
      <c r="J165" s="4"/>
      <c r="K165" s="4"/>
      <c r="L165" s="174"/>
      <c r="M165" s="4"/>
      <c r="N165" s="4"/>
      <c r="O165" s="4"/>
      <c r="P165" s="4"/>
      <c r="Q165" s="4"/>
    </row>
    <row r="166" spans="1:17" s="4" customFormat="1" ht="13.5" customHeight="1" x14ac:dyDescent="0.45">
      <c r="B166" s="4" t="s">
        <v>80</v>
      </c>
      <c r="E166" s="64"/>
      <c r="F166" s="56">
        <f>E168</f>
        <v>0</v>
      </c>
      <c r="G166" s="56">
        <f t="shared" ref="G166:J166" si="52">F168</f>
        <v>0</v>
      </c>
      <c r="H166" s="56">
        <f t="shared" si="52"/>
        <v>0</v>
      </c>
      <c r="I166" s="56">
        <f t="shared" si="52"/>
        <v>0</v>
      </c>
      <c r="J166" s="56">
        <f t="shared" si="52"/>
        <v>0</v>
      </c>
      <c r="L166" s="174"/>
    </row>
    <row r="167" spans="1:17" s="4" customFormat="1" ht="13.5" customHeight="1" x14ac:dyDescent="0.45">
      <c r="B167" s="46" t="s">
        <v>69</v>
      </c>
      <c r="E167" s="64"/>
      <c r="F167" s="83">
        <v>0</v>
      </c>
      <c r="G167" s="83">
        <v>0</v>
      </c>
      <c r="H167" s="83">
        <v>0</v>
      </c>
      <c r="I167" s="83">
        <v>0</v>
      </c>
      <c r="J167" s="83">
        <v>0</v>
      </c>
      <c r="L167" s="174"/>
    </row>
    <row r="168" spans="1:17" s="4" customFormat="1" ht="13.5" customHeight="1" x14ac:dyDescent="0.45">
      <c r="B168" s="13" t="s">
        <v>81</v>
      </c>
      <c r="C168" s="13"/>
      <c r="D168" s="13"/>
      <c r="E168" s="88">
        <f>E135</f>
        <v>0</v>
      </c>
      <c r="F168" s="55">
        <f>F167+F166</f>
        <v>0</v>
      </c>
      <c r="G168" s="55">
        <f t="shared" ref="G168:J168" si="53">G167+G166</f>
        <v>0</v>
      </c>
      <c r="H168" s="55">
        <f t="shared" si="53"/>
        <v>0</v>
      </c>
      <c r="I168" s="55">
        <f t="shared" si="53"/>
        <v>0</v>
      </c>
      <c r="J168" s="55">
        <f t="shared" si="53"/>
        <v>0</v>
      </c>
      <c r="L168" s="174"/>
    </row>
    <row r="169" spans="1:17" s="4" customFormat="1" ht="13.5" customHeight="1" x14ac:dyDescent="0.45">
      <c r="B169" s="46" t="s">
        <v>79</v>
      </c>
      <c r="E169" s="70"/>
      <c r="F169" s="44">
        <v>0.05</v>
      </c>
      <c r="G169" s="44">
        <v>0.05</v>
      </c>
      <c r="H169" s="44">
        <v>0.05</v>
      </c>
      <c r="I169" s="44">
        <v>0.05</v>
      </c>
      <c r="J169" s="44">
        <v>0.05</v>
      </c>
      <c r="L169" s="174"/>
    </row>
    <row r="170" spans="1:17" s="4" customFormat="1" ht="13.5" customHeight="1" x14ac:dyDescent="0.45">
      <c r="B170" s="13" t="s">
        <v>14</v>
      </c>
      <c r="C170" s="13"/>
      <c r="D170" s="13"/>
      <c r="E170" s="88"/>
      <c r="F170" s="55">
        <f>AVERAGE(E168:F168)*F169</f>
        <v>0</v>
      </c>
      <c r="G170" s="55">
        <f t="shared" ref="G170:J170" si="54">AVERAGE(F168:G168)*G169</f>
        <v>0</v>
      </c>
      <c r="H170" s="55">
        <f t="shared" si="54"/>
        <v>0</v>
      </c>
      <c r="I170" s="55">
        <f t="shared" si="54"/>
        <v>0</v>
      </c>
      <c r="J170" s="55">
        <f t="shared" si="54"/>
        <v>0</v>
      </c>
      <c r="L170" s="174"/>
    </row>
    <row r="171" spans="1:17" s="20" customFormat="1" ht="13.5" customHeight="1" x14ac:dyDescent="0.45">
      <c r="A171" s="4"/>
      <c r="B171" s="4"/>
      <c r="C171" s="4"/>
      <c r="D171" s="4"/>
      <c r="E171" s="64"/>
      <c r="F171" s="4"/>
      <c r="G171" s="4"/>
      <c r="H171" s="4"/>
      <c r="I171" s="4"/>
      <c r="J171" s="4"/>
      <c r="K171" s="4"/>
      <c r="L171" s="174"/>
      <c r="M171" s="4"/>
      <c r="N171" s="4"/>
      <c r="O171" s="4"/>
      <c r="P171" s="4"/>
      <c r="Q171" s="4"/>
    </row>
    <row r="172" spans="1:17" s="4" customFormat="1" ht="13.5" customHeight="1" x14ac:dyDescent="0.45">
      <c r="B172" s="4" t="s">
        <v>77</v>
      </c>
      <c r="E172" s="64"/>
      <c r="F172" s="56">
        <f>E174</f>
        <v>0</v>
      </c>
      <c r="G172" s="56">
        <f t="shared" ref="G172:J172" ca="1" si="55">F174</f>
        <v>0</v>
      </c>
      <c r="H172" s="56">
        <f t="shared" ca="1" si="55"/>
        <v>0</v>
      </c>
      <c r="I172" s="56">
        <f t="shared" ca="1" si="55"/>
        <v>15.126586561936939</v>
      </c>
      <c r="J172" s="56">
        <f t="shared" ca="1" si="55"/>
        <v>36.17326327512427</v>
      </c>
      <c r="L172" s="174"/>
    </row>
    <row r="173" spans="1:17" s="4" customFormat="1" ht="13.5" customHeight="1" x14ac:dyDescent="0.45">
      <c r="B173" s="46" t="s">
        <v>69</v>
      </c>
      <c r="E173" s="64"/>
      <c r="F173" s="52">
        <f ca="1">-MIN(F172, F187+E124-F178)</f>
        <v>0</v>
      </c>
      <c r="G173" s="52">
        <f ca="1">-MIN(G172, G187+F124-G178)</f>
        <v>0</v>
      </c>
      <c r="H173" s="52">
        <f ca="1">-MIN(H172, H187+G124-H178)</f>
        <v>15.126586561936939</v>
      </c>
      <c r="I173" s="52">
        <f ca="1">-MIN(I172, I187+H124-I178)</f>
        <v>21.046676713201517</v>
      </c>
      <c r="J173" s="52">
        <f ca="1">-MIN(J172, J187+I124-J178)</f>
        <v>23.793058274177682</v>
      </c>
      <c r="L173" s="174"/>
    </row>
    <row r="174" spans="1:17" s="4" customFormat="1" ht="13.5" customHeight="1" x14ac:dyDescent="0.45">
      <c r="B174" s="13" t="s">
        <v>78</v>
      </c>
      <c r="C174" s="13"/>
      <c r="D174" s="13"/>
      <c r="E174" s="88">
        <f>E136</f>
        <v>0</v>
      </c>
      <c r="F174" s="55">
        <f ca="1">SUM(F172:F173)</f>
        <v>0</v>
      </c>
      <c r="G174" s="55">
        <f t="shared" ref="G174:J174" ca="1" si="56">SUM(G172:G173)</f>
        <v>0</v>
      </c>
      <c r="H174" s="55">
        <f t="shared" ca="1" si="56"/>
        <v>15.126586561936939</v>
      </c>
      <c r="I174" s="55">
        <f t="shared" ca="1" si="56"/>
        <v>36.173263275138453</v>
      </c>
      <c r="J174" s="55">
        <f t="shared" ca="1" si="56"/>
        <v>59.966321549301952</v>
      </c>
      <c r="L174" s="174"/>
    </row>
    <row r="175" spans="1:17" s="4" customFormat="1" ht="13.5" customHeight="1" x14ac:dyDescent="0.45">
      <c r="B175" s="46" t="s">
        <v>79</v>
      </c>
      <c r="E175" s="70"/>
      <c r="F175" s="44">
        <v>0.125</v>
      </c>
      <c r="G175" s="44">
        <v>0.125</v>
      </c>
      <c r="H175" s="44">
        <v>0.125</v>
      </c>
      <c r="I175" s="44">
        <v>0.125</v>
      </c>
      <c r="J175" s="44">
        <v>0.125</v>
      </c>
      <c r="L175" s="174"/>
    </row>
    <row r="176" spans="1:17" s="4" customFormat="1" ht="13.5" customHeight="1" x14ac:dyDescent="0.45">
      <c r="B176" s="13" t="s">
        <v>14</v>
      </c>
      <c r="C176" s="13"/>
      <c r="D176" s="13"/>
      <c r="E176" s="88"/>
      <c r="F176" s="55">
        <f ca="1">AVERAGE(E174:F174)*F175</f>
        <v>0</v>
      </c>
      <c r="G176" s="55">
        <f t="shared" ref="G176:J176" ca="1" si="57">AVERAGE(F174:G174)*G175</f>
        <v>0</v>
      </c>
      <c r="H176" s="55">
        <f t="shared" ca="1" si="57"/>
        <v>0.94541166012105871</v>
      </c>
      <c r="I176" s="55">
        <f t="shared" ca="1" si="57"/>
        <v>3.206240614817212</v>
      </c>
      <c r="J176" s="55">
        <f t="shared" ca="1" si="57"/>
        <v>6.0087240515275253</v>
      </c>
      <c r="L176" s="174"/>
    </row>
    <row r="177" spans="2:13" s="4" customFormat="1" ht="13.5" customHeight="1" x14ac:dyDescent="0.45">
      <c r="B177" s="17"/>
      <c r="C177" s="17"/>
      <c r="D177" s="17"/>
      <c r="E177" s="101"/>
      <c r="F177" s="93"/>
      <c r="G177" s="93"/>
      <c r="H177" s="93"/>
      <c r="I177" s="93"/>
      <c r="J177" s="93"/>
      <c r="L177" s="174"/>
    </row>
    <row r="178" spans="2:13" s="4" customFormat="1" ht="13.5" customHeight="1" x14ac:dyDescent="0.45">
      <c r="B178" s="98" t="s">
        <v>74</v>
      </c>
      <c r="E178" s="64"/>
      <c r="F178" s="148">
        <f>F179*F51</f>
        <v>7.3205999999999998</v>
      </c>
      <c r="G178" s="148">
        <f t="shared" ref="G178:J178" si="58">G179*G51</f>
        <v>12.1704975</v>
      </c>
      <c r="H178" s="148">
        <f t="shared" si="58"/>
        <v>19.168533562499995</v>
      </c>
      <c r="I178" s="148">
        <f t="shared" si="58"/>
        <v>28.513193674218748</v>
      </c>
      <c r="J178" s="148">
        <f t="shared" si="58"/>
        <v>39.918471143906253</v>
      </c>
      <c r="L178" s="174"/>
    </row>
    <row r="179" spans="2:13" s="4" customFormat="1" ht="13.5" customHeight="1" x14ac:dyDescent="0.45">
      <c r="B179" s="38" t="s">
        <v>126</v>
      </c>
      <c r="E179" s="70"/>
      <c r="F179" s="77">
        <v>0.15</v>
      </c>
      <c r="G179" s="77">
        <v>0.15</v>
      </c>
      <c r="H179" s="77">
        <v>0.15</v>
      </c>
      <c r="I179" s="77">
        <v>0.15</v>
      </c>
      <c r="J179" s="77">
        <v>0.15</v>
      </c>
      <c r="L179" s="174"/>
    </row>
    <row r="180" spans="2:13" s="4" customFormat="1" ht="13.5" customHeight="1" x14ac:dyDescent="0.45">
      <c r="E180" s="70"/>
      <c r="F180" s="42"/>
      <c r="G180" s="42"/>
      <c r="H180" s="42"/>
      <c r="I180" s="42"/>
      <c r="J180" s="42"/>
      <c r="L180" s="174"/>
    </row>
    <row r="181" spans="2:13" s="4" customFormat="1" ht="13.5" customHeight="1" x14ac:dyDescent="0.45">
      <c r="B181" s="8" t="s">
        <v>16</v>
      </c>
      <c r="C181" s="8"/>
      <c r="D181" s="8"/>
      <c r="E181" s="60"/>
      <c r="F181" s="32">
        <v>1</v>
      </c>
      <c r="G181" s="32">
        <f>F181+1</f>
        <v>2</v>
      </c>
      <c r="H181" s="32">
        <f>G181+1</f>
        <v>3</v>
      </c>
      <c r="I181" s="32">
        <f>H181+1</f>
        <v>4</v>
      </c>
      <c r="J181" s="32">
        <f>I181+1</f>
        <v>5</v>
      </c>
      <c r="L181" s="174"/>
    </row>
    <row r="182" spans="2:13" s="4" customFormat="1" ht="13.5" customHeight="1" x14ac:dyDescent="0.45">
      <c r="B182" s="4" t="s">
        <v>12</v>
      </c>
      <c r="E182" s="65"/>
      <c r="F182" s="56">
        <f ca="1">F119</f>
        <v>-3.5673400000000024</v>
      </c>
      <c r="G182" s="56">
        <f ca="1">G119</f>
        <v>-4.513353249999998</v>
      </c>
      <c r="H182" s="56">
        <f ca="1">H119</f>
        <v>-5.3605976976210652</v>
      </c>
      <c r="I182" s="56">
        <f ca="1">I119</f>
        <v>-6.0788583528632074</v>
      </c>
      <c r="J182" s="56">
        <f ca="1">J119</f>
        <v>-5.3750975253668418</v>
      </c>
      <c r="L182" s="174"/>
    </row>
    <row r="183" spans="2:13" s="4" customFormat="1" ht="13.5" customHeight="1" x14ac:dyDescent="0.45">
      <c r="B183" s="46" t="s">
        <v>62</v>
      </c>
      <c r="E183" s="64"/>
      <c r="F183" s="52">
        <f>F110</f>
        <v>1.4641200000000001</v>
      </c>
      <c r="G183" s="52">
        <f>G110</f>
        <v>2.4340994999999999</v>
      </c>
      <c r="H183" s="52">
        <f>H110</f>
        <v>3.8337067124999993</v>
      </c>
      <c r="I183" s="52">
        <f>I110</f>
        <v>5.7026387348437497</v>
      </c>
      <c r="J183" s="52">
        <f>J110</f>
        <v>7.9836942287812498</v>
      </c>
      <c r="L183" s="174"/>
      <c r="M183" s="17"/>
    </row>
    <row r="184" spans="2:13" s="4" customFormat="1" ht="13.5" customHeight="1" x14ac:dyDescent="0.45">
      <c r="B184" s="46" t="s">
        <v>63</v>
      </c>
      <c r="E184" s="64"/>
      <c r="F184" s="52">
        <f>F163</f>
        <v>0</v>
      </c>
      <c r="G184" s="52">
        <f>G163</f>
        <v>0</v>
      </c>
      <c r="H184" s="52">
        <f>H163</f>
        <v>0</v>
      </c>
      <c r="I184" s="52">
        <f>I163</f>
        <v>0</v>
      </c>
      <c r="J184" s="52">
        <f>J163</f>
        <v>0</v>
      </c>
      <c r="L184" s="174"/>
      <c r="M184" s="17"/>
    </row>
    <row r="185" spans="2:13" s="4" customFormat="1" ht="13.5" customHeight="1" x14ac:dyDescent="0.45">
      <c r="B185" s="46" t="s">
        <v>64</v>
      </c>
      <c r="E185" s="64"/>
      <c r="F185" s="81">
        <f>F156</f>
        <v>10</v>
      </c>
      <c r="G185" s="81">
        <f>G156</f>
        <v>3.2454660000000004</v>
      </c>
      <c r="H185" s="81">
        <f>H156</f>
        <v>5.111608949999999</v>
      </c>
      <c r="I185" s="81">
        <f>I156</f>
        <v>7.6035183131249999</v>
      </c>
      <c r="J185" s="81">
        <f>J156</f>
        <v>10.644925638375</v>
      </c>
      <c r="L185" s="174"/>
    </row>
    <row r="186" spans="2:13" s="4" customFormat="1" ht="13.5" customHeight="1" x14ac:dyDescent="0.45">
      <c r="B186" s="46" t="s">
        <v>164</v>
      </c>
      <c r="E186" s="64"/>
      <c r="F186" s="81">
        <f>+F151-E151</f>
        <v>1.9227214356164375</v>
      </c>
      <c r="G186" s="81">
        <f t="shared" ref="G186:J186" si="59">+G151-F151</f>
        <v>2.0748489940068513</v>
      </c>
      <c r="H186" s="81">
        <f t="shared" si="59"/>
        <v>2.8940428846874964</v>
      </c>
      <c r="I186" s="81">
        <f t="shared" si="59"/>
        <v>3.7222786702241564</v>
      </c>
      <c r="J186" s="81">
        <f t="shared" si="59"/>
        <v>4.3514518674873912</v>
      </c>
      <c r="L186" s="174"/>
    </row>
    <row r="187" spans="2:13" s="4" customFormat="1" ht="13.5" customHeight="1" x14ac:dyDescent="0.45">
      <c r="B187" s="13" t="s">
        <v>27</v>
      </c>
      <c r="C187" s="13"/>
      <c r="D187" s="13"/>
      <c r="E187" s="66"/>
      <c r="F187" s="55">
        <f ca="1">F182+F183+F184-F185-F186</f>
        <v>-14.02594143561644</v>
      </c>
      <c r="G187" s="55">
        <f t="shared" ref="G187:J187" ca="1" si="60">G182+G183+G184-G185-G186</f>
        <v>-7.3995687440068494</v>
      </c>
      <c r="H187" s="55">
        <f t="shared" ca="1" si="60"/>
        <v>-9.5325428198085618</v>
      </c>
      <c r="I187" s="55">
        <f t="shared" ca="1" si="60"/>
        <v>-11.702016601368614</v>
      </c>
      <c r="J187" s="55">
        <f t="shared" ca="1" si="60"/>
        <v>-12.387780802447983</v>
      </c>
      <c r="L187" s="174"/>
    </row>
    <row r="188" spans="2:13" s="4" customFormat="1" ht="13.5" customHeight="1" x14ac:dyDescent="0.45">
      <c r="E188" s="64"/>
      <c r="F188" s="56"/>
      <c r="G188" s="56"/>
      <c r="H188" s="56"/>
      <c r="I188" s="56"/>
      <c r="J188" s="56"/>
      <c r="L188" s="174"/>
    </row>
    <row r="189" spans="2:13" s="4" customFormat="1" ht="13.5" customHeight="1" x14ac:dyDescent="0.45">
      <c r="B189" s="46" t="s">
        <v>65</v>
      </c>
      <c r="E189" s="64"/>
      <c r="F189" s="56">
        <f ca="1">F173+F167</f>
        <v>0</v>
      </c>
      <c r="G189" s="56">
        <f ca="1">G173+G167</f>
        <v>0</v>
      </c>
      <c r="H189" s="56">
        <f ca="1">H173+H167</f>
        <v>15.126586561936939</v>
      </c>
      <c r="I189" s="56">
        <f ca="1">I173+I167</f>
        <v>21.046676713201517</v>
      </c>
      <c r="J189" s="56">
        <f ca="1">J173+J167</f>
        <v>23.793058274177682</v>
      </c>
      <c r="L189" s="174"/>
    </row>
    <row r="190" spans="2:13" s="4" customFormat="1" ht="13.5" customHeight="1" x14ac:dyDescent="0.45">
      <c r="B190" s="13" t="s">
        <v>28</v>
      </c>
      <c r="C190" s="13"/>
      <c r="D190" s="13"/>
      <c r="E190" s="66"/>
      <c r="F190" s="55">
        <f ca="1">F189</f>
        <v>0</v>
      </c>
      <c r="G190" s="55">
        <f t="shared" ref="G190:J190" ca="1" si="61">G189</f>
        <v>0</v>
      </c>
      <c r="H190" s="55">
        <f t="shared" ca="1" si="61"/>
        <v>15.126586561936939</v>
      </c>
      <c r="I190" s="55">
        <f t="shared" ca="1" si="61"/>
        <v>21.046676713201517</v>
      </c>
      <c r="J190" s="55">
        <f t="shared" ca="1" si="61"/>
        <v>23.793058274177682</v>
      </c>
      <c r="L190" s="174"/>
    </row>
    <row r="191" spans="2:13" s="4" customFormat="1" ht="13.5" customHeight="1" x14ac:dyDescent="0.45">
      <c r="E191" s="64"/>
      <c r="F191" s="56"/>
      <c r="G191" s="56"/>
      <c r="H191" s="56"/>
      <c r="I191" s="56"/>
      <c r="J191" s="56"/>
      <c r="L191" s="174"/>
    </row>
    <row r="192" spans="2:13" s="4" customFormat="1" ht="13.5" customHeight="1" x14ac:dyDescent="0.45">
      <c r="B192" s="17" t="s">
        <v>29</v>
      </c>
      <c r="E192" s="64"/>
      <c r="F192" s="93">
        <f ca="1">F190+F187</f>
        <v>-14.02594143561644</v>
      </c>
      <c r="G192" s="93">
        <f t="shared" ref="G192:J192" ca="1" si="62">G190+G187</f>
        <v>-7.3995687440068494</v>
      </c>
      <c r="H192" s="93">
        <f t="shared" ca="1" si="62"/>
        <v>5.5940437421283775</v>
      </c>
      <c r="I192" s="93">
        <f t="shared" ca="1" si="62"/>
        <v>9.3446601118329031</v>
      </c>
      <c r="J192" s="93">
        <f t="shared" ca="1" si="62"/>
        <v>11.405277471729699</v>
      </c>
      <c r="L192" s="174"/>
    </row>
    <row r="193" spans="1:17" s="4" customFormat="1" ht="13.5" customHeight="1" x14ac:dyDescent="0.45">
      <c r="E193" s="64"/>
      <c r="F193" s="19"/>
      <c r="G193" s="19"/>
      <c r="H193" s="19"/>
      <c r="I193" s="19"/>
      <c r="J193" s="19"/>
      <c r="L193" s="174"/>
    </row>
    <row r="194" spans="1:17" s="47" customFormat="1" ht="13.5" customHeight="1" x14ac:dyDescent="0.45">
      <c r="A194" s="38"/>
      <c r="B194" s="38"/>
      <c r="C194" s="38"/>
      <c r="D194" s="38"/>
      <c r="E194" s="118"/>
      <c r="F194" s="38"/>
      <c r="G194" s="38"/>
      <c r="H194" s="38"/>
      <c r="I194" s="38"/>
      <c r="J194" s="38"/>
      <c r="K194" s="38"/>
      <c r="L194" s="178"/>
      <c r="M194" s="38"/>
      <c r="N194" s="38"/>
      <c r="O194" s="38"/>
      <c r="P194" s="38"/>
      <c r="Q194" s="38"/>
    </row>
    <row r="195" spans="1:17" s="38" customFormat="1" ht="13.5" customHeight="1" x14ac:dyDescent="0.45">
      <c r="B195" s="5" t="s">
        <v>31</v>
      </c>
      <c r="C195" s="48"/>
      <c r="D195" s="48"/>
      <c r="E195" s="119"/>
      <c r="F195" s="49"/>
      <c r="G195" s="49"/>
      <c r="H195" s="49"/>
      <c r="I195" s="49"/>
      <c r="J195" s="7" t="s">
        <v>32</v>
      </c>
      <c r="L195" s="178"/>
    </row>
    <row r="196" spans="1:17" s="20" customFormat="1" ht="13.5" customHeight="1" x14ac:dyDescent="0.45">
      <c r="A196" s="4"/>
      <c r="B196" s="8" t="s">
        <v>170</v>
      </c>
      <c r="C196" s="8"/>
      <c r="D196" s="8"/>
      <c r="E196" s="60">
        <v>0</v>
      </c>
      <c r="F196" s="32">
        <v>1</v>
      </c>
      <c r="G196" s="32">
        <f>F196+1</f>
        <v>2</v>
      </c>
      <c r="H196" s="32">
        <f>G196+1</f>
        <v>3</v>
      </c>
      <c r="I196" s="32">
        <f>H196+1</f>
        <v>4</v>
      </c>
      <c r="J196" s="32">
        <f>I196+1</f>
        <v>5</v>
      </c>
      <c r="K196" s="4"/>
      <c r="L196" s="174"/>
      <c r="M196" s="4"/>
      <c r="N196" s="4"/>
      <c r="O196" s="4"/>
      <c r="P196" s="4"/>
      <c r="Q196" s="4"/>
    </row>
    <row r="197" spans="1:17" s="20" customFormat="1" ht="13.5" customHeight="1" x14ac:dyDescent="0.45">
      <c r="A197" s="4"/>
      <c r="B197" s="4" t="s">
        <v>98</v>
      </c>
      <c r="C197" s="4"/>
      <c r="D197" s="4"/>
      <c r="E197" s="61"/>
      <c r="F197" s="33"/>
      <c r="G197" s="33"/>
      <c r="H197" s="53"/>
      <c r="I197" s="53"/>
      <c r="J197" s="53">
        <f>J51</f>
        <v>266.12314095937501</v>
      </c>
      <c r="K197" s="4"/>
      <c r="L197" s="174"/>
      <c r="M197" s="4"/>
      <c r="N197" s="4"/>
      <c r="O197" s="4"/>
      <c r="P197" s="4"/>
      <c r="Q197" s="4"/>
    </row>
    <row r="198" spans="1:17" s="20" customFormat="1" ht="13.5" customHeight="1" x14ac:dyDescent="0.45">
      <c r="A198" s="4"/>
      <c r="B198" s="4" t="s">
        <v>33</v>
      </c>
      <c r="C198" s="4"/>
      <c r="D198" s="4"/>
      <c r="E198" s="120"/>
      <c r="F198" s="11"/>
      <c r="G198" s="11"/>
      <c r="H198" s="11"/>
      <c r="I198" s="11"/>
      <c r="J198" s="100">
        <v>1.5</v>
      </c>
      <c r="K198" s="4"/>
      <c r="L198" s="174"/>
      <c r="M198" s="4"/>
      <c r="N198" s="4"/>
      <c r="O198" s="4"/>
      <c r="P198" s="4"/>
      <c r="Q198" s="4"/>
    </row>
    <row r="199" spans="1:17" s="20" customFormat="1" ht="13.5" customHeight="1" x14ac:dyDescent="0.45">
      <c r="A199" s="4"/>
      <c r="B199" s="13" t="s">
        <v>34</v>
      </c>
      <c r="C199" s="13"/>
      <c r="D199" s="13"/>
      <c r="E199" s="121"/>
      <c r="F199" s="14"/>
      <c r="G199" s="14"/>
      <c r="H199" s="55"/>
      <c r="I199" s="55"/>
      <c r="J199" s="55">
        <f>J198*J197</f>
        <v>399.18471143906254</v>
      </c>
      <c r="K199" s="4"/>
      <c r="L199" s="174"/>
      <c r="M199" s="4"/>
      <c r="N199" s="4"/>
      <c r="O199" s="4"/>
      <c r="P199" s="4"/>
      <c r="Q199" s="4"/>
    </row>
    <row r="200" spans="1:17" s="20" customFormat="1" ht="13.5" customHeight="1" x14ac:dyDescent="0.45">
      <c r="A200" s="4"/>
      <c r="B200" s="46" t="s">
        <v>55</v>
      </c>
      <c r="C200" s="4"/>
      <c r="D200" s="4"/>
      <c r="E200" s="122"/>
      <c r="F200" s="16"/>
      <c r="G200" s="16"/>
      <c r="H200" s="52"/>
      <c r="I200" s="52"/>
      <c r="J200" s="52">
        <f ca="1">+J124</f>
        <v>39.918471141105002</v>
      </c>
      <c r="K200" s="4"/>
      <c r="L200" s="174"/>
      <c r="M200" s="4"/>
      <c r="N200" s="4"/>
      <c r="O200" s="4"/>
      <c r="P200" s="4"/>
      <c r="Q200" s="4"/>
    </row>
    <row r="201" spans="1:17" s="20" customFormat="1" ht="13.5" customHeight="1" x14ac:dyDescent="0.45">
      <c r="A201" s="4"/>
      <c r="B201" s="46" t="s">
        <v>54</v>
      </c>
      <c r="C201" s="4"/>
      <c r="D201" s="4"/>
      <c r="E201" s="122"/>
      <c r="F201" s="16"/>
      <c r="G201" s="16"/>
      <c r="H201" s="52"/>
      <c r="I201" s="52"/>
      <c r="J201" s="52">
        <f ca="1">+J135+J136</f>
        <v>59.966321548245595</v>
      </c>
      <c r="K201" s="4"/>
      <c r="L201" s="174"/>
      <c r="M201" s="4"/>
      <c r="N201" s="4"/>
      <c r="O201" s="4"/>
      <c r="P201" s="4"/>
      <c r="Q201" s="4"/>
    </row>
    <row r="202" spans="1:17" s="20" customFormat="1" ht="13.5" customHeight="1" x14ac:dyDescent="0.45">
      <c r="A202" s="4"/>
      <c r="B202" s="13" t="s">
        <v>35</v>
      </c>
      <c r="C202" s="13"/>
      <c r="D202" s="13"/>
      <c r="E202" s="121"/>
      <c r="F202" s="14"/>
      <c r="G202" s="14"/>
      <c r="H202" s="55"/>
      <c r="I202" s="55"/>
      <c r="J202" s="55">
        <f ca="1">J199+J200-J201</f>
        <v>379.13686103192191</v>
      </c>
      <c r="K202" s="4"/>
      <c r="L202" s="174"/>
      <c r="M202" s="4"/>
      <c r="N202" s="4"/>
      <c r="O202" s="4"/>
      <c r="P202" s="4"/>
      <c r="Q202" s="4"/>
    </row>
    <row r="203" spans="1:17" s="20" customFormat="1" ht="13.5" customHeight="1" x14ac:dyDescent="0.45">
      <c r="A203" s="4"/>
      <c r="B203" s="46" t="s">
        <v>97</v>
      </c>
      <c r="C203" s="17"/>
      <c r="D203" s="17"/>
      <c r="E203" s="123"/>
      <c r="F203" s="18"/>
      <c r="G203" s="18"/>
      <c r="H203" s="52"/>
      <c r="I203" s="52"/>
      <c r="J203" s="52">
        <f>+$H$41*$I$38/1000000</f>
        <v>6.2402315789473688</v>
      </c>
      <c r="K203" s="4"/>
      <c r="L203" s="174"/>
      <c r="M203" s="4"/>
      <c r="N203" s="4"/>
      <c r="O203" s="4"/>
      <c r="P203" s="4"/>
      <c r="Q203" s="4"/>
    </row>
    <row r="204" spans="1:17" s="20" customFormat="1" ht="13.5" customHeight="1" x14ac:dyDescent="0.45">
      <c r="A204" s="4"/>
      <c r="B204" s="13" t="s">
        <v>99</v>
      </c>
      <c r="C204" s="13"/>
      <c r="D204" s="13"/>
      <c r="E204" s="121"/>
      <c r="F204" s="14"/>
      <c r="G204" s="14"/>
      <c r="H204" s="55"/>
      <c r="I204" s="55"/>
      <c r="J204" s="55">
        <f ca="1">+J203+J202</f>
        <v>385.37709261086928</v>
      </c>
      <c r="K204" s="4"/>
      <c r="L204" s="174"/>
      <c r="M204" s="4"/>
      <c r="N204" s="4"/>
      <c r="O204" s="4"/>
      <c r="P204" s="4"/>
      <c r="Q204" s="4"/>
    </row>
    <row r="205" spans="1:17" s="20" customFormat="1" ht="13.5" customHeight="1" x14ac:dyDescent="0.45">
      <c r="A205" s="4"/>
      <c r="B205" s="17"/>
      <c r="C205" s="17"/>
      <c r="D205" s="17"/>
      <c r="E205" s="123"/>
      <c r="F205" s="18"/>
      <c r="G205" s="18"/>
      <c r="H205" s="93"/>
      <c r="I205" s="93"/>
      <c r="J205" s="93"/>
      <c r="K205" s="4"/>
      <c r="L205" s="174"/>
      <c r="M205" s="4"/>
      <c r="N205" s="4"/>
      <c r="O205" s="4"/>
      <c r="P205" s="4"/>
      <c r="Q205" s="4"/>
    </row>
    <row r="206" spans="1:17" s="20" customFormat="1" ht="13.5" customHeight="1" x14ac:dyDescent="0.45">
      <c r="A206" s="4"/>
      <c r="B206" s="4" t="s">
        <v>101</v>
      </c>
      <c r="C206" s="17"/>
      <c r="D206" s="17"/>
      <c r="E206" s="123"/>
      <c r="F206" s="18"/>
      <c r="G206" s="18"/>
      <c r="H206" s="42"/>
      <c r="I206" s="42"/>
      <c r="J206" s="53">
        <f>+H32</f>
        <v>32.799999999999997</v>
      </c>
      <c r="K206" s="4"/>
      <c r="L206" s="174"/>
      <c r="M206" s="4"/>
      <c r="N206" s="4"/>
      <c r="O206" s="4"/>
      <c r="P206" s="4"/>
      <c r="Q206" s="4"/>
    </row>
    <row r="207" spans="1:17" s="20" customFormat="1" ht="13.5" customHeight="1" x14ac:dyDescent="0.45">
      <c r="A207" s="4"/>
      <c r="B207" s="4" t="s">
        <v>71</v>
      </c>
      <c r="C207" s="17"/>
      <c r="D207" s="17"/>
      <c r="E207" s="123"/>
      <c r="F207" s="18"/>
      <c r="G207" s="18"/>
      <c r="H207" s="124"/>
      <c r="I207" s="124"/>
      <c r="J207" s="100">
        <v>2</v>
      </c>
      <c r="K207" s="4"/>
      <c r="L207" s="174"/>
      <c r="M207" s="4"/>
      <c r="N207" s="4"/>
      <c r="O207" s="4"/>
      <c r="P207" s="4"/>
      <c r="Q207" s="4"/>
    </row>
    <row r="208" spans="1:17" ht="13.5" customHeight="1" x14ac:dyDescent="0.4">
      <c r="B208" s="13" t="s">
        <v>102</v>
      </c>
      <c r="C208" s="13"/>
      <c r="D208" s="13"/>
      <c r="E208" s="121"/>
      <c r="F208" s="14"/>
      <c r="G208" s="14"/>
      <c r="H208" s="55"/>
      <c r="I208" s="55"/>
      <c r="J208" s="55">
        <f>+J207*J206</f>
        <v>65.599999999999994</v>
      </c>
    </row>
    <row r="209" spans="2:12" ht="13.5" customHeight="1" x14ac:dyDescent="0.4">
      <c r="B209" s="17"/>
      <c r="C209" s="17"/>
      <c r="D209" s="17"/>
      <c r="E209" s="123"/>
      <c r="F209" s="18"/>
      <c r="G209" s="18"/>
      <c r="H209" s="93"/>
      <c r="I209" s="93"/>
      <c r="J209" s="93"/>
    </row>
    <row r="210" spans="2:12" ht="13.5" customHeight="1" x14ac:dyDescent="0.4">
      <c r="B210" s="4" t="s">
        <v>183</v>
      </c>
      <c r="C210" s="1"/>
      <c r="D210" s="45" t="s">
        <v>105</v>
      </c>
      <c r="E210" s="130" t="s">
        <v>106</v>
      </c>
      <c r="F210" s="115">
        <f>+$H$32</f>
        <v>32.799999999999997</v>
      </c>
      <c r="G210" s="53">
        <f>F210</f>
        <v>32.799999999999997</v>
      </c>
      <c r="H210" s="53">
        <f>G210</f>
        <v>32.799999999999997</v>
      </c>
      <c r="I210" s="53">
        <f>H210</f>
        <v>32.799999999999997</v>
      </c>
      <c r="J210" s="53">
        <f>I210</f>
        <v>32.799999999999997</v>
      </c>
    </row>
    <row r="211" spans="2:12" ht="13.5" customHeight="1" x14ac:dyDescent="0.4">
      <c r="B211" s="4" t="s">
        <v>100</v>
      </c>
      <c r="C211" s="1"/>
      <c r="D211" s="125">
        <v>1</v>
      </c>
      <c r="E211" s="170">
        <v>0.12</v>
      </c>
      <c r="F211" s="42">
        <f>+$E$211*$D$211</f>
        <v>0.12</v>
      </c>
      <c r="G211" s="42">
        <f t="shared" ref="G211:J211" si="63">+$E$211*$D$211</f>
        <v>0.12</v>
      </c>
      <c r="H211" s="42">
        <f t="shared" si="63"/>
        <v>0.12</v>
      </c>
      <c r="I211" s="42">
        <f t="shared" si="63"/>
        <v>0.12</v>
      </c>
      <c r="J211" s="42">
        <f t="shared" si="63"/>
        <v>0.12</v>
      </c>
    </row>
    <row r="212" spans="2:12" ht="13.5" customHeight="1" x14ac:dyDescent="0.4">
      <c r="B212" s="13" t="s">
        <v>103</v>
      </c>
      <c r="C212" s="13"/>
      <c r="D212" s="13"/>
      <c r="E212" s="121"/>
      <c r="F212" s="55">
        <f>+F211*F210</f>
        <v>3.9359999999999995</v>
      </c>
      <c r="G212" s="55">
        <f t="shared" ref="G212:J212" si="64">+G211*G210</f>
        <v>3.9359999999999995</v>
      </c>
      <c r="H212" s="55">
        <f t="shared" si="64"/>
        <v>3.9359999999999995</v>
      </c>
      <c r="I212" s="55">
        <f t="shared" si="64"/>
        <v>3.9359999999999995</v>
      </c>
      <c r="J212" s="55">
        <f t="shared" si="64"/>
        <v>3.9359999999999995</v>
      </c>
    </row>
    <row r="213" spans="2:12" ht="13.5" customHeight="1" x14ac:dyDescent="0.4">
      <c r="B213" s="38" t="s">
        <v>104</v>
      </c>
      <c r="C213" s="38"/>
      <c r="D213" s="38"/>
      <c r="E213" s="69"/>
      <c r="F213" s="41"/>
      <c r="G213" s="41"/>
      <c r="H213" s="92"/>
      <c r="I213" s="92"/>
      <c r="J213" s="92">
        <f>+SUM(F212:J212)</f>
        <v>19.679999999999996</v>
      </c>
    </row>
    <row r="214" spans="2:12" ht="13.5" customHeight="1" x14ac:dyDescent="0.4">
      <c r="B214" s="17"/>
      <c r="C214" s="17"/>
      <c r="D214" s="17"/>
      <c r="E214" s="123"/>
      <c r="F214" s="18"/>
      <c r="G214" s="18"/>
      <c r="H214" s="93"/>
      <c r="I214" s="93"/>
      <c r="J214" s="93"/>
    </row>
    <row r="215" spans="2:12" ht="13.5" customHeight="1" x14ac:dyDescent="0.4">
      <c r="B215" s="131" t="s">
        <v>114</v>
      </c>
      <c r="C215" s="17"/>
      <c r="D215" s="17"/>
      <c r="E215" s="123"/>
      <c r="F215" s="18"/>
      <c r="G215" s="18"/>
      <c r="H215" s="93"/>
      <c r="I215" s="93"/>
      <c r="J215" s="93"/>
    </row>
    <row r="216" spans="2:12" ht="13.5" customHeight="1" x14ac:dyDescent="0.4">
      <c r="B216" s="4" t="s">
        <v>110</v>
      </c>
      <c r="C216" s="17"/>
      <c r="D216" s="17"/>
      <c r="E216" s="123"/>
      <c r="F216" s="18"/>
      <c r="G216" s="18"/>
      <c r="H216" s="93"/>
      <c r="I216" s="93"/>
      <c r="J216" s="53">
        <f ca="1">+J204</f>
        <v>385.37709261086928</v>
      </c>
    </row>
    <row r="217" spans="2:12" ht="13.5" customHeight="1" x14ac:dyDescent="0.4">
      <c r="B217" s="46" t="s">
        <v>108</v>
      </c>
      <c r="C217" s="17"/>
      <c r="D217" s="17"/>
      <c r="E217" s="123"/>
      <c r="F217" s="53"/>
      <c r="G217" s="53"/>
      <c r="H217" s="53"/>
      <c r="I217" s="53"/>
      <c r="J217" s="52">
        <f>+J208</f>
        <v>65.599999999999994</v>
      </c>
    </row>
    <row r="218" spans="2:12" ht="13.5" customHeight="1" x14ac:dyDescent="0.4">
      <c r="B218" s="46" t="s">
        <v>109</v>
      </c>
      <c r="C218" s="17"/>
      <c r="D218" s="17"/>
      <c r="E218" s="123"/>
      <c r="F218" s="126"/>
      <c r="G218" s="126"/>
      <c r="H218" s="126"/>
      <c r="I218" s="126"/>
      <c r="J218" s="52">
        <f>+J213</f>
        <v>19.679999999999996</v>
      </c>
    </row>
    <row r="219" spans="2:12" s="2" customFormat="1" ht="13.5" customHeight="1" x14ac:dyDescent="0.4">
      <c r="B219" s="13" t="s">
        <v>113</v>
      </c>
      <c r="C219" s="13"/>
      <c r="D219" s="127" t="s">
        <v>105</v>
      </c>
      <c r="E219" s="132" t="s">
        <v>107</v>
      </c>
      <c r="F219" s="55"/>
      <c r="G219" s="55"/>
      <c r="H219" s="55"/>
      <c r="I219" s="55"/>
      <c r="J219" s="55">
        <f ca="1">+J216-J217-J218</f>
        <v>300.09709261086931</v>
      </c>
      <c r="L219" s="173"/>
    </row>
    <row r="220" spans="2:12" s="2" customFormat="1" ht="13.5" customHeight="1" x14ac:dyDescent="0.4">
      <c r="B220" s="46" t="s">
        <v>112</v>
      </c>
      <c r="C220" s="1"/>
      <c r="D220" s="125">
        <v>0</v>
      </c>
      <c r="E220" s="171">
        <f>+J32</f>
        <v>0.26281075938477316</v>
      </c>
      <c r="F220" s="126"/>
      <c r="G220" s="126"/>
      <c r="H220" s="126"/>
      <c r="I220" s="126"/>
      <c r="J220" s="52">
        <f ca="1">+J219*D220*E220</f>
        <v>0</v>
      </c>
      <c r="L220" s="173"/>
    </row>
    <row r="221" spans="2:12" s="2" customFormat="1" ht="13.5" customHeight="1" x14ac:dyDescent="0.4">
      <c r="B221" s="13" t="s">
        <v>115</v>
      </c>
      <c r="C221" s="13"/>
      <c r="D221" s="128"/>
      <c r="E221" s="133"/>
      <c r="F221" s="55"/>
      <c r="G221" s="55"/>
      <c r="H221" s="55"/>
      <c r="I221" s="55"/>
      <c r="J221" s="55">
        <f ca="1">+J219-J220</f>
        <v>300.09709261086931</v>
      </c>
      <c r="L221" s="173"/>
    </row>
    <row r="222" spans="2:12" s="2" customFormat="1" ht="13.5" customHeight="1" x14ac:dyDescent="0.4">
      <c r="B222" s="17"/>
      <c r="C222" s="17"/>
      <c r="D222" s="45"/>
      <c r="E222" s="106"/>
      <c r="F222" s="93"/>
      <c r="G222" s="93"/>
      <c r="H222" s="93"/>
      <c r="I222" s="93"/>
      <c r="J222" s="93"/>
      <c r="L222" s="173"/>
    </row>
    <row r="223" spans="2:12" s="2" customFormat="1" ht="13.5" customHeight="1" x14ac:dyDescent="0.4">
      <c r="B223" s="4" t="s">
        <v>118</v>
      </c>
      <c r="C223" s="17"/>
      <c r="D223" s="129" t="s">
        <v>105</v>
      </c>
      <c r="E223" s="130" t="s">
        <v>120</v>
      </c>
      <c r="F223" s="18"/>
      <c r="G223" s="18"/>
      <c r="H223" s="93"/>
      <c r="I223" s="93"/>
      <c r="J223" s="56">
        <f ca="1">+J220+J218+J217</f>
        <v>85.279999999999987</v>
      </c>
      <c r="L223" s="173"/>
    </row>
    <row r="224" spans="2:12" s="2" customFormat="1" ht="13.5" customHeight="1" x14ac:dyDescent="0.4">
      <c r="B224" s="4" t="s">
        <v>119</v>
      </c>
      <c r="C224" s="1"/>
      <c r="D224" s="125">
        <v>1</v>
      </c>
      <c r="E224" s="172">
        <v>5</v>
      </c>
      <c r="F224" s="126"/>
      <c r="G224" s="126"/>
      <c r="H224" s="126"/>
      <c r="I224" s="126"/>
      <c r="J224" s="52">
        <f>+D224*E224*J206</f>
        <v>164</v>
      </c>
      <c r="L224" s="173"/>
    </row>
    <row r="225" spans="2:12" s="2" customFormat="1" ht="13.5" customHeight="1" x14ac:dyDescent="0.4">
      <c r="B225" s="13" t="s">
        <v>121</v>
      </c>
      <c r="C225" s="13"/>
      <c r="D225" s="128"/>
      <c r="E225" s="133"/>
      <c r="F225" s="55"/>
      <c r="G225" s="55"/>
      <c r="H225" s="55"/>
      <c r="I225" s="55"/>
      <c r="J225" s="55">
        <f ca="1">MIN(J223,J224)</f>
        <v>85.279999999999987</v>
      </c>
      <c r="L225" s="173"/>
    </row>
    <row r="226" spans="2:12" s="2" customFormat="1" ht="13.5" customHeight="1" x14ac:dyDescent="0.4">
      <c r="B226" s="17"/>
      <c r="C226" s="17"/>
      <c r="D226" s="45"/>
      <c r="E226" s="106"/>
      <c r="F226" s="93"/>
      <c r="G226" s="93"/>
      <c r="H226" s="93"/>
      <c r="I226" s="93"/>
      <c r="J226" s="93"/>
      <c r="L226" s="173"/>
    </row>
    <row r="227" spans="2:12" s="2" customFormat="1" ht="13.5" customHeight="1" x14ac:dyDescent="0.4">
      <c r="B227" s="131" t="s">
        <v>179</v>
      </c>
      <c r="C227" s="17"/>
      <c r="D227" s="17"/>
      <c r="E227" s="123"/>
      <c r="F227" s="18"/>
      <c r="G227" s="18"/>
      <c r="H227" s="93"/>
      <c r="I227" s="93"/>
      <c r="J227" s="93"/>
      <c r="L227" s="173"/>
    </row>
    <row r="228" spans="2:12" s="2" customFormat="1" ht="13.5" customHeight="1" x14ac:dyDescent="0.4">
      <c r="B228" s="4" t="s">
        <v>110</v>
      </c>
      <c r="C228" s="17"/>
      <c r="D228" s="17"/>
      <c r="E228" s="123"/>
      <c r="F228" s="18"/>
      <c r="G228" s="18"/>
      <c r="H228" s="93"/>
      <c r="I228" s="93"/>
      <c r="J228" s="53">
        <f ca="1">+J204</f>
        <v>385.37709261086928</v>
      </c>
      <c r="L228" s="173"/>
    </row>
    <row r="229" spans="2:12" s="2" customFormat="1" ht="13.5" customHeight="1" x14ac:dyDescent="0.4">
      <c r="B229" s="46" t="s">
        <v>109</v>
      </c>
      <c r="C229" s="17"/>
      <c r="D229" s="17"/>
      <c r="E229" s="123"/>
      <c r="F229" s="126"/>
      <c r="G229" s="126"/>
      <c r="H229" s="126"/>
      <c r="I229" s="126"/>
      <c r="J229" s="52">
        <f>+J213</f>
        <v>19.679999999999996</v>
      </c>
      <c r="L229" s="173"/>
    </row>
    <row r="230" spans="2:12" s="2" customFormat="1" ht="13.5" customHeight="1" x14ac:dyDescent="0.4">
      <c r="B230" s="13" t="s">
        <v>111</v>
      </c>
      <c r="C230" s="13"/>
      <c r="D230" s="13"/>
      <c r="E230" s="132" t="s">
        <v>107</v>
      </c>
      <c r="F230" s="55"/>
      <c r="G230" s="55"/>
      <c r="H230" s="55"/>
      <c r="I230" s="55"/>
      <c r="J230" s="55">
        <f ca="1">+J228-J229</f>
        <v>365.69709261086928</v>
      </c>
      <c r="L230" s="173"/>
    </row>
    <row r="231" spans="2:12" s="2" customFormat="1" ht="13.5" customHeight="1" x14ac:dyDescent="0.4">
      <c r="B231" s="46" t="s">
        <v>116</v>
      </c>
      <c r="C231" s="1"/>
      <c r="D231" s="134"/>
      <c r="E231" s="171">
        <f>+E220</f>
        <v>0.26281075938477316</v>
      </c>
      <c r="F231" s="126"/>
      <c r="G231" s="126"/>
      <c r="H231" s="126"/>
      <c r="I231" s="126"/>
      <c r="J231" s="52">
        <f ca="1">+E231*J230</f>
        <v>96.10913061386627</v>
      </c>
      <c r="L231" s="173"/>
    </row>
    <row r="232" spans="2:12" s="2" customFormat="1" ht="13.5" customHeight="1" x14ac:dyDescent="0.4">
      <c r="B232" s="13" t="s">
        <v>115</v>
      </c>
      <c r="C232" s="13"/>
      <c r="D232" s="128"/>
      <c r="E232" s="133"/>
      <c r="F232" s="55"/>
      <c r="G232" s="55"/>
      <c r="H232" s="55"/>
      <c r="I232" s="55"/>
      <c r="J232" s="55">
        <f ca="1">+J230-J231</f>
        <v>269.58796199700299</v>
      </c>
      <c r="L232" s="173"/>
    </row>
    <row r="233" spans="2:12" s="2" customFormat="1" ht="13.5" customHeight="1" x14ac:dyDescent="0.4">
      <c r="B233" s="38" t="s">
        <v>117</v>
      </c>
      <c r="C233" s="17"/>
      <c r="D233" s="17"/>
      <c r="E233" s="123"/>
      <c r="F233" s="18"/>
      <c r="G233" s="18"/>
      <c r="H233" s="93"/>
      <c r="I233" s="93"/>
      <c r="J233" s="92">
        <f ca="1">+J231+J229</f>
        <v>115.78913061386626</v>
      </c>
      <c r="L233" s="173"/>
    </row>
    <row r="234" spans="2:12" s="2" customFormat="1" ht="13.5" customHeight="1" x14ac:dyDescent="0.4">
      <c r="B234" s="4"/>
      <c r="C234" s="17"/>
      <c r="D234" s="17"/>
      <c r="E234" s="123"/>
      <c r="F234" s="18"/>
      <c r="G234" s="18"/>
      <c r="H234" s="93"/>
      <c r="I234" s="93"/>
      <c r="J234" s="56"/>
      <c r="L234" s="173"/>
    </row>
    <row r="235" spans="2:12" s="2" customFormat="1" ht="13.5" customHeight="1" x14ac:dyDescent="0.4">
      <c r="B235" s="17" t="s">
        <v>174</v>
      </c>
      <c r="C235" s="17"/>
      <c r="D235" s="17"/>
      <c r="E235" s="123"/>
      <c r="F235" s="18"/>
      <c r="G235" s="18"/>
      <c r="H235" s="93"/>
      <c r="I235" s="93"/>
      <c r="J235" s="93">
        <f ca="1">MAX(J233,J225)</f>
        <v>115.78913061386626</v>
      </c>
      <c r="L235" s="173"/>
    </row>
    <row r="236" spans="2:12" s="2" customFormat="1" ht="13.5" customHeight="1" x14ac:dyDescent="0.4">
      <c r="B236" s="4"/>
      <c r="C236" s="17"/>
      <c r="D236" s="17"/>
      <c r="E236" s="123"/>
      <c r="F236" s="18"/>
      <c r="G236" s="18"/>
      <c r="H236" s="93"/>
      <c r="I236" s="93"/>
      <c r="J236" s="93"/>
      <c r="L236" s="173"/>
    </row>
    <row r="237" spans="2:12" s="2" customFormat="1" ht="13.5" customHeight="1" x14ac:dyDescent="0.4">
      <c r="B237" s="4"/>
      <c r="C237" s="17"/>
      <c r="D237" s="17"/>
      <c r="E237" s="123"/>
      <c r="F237" s="18"/>
      <c r="G237" s="18"/>
      <c r="H237" s="93"/>
      <c r="I237" s="93"/>
      <c r="J237" s="93"/>
      <c r="L237" s="173"/>
    </row>
    <row r="238" spans="2:12" s="2" customFormat="1" ht="13.5" customHeight="1" x14ac:dyDescent="0.4">
      <c r="B238" s="8" t="s">
        <v>171</v>
      </c>
      <c r="C238" s="8"/>
      <c r="D238" s="8"/>
      <c r="E238" s="60">
        <v>0</v>
      </c>
      <c r="F238" s="32">
        <v>1</v>
      </c>
      <c r="G238" s="32">
        <f>F238+1</f>
        <v>2</v>
      </c>
      <c r="H238" s="32">
        <f>G238+1</f>
        <v>3</v>
      </c>
      <c r="I238" s="32">
        <f>H238+1</f>
        <v>4</v>
      </c>
      <c r="J238" s="32">
        <f>I238+1</f>
        <v>5</v>
      </c>
      <c r="L238" s="173"/>
    </row>
    <row r="239" spans="2:12" s="2" customFormat="1" ht="13.5" customHeight="1" x14ac:dyDescent="0.4">
      <c r="B239" s="4" t="s">
        <v>168</v>
      </c>
      <c r="C239" s="17"/>
      <c r="D239" s="17"/>
      <c r="E239" s="123"/>
      <c r="F239" s="18"/>
      <c r="G239" s="18"/>
      <c r="H239" s="93"/>
      <c r="I239" s="93"/>
      <c r="J239" s="53">
        <f ca="1">+J204</f>
        <v>385.37709261086928</v>
      </c>
      <c r="L239" s="173"/>
    </row>
    <row r="240" spans="2:12" s="2" customFormat="1" ht="13.5" customHeight="1" x14ac:dyDescent="0.4">
      <c r="B240" s="46" t="s">
        <v>172</v>
      </c>
      <c r="C240" s="17"/>
      <c r="D240" s="17"/>
      <c r="E240" s="123"/>
      <c r="F240" s="126"/>
      <c r="G240" s="126"/>
      <c r="H240" s="126"/>
      <c r="I240" s="126"/>
      <c r="J240" s="52">
        <f ca="1">+J235</f>
        <v>115.78913061386626</v>
      </c>
      <c r="L240" s="173"/>
    </row>
    <row r="241" spans="2:13" s="2" customFormat="1" ht="13.5" customHeight="1" x14ac:dyDescent="0.4">
      <c r="B241" s="13" t="s">
        <v>169</v>
      </c>
      <c r="C241" s="13"/>
      <c r="D241" s="13"/>
      <c r="E241" s="132" t="s">
        <v>196</v>
      </c>
      <c r="F241" s="55"/>
      <c r="G241" s="55"/>
      <c r="H241" s="55"/>
      <c r="I241" s="55"/>
      <c r="J241" s="55">
        <f ca="1">+J239-J240</f>
        <v>269.58796199700305</v>
      </c>
      <c r="L241" s="173"/>
    </row>
    <row r="242" spans="2:13" s="2" customFormat="1" ht="13.5" customHeight="1" x14ac:dyDescent="0.4">
      <c r="B242" s="46" t="s">
        <v>173</v>
      </c>
      <c r="C242" s="1"/>
      <c r="D242" s="134"/>
      <c r="E242" s="207">
        <f>I33/(I35+I36+I37+I38+I33)</f>
        <v>0.20391323977969067</v>
      </c>
      <c r="F242" s="126"/>
      <c r="G242" s="126"/>
      <c r="H242" s="126"/>
      <c r="I242" s="126"/>
      <c r="J242" s="52">
        <f ca="1">+E242*J241</f>
        <v>54.972554736413016</v>
      </c>
      <c r="L242" s="173"/>
    </row>
    <row r="243" spans="2:13" s="2" customFormat="1" ht="13.5" customHeight="1" x14ac:dyDescent="0.4">
      <c r="B243" s="13" t="s">
        <v>115</v>
      </c>
      <c r="C243" s="13"/>
      <c r="D243" s="128"/>
      <c r="E243" s="133"/>
      <c r="F243" s="55"/>
      <c r="G243" s="55"/>
      <c r="H243" s="55"/>
      <c r="I243" s="55"/>
      <c r="J243" s="55">
        <f ca="1">+J241-J242</f>
        <v>214.61540726059002</v>
      </c>
      <c r="L243" s="173"/>
    </row>
    <row r="244" spans="2:13" s="2" customFormat="1" ht="13.5" customHeight="1" x14ac:dyDescent="0.4">
      <c r="B244" s="17"/>
      <c r="C244" s="17"/>
      <c r="D244" s="45"/>
      <c r="E244" s="106"/>
      <c r="F244" s="93"/>
      <c r="G244" s="93"/>
      <c r="H244" s="93"/>
      <c r="I244" s="93"/>
      <c r="J244" s="93"/>
      <c r="L244" s="173"/>
    </row>
    <row r="245" spans="2:13" s="2" customFormat="1" ht="13.5" customHeight="1" x14ac:dyDescent="0.4">
      <c r="B245" s="38"/>
      <c r="C245" s="17"/>
      <c r="D245" s="17"/>
      <c r="E245" s="123"/>
      <c r="F245" s="18"/>
      <c r="G245" s="18"/>
      <c r="H245" s="93"/>
      <c r="I245" s="93"/>
      <c r="J245" s="92"/>
      <c r="L245" s="173"/>
    </row>
    <row r="246" spans="2:13" s="2" customFormat="1" ht="13.5" customHeight="1" x14ac:dyDescent="0.4">
      <c r="B246" s="8" t="s">
        <v>175</v>
      </c>
      <c r="C246" s="8"/>
      <c r="D246" s="8"/>
      <c r="E246" s="60">
        <v>0</v>
      </c>
      <c r="F246" s="32">
        <v>1</v>
      </c>
      <c r="G246" s="32">
        <f>F246+1</f>
        <v>2</v>
      </c>
      <c r="H246" s="32">
        <f>G246+1</f>
        <v>3</v>
      </c>
      <c r="I246" s="32">
        <f>H246+1</f>
        <v>4</v>
      </c>
      <c r="J246" s="32">
        <f>I246+1</f>
        <v>5</v>
      </c>
      <c r="L246" s="173"/>
    </row>
    <row r="247" spans="2:13" s="2" customFormat="1" ht="13.5" customHeight="1" x14ac:dyDescent="0.4">
      <c r="B247" s="4" t="s">
        <v>176</v>
      </c>
      <c r="C247" s="4"/>
      <c r="D247" s="56"/>
      <c r="E247" s="123"/>
      <c r="F247" s="18"/>
      <c r="G247" s="56"/>
      <c r="H247" s="56"/>
      <c r="I247" s="56"/>
      <c r="J247" s="56">
        <f ca="1">+J235</f>
        <v>115.78913061386626</v>
      </c>
      <c r="L247" s="173"/>
    </row>
    <row r="248" spans="2:13" s="2" customFormat="1" ht="13.5" customHeight="1" x14ac:dyDescent="0.4">
      <c r="B248" s="46" t="s">
        <v>177</v>
      </c>
      <c r="C248" s="1"/>
      <c r="D248" s="126"/>
      <c r="E248" s="123"/>
      <c r="F248" s="126"/>
      <c r="G248" s="126"/>
      <c r="H248" s="126"/>
      <c r="I248" s="126"/>
      <c r="J248" s="52">
        <f ca="1">+J242</f>
        <v>54.972554736413016</v>
      </c>
      <c r="L248" s="173"/>
    </row>
    <row r="249" spans="2:13" s="2" customFormat="1" ht="13.5" customHeight="1" x14ac:dyDescent="0.4">
      <c r="B249" s="13" t="s">
        <v>178</v>
      </c>
      <c r="C249" s="13"/>
      <c r="D249" s="128"/>
      <c r="E249" s="133"/>
      <c r="F249" s="55"/>
      <c r="G249" s="55"/>
      <c r="H249" s="55"/>
      <c r="I249" s="55"/>
      <c r="J249" s="55">
        <f ca="1">+J248+J247</f>
        <v>170.76168535027927</v>
      </c>
      <c r="L249" s="173"/>
    </row>
    <row r="250" spans="2:13" s="2" customFormat="1" ht="13.5" customHeight="1" x14ac:dyDescent="0.4">
      <c r="B250" s="4"/>
      <c r="C250" s="17"/>
      <c r="D250" s="17"/>
      <c r="E250" s="123"/>
      <c r="F250" s="18"/>
      <c r="G250" s="18"/>
      <c r="H250" s="93"/>
      <c r="I250" s="93"/>
      <c r="J250" s="93"/>
      <c r="L250" s="173"/>
    </row>
    <row r="251" spans="2:13" s="2" customFormat="1" ht="13.5" customHeight="1" x14ac:dyDescent="0.4">
      <c r="B251" s="4"/>
      <c r="C251" s="17"/>
      <c r="D251" s="17"/>
      <c r="E251" s="123"/>
      <c r="F251" s="18"/>
      <c r="G251" s="18"/>
      <c r="H251" s="93"/>
      <c r="I251" s="93"/>
      <c r="J251" s="93"/>
      <c r="L251" s="173"/>
    </row>
    <row r="252" spans="2:13" s="2" customFormat="1" ht="13.5" customHeight="1" x14ac:dyDescent="0.4">
      <c r="B252" s="17"/>
      <c r="C252" s="17"/>
      <c r="D252" s="17"/>
      <c r="E252" s="123"/>
      <c r="F252" s="18"/>
      <c r="G252" s="18"/>
      <c r="H252" s="93"/>
      <c r="I252" s="93"/>
      <c r="J252" s="93"/>
      <c r="L252" s="173"/>
    </row>
    <row r="253" spans="2:13" s="4" customFormat="1" ht="13.5" customHeight="1" x14ac:dyDescent="0.45">
      <c r="B253" s="8" t="s">
        <v>61</v>
      </c>
      <c r="C253" s="8"/>
      <c r="D253" s="8"/>
      <c r="E253" s="60">
        <v>0</v>
      </c>
      <c r="F253" s="32">
        <v>1</v>
      </c>
      <c r="G253" s="32">
        <f>F253+1</f>
        <v>2</v>
      </c>
      <c r="H253" s="32">
        <f>G253+1</f>
        <v>3</v>
      </c>
      <c r="I253" s="32">
        <f>H253+1</f>
        <v>4</v>
      </c>
      <c r="J253" s="32">
        <f>I253+1</f>
        <v>5</v>
      </c>
      <c r="L253" s="183" t="s">
        <v>36</v>
      </c>
      <c r="M253" s="183" t="s">
        <v>184</v>
      </c>
    </row>
    <row r="254" spans="2:13" s="4" customFormat="1" ht="13.5" customHeight="1" x14ac:dyDescent="0.45">
      <c r="B254" s="4" t="s">
        <v>180</v>
      </c>
      <c r="E254" s="91">
        <f>+-H32</f>
        <v>-32.799999999999997</v>
      </c>
      <c r="F254" s="10">
        <v>0</v>
      </c>
      <c r="G254" s="10">
        <v>0</v>
      </c>
      <c r="H254" s="10">
        <v>0</v>
      </c>
      <c r="I254" s="10">
        <v>0</v>
      </c>
      <c r="J254" s="56">
        <f ca="1">+J247</f>
        <v>115.78913061386626</v>
      </c>
      <c r="L254" s="184">
        <f ca="1">IRR(E254:J254)</f>
        <v>0.28694145282522521</v>
      </c>
      <c r="M254" s="187">
        <f ca="1">+J254/(-E254)</f>
        <v>3.5301564211544596</v>
      </c>
    </row>
    <row r="255" spans="2:13" s="2" customFormat="1" x14ac:dyDescent="0.4">
      <c r="B255" s="4" t="s">
        <v>181</v>
      </c>
      <c r="E255" s="164">
        <f>+-H33</f>
        <v>-18.760962499999998</v>
      </c>
      <c r="F255" s="10">
        <v>0</v>
      </c>
      <c r="G255" s="10">
        <v>0</v>
      </c>
      <c r="H255" s="10">
        <v>0</v>
      </c>
      <c r="I255" s="10">
        <v>0</v>
      </c>
      <c r="J255" s="165">
        <f ca="1">+J248</f>
        <v>54.972554736413016</v>
      </c>
      <c r="L255" s="185">
        <f ca="1">IRR(E255:J255)</f>
        <v>0.23987573580239263</v>
      </c>
      <c r="M255" s="188">
        <f t="shared" ref="M255:M256" ca="1" si="65">+J255/(-E255)</f>
        <v>2.9301564211544595</v>
      </c>
    </row>
    <row r="256" spans="2:13" x14ac:dyDescent="0.4">
      <c r="B256" s="4" t="s">
        <v>182</v>
      </c>
      <c r="E256" s="164">
        <f>+E255+E254</f>
        <v>-51.560962499999995</v>
      </c>
      <c r="F256" s="10">
        <v>0</v>
      </c>
      <c r="G256" s="10">
        <v>0</v>
      </c>
      <c r="H256" s="10">
        <v>0</v>
      </c>
      <c r="I256" s="10">
        <v>0</v>
      </c>
      <c r="J256" s="165">
        <f ca="1">+J249</f>
        <v>170.76168535027927</v>
      </c>
      <c r="K256" s="116"/>
      <c r="L256" s="186">
        <f ca="1">IRR(E256:J256)</f>
        <v>0.27061472299018496</v>
      </c>
      <c r="M256" s="189">
        <f t="shared" ca="1" si="65"/>
        <v>3.311840529553328</v>
      </c>
    </row>
    <row r="257" spans="5:5" x14ac:dyDescent="0.4">
      <c r="E257" s="58"/>
    </row>
  </sheetData>
  <pageMargins left="0.7" right="0.7" top="0.75" bottom="0.75" header="0.3" footer="0.3"/>
  <pageSetup scale="80" orientation="portrait" r:id="rId1"/>
  <rowBreaks count="2" manualBreakCount="2">
    <brk id="180" max="10" man="1"/>
    <brk id="193" max="10" man="1"/>
  </rowBreaks>
  <colBreaks count="1" manualBreakCount="1">
    <brk id="12" max="1048575" man="1"/>
  </col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90858-C6DC-4260-9C59-4EB597B6CFD2}">
  <dimension ref="A1:Q26"/>
  <sheetViews>
    <sheetView showGridLines="0" zoomScale="130" zoomScaleNormal="130" zoomScaleSheetLayoutView="130" workbookViewId="0"/>
  </sheetViews>
  <sheetFormatPr defaultColWidth="9.1328125" defaultRowHeight="13.15" x14ac:dyDescent="0.4"/>
  <cols>
    <col min="1" max="1" width="10" style="2" customWidth="1"/>
    <col min="2" max="2" width="25.59765625" style="2" customWidth="1"/>
    <col min="3" max="10" width="11.265625" style="2" customWidth="1"/>
    <col min="11" max="11" width="9.1328125" style="2"/>
    <col min="12" max="12" width="9.1328125" style="173"/>
    <col min="13" max="17" width="9.1328125" style="2" customWidth="1"/>
    <col min="18" max="20" width="9.1328125" style="1" customWidth="1"/>
    <col min="21" max="16384" width="9.1328125" style="1"/>
  </cols>
  <sheetData>
    <row r="1" spans="1:17" x14ac:dyDescent="0.4">
      <c r="B1" s="3"/>
    </row>
    <row r="2" spans="1:17" s="20" customFormat="1" ht="13.5" customHeight="1" x14ac:dyDescent="0.45">
      <c r="A2" s="4"/>
      <c r="B2" s="4"/>
      <c r="C2" s="4"/>
      <c r="D2" s="4"/>
      <c r="E2" s="4"/>
      <c r="F2" s="4"/>
      <c r="G2" s="4"/>
      <c r="H2" s="57"/>
      <c r="I2" s="4"/>
      <c r="J2" s="4"/>
      <c r="K2" s="4"/>
      <c r="L2" s="174"/>
      <c r="M2" s="4"/>
      <c r="N2" s="4"/>
      <c r="O2" s="4"/>
      <c r="P2" s="4"/>
      <c r="Q2" s="4"/>
    </row>
    <row r="3" spans="1:17" s="4" customFormat="1" ht="13.5" customHeight="1" x14ac:dyDescent="0.45">
      <c r="B3" s="5" t="s">
        <v>189</v>
      </c>
      <c r="C3" s="5"/>
      <c r="D3" s="5"/>
      <c r="E3" s="59"/>
      <c r="F3" s="6"/>
      <c r="G3" s="6"/>
      <c r="H3" s="6"/>
      <c r="I3" s="6"/>
      <c r="J3" s="7" t="s">
        <v>32</v>
      </c>
      <c r="L3" s="174"/>
    </row>
    <row r="4" spans="1:17" s="4" customFormat="1" ht="13.5" customHeight="1" x14ac:dyDescent="0.45">
      <c r="B4" s="8" t="s">
        <v>190</v>
      </c>
      <c r="C4" s="31">
        <f>+D4-1</f>
        <v>-2</v>
      </c>
      <c r="D4" s="31">
        <f>+E4-1</f>
        <v>-1</v>
      </c>
      <c r="E4" s="71">
        <v>0</v>
      </c>
      <c r="F4" s="31">
        <v>1</v>
      </c>
      <c r="G4" s="31">
        <f>F4+1</f>
        <v>2</v>
      </c>
      <c r="H4" s="31">
        <f>G4+1</f>
        <v>3</v>
      </c>
      <c r="I4" s="31">
        <f>H4+1</f>
        <v>4</v>
      </c>
      <c r="J4" s="31">
        <f>I4+1</f>
        <v>5</v>
      </c>
      <c r="L4" s="174"/>
    </row>
    <row r="5" spans="1:17" s="4" customFormat="1" ht="13.5" customHeight="1" x14ac:dyDescent="0.45">
      <c r="B5" s="4" t="s">
        <v>187</v>
      </c>
      <c r="C5" s="115">
        <v>4.7087064000000005</v>
      </c>
      <c r="D5" s="115">
        <v>1.4773859999999999</v>
      </c>
      <c r="E5" s="147">
        <v>6.2673300000000003</v>
      </c>
      <c r="F5" s="53">
        <f>+F6*E10</f>
        <v>11.620000000000001</v>
      </c>
      <c r="G5" s="53">
        <f>+G6*F10</f>
        <v>20.335000000000001</v>
      </c>
      <c r="H5" s="53">
        <f>+H6*G10</f>
        <v>33.806937499999997</v>
      </c>
      <c r="I5" s="53">
        <f>+I6*H10</f>
        <v>53.245926562499996</v>
      </c>
      <c r="J5" s="53">
        <f>+J6*I10</f>
        <v>79.203315761718741</v>
      </c>
      <c r="K5" s="36"/>
      <c r="L5" s="180"/>
    </row>
    <row r="6" spans="1:17" s="4" customFormat="1" ht="13.5" customHeight="1" x14ac:dyDescent="0.45">
      <c r="B6" s="50" t="s">
        <v>188</v>
      </c>
      <c r="C6" s="78"/>
      <c r="D6" s="194">
        <f>+D5/C10</f>
        <v>5.4235903083700437E-2</v>
      </c>
      <c r="E6" s="198">
        <f>+E5/D10</f>
        <v>0.47915366972477064</v>
      </c>
      <c r="F6" s="195">
        <v>0.35</v>
      </c>
      <c r="G6" s="195">
        <v>0.35</v>
      </c>
      <c r="H6" s="195">
        <v>0.35</v>
      </c>
      <c r="I6" s="195">
        <v>0.35</v>
      </c>
      <c r="J6" s="195">
        <v>0.35</v>
      </c>
      <c r="K6" s="36"/>
      <c r="L6" s="180"/>
    </row>
    <row r="7" spans="1:17" s="4" customFormat="1" ht="13.5" customHeight="1" x14ac:dyDescent="0.45">
      <c r="C7" s="154"/>
      <c r="D7" s="155"/>
      <c r="E7" s="199"/>
      <c r="F7" s="155"/>
      <c r="G7" s="155"/>
      <c r="H7" s="155"/>
      <c r="I7" s="154"/>
      <c r="J7" s="154"/>
      <c r="K7" s="36"/>
      <c r="L7" s="180"/>
    </row>
    <row r="8" spans="1:17" s="4" customFormat="1" ht="13.5" customHeight="1" x14ac:dyDescent="0.45">
      <c r="B8" s="4" t="s">
        <v>194</v>
      </c>
      <c r="C8" s="114">
        <f>+C13/C18</f>
        <v>5.7850283466388985</v>
      </c>
      <c r="D8" s="202">
        <f>+D13/D18</f>
        <v>8.8534749889331579</v>
      </c>
      <c r="E8" s="203">
        <f>+E13/E18</f>
        <v>5.2973116143557153</v>
      </c>
      <c r="F8" s="204">
        <v>5</v>
      </c>
      <c r="G8" s="204">
        <v>4.75</v>
      </c>
      <c r="H8" s="204">
        <v>4.5</v>
      </c>
      <c r="I8" s="204">
        <v>4.25</v>
      </c>
      <c r="J8" s="204">
        <v>4</v>
      </c>
      <c r="K8" s="36"/>
      <c r="L8" s="180"/>
    </row>
    <row r="9" spans="1:17" s="4" customFormat="1" ht="13.5" customHeight="1" x14ac:dyDescent="0.45">
      <c r="C9" s="193"/>
      <c r="D9" s="10"/>
      <c r="E9" s="190"/>
      <c r="F9" s="10"/>
      <c r="G9" s="10"/>
      <c r="H9" s="10"/>
      <c r="I9" s="10"/>
      <c r="J9" s="10"/>
      <c r="K9" s="36"/>
      <c r="L9" s="180"/>
    </row>
    <row r="10" spans="1:17" s="4" customFormat="1" ht="13.5" customHeight="1" x14ac:dyDescent="0.45">
      <c r="B10" s="17" t="s">
        <v>129</v>
      </c>
      <c r="C10" s="196">
        <v>27.24</v>
      </c>
      <c r="D10" s="196">
        <v>13.08</v>
      </c>
      <c r="E10" s="197">
        <v>33.200000000000003</v>
      </c>
      <c r="F10" s="138">
        <f>+F5*F8</f>
        <v>58.100000000000009</v>
      </c>
      <c r="G10" s="138">
        <f>+G5*G8</f>
        <v>96.591250000000002</v>
      </c>
      <c r="H10" s="138">
        <f>+H5*H8</f>
        <v>152.13121874999999</v>
      </c>
      <c r="I10" s="138">
        <f>+I5*I8</f>
        <v>226.29518789062499</v>
      </c>
      <c r="J10" s="138">
        <f>+J5*J8</f>
        <v>316.81326304687497</v>
      </c>
      <c r="K10" s="36"/>
      <c r="L10" s="180"/>
    </row>
    <row r="11" spans="1:17" s="4" customFormat="1" ht="13.5" customHeight="1" x14ac:dyDescent="0.45">
      <c r="B11" s="50" t="s">
        <v>127</v>
      </c>
      <c r="C11" s="136"/>
      <c r="D11" s="72">
        <f t="shared" ref="D11" si="0">D10/C10-1</f>
        <v>-0.51982378854625555</v>
      </c>
      <c r="E11" s="73">
        <f>E10/D10-1</f>
        <v>1.5382262996941898</v>
      </c>
      <c r="F11" s="72">
        <f t="shared" ref="F11:J11" si="1">F10/E10-1</f>
        <v>0.75</v>
      </c>
      <c r="G11" s="72">
        <f t="shared" si="1"/>
        <v>0.66249999999999987</v>
      </c>
      <c r="H11" s="72">
        <f t="shared" si="1"/>
        <v>0.57499999999999973</v>
      </c>
      <c r="I11" s="72">
        <f t="shared" si="1"/>
        <v>0.48750000000000004</v>
      </c>
      <c r="J11" s="72">
        <f t="shared" si="1"/>
        <v>0.39999999999999991</v>
      </c>
      <c r="K11" s="36"/>
      <c r="L11" s="180"/>
    </row>
    <row r="12" spans="1:17" s="4" customFormat="1" ht="13.5" customHeight="1" x14ac:dyDescent="0.45">
      <c r="C12" s="136"/>
      <c r="D12" s="72"/>
      <c r="E12" s="73"/>
      <c r="F12" s="10"/>
      <c r="G12" s="10"/>
      <c r="H12" s="10"/>
      <c r="I12" s="10"/>
      <c r="J12" s="10"/>
      <c r="K12" s="36"/>
      <c r="L12" s="180"/>
    </row>
    <row r="13" spans="1:17" s="4" customFormat="1" ht="13.5" customHeight="1" x14ac:dyDescent="0.45">
      <c r="B13" s="4" t="s">
        <v>186</v>
      </c>
      <c r="C13" s="10">
        <v>4150</v>
      </c>
      <c r="D13" s="10">
        <v>4150</v>
      </c>
      <c r="E13" s="190">
        <v>4150</v>
      </c>
      <c r="F13" s="10">
        <v>4150</v>
      </c>
      <c r="G13" s="10">
        <v>4150</v>
      </c>
      <c r="H13" s="10">
        <v>4150</v>
      </c>
      <c r="I13" s="10">
        <v>4150</v>
      </c>
      <c r="J13" s="10">
        <v>4150</v>
      </c>
      <c r="K13" s="36"/>
      <c r="L13" s="180"/>
    </row>
    <row r="14" spans="1:17" s="4" customFormat="1" ht="13.5" customHeight="1" x14ac:dyDescent="0.45">
      <c r="C14" s="10"/>
      <c r="D14" s="10"/>
      <c r="E14" s="190"/>
      <c r="F14" s="10"/>
      <c r="G14" s="10"/>
      <c r="H14" s="10"/>
      <c r="I14" s="10"/>
      <c r="J14" s="10"/>
      <c r="K14" s="36"/>
      <c r="L14" s="180"/>
    </row>
    <row r="15" spans="1:17" s="4" customFormat="1" ht="13.5" customHeight="1" x14ac:dyDescent="0.45">
      <c r="B15" s="4" t="s">
        <v>185</v>
      </c>
      <c r="C15" s="154">
        <f t="shared" ref="C15:J15" si="2">+C10*1000000/C13</f>
        <v>6563.8554216867469</v>
      </c>
      <c r="D15" s="154">
        <f t="shared" si="2"/>
        <v>3151.8072289156626</v>
      </c>
      <c r="E15" s="191">
        <f t="shared" si="2"/>
        <v>8000.0000000000009</v>
      </c>
      <c r="F15" s="154">
        <f t="shared" si="2"/>
        <v>14000.000000000002</v>
      </c>
      <c r="G15" s="154">
        <f t="shared" si="2"/>
        <v>23275</v>
      </c>
      <c r="H15" s="154">
        <f t="shared" si="2"/>
        <v>36658.125</v>
      </c>
      <c r="I15" s="154">
        <f t="shared" si="2"/>
        <v>54528.9609375</v>
      </c>
      <c r="J15" s="154">
        <f t="shared" si="2"/>
        <v>76340.545312499991</v>
      </c>
      <c r="K15" s="36"/>
      <c r="L15" s="180"/>
    </row>
    <row r="16" spans="1:17" s="4" customFormat="1" ht="13.5" customHeight="1" x14ac:dyDescent="0.45">
      <c r="B16" s="50" t="s">
        <v>127</v>
      </c>
      <c r="C16" s="154"/>
      <c r="D16" s="72">
        <f>+D15/C15-1</f>
        <v>-0.51982378854625555</v>
      </c>
      <c r="E16" s="73">
        <f t="shared" ref="E16:J16" si="3">+E15/D15-1</f>
        <v>1.5382262996941898</v>
      </c>
      <c r="F16" s="72">
        <f t="shared" si="3"/>
        <v>0.75</v>
      </c>
      <c r="G16" s="72">
        <f t="shared" si="3"/>
        <v>0.66249999999999987</v>
      </c>
      <c r="H16" s="72">
        <f t="shared" si="3"/>
        <v>0.57499999999999996</v>
      </c>
      <c r="I16" s="72">
        <f t="shared" si="3"/>
        <v>0.48750000000000004</v>
      </c>
      <c r="J16" s="72">
        <f t="shared" si="3"/>
        <v>0.39999999999999991</v>
      </c>
      <c r="K16" s="36"/>
      <c r="L16" s="180"/>
    </row>
    <row r="17" spans="2:12" s="4" customFormat="1" ht="13.5" customHeight="1" x14ac:dyDescent="0.45">
      <c r="C17" s="154"/>
      <c r="D17" s="154"/>
      <c r="E17" s="191"/>
      <c r="F17" s="154"/>
      <c r="G17" s="154"/>
      <c r="H17" s="154"/>
      <c r="I17" s="154"/>
      <c r="J17" s="154"/>
      <c r="K17" s="36"/>
      <c r="L17" s="180"/>
    </row>
    <row r="18" spans="2:12" s="4" customFormat="1" ht="13.5" customHeight="1" x14ac:dyDescent="0.45">
      <c r="B18" s="17" t="s">
        <v>192</v>
      </c>
      <c r="C18" s="192">
        <f t="shared" ref="C18:J18" si="4">+C5*1000000/C15</f>
        <v>717.36900000000003</v>
      </c>
      <c r="D18" s="192">
        <f t="shared" si="4"/>
        <v>468.74249999999995</v>
      </c>
      <c r="E18" s="158">
        <f t="shared" si="4"/>
        <v>783.41624999999988</v>
      </c>
      <c r="F18" s="192">
        <f t="shared" si="4"/>
        <v>830</v>
      </c>
      <c r="G18" s="192">
        <f t="shared" si="4"/>
        <v>873.68421052631584</v>
      </c>
      <c r="H18" s="192">
        <f t="shared" si="4"/>
        <v>922.22222222222217</v>
      </c>
      <c r="I18" s="192">
        <f t="shared" si="4"/>
        <v>976.47058823529403</v>
      </c>
      <c r="J18" s="192">
        <f t="shared" si="4"/>
        <v>1037.5</v>
      </c>
      <c r="K18" s="36"/>
      <c r="L18" s="180"/>
    </row>
    <row r="19" spans="2:12" s="4" customFormat="1" ht="13.5" customHeight="1" x14ac:dyDescent="0.45">
      <c r="B19" s="50" t="s">
        <v>127</v>
      </c>
      <c r="C19" s="81"/>
      <c r="D19" s="72">
        <f>+D18/C18-1</f>
        <v>-0.34658104824713654</v>
      </c>
      <c r="E19" s="73">
        <f t="shared" ref="E19:J19" si="5">+E18/D18-1</f>
        <v>0.67131474103585642</v>
      </c>
      <c r="F19" s="72">
        <f t="shared" si="5"/>
        <v>5.9462322871143058E-2</v>
      </c>
      <c r="G19" s="72">
        <f t="shared" si="5"/>
        <v>5.2631578947368585E-2</v>
      </c>
      <c r="H19" s="72">
        <f t="shared" si="5"/>
        <v>5.5555555555555358E-2</v>
      </c>
      <c r="I19" s="72">
        <f t="shared" si="5"/>
        <v>5.8823529411764719E-2</v>
      </c>
      <c r="J19" s="72">
        <f t="shared" si="5"/>
        <v>6.25E-2</v>
      </c>
      <c r="K19" s="36"/>
      <c r="L19" s="180"/>
    </row>
    <row r="20" spans="2:12" s="4" customFormat="1" ht="13.5" customHeight="1" x14ac:dyDescent="0.45">
      <c r="B20" s="200" t="s">
        <v>193</v>
      </c>
      <c r="E20" s="64"/>
      <c r="K20" s="36"/>
      <c r="L20" s="180"/>
    </row>
    <row r="23" spans="2:12" x14ac:dyDescent="0.4">
      <c r="F23" s="72"/>
    </row>
    <row r="26" spans="2:12" x14ac:dyDescent="0.4">
      <c r="F26" s="72"/>
      <c r="G26" s="72"/>
      <c r="H26" s="72"/>
      <c r="I26" s="72"/>
      <c r="J26" s="72"/>
    </row>
  </sheetData>
  <pageMargins left="0.7" right="0.7" top="0.75" bottom="0.75" header="0.3" footer="0.3"/>
  <pageSetup scale="80" orientation="portrait" r:id="rId1"/>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Start -&gt;</vt:lpstr>
      <vt:lpstr>Model - Start</vt:lpstr>
      <vt:lpstr>End -&gt;</vt:lpstr>
      <vt:lpstr>Model - End</vt:lpstr>
      <vt:lpstr>Revenue Build - End</vt:lpstr>
      <vt:lpstr>'Model - End'!Print_Area</vt:lpstr>
      <vt:lpstr>'Model - Start'!Print_Area</vt:lpstr>
      <vt:lpstr>'Revenue Build - End'!Print_Area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mhinckley</dc:creator>
  <cp:lastModifiedBy>mhinckley</cp:lastModifiedBy>
  <dcterms:created xsi:type="dcterms:W3CDTF">2021-01-06T16:29:03Z</dcterms:created>
  <dcterms:modified xsi:type="dcterms:W3CDTF">2023-07-26T17:53:19Z</dcterms:modified>
</cp:coreProperties>
</file>