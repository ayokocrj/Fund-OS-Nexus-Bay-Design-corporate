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8_{DE75F2E2-7248-4E85-84E0-BBEDF421C61D}" xr6:coauthVersionLast="47" xr6:coauthVersionMax="47" xr10:uidLastSave="{00000000-0000-0000-0000-000000000000}"/>
  <bookViews>
    <workbookView xWindow="0" yWindow="0" windowWidth="22845" windowHeight="14243" firstSheet="4" activeTab="4" xr2:uid="{149DA278-98FA-47F8-A916-DD05CF127C47}"/>
  </bookViews>
  <sheets>
    <sheet name="Start -&gt;" sheetId="57" state="hidden" r:id="rId1"/>
    <sheet name="Model - Start" sheetId="59" state="hidden" r:id="rId2"/>
    <sheet name="Revenue Build - Start" sheetId="61" state="hidden" r:id="rId3"/>
    <sheet name="End -&gt;" sheetId="43" state="hidden" r:id="rId4"/>
    <sheet name="Model - End" sheetId="54" r:id="rId5"/>
    <sheet name="Revenue Build - End" sheetId="55" r:id="rId6"/>
  </sheets>
  <definedNames>
    <definedName name="_xlnm.Print_Area" localSheetId="4">'Model - End'!$A$1:$K$185</definedName>
    <definedName name="_xlnm.Print_Area" localSheetId="1">'Model - Start'!$A$1:$K$42</definedName>
    <definedName name="_xlnm.Print_Area" localSheetId="5">'Revenue Build - End'!$A$1:$K$70</definedName>
    <definedName name="_xlnm.Print_Area" localSheetId="2">'Revenue Build - Start'!$A$1:$K$47</definedName>
  </definedNames>
  <calcPr calcId="191029" calcMode="autoNoTable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0" i="54" l="1"/>
  <c r="J175" i="54"/>
  <c r="E15" i="59"/>
  <c r="D15" i="59"/>
  <c r="C15" i="59"/>
  <c r="E8" i="61"/>
  <c r="D8" i="61"/>
  <c r="C8" i="61"/>
  <c r="C4" i="61"/>
  <c r="C5" i="61" s="1"/>
  <c r="C66" i="55"/>
  <c r="C43" i="55"/>
  <c r="E40" i="61"/>
  <c r="D40" i="61"/>
  <c r="C40" i="61"/>
  <c r="D32" i="61"/>
  <c r="D45" i="61" s="1"/>
  <c r="G30" i="61"/>
  <c r="H30" i="61" s="1"/>
  <c r="I30" i="61" s="1"/>
  <c r="J30" i="61" s="1"/>
  <c r="D30" i="61"/>
  <c r="C30" i="61" s="1"/>
  <c r="E22" i="61"/>
  <c r="D22" i="61"/>
  <c r="C22" i="61"/>
  <c r="D25" i="61" s="1"/>
  <c r="D15" i="61" s="1"/>
  <c r="D14" i="61"/>
  <c r="D27" i="61" s="1"/>
  <c r="G12" i="61"/>
  <c r="H12" i="61" s="1"/>
  <c r="I12" i="61" s="1"/>
  <c r="J12" i="61" s="1"/>
  <c r="D12" i="61"/>
  <c r="C12" i="61" s="1"/>
  <c r="G3" i="61"/>
  <c r="H3" i="61" s="1"/>
  <c r="I3" i="61" s="1"/>
  <c r="J3" i="61" s="1"/>
  <c r="D3" i="61"/>
  <c r="C3" i="61" s="1"/>
  <c r="E40" i="59"/>
  <c r="E35" i="59"/>
  <c r="E29" i="59"/>
  <c r="G22" i="59"/>
  <c r="H22" i="59" s="1"/>
  <c r="I22" i="59" s="1"/>
  <c r="J22" i="59" s="1"/>
  <c r="C8" i="59"/>
  <c r="G3" i="59"/>
  <c r="H3" i="59" s="1"/>
  <c r="I3" i="59" s="1"/>
  <c r="J3" i="59" s="1"/>
  <c r="D3" i="59"/>
  <c r="C3" i="59" s="1"/>
  <c r="E66" i="54"/>
  <c r="D66" i="54"/>
  <c r="I65" i="54"/>
  <c r="H65" i="54"/>
  <c r="G65" i="54"/>
  <c r="F65" i="54"/>
  <c r="E65" i="54"/>
  <c r="D65" i="54"/>
  <c r="C66" i="54"/>
  <c r="C65" i="54"/>
  <c r="B74" i="54"/>
  <c r="G168" i="54"/>
  <c r="H168" i="54" s="1"/>
  <c r="I168" i="54" s="1"/>
  <c r="J168" i="54" s="1"/>
  <c r="B174" i="54"/>
  <c r="E34" i="54"/>
  <c r="C117" i="54"/>
  <c r="E100" i="54"/>
  <c r="F100" i="54" s="1"/>
  <c r="C101" i="54"/>
  <c r="I37" i="54"/>
  <c r="B75" i="54"/>
  <c r="B73" i="54"/>
  <c r="B72" i="54"/>
  <c r="B71" i="54"/>
  <c r="F56" i="55"/>
  <c r="F66" i="54" s="1"/>
  <c r="E14" i="55"/>
  <c r="D14" i="55"/>
  <c r="F13" i="55"/>
  <c r="G13" i="55" s="1"/>
  <c r="H13" i="55" s="1"/>
  <c r="I13" i="55" s="1"/>
  <c r="J13" i="55" s="1"/>
  <c r="C5" i="55"/>
  <c r="C4" i="55"/>
  <c r="G48" i="55"/>
  <c r="H48" i="55" s="1"/>
  <c r="I48" i="55" s="1"/>
  <c r="J48" i="55" s="1"/>
  <c r="D48" i="55"/>
  <c r="C48" i="55" s="1"/>
  <c r="G3" i="55"/>
  <c r="H3" i="55" s="1"/>
  <c r="D3" i="55"/>
  <c r="C3" i="55" s="1"/>
  <c r="E62" i="55"/>
  <c r="D62" i="55"/>
  <c r="E66" i="55" s="1"/>
  <c r="C62" i="55"/>
  <c r="E60" i="55"/>
  <c r="D60" i="55"/>
  <c r="F59" i="55"/>
  <c r="G59" i="55" s="1"/>
  <c r="H59" i="55" s="1"/>
  <c r="I59" i="55" s="1"/>
  <c r="J59" i="55" s="1"/>
  <c r="E57" i="55"/>
  <c r="D57" i="55"/>
  <c r="D50" i="55"/>
  <c r="D52" i="55" s="1"/>
  <c r="E39" i="55"/>
  <c r="D39" i="55"/>
  <c r="E43" i="55" s="1"/>
  <c r="C39" i="55"/>
  <c r="F36" i="55"/>
  <c r="G36" i="55" s="1"/>
  <c r="H36" i="55" s="1"/>
  <c r="I36" i="55" s="1"/>
  <c r="J36" i="55" s="1"/>
  <c r="E37" i="55"/>
  <c r="D37" i="55"/>
  <c r="F33" i="55"/>
  <c r="G33" i="55" s="1"/>
  <c r="H33" i="55" s="1"/>
  <c r="I33" i="55" s="1"/>
  <c r="J33" i="55" s="1"/>
  <c r="J65" i="54" s="1"/>
  <c r="E34" i="55"/>
  <c r="D34" i="55"/>
  <c r="D27" i="55"/>
  <c r="D29" i="55" s="1"/>
  <c r="G25" i="55"/>
  <c r="H25" i="55" s="1"/>
  <c r="I25" i="55" s="1"/>
  <c r="J25" i="55" s="1"/>
  <c r="D25" i="55"/>
  <c r="C25" i="55" s="1"/>
  <c r="I36" i="54"/>
  <c r="I35" i="54"/>
  <c r="G157" i="54"/>
  <c r="H157" i="54" s="1"/>
  <c r="I157" i="54" s="1"/>
  <c r="J157" i="54" s="1"/>
  <c r="G141" i="54"/>
  <c r="H141" i="54" s="1"/>
  <c r="I141" i="54" s="1"/>
  <c r="J141" i="54" s="1"/>
  <c r="G120" i="54"/>
  <c r="H120" i="54" s="1"/>
  <c r="I120" i="54" s="1"/>
  <c r="J120" i="54" s="1"/>
  <c r="G45" i="54"/>
  <c r="H45" i="54" s="1"/>
  <c r="I45" i="54" s="1"/>
  <c r="J45" i="54" s="1"/>
  <c r="D45" i="54"/>
  <c r="C45" i="54" s="1"/>
  <c r="D105" i="54"/>
  <c r="E105" i="54" s="1"/>
  <c r="E134" i="54" s="1"/>
  <c r="E99" i="54"/>
  <c r="E124" i="54" s="1"/>
  <c r="F121" i="54" s="1"/>
  <c r="E98" i="54"/>
  <c r="F98" i="54" s="1"/>
  <c r="G98" i="54" s="1"/>
  <c r="H98" i="54" s="1"/>
  <c r="I98" i="54" s="1"/>
  <c r="J98" i="54" s="1"/>
  <c r="G94" i="54"/>
  <c r="H94" i="54" s="1"/>
  <c r="I94" i="54" s="1"/>
  <c r="J94" i="54" s="1"/>
  <c r="D18" i="54"/>
  <c r="D12" i="54"/>
  <c r="J22" i="54" s="1"/>
  <c r="C9" i="54"/>
  <c r="E95" i="54" s="1"/>
  <c r="D95" i="54" s="1"/>
  <c r="C8" i="54"/>
  <c r="D43" i="61" l="1"/>
  <c r="D33" i="61" s="1"/>
  <c r="D35" i="61" s="1"/>
  <c r="E43" i="61"/>
  <c r="E33" i="61" s="1"/>
  <c r="C25" i="61"/>
  <c r="C43" i="61"/>
  <c r="E25" i="61"/>
  <c r="E15" i="61" s="1"/>
  <c r="D17" i="61"/>
  <c r="E5" i="59"/>
  <c r="D8" i="59"/>
  <c r="D5" i="59"/>
  <c r="E8" i="59"/>
  <c r="C11" i="59"/>
  <c r="G100" i="54"/>
  <c r="H100" i="54" s="1"/>
  <c r="I100" i="54" s="1"/>
  <c r="J100" i="54" s="1"/>
  <c r="J20" i="54"/>
  <c r="H31" i="54" s="1"/>
  <c r="D43" i="55"/>
  <c r="D28" i="55" s="1"/>
  <c r="D30" i="55" s="1"/>
  <c r="D66" i="55"/>
  <c r="D51" i="55" s="1"/>
  <c r="D53" i="55" s="1"/>
  <c r="D54" i="55" s="1"/>
  <c r="C6" i="55"/>
  <c r="C9" i="55"/>
  <c r="C11" i="55" s="1"/>
  <c r="C16" i="55" s="1"/>
  <c r="C21" i="55" s="1"/>
  <c r="C46" i="54" s="1"/>
  <c r="C49" i="54" s="1"/>
  <c r="E51" i="55"/>
  <c r="I3" i="55"/>
  <c r="J39" i="55"/>
  <c r="F62" i="55"/>
  <c r="G56" i="55"/>
  <c r="G66" i="54" s="1"/>
  <c r="E28" i="55"/>
  <c r="F39" i="55"/>
  <c r="G39" i="55"/>
  <c r="H39" i="55"/>
  <c r="I39" i="55"/>
  <c r="F132" i="54"/>
  <c r="E39" i="54"/>
  <c r="F33" i="54" s="1"/>
  <c r="D97" i="54"/>
  <c r="E97" i="54" s="1"/>
  <c r="E130" i="54" s="1"/>
  <c r="D4" i="61" l="1"/>
  <c r="D5" i="61" s="1"/>
  <c r="E32" i="61"/>
  <c r="E45" i="61" s="1"/>
  <c r="D36" i="61"/>
  <c r="D18" i="61"/>
  <c r="E14" i="61"/>
  <c r="E27" i="61" s="1"/>
  <c r="C17" i="59"/>
  <c r="D11" i="59"/>
  <c r="E38" i="59"/>
  <c r="E39" i="59"/>
  <c r="C50" i="54"/>
  <c r="C67" i="54" s="1"/>
  <c r="D106" i="54"/>
  <c r="I43" i="55"/>
  <c r="I28" i="55" s="1"/>
  <c r="J43" i="55"/>
  <c r="J28" i="55" s="1"/>
  <c r="H43" i="55"/>
  <c r="H28" i="55" s="1"/>
  <c r="G43" i="55"/>
  <c r="G28" i="55" s="1"/>
  <c r="F66" i="55"/>
  <c r="F51" i="55" s="1"/>
  <c r="F43" i="55"/>
  <c r="F28" i="55" s="1"/>
  <c r="D4" i="55"/>
  <c r="D31" i="55"/>
  <c r="D5" i="55"/>
  <c r="E27" i="55"/>
  <c r="E29" i="55" s="1"/>
  <c r="J3" i="55"/>
  <c r="E50" i="55"/>
  <c r="E52" i="55" s="1"/>
  <c r="G62" i="55"/>
  <c r="G66" i="55" s="1"/>
  <c r="H56" i="55"/>
  <c r="H66" i="54" s="1"/>
  <c r="E96" i="54"/>
  <c r="F37" i="54"/>
  <c r="F34" i="54"/>
  <c r="F36" i="54"/>
  <c r="F128" i="54"/>
  <c r="E129" i="54"/>
  <c r="F38" i="54"/>
  <c r="F32" i="54"/>
  <c r="F39" i="54"/>
  <c r="F31" i="54"/>
  <c r="F35" i="54"/>
  <c r="E35" i="61" l="1"/>
  <c r="E17" i="61"/>
  <c r="E4" i="61" s="1"/>
  <c r="E5" i="61" s="1"/>
  <c r="E36" i="61"/>
  <c r="C19" i="59"/>
  <c r="E11" i="59"/>
  <c r="D17" i="59"/>
  <c r="E17" i="59"/>
  <c r="C63" i="54"/>
  <c r="C55" i="54"/>
  <c r="C64" i="54"/>
  <c r="C57" i="54"/>
  <c r="C74" i="54"/>
  <c r="C73" i="54"/>
  <c r="D6" i="55"/>
  <c r="D9" i="55"/>
  <c r="D11" i="55" s="1"/>
  <c r="D16" i="55" s="1"/>
  <c r="D21" i="55" s="1"/>
  <c r="E30" i="55"/>
  <c r="E53" i="55"/>
  <c r="E54" i="55" s="1"/>
  <c r="H62" i="55"/>
  <c r="I56" i="55"/>
  <c r="I66" i="54" s="1"/>
  <c r="G51" i="55"/>
  <c r="C68" i="54"/>
  <c r="I129" i="54"/>
  <c r="H129" i="54"/>
  <c r="G129" i="54"/>
  <c r="F129" i="54"/>
  <c r="F130" i="54" s="1"/>
  <c r="J129" i="54"/>
  <c r="E18" i="61" l="1"/>
  <c r="D19" i="59"/>
  <c r="E19" i="59"/>
  <c r="D22" i="55"/>
  <c r="D46" i="54"/>
  <c r="C76" i="54"/>
  <c r="D17" i="55"/>
  <c r="H66" i="55"/>
  <c r="H51" i="55" s="1"/>
  <c r="E5" i="55"/>
  <c r="E4" i="55"/>
  <c r="E31" i="55"/>
  <c r="F27" i="55"/>
  <c r="F29" i="55" s="1"/>
  <c r="F50" i="55"/>
  <c r="F52" i="55" s="1"/>
  <c r="F53" i="55" s="1"/>
  <c r="F54" i="55" s="1"/>
  <c r="I62" i="55"/>
  <c r="I66" i="55" s="1"/>
  <c r="J56" i="55"/>
  <c r="E104" i="54"/>
  <c r="G128" i="54"/>
  <c r="G130" i="54" s="1"/>
  <c r="F97" i="54"/>
  <c r="F83" i="54"/>
  <c r="F144" i="54"/>
  <c r="J144" i="54"/>
  <c r="J83" i="54"/>
  <c r="G83" i="54"/>
  <c r="G144" i="54"/>
  <c r="H83" i="54"/>
  <c r="H144" i="54"/>
  <c r="I144" i="54"/>
  <c r="I83" i="54"/>
  <c r="J62" i="55" l="1"/>
  <c r="J66" i="54"/>
  <c r="D47" i="54"/>
  <c r="D49" i="54"/>
  <c r="D50" i="54" s="1"/>
  <c r="I51" i="55"/>
  <c r="J66" i="55"/>
  <c r="J51" i="55" s="1"/>
  <c r="E6" i="55"/>
  <c r="F5" i="55"/>
  <c r="E9" i="55"/>
  <c r="E11" i="55" s="1"/>
  <c r="E16" i="55" s="1"/>
  <c r="E21" i="55" s="1"/>
  <c r="F30" i="55"/>
  <c r="G50" i="55"/>
  <c r="E106" i="54"/>
  <c r="E103" i="54"/>
  <c r="E117" i="54" s="1"/>
  <c r="C107" i="54"/>
  <c r="E101" i="54"/>
  <c r="G97" i="54"/>
  <c r="H128" i="54"/>
  <c r="H130" i="54" s="1"/>
  <c r="D73" i="54" l="1"/>
  <c r="D74" i="54"/>
  <c r="D64" i="54"/>
  <c r="D63" i="54"/>
  <c r="D67" i="54"/>
  <c r="D51" i="54"/>
  <c r="D57" i="54"/>
  <c r="D55" i="54"/>
  <c r="E22" i="55"/>
  <c r="E46" i="54"/>
  <c r="E17" i="55"/>
  <c r="F4" i="55"/>
  <c r="F6" i="55" s="1"/>
  <c r="F31" i="55"/>
  <c r="G27" i="55"/>
  <c r="G29" i="55" s="1"/>
  <c r="G52" i="55"/>
  <c r="G53" i="55" s="1"/>
  <c r="G54" i="55" s="1"/>
  <c r="E107" i="54"/>
  <c r="C108" i="54"/>
  <c r="H97" i="54"/>
  <c r="I128" i="54"/>
  <c r="I130" i="54" s="1"/>
  <c r="D68" i="54" l="1"/>
  <c r="D76" i="54" s="1"/>
  <c r="E49" i="54"/>
  <c r="E50" i="54" s="1"/>
  <c r="E47" i="54"/>
  <c r="F9" i="55"/>
  <c r="F11" i="55" s="1"/>
  <c r="F16" i="55" s="1"/>
  <c r="F21" i="55" s="1"/>
  <c r="G5" i="55"/>
  <c r="G30" i="55"/>
  <c r="H50" i="55"/>
  <c r="H52" i="55" s="1"/>
  <c r="H53" i="55" s="1"/>
  <c r="H54" i="55" s="1"/>
  <c r="E108" i="54"/>
  <c r="I97" i="54"/>
  <c r="J128" i="54"/>
  <c r="J130" i="54" s="1"/>
  <c r="J97" i="54" s="1"/>
  <c r="C115" i="54" l="1"/>
  <c r="E73" i="54"/>
  <c r="E74" i="54"/>
  <c r="E55" i="54"/>
  <c r="E64" i="54"/>
  <c r="E51" i="54"/>
  <c r="E57" i="54"/>
  <c r="C116" i="54" s="1"/>
  <c r="E63" i="54"/>
  <c r="E68" i="54" s="1"/>
  <c r="E76" i="54" s="1"/>
  <c r="E67" i="54"/>
  <c r="F22" i="55"/>
  <c r="F46" i="54"/>
  <c r="F17" i="55"/>
  <c r="H5" i="55"/>
  <c r="H27" i="55"/>
  <c r="H29" i="55" s="1"/>
  <c r="G31" i="55"/>
  <c r="G4" i="55"/>
  <c r="G9" i="55" s="1"/>
  <c r="G11" i="55" s="1"/>
  <c r="G16" i="55" s="1"/>
  <c r="G21" i="55" s="1"/>
  <c r="I50" i="55"/>
  <c r="I52" i="55" s="1"/>
  <c r="I53" i="55" s="1"/>
  <c r="I54" i="55" s="1"/>
  <c r="G22" i="55" l="1"/>
  <c r="G46" i="54"/>
  <c r="F47" i="54"/>
  <c r="F49" i="54"/>
  <c r="F50" i="54" s="1"/>
  <c r="H30" i="55"/>
  <c r="H31" i="55" s="1"/>
  <c r="I5" i="55"/>
  <c r="G6" i="55"/>
  <c r="G17" i="55"/>
  <c r="J50" i="55"/>
  <c r="J52" i="55" s="1"/>
  <c r="J53" i="55" s="1"/>
  <c r="J54" i="55" s="1"/>
  <c r="G49" i="54"/>
  <c r="G50" i="54" s="1"/>
  <c r="G47" i="54"/>
  <c r="G73" i="54" l="1"/>
  <c r="G74" i="54"/>
  <c r="F74" i="54"/>
  <c r="F73" i="54"/>
  <c r="F96" i="54"/>
  <c r="F64" i="54"/>
  <c r="F63" i="54"/>
  <c r="F67" i="54"/>
  <c r="F55" i="54"/>
  <c r="F51" i="54"/>
  <c r="F57" i="54"/>
  <c r="F103" i="54" s="1"/>
  <c r="F117" i="54" s="1"/>
  <c r="F81" i="54"/>
  <c r="I27" i="55"/>
  <c r="I29" i="55" s="1"/>
  <c r="I30" i="55" s="1"/>
  <c r="I31" i="55" s="1"/>
  <c r="H4" i="55"/>
  <c r="H9" i="55" s="1"/>
  <c r="H11" i="55" s="1"/>
  <c r="H16" i="55" s="1"/>
  <c r="H21" i="55" s="1"/>
  <c r="H46" i="54" s="1"/>
  <c r="J5" i="55"/>
  <c r="G96" i="54"/>
  <c r="F68" i="54" l="1"/>
  <c r="F76" i="54" s="1"/>
  <c r="G57" i="54"/>
  <c r="G103" i="54" s="1"/>
  <c r="G117" i="54" s="1"/>
  <c r="H6" i="55"/>
  <c r="H17" i="55"/>
  <c r="H22" i="55"/>
  <c r="I4" i="55"/>
  <c r="J27" i="55"/>
  <c r="G51" i="54"/>
  <c r="G55" i="54"/>
  <c r="G64" i="54"/>
  <c r="G67" i="54"/>
  <c r="G63" i="54"/>
  <c r="J29" i="55" l="1"/>
  <c r="J30" i="55" s="1"/>
  <c r="I9" i="55"/>
  <c r="I11" i="55" s="1"/>
  <c r="I16" i="55" s="1"/>
  <c r="I21" i="55" s="1"/>
  <c r="I46" i="54" s="1"/>
  <c r="I6" i="55"/>
  <c r="G68" i="54"/>
  <c r="G76" i="54" l="1"/>
  <c r="J4" i="55"/>
  <c r="J6" i="55" s="1"/>
  <c r="J31" i="55"/>
  <c r="I17" i="55"/>
  <c r="I22" i="55"/>
  <c r="H47" i="54"/>
  <c r="H49" i="54"/>
  <c r="H50" i="54" s="1"/>
  <c r="H73" i="54" l="1"/>
  <c r="H74" i="54"/>
  <c r="J9" i="55"/>
  <c r="J11" i="55" s="1"/>
  <c r="J16" i="55" s="1"/>
  <c r="J21" i="55" s="1"/>
  <c r="H96" i="54"/>
  <c r="J22" i="55" l="1"/>
  <c r="J46" i="54"/>
  <c r="H57" i="54"/>
  <c r="H103" i="54" s="1"/>
  <c r="H117" i="54" s="1"/>
  <c r="J17" i="55"/>
  <c r="H67" i="54"/>
  <c r="H64" i="54"/>
  <c r="H63" i="54"/>
  <c r="H68" i="54" l="1"/>
  <c r="H76" i="54" l="1"/>
  <c r="I47" i="54"/>
  <c r="I49" i="54"/>
  <c r="I50" i="54" s="1"/>
  <c r="G81" i="54"/>
  <c r="G122" i="54"/>
  <c r="G145" i="54" s="1"/>
  <c r="I73" i="54" l="1"/>
  <c r="I74" i="54"/>
  <c r="I96" i="54"/>
  <c r="G143" i="54"/>
  <c r="G123" i="54"/>
  <c r="F143" i="54"/>
  <c r="F123" i="54"/>
  <c r="I57" i="54" l="1"/>
  <c r="I103" i="54" s="1"/>
  <c r="I117" i="54" s="1"/>
  <c r="I64" i="54"/>
  <c r="I63" i="54"/>
  <c r="I67" i="54"/>
  <c r="I68" i="54" l="1"/>
  <c r="J47" i="54"/>
  <c r="J49" i="54"/>
  <c r="J50" i="54" s="1"/>
  <c r="J73" i="54" l="1"/>
  <c r="J74" i="54"/>
  <c r="I76" i="54"/>
  <c r="J96" i="54" l="1"/>
  <c r="J64" i="54"/>
  <c r="J57" i="54"/>
  <c r="J103" i="54" s="1"/>
  <c r="J63" i="54"/>
  <c r="J67" i="54"/>
  <c r="J117" i="54" l="1"/>
  <c r="J68" i="54"/>
  <c r="H55" i="54"/>
  <c r="I55" i="54"/>
  <c r="J55" i="54"/>
  <c r="H51" i="54"/>
  <c r="I51" i="54"/>
  <c r="J51" i="54"/>
  <c r="H81" i="54"/>
  <c r="I81" i="54"/>
  <c r="I143" i="54" s="1"/>
  <c r="J81" i="54"/>
  <c r="H122" i="54"/>
  <c r="H145" i="54" s="1"/>
  <c r="I122" i="54"/>
  <c r="I145" i="54" s="1"/>
  <c r="J122" i="54"/>
  <c r="J145" i="54" s="1"/>
  <c r="J76" i="54" l="1"/>
  <c r="I123" i="54"/>
  <c r="J143" i="54"/>
  <c r="J123" i="54"/>
  <c r="H123" i="54"/>
  <c r="H143" i="54"/>
  <c r="C60" i="54" l="1"/>
  <c r="C78" i="54" s="1"/>
  <c r="C61" i="54" l="1"/>
  <c r="D60" i="54"/>
  <c r="D78" i="54" s="1"/>
  <c r="E60" i="54"/>
  <c r="E78" i="54" s="1"/>
  <c r="F60" i="54"/>
  <c r="F78" i="54" s="1"/>
  <c r="G60" i="54"/>
  <c r="G78" i="54" s="1"/>
  <c r="H60" i="54"/>
  <c r="H78" i="54" s="1"/>
  <c r="I60" i="54"/>
  <c r="I78" i="54" s="1"/>
  <c r="J60" i="54"/>
  <c r="J78" i="54" s="1"/>
  <c r="J158" i="54" s="1"/>
  <c r="J160" i="54" s="1"/>
  <c r="C5" i="54" l="1"/>
  <c r="C7" i="54" s="1"/>
  <c r="C10" i="54" s="1"/>
  <c r="D41" i="54" s="1"/>
  <c r="E111" i="54"/>
  <c r="H79" i="54"/>
  <c r="F61" i="54"/>
  <c r="E61" i="54"/>
  <c r="D61" i="54"/>
  <c r="J61" i="54"/>
  <c r="H61" i="54"/>
  <c r="I61" i="54"/>
  <c r="G61" i="54"/>
  <c r="D7" i="54" l="1"/>
  <c r="D10" i="54" s="1"/>
  <c r="D11" i="54"/>
  <c r="J21" i="54" s="1"/>
  <c r="H33" i="54" s="1"/>
  <c r="F79" i="54"/>
  <c r="I79" i="54"/>
  <c r="D13" i="54" l="1"/>
  <c r="G79" i="54"/>
  <c r="J79" i="54"/>
  <c r="D79" i="54"/>
  <c r="C79" i="54"/>
  <c r="H41" i="54"/>
  <c r="H37" i="54" s="1"/>
  <c r="E79" i="54" l="1"/>
  <c r="E112" i="54"/>
  <c r="I31" i="54"/>
  <c r="H35" i="54"/>
  <c r="H36" i="54"/>
  <c r="D31" i="54"/>
  <c r="D38" i="54"/>
  <c r="D37" i="54"/>
  <c r="D36" i="54"/>
  <c r="D35" i="54"/>
  <c r="D32" i="54"/>
  <c r="D34" i="54" l="1"/>
  <c r="D39" i="54" s="1"/>
  <c r="H32" i="54"/>
  <c r="J19" i="54"/>
  <c r="D19" i="54" s="1"/>
  <c r="J18" i="54"/>
  <c r="H34" i="54" l="1"/>
  <c r="J24" i="54"/>
  <c r="D20" i="54" s="1"/>
  <c r="E180" i="54" s="1"/>
  <c r="I32" i="54"/>
  <c r="I34" i="54" s="1"/>
  <c r="D24" i="54" l="1"/>
  <c r="D25" i="54" s="1"/>
  <c r="D26" i="54"/>
  <c r="H39" i="54"/>
  <c r="I38" i="54" l="1"/>
  <c r="I39" i="54" s="1"/>
  <c r="J33" i="54" s="1"/>
  <c r="J37" i="54" l="1"/>
  <c r="J34" i="54"/>
  <c r="J39" i="54"/>
  <c r="J36" i="54"/>
  <c r="J35" i="54"/>
  <c r="J31" i="54"/>
  <c r="J32" i="54"/>
  <c r="J164" i="54"/>
  <c r="J38" i="54"/>
  <c r="E179" i="54" l="1"/>
  <c r="F122" i="54"/>
  <c r="F124" i="54" s="1"/>
  <c r="J172" i="54" l="1"/>
  <c r="F99" i="54"/>
  <c r="G121" i="54"/>
  <c r="G124" i="54" s="1"/>
  <c r="F145" i="54"/>
  <c r="G99" i="54" l="1"/>
  <c r="H121" i="54"/>
  <c r="H124" i="54" s="1"/>
  <c r="H99" i="54" l="1"/>
  <c r="I121" i="54"/>
  <c r="I124" i="54" s="1"/>
  <c r="J121" i="54" l="1"/>
  <c r="J124" i="54" s="1"/>
  <c r="J99" i="54" s="1"/>
  <c r="I99" i="54"/>
  <c r="F146" i="54"/>
  <c r="H146" i="54" l="1"/>
  <c r="J146" i="54"/>
  <c r="G146" i="54"/>
  <c r="I146" i="54"/>
  <c r="F82" i="54" l="1"/>
  <c r="G82" i="54"/>
  <c r="H82" i="54"/>
  <c r="I82" i="54"/>
  <c r="J82" i="54"/>
  <c r="F84" i="54"/>
  <c r="G84" i="54"/>
  <c r="H84" i="54"/>
  <c r="I84" i="54"/>
  <c r="J84" i="54"/>
  <c r="F85" i="54"/>
  <c r="G85" i="54"/>
  <c r="H85" i="54"/>
  <c r="I85" i="54"/>
  <c r="J85" i="54"/>
  <c r="F87" i="54"/>
  <c r="G87" i="54"/>
  <c r="H87" i="54"/>
  <c r="I87" i="54"/>
  <c r="J87" i="54"/>
  <c r="F90" i="54"/>
  <c r="G90" i="54"/>
  <c r="H90" i="54"/>
  <c r="I90" i="54"/>
  <c r="J90" i="54"/>
  <c r="F91" i="54"/>
  <c r="G91" i="54"/>
  <c r="H91" i="54"/>
  <c r="I91" i="54"/>
  <c r="J91" i="54"/>
  <c r="F95" i="54"/>
  <c r="G95" i="54"/>
  <c r="H95" i="54"/>
  <c r="I95" i="54"/>
  <c r="J95" i="54"/>
  <c r="F101" i="54"/>
  <c r="G101" i="54"/>
  <c r="H101" i="54"/>
  <c r="I101" i="54"/>
  <c r="J101" i="54"/>
  <c r="F105" i="54"/>
  <c r="G105" i="54"/>
  <c r="H105" i="54"/>
  <c r="I105" i="54"/>
  <c r="J105" i="54"/>
  <c r="F106" i="54"/>
  <c r="G106" i="54"/>
  <c r="H106" i="54"/>
  <c r="I106" i="54"/>
  <c r="J106" i="54"/>
  <c r="F107" i="54"/>
  <c r="G107" i="54"/>
  <c r="H107" i="54"/>
  <c r="I107" i="54"/>
  <c r="J107" i="54"/>
  <c r="F108" i="54"/>
  <c r="G108" i="54"/>
  <c r="H108" i="54"/>
  <c r="I108" i="54"/>
  <c r="J108" i="54"/>
  <c r="F111" i="54"/>
  <c r="G111" i="54"/>
  <c r="H111" i="54"/>
  <c r="I111" i="54"/>
  <c r="J111" i="54"/>
  <c r="F112" i="54"/>
  <c r="G112" i="54"/>
  <c r="H112" i="54"/>
  <c r="I112" i="54"/>
  <c r="J112" i="54"/>
  <c r="G132" i="54"/>
  <c r="H132" i="54"/>
  <c r="I132" i="54"/>
  <c r="J132" i="54"/>
  <c r="F133" i="54"/>
  <c r="G133" i="54"/>
  <c r="H133" i="54"/>
  <c r="I133" i="54"/>
  <c r="J133" i="54"/>
  <c r="F134" i="54"/>
  <c r="G134" i="54"/>
  <c r="H134" i="54"/>
  <c r="I134" i="54"/>
  <c r="J134" i="54"/>
  <c r="F136" i="54"/>
  <c r="G136" i="54"/>
  <c r="H136" i="54"/>
  <c r="I136" i="54"/>
  <c r="J136" i="54"/>
  <c r="F142" i="54"/>
  <c r="G142" i="54"/>
  <c r="H142" i="54"/>
  <c r="I142" i="54"/>
  <c r="J142" i="54"/>
  <c r="F147" i="54"/>
  <c r="G147" i="54"/>
  <c r="H147" i="54"/>
  <c r="I147" i="54"/>
  <c r="J147" i="54"/>
  <c r="F149" i="54"/>
  <c r="G149" i="54"/>
  <c r="H149" i="54"/>
  <c r="I149" i="54"/>
  <c r="J149" i="54"/>
  <c r="F150" i="54"/>
  <c r="G150" i="54"/>
  <c r="H150" i="54"/>
  <c r="I150" i="54"/>
  <c r="J150" i="54"/>
  <c r="F151" i="54"/>
  <c r="G151" i="54"/>
  <c r="H151" i="54"/>
  <c r="I151" i="54"/>
  <c r="J151" i="54"/>
  <c r="F153" i="54"/>
  <c r="G153" i="54"/>
  <c r="H153" i="54"/>
  <c r="I153" i="54"/>
  <c r="J153" i="54"/>
  <c r="J161" i="54"/>
  <c r="J162" i="54"/>
  <c r="J163" i="54"/>
  <c r="J165" i="54"/>
  <c r="J174" i="54"/>
  <c r="J176" i="54"/>
  <c r="J178" i="54"/>
  <c r="F179" i="54"/>
  <c r="G179" i="54"/>
  <c r="H179" i="54"/>
  <c r="I179" i="54"/>
  <c r="J179" i="54"/>
  <c r="F180" i="54"/>
  <c r="G180" i="54"/>
  <c r="H180" i="54"/>
  <c r="I180" i="54"/>
  <c r="J180" i="54"/>
  <c r="J182" i="54"/>
  <c r="J183" i="54"/>
</calcChain>
</file>

<file path=xl/sharedStrings.xml><?xml version="1.0" encoding="utf-8"?>
<sst xmlns="http://schemas.openxmlformats.org/spreadsheetml/2006/main" count="278" uniqueCount="174">
  <si>
    <t>Assumptions</t>
  </si>
  <si>
    <t>Entry multiple</t>
  </si>
  <si>
    <t>Model</t>
  </si>
  <si>
    <t>Sources &amp; uses</t>
  </si>
  <si>
    <t>Sources</t>
  </si>
  <si>
    <t>Uses</t>
  </si>
  <si>
    <t>Total sources</t>
  </si>
  <si>
    <t>Total uses</t>
  </si>
  <si>
    <t>Income statement</t>
  </si>
  <si>
    <t>EBITDA</t>
  </si>
  <si>
    <t>D&amp;A</t>
  </si>
  <si>
    <t>Net income</t>
  </si>
  <si>
    <t>Earnings before taxes</t>
  </si>
  <si>
    <t>Interest expense</t>
  </si>
  <si>
    <t>% tax rate</t>
  </si>
  <si>
    <t>Cash flow statement</t>
  </si>
  <si>
    <t>Balance sheet</t>
  </si>
  <si>
    <t>Cash</t>
  </si>
  <si>
    <t>Net working capital</t>
  </si>
  <si>
    <t>Total assets</t>
  </si>
  <si>
    <t>Net PP&amp;E</t>
  </si>
  <si>
    <t>Shareholder equity</t>
  </si>
  <si>
    <t>Total liabilities &amp; equity</t>
  </si>
  <si>
    <t>Supporting schedules</t>
  </si>
  <si>
    <t>PP&amp;E, beginning</t>
  </si>
  <si>
    <t>PP&amp;E, ending</t>
  </si>
  <si>
    <t>Cash from operations &amp; investing</t>
  </si>
  <si>
    <t>Cash from financing</t>
  </si>
  <si>
    <t>Net change in cash</t>
  </si>
  <si>
    <t>Check</t>
  </si>
  <si>
    <t>Returns analysis</t>
  </si>
  <si>
    <t>$ millions</t>
  </si>
  <si>
    <t>Exit multiple</t>
  </si>
  <si>
    <t>Exit enterprise value</t>
  </si>
  <si>
    <t>Exit equity value</t>
  </si>
  <si>
    <t>IRR</t>
  </si>
  <si>
    <t>Pro forma</t>
  </si>
  <si>
    <t>Adjust.</t>
  </si>
  <si>
    <t>Capitalized financing fees</t>
  </si>
  <si>
    <t>Goodwill</t>
  </si>
  <si>
    <t>Financing fees</t>
  </si>
  <si>
    <t>Capitalized financing fees, beginning</t>
  </si>
  <si>
    <t>Capitalized financing fees, ending</t>
  </si>
  <si>
    <t>Fee amortization expense</t>
  </si>
  <si>
    <t>Sponsor equity</t>
  </si>
  <si>
    <t>New debt</t>
  </si>
  <si>
    <t>Rollover equity</t>
  </si>
  <si>
    <t>Pre-Money</t>
  </si>
  <si>
    <t>Post-Money</t>
  </si>
  <si>
    <t>Equity value</t>
  </si>
  <si>
    <t>Enterprise value</t>
  </si>
  <si>
    <t>(-) Debt</t>
  </si>
  <si>
    <t>(+) Cash</t>
  </si>
  <si>
    <t>Capitalization table</t>
  </si>
  <si>
    <t>(+) Financing fees</t>
  </si>
  <si>
    <t>(-) New debt</t>
  </si>
  <si>
    <t>$ Amount</t>
  </si>
  <si>
    <t>(+) D&amp;A</t>
  </si>
  <si>
    <t>(+) Fee amortization expense</t>
  </si>
  <si>
    <t>(-) Capex</t>
  </si>
  <si>
    <t>(+) Debt issuance / (paydown)</t>
  </si>
  <si>
    <t>(+) Capex</t>
  </si>
  <si>
    <t>(-) D&amp;A</t>
  </si>
  <si>
    <t>(-) Fee amortization expense</t>
  </si>
  <si>
    <t>(-) Net issuance / (paydown)</t>
  </si>
  <si>
    <t>Tax provision</t>
  </si>
  <si>
    <t>Liquidation preference multiple</t>
  </si>
  <si>
    <t>Gross profit</t>
  </si>
  <si>
    <t>Minimum cash balance</t>
  </si>
  <si>
    <t>Transaction fees</t>
  </si>
  <si>
    <t>Entry assumptions</t>
  </si>
  <si>
    <t>% Interest rate</t>
  </si>
  <si>
    <t>Capex - % of revenue</t>
  </si>
  <si>
    <t>D&amp;A - % of revenue</t>
  </si>
  <si>
    <t>Amort. years?</t>
  </si>
  <si>
    <t>Yearly exp.</t>
  </si>
  <si>
    <t>Secondary</t>
  </si>
  <si>
    <t>Total company</t>
  </si>
  <si>
    <t>Equity value (incl. fees)</t>
  </si>
  <si>
    <t>Proceeds to selling shareholders</t>
  </si>
  <si>
    <t>(+) Transaction fees</t>
  </si>
  <si>
    <t>Cash added to B/S</t>
  </si>
  <si>
    <t>Share price</t>
  </si>
  <si>
    <t>Total new sponsor</t>
  </si>
  <si>
    <t>Other assumptions</t>
  </si>
  <si>
    <t>(+) Cash from options proceeds</t>
  </si>
  <si>
    <t>Exit equity value (incl. options) - total available for distribution</t>
  </si>
  <si>
    <t>COGS</t>
  </si>
  <si>
    <t>% of net revenue</t>
  </si>
  <si>
    <t>% Growth</t>
  </si>
  <si>
    <t>Gross revenue</t>
  </si>
  <si>
    <t>Net revenue</t>
  </si>
  <si>
    <t>% of gross revenue</t>
  </si>
  <si>
    <t>Ad spend</t>
  </si>
  <si>
    <t>General &amp; administrative</t>
  </si>
  <si>
    <t>Operating expenses</t>
  </si>
  <si>
    <t>FD own %</t>
  </si>
  <si>
    <t>Check 2?</t>
  </si>
  <si>
    <t>Check 1?</t>
  </si>
  <si>
    <t>Working capital</t>
  </si>
  <si>
    <t>(-) Increase in NWC</t>
  </si>
  <si>
    <t>Leverage metrics</t>
  </si>
  <si>
    <t>EBITDA/Interest expense</t>
  </si>
  <si>
    <t>Debt/EBITDA</t>
  </si>
  <si>
    <t>Revenue Build</t>
  </si>
  <si>
    <t>Supply</t>
  </si>
  <si>
    <t>Vehicle days available</t>
  </si>
  <si>
    <t>Vehicle ad spend</t>
  </si>
  <si>
    <t xml:space="preserve">  % Growth</t>
  </si>
  <si>
    <t>New vehicles added</t>
  </si>
  <si>
    <t>Total vehicle days added</t>
  </si>
  <si>
    <t>Vehicles days available</t>
  </si>
  <si>
    <t>Beginning</t>
  </si>
  <si>
    <t>New added</t>
  </si>
  <si>
    <t>Churned</t>
  </si>
  <si>
    <t>Ending</t>
  </si>
  <si>
    <t xml:space="preserve">Churn as % of prior ending </t>
  </si>
  <si>
    <t>Demand</t>
  </si>
  <si>
    <t>Driver ad spend</t>
  </si>
  <si>
    <t>Acquisition cost per driver</t>
  </si>
  <si>
    <t>Acquisition cost per vehicle</t>
  </si>
  <si>
    <t>Driver days demanded</t>
  </si>
  <si>
    <t>New drivers added</t>
  </si>
  <si>
    <t>Total driver days added</t>
  </si>
  <si>
    <t>Supply &amp; Demand</t>
  </si>
  <si>
    <t>Vehicle days rented</t>
  </si>
  <si>
    <t>Supply as % of demand</t>
  </si>
  <si>
    <t>Supply or demand minimum</t>
  </si>
  <si>
    <t xml:space="preserve">Total booking value </t>
  </si>
  <si>
    <t>Marketplace fee %</t>
  </si>
  <si>
    <t>Marketplace matching efficiency factor</t>
  </si>
  <si>
    <t>Cancellations</t>
  </si>
  <si>
    <t>Operations &amp; support</t>
  </si>
  <si>
    <t>Product development</t>
  </si>
  <si>
    <t>LTM EBITDA</t>
  </si>
  <si>
    <t>Existing employee options</t>
  </si>
  <si>
    <t>New option pool</t>
  </si>
  <si>
    <t>Existing employees - % shares sold</t>
  </si>
  <si>
    <t>Family - % shares sold</t>
  </si>
  <si>
    <t>Family</t>
  </si>
  <si>
    <t>Seed investor</t>
  </si>
  <si>
    <t>Seed investor - % shares sold</t>
  </si>
  <si>
    <t>Receivables</t>
  </si>
  <si>
    <t>Other assets</t>
  </si>
  <si>
    <t>Other liabilities</t>
  </si>
  <si>
    <t>Payables &amp; accrued expenses</t>
  </si>
  <si>
    <t>Receivable turnover</t>
  </si>
  <si>
    <t>Payable turnover</t>
  </si>
  <si>
    <t>Deal fees</t>
  </si>
  <si>
    <t>Primary</t>
  </si>
  <si>
    <t>Exit LTM EBITDA</t>
  </si>
  <si>
    <t>FD Shares</t>
  </si>
  <si>
    <t>(-) Shareholder dividends</t>
  </si>
  <si>
    <t>Assumed cost basis of preferred shares - established in prior deal</t>
  </si>
  <si>
    <t>Sponsor ownership</t>
  </si>
  <si>
    <t>Sponsor exit value - converted to common scenario</t>
  </si>
  <si>
    <t>Sponsor exit value - liquidation preference scenario</t>
  </si>
  <si>
    <t>Sponsor exit value</t>
  </si>
  <si>
    <t>Sponsor dividends</t>
  </si>
  <si>
    <t>FD share</t>
  </si>
  <si>
    <t>Realized sponsor proceeds</t>
  </si>
  <si>
    <t>Exit value calculation</t>
  </si>
  <si>
    <t>Sponsor proceeds &amp; IRR</t>
  </si>
  <si>
    <t>Multiple on money</t>
  </si>
  <si>
    <t>Debt</t>
  </si>
  <si>
    <t>Debt, beginning</t>
  </si>
  <si>
    <t>Debt, ending</t>
  </si>
  <si>
    <t>Ad spend - driver acquisition</t>
  </si>
  <si>
    <t>Ad spend - vehicle acquisition</t>
  </si>
  <si>
    <t>Total vehicle days rented</t>
  </si>
  <si>
    <t>Vehicle days available per vehicle added</t>
  </si>
  <si>
    <t>Driver days demanded per driver added</t>
  </si>
  <si>
    <t>Average price per vehicle day rented</t>
  </si>
  <si>
    <t>Sponsor ownership of preferred share tranche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</si>
</sst>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5" formatCode="&quot;$&quot;#,##0_);\(&quot;$&quot;#,##0\)"/>
    <numFmt numFmtId="7" formatCode="&quot;$&quot;#,##0.00_);\(&quot;$&quot;#,##0.00\)"/>
    <numFmt numFmtId="43" formatCode="_(* #,##0.00_);_(* \(#,##0.00\);_(* &quot;-&quot;??_);_(@_)"/>
    <numFmt numFmtId="164" formatCode="0.0\x"/>
    <numFmt numFmtId="165" formatCode="0.0%"/>
    <numFmt numFmtId="166" formatCode="&quot;Year &quot;0"/>
    <numFmt numFmtId="167" formatCode="&quot;Year &quot;0;\ &quot;Year -&quot;0"/>
    <numFmt numFmtId="168" formatCode="&quot;$&quot;#,##0.0_);\(&quot;$&quot;#,##0.0\)"/>
    <numFmt numFmtId="169" formatCode="#,##0.0_);\(#,##0.0\)"/>
    <numFmt numFmtId="170" formatCode="0.000"/>
    <numFmt numFmtId="171" formatCode="#,##0.000_);\(#,##0.000\)"/>
    <numFmt numFmtId="172" formatCode="0.0%;\(0.0%\);0.0%"/>
    <numFmt numFmtId="173" formatCode="&quot;$&quot;#,##0.000_);\(&quot;$&quot;#,##0.000\)"/>
    <numFmt numFmtId="174" formatCode="#,##0.0_);[Red]\(#,##0.0\)"/>
    <numFmt numFmtId="175" formatCode="#,##0.0\x_);\(#,##0.0\x\);&quot;-&quot;_)"/>
    <numFmt numFmtId="176" formatCode="0.0\x;\(0.0\x\);0.0\x"/>
    <numFmt numFmtId="177" formatCode="0.0%;\(0.0%\);0.0\x"/>
    <numFmt numFmtId="178" formatCode="#,##0.0\x_);\(#,##0.0\x\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sz val="10"/>
      <color theme="0"/>
      <name val="Garamond"/>
      <family val="1"/>
    </font>
    <font>
      <sz val="10"/>
      <color rgb="FF0000FF"/>
      <name val="Garamond"/>
      <family val="1"/>
    </font>
    <font>
      <u/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FF0000"/>
      <name val="Garamond"/>
      <family val="1"/>
    </font>
    <font>
      <i/>
      <sz val="10"/>
      <color theme="1"/>
      <name val="Garamond"/>
      <family val="1"/>
    </font>
    <font>
      <i/>
      <sz val="10"/>
      <name val="Garamond"/>
      <family val="1"/>
    </font>
    <font>
      <i/>
      <sz val="10"/>
      <color theme="0"/>
      <name val="Garamond"/>
      <family val="1"/>
    </font>
    <font>
      <i/>
      <sz val="10"/>
      <color rgb="FF0000FF"/>
      <name val="Garamond"/>
      <family val="1"/>
    </font>
    <font>
      <i/>
      <u/>
      <sz val="10"/>
      <color theme="1"/>
      <name val="Garamond"/>
      <family val="1"/>
    </font>
    <font>
      <b/>
      <sz val="10"/>
      <color rgb="FF0000FF"/>
      <name val="Garamond"/>
      <family val="1"/>
    </font>
    <font>
      <b/>
      <sz val="10"/>
      <color theme="1"/>
      <name val="Arial"/>
      <family val="2"/>
    </font>
    <font>
      <u val="singleAccounting"/>
      <sz val="10"/>
      <color theme="1"/>
      <name val="Garamond"/>
      <family val="1"/>
    </font>
    <font>
      <b/>
      <sz val="10"/>
      <name val="Garamond"/>
      <family val="1"/>
    </font>
    <font>
      <i/>
      <sz val="10"/>
      <color theme="1"/>
      <name val="Arial"/>
      <family val="2"/>
    </font>
    <font>
      <b/>
      <i/>
      <sz val="10"/>
      <color theme="0"/>
      <name val="Garamond"/>
      <family val="1"/>
    </font>
    <font>
      <b/>
      <i/>
      <sz val="10"/>
      <color theme="1"/>
      <name val="Garamond"/>
      <family val="1"/>
    </font>
    <font>
      <b/>
      <i/>
      <sz val="10"/>
      <name val="Garamond"/>
      <family val="1"/>
    </font>
    <font>
      <sz val="4"/>
      <color rgb="FF000000"/>
      <name val="Arial"/>
      <family val="2"/>
    </font>
    <font>
      <sz val="8"/>
      <color rgb="FF000000"/>
      <name val="Arial"/>
      <family val="2"/>
    </font>
    <font>
      <sz val="10"/>
      <color rgb="FF00B050"/>
      <name val="Garamond"/>
      <family val="1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24">
    <xf numFmtId="0" fontId="0" fillId="0" borderId="0" xfId="0"/>
    <xf numFmtId="0" fontId="2" fillId="0" borderId="0" xfId="0" applyFont="1"/>
    <xf numFmtId="0" fontId="3" fillId="0" borderId="0" xfId="0" applyFont="1"/>
    <xf numFmtId="0" fontId="11" fillId="0" borderId="0" xfId="0" applyFont="1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43" fontId="18" fillId="0" borderId="0" xfId="2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0" fontId="9" fillId="0" borderId="1" xfId="0" applyFont="1" applyBorder="1" applyAlignment="1">
      <alignment vertical="center"/>
    </xf>
    <xf numFmtId="5" fontId="9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37" fontId="3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5" fontId="9" fillId="0" borderId="0" xfId="0" applyNumberFormat="1" applyFont="1" applyAlignment="1">
      <alignment vertical="center"/>
    </xf>
    <xf numFmtId="5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11" fillId="0" borderId="0" xfId="2" applyFont="1" applyAlignment="1">
      <alignment vertical="center"/>
    </xf>
    <xf numFmtId="43" fontId="18" fillId="0" borderId="0" xfId="2" applyNumberFormat="1" applyFont="1" applyAlignment="1">
      <alignment horizontal="centerContinuous" vertical="center"/>
    </xf>
    <xf numFmtId="171" fontId="7" fillId="0" borderId="0" xfId="2" applyNumberFormat="1" applyFont="1" applyAlignment="1">
      <alignment horizontal="right" vertical="center"/>
    </xf>
    <xf numFmtId="0" fontId="7" fillId="0" borderId="0" xfId="2" applyFont="1" applyAlignment="1">
      <alignment horizontal="right" vertical="center"/>
    </xf>
    <xf numFmtId="37" fontId="3" fillId="0" borderId="0" xfId="2" applyNumberFormat="1" applyFont="1" applyAlignment="1">
      <alignment vertical="center"/>
    </xf>
    <xf numFmtId="0" fontId="9" fillId="0" borderId="1" xfId="2" applyFont="1" applyBorder="1" applyAlignment="1">
      <alignment vertical="center"/>
    </xf>
    <xf numFmtId="5" fontId="9" fillId="0" borderId="1" xfId="2" applyNumberFormat="1" applyFont="1" applyBorder="1" applyAlignment="1">
      <alignment vertical="center"/>
    </xf>
    <xf numFmtId="37" fontId="9" fillId="0" borderId="1" xfId="2" applyNumberFormat="1" applyFont="1" applyBorder="1" applyAlignment="1">
      <alignment vertical="center"/>
    </xf>
    <xf numFmtId="10" fontId="9" fillId="0" borderId="0" xfId="1" applyNumberFormat="1" applyFont="1" applyBorder="1" applyAlignment="1">
      <alignment vertical="center"/>
    </xf>
    <xf numFmtId="167" fontId="3" fillId="3" borderId="0" xfId="0" applyNumberFormat="1" applyFont="1" applyFill="1" applyAlignment="1">
      <alignment vertical="center"/>
    </xf>
    <xf numFmtId="166" fontId="3" fillId="3" borderId="0" xfId="0" applyNumberFormat="1" applyFont="1" applyFill="1" applyAlignment="1">
      <alignment vertical="center"/>
    </xf>
    <xf numFmtId="5" fontId="8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9" fontId="12" fillId="0" borderId="0" xfId="1" applyFont="1" applyAlignment="1">
      <alignment vertical="center"/>
    </xf>
    <xf numFmtId="0" fontId="8" fillId="0" borderId="0" xfId="0" applyFont="1" applyAlignment="1">
      <alignment vertical="center"/>
    </xf>
    <xf numFmtId="166" fontId="3" fillId="3" borderId="3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170" fontId="11" fillId="0" borderId="0" xfId="0" applyNumberFormat="1" applyFont="1" applyAlignment="1">
      <alignment vertical="center"/>
    </xf>
    <xf numFmtId="170" fontId="11" fillId="0" borderId="6" xfId="0" applyNumberFormat="1" applyFont="1" applyBorder="1" applyAlignment="1">
      <alignment vertical="center"/>
    </xf>
    <xf numFmtId="5" fontId="11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0" fontId="6" fillId="4" borderId="0" xfId="0" applyNumberFormat="1" applyFont="1" applyFill="1" applyAlignment="1">
      <alignment horizontal="right" vertical="center"/>
    </xf>
    <xf numFmtId="165" fontId="6" fillId="4" borderId="0" xfId="0" applyNumberFormat="1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20" fillId="0" borderId="0" xfId="0" applyFont="1" applyAlignment="1">
      <alignment vertical="center"/>
    </xf>
    <xf numFmtId="0" fontId="21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1" fillId="0" borderId="0" xfId="0" applyFont="1" applyAlignment="1">
      <alignment horizontal="left" vertical="center" indent="1"/>
    </xf>
    <xf numFmtId="169" fontId="3" fillId="0" borderId="0" xfId="0" applyNumberFormat="1" applyFont="1" applyAlignment="1">
      <alignment vertical="center"/>
    </xf>
    <xf numFmtId="168" fontId="8" fillId="0" borderId="0" xfId="0" applyNumberFormat="1" applyFont="1" applyAlignment="1">
      <alignment vertical="center"/>
    </xf>
    <xf numFmtId="0" fontId="3" fillId="0" borderId="0" xfId="2" applyFont="1" applyAlignment="1">
      <alignment horizontal="left" vertical="center" indent="1"/>
    </xf>
    <xf numFmtId="168" fontId="9" fillId="0" borderId="1" xfId="0" applyNumberFormat="1" applyFont="1" applyBorder="1" applyAlignment="1">
      <alignment vertical="center"/>
    </xf>
    <xf numFmtId="168" fontId="3" fillId="0" borderId="0" xfId="0" applyNumberFormat="1" applyFont="1" applyAlignment="1">
      <alignment vertical="center"/>
    </xf>
    <xf numFmtId="7" fontId="3" fillId="0" borderId="0" xfId="0" applyNumberFormat="1" applyFont="1" applyAlignment="1">
      <alignment vertical="center"/>
    </xf>
    <xf numFmtId="0" fontId="3" fillId="0" borderId="7" xfId="0" applyFont="1" applyBorder="1"/>
    <xf numFmtId="0" fontId="5" fillId="2" borderId="7" xfId="0" applyFont="1" applyFill="1" applyBorder="1" applyAlignment="1">
      <alignment vertical="center"/>
    </xf>
    <xf numFmtId="166" fontId="3" fillId="3" borderId="7" xfId="0" applyNumberFormat="1" applyFont="1" applyFill="1" applyBorder="1" applyAlignment="1">
      <alignment vertical="center"/>
    </xf>
    <xf numFmtId="5" fontId="8" fillId="0" borderId="7" xfId="0" applyNumberFormat="1" applyFont="1" applyBorder="1" applyAlignment="1">
      <alignment vertical="center"/>
    </xf>
    <xf numFmtId="9" fontId="12" fillId="0" borderId="7" xfId="1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5" fontId="3" fillId="0" borderId="7" xfId="0" applyNumberFormat="1" applyFont="1" applyBorder="1" applyAlignment="1">
      <alignment vertical="center"/>
    </xf>
    <xf numFmtId="0" fontId="9" fillId="0" borderId="8" xfId="0" applyFont="1" applyBorder="1" applyAlignment="1">
      <alignment vertical="center"/>
    </xf>
    <xf numFmtId="166" fontId="8" fillId="3" borderId="7" xfId="0" applyNumberFormat="1" applyFont="1" applyFill="1" applyBorder="1" applyAlignment="1">
      <alignment horizontal="right" vertical="center"/>
    </xf>
    <xf numFmtId="170" fontId="11" fillId="0" borderId="7" xfId="0" applyNumberFormat="1" applyFont="1" applyBorder="1" applyAlignment="1">
      <alignment vertical="center"/>
    </xf>
    <xf numFmtId="5" fontId="11" fillId="0" borderId="7" xfId="0" applyNumberFormat="1" applyFont="1" applyBorder="1" applyAlignment="1">
      <alignment vertical="center"/>
    </xf>
    <xf numFmtId="165" fontId="10" fillId="0" borderId="7" xfId="0" applyNumberFormat="1" applyFont="1" applyBorder="1" applyAlignment="1">
      <alignment vertical="center"/>
    </xf>
    <xf numFmtId="167" fontId="3" fillId="3" borderId="7" xfId="0" applyNumberFormat="1" applyFont="1" applyFill="1" applyBorder="1" applyAlignment="1">
      <alignment vertical="center"/>
    </xf>
    <xf numFmtId="172" fontId="12" fillId="0" borderId="0" xfId="1" applyNumberFormat="1" applyFont="1" applyFill="1" applyBorder="1" applyAlignment="1">
      <alignment vertical="center"/>
    </xf>
    <xf numFmtId="172" fontId="12" fillId="0" borderId="7" xfId="1" applyNumberFormat="1" applyFont="1" applyFill="1" applyBorder="1" applyAlignment="1">
      <alignment vertical="center"/>
    </xf>
    <xf numFmtId="172" fontId="12" fillId="0" borderId="0" xfId="0" applyNumberFormat="1" applyFont="1" applyAlignment="1">
      <alignment vertical="center"/>
    </xf>
    <xf numFmtId="165" fontId="12" fillId="0" borderId="0" xfId="1" applyNumberFormat="1" applyFont="1" applyFill="1" applyBorder="1" applyAlignment="1">
      <alignment vertical="center"/>
    </xf>
    <xf numFmtId="165" fontId="12" fillId="0" borderId="7" xfId="1" applyNumberFormat="1" applyFont="1" applyFill="1" applyBorder="1" applyAlignment="1">
      <alignment vertical="center"/>
    </xf>
    <xf numFmtId="165" fontId="14" fillId="4" borderId="0" xfId="0" applyNumberFormat="1" applyFont="1" applyFill="1" applyAlignment="1">
      <alignment vertical="center"/>
    </xf>
    <xf numFmtId="168" fontId="6" fillId="0" borderId="0" xfId="0" applyNumberFormat="1" applyFont="1" applyAlignment="1">
      <alignment vertical="center"/>
    </xf>
    <xf numFmtId="168" fontId="6" fillId="0" borderId="7" xfId="0" applyNumberFormat="1" applyFont="1" applyBorder="1" applyAlignment="1">
      <alignment vertical="center"/>
    </xf>
    <xf numFmtId="168" fontId="8" fillId="0" borderId="7" xfId="0" applyNumberFormat="1" applyFont="1" applyBorder="1" applyAlignment="1">
      <alignment vertical="center"/>
    </xf>
    <xf numFmtId="169" fontId="8" fillId="0" borderId="0" xfId="0" applyNumberFormat="1" applyFont="1" applyAlignment="1">
      <alignment vertical="center"/>
    </xf>
    <xf numFmtId="168" fontId="8" fillId="0" borderId="4" xfId="0" applyNumberFormat="1" applyFont="1" applyBorder="1" applyAlignment="1">
      <alignment vertical="center"/>
    </xf>
    <xf numFmtId="169" fontId="6" fillId="0" borderId="0" xfId="0" applyNumberFormat="1" applyFont="1" applyAlignment="1">
      <alignment vertical="center"/>
    </xf>
    <xf numFmtId="169" fontId="8" fillId="0" borderId="4" xfId="0" applyNumberFormat="1" applyFont="1" applyBorder="1" applyAlignment="1">
      <alignment vertical="center"/>
    </xf>
    <xf numFmtId="169" fontId="8" fillId="0" borderId="7" xfId="0" applyNumberFormat="1" applyFont="1" applyBorder="1" applyAlignment="1">
      <alignment vertical="center"/>
    </xf>
    <xf numFmtId="169" fontId="3" fillId="0" borderId="4" xfId="0" applyNumberFormat="1" applyFont="1" applyBorder="1" applyAlignment="1">
      <alignment vertical="center"/>
    </xf>
    <xf numFmtId="168" fontId="9" fillId="0" borderId="5" xfId="0" applyNumberFormat="1" applyFont="1" applyBorder="1" applyAlignment="1">
      <alignment vertical="center"/>
    </xf>
    <xf numFmtId="168" fontId="19" fillId="0" borderId="8" xfId="0" applyNumberFormat="1" applyFont="1" applyBorder="1" applyAlignment="1">
      <alignment vertical="center"/>
    </xf>
    <xf numFmtId="168" fontId="3" fillId="0" borderId="4" xfId="0" applyNumberFormat="1" applyFont="1" applyBorder="1" applyAlignment="1">
      <alignment vertical="center"/>
    </xf>
    <xf numFmtId="168" fontId="9" fillId="0" borderId="8" xfId="0" applyNumberFormat="1" applyFont="1" applyBorder="1" applyAlignment="1">
      <alignment vertical="center"/>
    </xf>
    <xf numFmtId="168" fontId="3" fillId="0" borderId="7" xfId="0" applyNumberFormat="1" applyFont="1" applyBorder="1" applyAlignment="1">
      <alignment vertical="center"/>
    </xf>
    <xf numFmtId="168" fontId="9" fillId="0" borderId="0" xfId="0" applyNumberFormat="1" applyFont="1" applyAlignment="1">
      <alignment vertical="center"/>
    </xf>
    <xf numFmtId="168" fontId="9" fillId="0" borderId="1" xfId="2" applyNumberFormat="1" applyFont="1" applyBorder="1" applyAlignment="1">
      <alignment vertical="center"/>
    </xf>
    <xf numFmtId="165" fontId="3" fillId="0" borderId="0" xfId="1" applyNumberFormat="1" applyFont="1" applyAlignment="1">
      <alignment vertical="center"/>
    </xf>
    <xf numFmtId="165" fontId="9" fillId="0" borderId="1" xfId="1" applyNumberFormat="1" applyFont="1" applyBorder="1" applyAlignment="1">
      <alignment vertical="center"/>
    </xf>
    <xf numFmtId="174" fontId="8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69" fontId="6" fillId="4" borderId="0" xfId="0" applyNumberFormat="1" applyFont="1" applyFill="1" applyAlignment="1">
      <alignment vertical="center"/>
    </xf>
    <xf numFmtId="164" fontId="6" fillId="4" borderId="0" xfId="0" applyNumberFormat="1" applyFont="1" applyFill="1" applyAlignment="1">
      <alignment vertical="center"/>
    </xf>
    <xf numFmtId="168" fontId="19" fillId="0" borderId="7" xfId="0" applyNumberFormat="1" applyFont="1" applyBorder="1" applyAlignment="1">
      <alignment vertical="center"/>
    </xf>
    <xf numFmtId="168" fontId="8" fillId="0" borderId="0" xfId="2" applyNumberFormat="1" applyFont="1" applyAlignment="1">
      <alignment vertical="center"/>
    </xf>
    <xf numFmtId="169" fontId="8" fillId="0" borderId="0" xfId="2" applyNumberFormat="1" applyFont="1" applyAlignment="1">
      <alignment vertical="center"/>
    </xf>
    <xf numFmtId="37" fontId="6" fillId="4" borderId="0" xfId="2" applyNumberFormat="1" applyFont="1" applyFill="1" applyAlignment="1">
      <alignment vertical="center"/>
    </xf>
    <xf numFmtId="165" fontId="12" fillId="0" borderId="0" xfId="0" applyNumberFormat="1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169" fontId="10" fillId="0" borderId="0" xfId="0" applyNumberFormat="1" applyFont="1" applyAlignment="1">
      <alignment vertical="center"/>
    </xf>
    <xf numFmtId="0" fontId="17" fillId="0" borderId="1" xfId="0" applyFont="1" applyBorder="1" applyAlignment="1">
      <alignment vertical="center"/>
    </xf>
    <xf numFmtId="169" fontId="6" fillId="4" borderId="0" xfId="2" applyNumberFormat="1" applyFont="1" applyFill="1" applyAlignment="1">
      <alignment vertical="center"/>
    </xf>
    <xf numFmtId="0" fontId="9" fillId="0" borderId="0" xfId="2" applyFont="1" applyAlignment="1">
      <alignment vertical="center"/>
    </xf>
    <xf numFmtId="5" fontId="9" fillId="0" borderId="0" xfId="2" applyNumberFormat="1" applyFont="1" applyAlignment="1">
      <alignment vertical="center"/>
    </xf>
    <xf numFmtId="37" fontId="9" fillId="0" borderId="0" xfId="2" applyNumberFormat="1" applyFont="1" applyAlignment="1">
      <alignment vertical="center"/>
    </xf>
    <xf numFmtId="7" fontId="8" fillId="0" borderId="0" xfId="0" applyNumberFormat="1" applyFont="1" applyAlignment="1">
      <alignment vertical="center"/>
    </xf>
    <xf numFmtId="168" fontId="6" fillId="4" borderId="0" xfId="0" applyNumberFormat="1" applyFont="1" applyFill="1" applyAlignment="1">
      <alignment vertical="center"/>
    </xf>
    <xf numFmtId="173" fontId="3" fillId="0" borderId="0" xfId="0" applyNumberFormat="1" applyFont="1" applyAlignment="1">
      <alignment vertical="center"/>
    </xf>
    <xf numFmtId="0" fontId="11" fillId="0" borderId="7" xfId="0" applyFont="1" applyBorder="1" applyAlignment="1">
      <alignment vertical="center"/>
    </xf>
    <xf numFmtId="0" fontId="13" fillId="2" borderId="7" xfId="0" applyFont="1" applyFill="1" applyBorder="1" applyAlignment="1">
      <alignment vertical="center"/>
    </xf>
    <xf numFmtId="164" fontId="6" fillId="0" borderId="7" xfId="0" applyNumberFormat="1" applyFont="1" applyBorder="1" applyAlignment="1">
      <alignment vertical="center"/>
    </xf>
    <xf numFmtId="5" fontId="9" fillId="0" borderId="8" xfId="0" applyNumberFormat="1" applyFont="1" applyBorder="1" applyAlignment="1">
      <alignment vertical="center"/>
    </xf>
    <xf numFmtId="37" fontId="3" fillId="0" borderId="7" xfId="0" applyNumberFormat="1" applyFont="1" applyBorder="1" applyAlignment="1">
      <alignment vertical="center"/>
    </xf>
    <xf numFmtId="5" fontId="9" fillId="0" borderId="7" xfId="0" applyNumberFormat="1" applyFont="1" applyBorder="1" applyAlignment="1">
      <alignment vertical="center"/>
    </xf>
    <xf numFmtId="9" fontId="6" fillId="0" borderId="0" xfId="0" applyNumberFormat="1" applyFont="1" applyAlignment="1">
      <alignment vertical="center"/>
    </xf>
    <xf numFmtId="10" fontId="8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37" fontId="10" fillId="0" borderId="0" xfId="2" applyNumberFormat="1" applyFont="1" applyAlignment="1">
      <alignment vertical="center"/>
    </xf>
    <xf numFmtId="172" fontId="14" fillId="0" borderId="0" xfId="1" applyNumberFormat="1" applyFont="1" applyFill="1" applyBorder="1" applyAlignment="1">
      <alignment vertical="center"/>
    </xf>
    <xf numFmtId="168" fontId="19" fillId="0" borderId="1" xfId="0" applyNumberFormat="1" applyFont="1" applyBorder="1" applyAlignment="1">
      <alignment vertical="center"/>
    </xf>
    <xf numFmtId="168" fontId="19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68" fontId="23" fillId="0" borderId="0" xfId="0" applyNumberFormat="1" applyFont="1" applyAlignment="1">
      <alignment vertical="center"/>
    </xf>
    <xf numFmtId="7" fontId="11" fillId="0" borderId="0" xfId="0" applyNumberFormat="1" applyFont="1" applyAlignment="1">
      <alignment vertical="center"/>
    </xf>
    <xf numFmtId="172" fontId="14" fillId="4" borderId="0" xfId="1" applyNumberFormat="1" applyFont="1" applyFill="1" applyBorder="1" applyAlignment="1">
      <alignment vertical="center"/>
    </xf>
    <xf numFmtId="168" fontId="6" fillId="4" borderId="7" xfId="0" applyNumberFormat="1" applyFont="1" applyFill="1" applyBorder="1" applyAlignment="1">
      <alignment vertical="center"/>
    </xf>
    <xf numFmtId="168" fontId="19" fillId="0" borderId="1" xfId="2" applyNumberFormat="1" applyFont="1" applyBorder="1" applyAlignment="1">
      <alignment vertical="center"/>
    </xf>
    <xf numFmtId="37" fontId="8" fillId="5" borderId="0" xfId="2" applyNumberFormat="1" applyFont="1" applyFill="1" applyAlignment="1">
      <alignment vertical="center"/>
    </xf>
    <xf numFmtId="173" fontId="11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37" fontId="8" fillId="0" borderId="0" xfId="0" applyNumberFormat="1" applyFont="1" applyAlignment="1">
      <alignment vertical="center"/>
    </xf>
    <xf numFmtId="37" fontId="6" fillId="0" borderId="0" xfId="0" applyNumberFormat="1" applyFont="1" applyAlignment="1">
      <alignment vertical="center"/>
    </xf>
    <xf numFmtId="5" fontId="19" fillId="0" borderId="8" xfId="0" applyNumberFormat="1" applyFont="1" applyBorder="1" applyAlignment="1">
      <alignment vertical="center"/>
    </xf>
    <xf numFmtId="171" fontId="11" fillId="0" borderId="0" xfId="0" applyNumberFormat="1" applyFont="1" applyAlignment="1">
      <alignment vertical="center"/>
    </xf>
    <xf numFmtId="175" fontId="3" fillId="0" borderId="7" xfId="0" applyNumberFormat="1" applyFont="1" applyBorder="1" applyAlignment="1">
      <alignment horizontal="right" vertical="center"/>
    </xf>
    <xf numFmtId="175" fontId="3" fillId="0" borderId="0" xfId="0" applyNumberFormat="1" applyFont="1" applyAlignment="1">
      <alignment horizontal="right" vertical="center"/>
    </xf>
    <xf numFmtId="168" fontId="23" fillId="0" borderId="7" xfId="0" applyNumberFormat="1" applyFont="1" applyBorder="1" applyAlignment="1">
      <alignment vertical="center"/>
    </xf>
    <xf numFmtId="172" fontId="14" fillId="4" borderId="7" xfId="1" applyNumberFormat="1" applyFont="1" applyFill="1" applyBorder="1" applyAlignment="1">
      <alignment vertical="center"/>
    </xf>
    <xf numFmtId="0" fontId="3" fillId="5" borderId="0" xfId="0" applyFont="1" applyFill="1"/>
    <xf numFmtId="0" fontId="3" fillId="5" borderId="0" xfId="0" applyFont="1" applyFill="1" applyAlignment="1">
      <alignment vertical="center"/>
    </xf>
    <xf numFmtId="5" fontId="6" fillId="5" borderId="0" xfId="0" applyNumberFormat="1" applyFont="1" applyFill="1" applyAlignment="1">
      <alignment vertical="center"/>
    </xf>
    <xf numFmtId="165" fontId="3" fillId="5" borderId="0" xfId="0" applyNumberFormat="1" applyFont="1" applyFill="1" applyAlignment="1">
      <alignment vertical="center"/>
    </xf>
    <xf numFmtId="165" fontId="6" fillId="5" borderId="0" xfId="0" applyNumberFormat="1" applyFont="1" applyFill="1" applyAlignment="1">
      <alignment vertical="center"/>
    </xf>
    <xf numFmtId="0" fontId="11" fillId="5" borderId="0" xfId="0" applyFont="1" applyFill="1" applyAlignment="1">
      <alignment vertical="center"/>
    </xf>
    <xf numFmtId="37" fontId="3" fillId="5" borderId="0" xfId="0" applyNumberFormat="1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9" fillId="5" borderId="0" xfId="0" applyFont="1" applyFill="1" applyAlignment="1">
      <alignment horizontal="center" vertical="center"/>
    </xf>
    <xf numFmtId="37" fontId="8" fillId="0" borderId="7" xfId="0" applyNumberFormat="1" applyFont="1" applyBorder="1" applyAlignment="1">
      <alignment vertical="center"/>
    </xf>
    <xf numFmtId="165" fontId="14" fillId="4" borderId="0" xfId="1" applyNumberFormat="1" applyFont="1" applyFill="1" applyAlignment="1">
      <alignment vertical="center"/>
    </xf>
    <xf numFmtId="7" fontId="8" fillId="0" borderId="0" xfId="1" applyNumberFormat="1" applyFont="1" applyFill="1" applyBorder="1" applyAlignment="1">
      <alignment vertical="center"/>
    </xf>
    <xf numFmtId="7" fontId="8" fillId="0" borderId="7" xfId="1" applyNumberFormat="1" applyFont="1" applyFill="1" applyBorder="1" applyAlignment="1">
      <alignment vertical="center"/>
    </xf>
    <xf numFmtId="7" fontId="6" fillId="4" borderId="0" xfId="1" applyNumberFormat="1" applyFont="1" applyFill="1" applyBorder="1" applyAlignment="1">
      <alignment vertical="center"/>
    </xf>
    <xf numFmtId="169" fontId="6" fillId="0" borderId="7" xfId="0" applyNumberFormat="1" applyFont="1" applyBorder="1" applyAlignment="1">
      <alignment vertical="center"/>
    </xf>
    <xf numFmtId="169" fontId="6" fillId="4" borderId="7" xfId="0" applyNumberFormat="1" applyFont="1" applyFill="1" applyBorder="1" applyAlignment="1">
      <alignment vertical="center"/>
    </xf>
    <xf numFmtId="37" fontId="6" fillId="4" borderId="0" xfId="0" applyNumberFormat="1" applyFont="1" applyFill="1" applyAlignment="1">
      <alignment vertical="center"/>
    </xf>
    <xf numFmtId="37" fontId="6" fillId="4" borderId="7" xfId="0" applyNumberFormat="1" applyFont="1" applyFill="1" applyBorder="1" applyAlignment="1">
      <alignment vertical="center"/>
    </xf>
    <xf numFmtId="37" fontId="16" fillId="4" borderId="1" xfId="0" applyNumberFormat="1" applyFont="1" applyFill="1" applyBorder="1" applyAlignment="1">
      <alignment vertical="center"/>
    </xf>
    <xf numFmtId="37" fontId="19" fillId="0" borderId="1" xfId="0" applyNumberFormat="1" applyFont="1" applyBorder="1" applyAlignment="1">
      <alignment vertical="center"/>
    </xf>
    <xf numFmtId="168" fontId="6" fillId="4" borderId="0" xfId="1" applyNumberFormat="1" applyFont="1" applyFill="1" applyBorder="1" applyAlignment="1">
      <alignment vertical="center"/>
    </xf>
    <xf numFmtId="165" fontId="12" fillId="0" borderId="0" xfId="1" applyNumberFormat="1" applyFont="1" applyFill="1" applyAlignment="1">
      <alignment vertical="center"/>
    </xf>
    <xf numFmtId="168" fontId="8" fillId="0" borderId="0" xfId="1" applyNumberFormat="1" applyFont="1" applyFill="1" applyBorder="1" applyAlignment="1">
      <alignment vertical="center"/>
    </xf>
    <xf numFmtId="165" fontId="6" fillId="4" borderId="0" xfId="1" applyNumberFormat="1" applyFont="1" applyFill="1" applyAlignment="1">
      <alignment vertical="center"/>
    </xf>
    <xf numFmtId="37" fontId="19" fillId="0" borderId="0" xfId="0" applyNumberFormat="1" applyFont="1" applyAlignment="1">
      <alignment vertical="center"/>
    </xf>
    <xf numFmtId="9" fontId="12" fillId="0" borderId="0" xfId="1" applyFont="1" applyFill="1" applyBorder="1" applyAlignment="1">
      <alignment vertical="center"/>
    </xf>
    <xf numFmtId="9" fontId="16" fillId="0" borderId="0" xfId="1" applyFont="1" applyFill="1" applyBorder="1" applyAlignment="1">
      <alignment vertical="center"/>
    </xf>
    <xf numFmtId="165" fontId="14" fillId="0" borderId="0" xfId="1" applyNumberFormat="1" applyFont="1" applyFill="1" applyAlignment="1">
      <alignment vertical="center"/>
    </xf>
    <xf numFmtId="177" fontId="12" fillId="0" borderId="0" xfId="1" applyNumberFormat="1" applyFont="1" applyFill="1" applyAlignment="1">
      <alignment vertical="center"/>
    </xf>
    <xf numFmtId="177" fontId="14" fillId="4" borderId="0" xfId="1" applyNumberFormat="1" applyFont="1" applyFill="1" applyAlignment="1">
      <alignment vertical="center"/>
    </xf>
    <xf numFmtId="177" fontId="6" fillId="4" borderId="0" xfId="1" applyNumberFormat="1" applyFont="1" applyFill="1" applyAlignment="1">
      <alignment vertical="center"/>
    </xf>
    <xf numFmtId="168" fontId="19" fillId="0" borderId="0" xfId="1" applyNumberFormat="1" applyFont="1" applyFill="1" applyBorder="1" applyAlignment="1">
      <alignment vertical="center"/>
    </xf>
    <xf numFmtId="9" fontId="12" fillId="0" borderId="7" xfId="1" applyFont="1" applyFill="1" applyBorder="1" applyAlignment="1">
      <alignment vertical="center"/>
    </xf>
    <xf numFmtId="9" fontId="16" fillId="0" borderId="7" xfId="1" applyFont="1" applyFill="1" applyBorder="1" applyAlignment="1">
      <alignment vertical="center"/>
    </xf>
    <xf numFmtId="165" fontId="6" fillId="4" borderId="7" xfId="1" applyNumberFormat="1" applyFont="1" applyFill="1" applyBorder="1" applyAlignment="1">
      <alignment vertical="center"/>
    </xf>
    <xf numFmtId="37" fontId="19" fillId="0" borderId="8" xfId="0" applyNumberFormat="1" applyFont="1" applyBorder="1" applyAlignment="1">
      <alignment vertical="center"/>
    </xf>
    <xf numFmtId="7" fontId="6" fillId="4" borderId="7" xfId="1" applyNumberFormat="1" applyFont="1" applyFill="1" applyBorder="1" applyAlignment="1">
      <alignment vertical="center"/>
    </xf>
    <xf numFmtId="177" fontId="12" fillId="0" borderId="7" xfId="1" applyNumberFormat="1" applyFont="1" applyFill="1" applyBorder="1" applyAlignment="1">
      <alignment vertical="center"/>
    </xf>
    <xf numFmtId="168" fontId="8" fillId="0" borderId="7" xfId="1" applyNumberFormat="1" applyFont="1" applyFill="1" applyBorder="1" applyAlignment="1">
      <alignment vertical="center"/>
    </xf>
    <xf numFmtId="177" fontId="6" fillId="4" borderId="7" xfId="1" applyNumberFormat="1" applyFont="1" applyFill="1" applyBorder="1" applyAlignment="1">
      <alignment vertical="center"/>
    </xf>
    <xf numFmtId="168" fontId="19" fillId="0" borderId="7" xfId="1" applyNumberFormat="1" applyFont="1" applyFill="1" applyBorder="1" applyAlignment="1">
      <alignment vertical="center"/>
    </xf>
    <xf numFmtId="168" fontId="6" fillId="4" borderId="7" xfId="1" applyNumberFormat="1" applyFont="1" applyFill="1" applyBorder="1" applyAlignment="1">
      <alignment vertical="center"/>
    </xf>
    <xf numFmtId="3" fontId="24" fillId="0" borderId="0" xfId="0" applyNumberFormat="1" applyFont="1"/>
    <xf numFmtId="169" fontId="26" fillId="0" borderId="0" xfId="0" applyNumberFormat="1" applyFont="1" applyAlignment="1">
      <alignment vertical="center"/>
    </xf>
    <xf numFmtId="169" fontId="26" fillId="0" borderId="7" xfId="0" applyNumberFormat="1" applyFont="1" applyBorder="1" applyAlignment="1">
      <alignment vertical="center"/>
    </xf>
    <xf numFmtId="169" fontId="10" fillId="0" borderId="0" xfId="2" applyNumberFormat="1" applyFont="1" applyAlignment="1">
      <alignment vertical="center"/>
    </xf>
    <xf numFmtId="169" fontId="11" fillId="0" borderId="0" xfId="0" applyNumberFormat="1" applyFont="1" applyAlignment="1">
      <alignment vertical="center"/>
    </xf>
    <xf numFmtId="178" fontId="8" fillId="0" borderId="0" xfId="0" applyNumberFormat="1" applyFont="1" applyAlignment="1">
      <alignment vertical="center"/>
    </xf>
    <xf numFmtId="178" fontId="6" fillId="4" borderId="0" xfId="0" applyNumberFormat="1" applyFont="1" applyFill="1" applyAlignment="1">
      <alignment vertical="center"/>
    </xf>
    <xf numFmtId="169" fontId="6" fillId="4" borderId="2" xfId="0" applyNumberFormat="1" applyFont="1" applyFill="1" applyBorder="1" applyAlignment="1">
      <alignment horizontal="center" vertical="center"/>
    </xf>
    <xf numFmtId="169" fontId="6" fillId="4" borderId="11" xfId="0" applyNumberFormat="1" applyFont="1" applyFill="1" applyBorder="1" applyAlignment="1">
      <alignment horizontal="center" vertical="center"/>
    </xf>
    <xf numFmtId="165" fontId="6" fillId="0" borderId="0" xfId="1" applyNumberFormat="1" applyFont="1" applyFill="1" applyAlignment="1">
      <alignment vertical="center"/>
    </xf>
    <xf numFmtId="165" fontId="10" fillId="0" borderId="0" xfId="1" applyNumberFormat="1" applyFont="1" applyFill="1" applyAlignment="1">
      <alignment vertical="center"/>
    </xf>
    <xf numFmtId="168" fontId="10" fillId="0" borderId="0" xfId="0" applyNumberFormat="1" applyFont="1" applyAlignment="1">
      <alignment vertical="center"/>
    </xf>
    <xf numFmtId="5" fontId="9" fillId="0" borderId="7" xfId="0" applyNumberFormat="1" applyFont="1" applyBorder="1" applyAlignment="1">
      <alignment horizontal="right" vertical="center"/>
    </xf>
    <xf numFmtId="168" fontId="9" fillId="0" borderId="8" xfId="0" applyNumberFormat="1" applyFont="1" applyBorder="1" applyAlignment="1">
      <alignment horizontal="right" vertical="center"/>
    </xf>
    <xf numFmtId="0" fontId="3" fillId="7" borderId="13" xfId="0" applyFont="1" applyFill="1" applyBorder="1" applyAlignment="1">
      <alignment vertical="center"/>
    </xf>
    <xf numFmtId="0" fontId="3" fillId="7" borderId="1" xfId="0" applyFont="1" applyFill="1" applyBorder="1"/>
    <xf numFmtId="172" fontId="3" fillId="7" borderId="1" xfId="0" applyNumberFormat="1" applyFont="1" applyFill="1" applyBorder="1" applyAlignment="1">
      <alignment horizontal="right" vertical="center"/>
    </xf>
    <xf numFmtId="172" fontId="3" fillId="7" borderId="14" xfId="0" applyNumberFormat="1" applyFont="1" applyFill="1" applyBorder="1" applyAlignment="1">
      <alignment horizontal="right" vertical="center"/>
    </xf>
    <xf numFmtId="0" fontId="3" fillId="7" borderId="15" xfId="0" applyFont="1" applyFill="1" applyBorder="1"/>
    <xf numFmtId="0" fontId="3" fillId="7" borderId="9" xfId="0" applyFont="1" applyFill="1" applyBorder="1"/>
    <xf numFmtId="176" fontId="3" fillId="7" borderId="9" xfId="0" applyNumberFormat="1" applyFont="1" applyFill="1" applyBorder="1" applyAlignment="1">
      <alignment horizontal="right" vertical="center"/>
    </xf>
    <xf numFmtId="176" fontId="3" fillId="7" borderId="10" xfId="0" applyNumberFormat="1" applyFont="1" applyFill="1" applyBorder="1" applyAlignment="1">
      <alignment horizontal="right" vertical="center"/>
    </xf>
    <xf numFmtId="0" fontId="3" fillId="7" borderId="8" xfId="0" applyFont="1" applyFill="1" applyBorder="1"/>
    <xf numFmtId="0" fontId="3" fillId="7" borderId="12" xfId="0" applyFont="1" applyFill="1" applyBorder="1"/>
    <xf numFmtId="168" fontId="10" fillId="0" borderId="0" xfId="2" applyNumberFormat="1" applyFont="1" applyAlignment="1">
      <alignment vertical="center"/>
    </xf>
    <xf numFmtId="178" fontId="8" fillId="0" borderId="7" xfId="0" applyNumberFormat="1" applyFont="1" applyBorder="1" applyAlignment="1">
      <alignment vertical="center"/>
    </xf>
    <xf numFmtId="165" fontId="8" fillId="0" borderId="0" xfId="1" applyNumberFormat="1" applyFont="1" applyFill="1" applyAlignment="1">
      <alignment vertical="center"/>
    </xf>
    <xf numFmtId="165" fontId="8" fillId="0" borderId="7" xfId="1" applyNumberFormat="1" applyFont="1" applyFill="1" applyBorder="1" applyAlignment="1">
      <alignment vertical="center"/>
    </xf>
    <xf numFmtId="177" fontId="6" fillId="0" borderId="0" xfId="1" applyNumberFormat="1" applyFont="1" applyFill="1" applyAlignment="1">
      <alignment vertical="center"/>
    </xf>
    <xf numFmtId="177" fontId="8" fillId="0" borderId="0" xfId="1" applyNumberFormat="1" applyFont="1" applyFill="1" applyAlignment="1">
      <alignment vertical="center"/>
    </xf>
    <xf numFmtId="177" fontId="8" fillId="0" borderId="7" xfId="1" applyNumberFormat="1" applyFont="1" applyFill="1" applyBorder="1" applyAlignment="1">
      <alignment vertical="center"/>
    </xf>
    <xf numFmtId="168" fontId="16" fillId="4" borderId="1" xfId="1" applyNumberFormat="1" applyFont="1" applyFill="1" applyBorder="1" applyAlignment="1">
      <alignment vertical="center"/>
    </xf>
    <xf numFmtId="168" fontId="16" fillId="4" borderId="8" xfId="1" applyNumberFormat="1" applyFont="1" applyFill="1" applyBorder="1" applyAlignment="1">
      <alignment vertical="center"/>
    </xf>
    <xf numFmtId="168" fontId="19" fillId="0" borderId="1" xfId="1" applyNumberFormat="1" applyFont="1" applyFill="1" applyBorder="1" applyAlignment="1">
      <alignment vertical="center"/>
    </xf>
    <xf numFmtId="165" fontId="10" fillId="0" borderId="11" xfId="0" applyNumberFormat="1" applyFont="1" applyBorder="1" applyAlignment="1">
      <alignment horizontal="right" vertical="center"/>
    </xf>
    <xf numFmtId="0" fontId="25" fillId="6" borderId="0" xfId="0" applyFont="1" applyFill="1" applyAlignment="1">
      <alignment horizontal="right" vertical="top" wrapText="1"/>
    </xf>
  </cellXfs>
  <cellStyles count="3">
    <cellStyle name="Normal" xfId="0" builtinId="0"/>
    <cellStyle name="Normal 2" xfId="2" xr:uid="{FE34F453-BE46-4638-A718-6F04F1594BE6}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0DC0-0FC1-4017-8F2F-BF01AB25198C}">
  <sheetPr>
    <tabColor theme="7" tint="0.39997558519241921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802F-C4F0-46D2-A0D4-BDB9CD9478A8}">
  <dimension ref="A1:Q44"/>
  <sheetViews>
    <sheetView showGridLines="0" view="pageBreakPreview" zoomScale="130" zoomScaleNormal="140" zoomScaleSheetLayoutView="130" workbookViewId="0"/>
  </sheetViews>
  <sheetFormatPr defaultColWidth="9.1328125" defaultRowHeight="13.15" x14ac:dyDescent="0.4"/>
  <cols>
    <col min="1" max="1" width="5.19921875" style="2" customWidth="1"/>
    <col min="2" max="2" width="25.59765625" style="2" customWidth="1"/>
    <col min="3" max="10" width="11.265625" style="2" customWidth="1"/>
    <col min="11" max="11" width="6.06640625" style="2" customWidth="1"/>
    <col min="12" max="12" width="9.1328125" style="145"/>
    <col min="13" max="17" width="9.1328125" style="2" customWidth="1"/>
    <col min="18" max="20" width="9.1328125" style="1" customWidth="1"/>
    <col min="21" max="16384" width="9.1328125" style="1"/>
  </cols>
  <sheetData>
    <row r="1" spans="2:13" x14ac:dyDescent="0.4">
      <c r="B1" s="3"/>
    </row>
    <row r="2" spans="2:13" s="4" customFormat="1" ht="13.5" customHeight="1" x14ac:dyDescent="0.45">
      <c r="B2" s="5" t="s">
        <v>2</v>
      </c>
      <c r="C2" s="5"/>
      <c r="D2" s="5"/>
      <c r="E2" s="57"/>
      <c r="F2" s="6"/>
      <c r="G2" s="6"/>
      <c r="H2" s="6"/>
      <c r="I2" s="6"/>
      <c r="J2" s="7" t="s">
        <v>31</v>
      </c>
      <c r="L2" s="146"/>
    </row>
    <row r="3" spans="2:13" s="4" customFormat="1" ht="13.5" customHeight="1" x14ac:dyDescent="0.45">
      <c r="B3" s="8" t="s">
        <v>8</v>
      </c>
      <c r="C3" s="30">
        <f>+D3-1</f>
        <v>-2</v>
      </c>
      <c r="D3" s="30">
        <f>+E3-1</f>
        <v>-1</v>
      </c>
      <c r="E3" s="69">
        <v>0</v>
      </c>
      <c r="F3" s="30">
        <v>1</v>
      </c>
      <c r="G3" s="30">
        <f>F3+1</f>
        <v>2</v>
      </c>
      <c r="H3" s="30">
        <f>G3+1</f>
        <v>3</v>
      </c>
      <c r="I3" s="30">
        <f>H3+1</f>
        <v>4</v>
      </c>
      <c r="J3" s="30">
        <f>I3+1</f>
        <v>5</v>
      </c>
      <c r="L3" s="146"/>
    </row>
    <row r="4" spans="2:13" s="4" customFormat="1" ht="13.5" customHeight="1" x14ac:dyDescent="0.45">
      <c r="B4" s="4" t="s">
        <v>90</v>
      </c>
      <c r="C4" s="111">
        <v>73.836296074709992</v>
      </c>
      <c r="D4" s="111">
        <v>92.488395802653002</v>
      </c>
      <c r="E4" s="132">
        <v>119.83782209874963</v>
      </c>
      <c r="F4" s="51"/>
      <c r="G4" s="51"/>
      <c r="H4" s="51"/>
      <c r="I4" s="51"/>
      <c r="J4" s="51"/>
      <c r="K4" s="55"/>
      <c r="L4" s="146"/>
      <c r="M4" s="16"/>
    </row>
    <row r="5" spans="2:13" s="4" customFormat="1" ht="13.5" customHeight="1" x14ac:dyDescent="0.45">
      <c r="B5" s="49" t="s">
        <v>89</v>
      </c>
      <c r="C5" s="124"/>
      <c r="D5" s="70">
        <f t="shared" ref="D5" si="0">D4/C4-1</f>
        <v>0.2526142387894188</v>
      </c>
      <c r="E5" s="71">
        <f>E4/D4-1</f>
        <v>0.29570657009181378</v>
      </c>
      <c r="F5" s="70"/>
      <c r="G5" s="70"/>
      <c r="H5" s="70"/>
      <c r="I5" s="70"/>
      <c r="J5" s="70"/>
      <c r="L5" s="146"/>
    </row>
    <row r="6" spans="2:13" s="4" customFormat="1" ht="13.5" customHeight="1" x14ac:dyDescent="0.45">
      <c r="B6" s="49"/>
      <c r="C6" s="124"/>
      <c r="D6" s="70"/>
      <c r="E6" s="71"/>
      <c r="F6" s="70"/>
      <c r="G6" s="70"/>
      <c r="H6" s="70"/>
      <c r="I6" s="70"/>
      <c r="J6" s="70"/>
      <c r="K6" s="70"/>
      <c r="L6" s="146"/>
    </row>
    <row r="7" spans="2:13" s="4" customFormat="1" ht="13.5" customHeight="1" x14ac:dyDescent="0.45">
      <c r="B7" s="4" t="s">
        <v>131</v>
      </c>
      <c r="C7" s="111">
        <v>10.410917746534109</v>
      </c>
      <c r="D7" s="111">
        <v>13.688282578792643</v>
      </c>
      <c r="E7" s="132">
        <v>18.215348959009944</v>
      </c>
      <c r="F7" s="51"/>
      <c r="G7" s="51"/>
      <c r="H7" s="51"/>
      <c r="I7" s="51"/>
      <c r="J7" s="51"/>
      <c r="L7" s="146"/>
    </row>
    <row r="8" spans="2:13" s="4" customFormat="1" ht="13.5" customHeight="1" x14ac:dyDescent="0.45">
      <c r="B8" s="12" t="s">
        <v>91</v>
      </c>
      <c r="C8" s="125">
        <f>C4-C7</f>
        <v>63.425378328175881</v>
      </c>
      <c r="D8" s="125">
        <f t="shared" ref="D8:E8" si="1">D4-D7</f>
        <v>78.800113223860365</v>
      </c>
      <c r="E8" s="86">
        <f t="shared" si="1"/>
        <v>101.62247313973968</v>
      </c>
      <c r="F8" s="125"/>
      <c r="G8" s="125"/>
      <c r="H8" s="125"/>
      <c r="I8" s="125"/>
      <c r="J8" s="125"/>
      <c r="K8" s="55"/>
      <c r="L8" s="146"/>
      <c r="M8" s="16"/>
    </row>
    <row r="9" spans="2:13" s="37" customFormat="1" ht="13.5" customHeight="1" x14ac:dyDescent="0.45">
      <c r="B9" s="128"/>
      <c r="C9" s="129"/>
      <c r="D9" s="129"/>
      <c r="E9" s="143"/>
      <c r="F9" s="129"/>
      <c r="G9" s="129"/>
      <c r="H9" s="129"/>
      <c r="I9" s="129"/>
      <c r="J9" s="129"/>
      <c r="K9" s="130"/>
      <c r="L9" s="150"/>
      <c r="M9" s="128"/>
    </row>
    <row r="10" spans="2:13" s="4" customFormat="1" ht="13.5" customHeight="1" x14ac:dyDescent="0.45">
      <c r="B10" s="4" t="s">
        <v>87</v>
      </c>
      <c r="C10" s="111">
        <v>11.315087493746578</v>
      </c>
      <c r="D10" s="111">
        <v>14.105220267071005</v>
      </c>
      <c r="E10" s="132">
        <v>18.292045165153141</v>
      </c>
      <c r="F10" s="51"/>
      <c r="G10" s="51"/>
      <c r="H10" s="51"/>
      <c r="I10" s="51"/>
      <c r="J10" s="51"/>
      <c r="K10" s="35"/>
      <c r="L10" s="152"/>
    </row>
    <row r="11" spans="2:13" s="4" customFormat="1" ht="13.5" customHeight="1" x14ac:dyDescent="0.45">
      <c r="B11" s="12" t="s">
        <v>67</v>
      </c>
      <c r="C11" s="125">
        <f>C8-C10</f>
        <v>52.110290834429307</v>
      </c>
      <c r="D11" s="125">
        <f>D8-D10</f>
        <v>64.69489295678936</v>
      </c>
      <c r="E11" s="86">
        <f>E8-E10</f>
        <v>83.330427974586541</v>
      </c>
      <c r="F11" s="125"/>
      <c r="G11" s="125"/>
      <c r="H11" s="125"/>
      <c r="I11" s="125"/>
      <c r="J11" s="125"/>
      <c r="K11" s="35"/>
      <c r="L11" s="152"/>
    </row>
    <row r="12" spans="2:13" s="4" customFormat="1" ht="13.5" customHeight="1" x14ac:dyDescent="0.45">
      <c r="B12" s="49"/>
      <c r="C12" s="73"/>
      <c r="D12" s="73"/>
      <c r="E12" s="74"/>
      <c r="F12" s="102"/>
      <c r="G12" s="102"/>
      <c r="H12" s="102"/>
      <c r="I12" s="102"/>
      <c r="J12" s="102"/>
      <c r="K12" s="35"/>
      <c r="L12" s="152"/>
    </row>
    <row r="13" spans="2:13" s="4" customFormat="1" ht="13.5" customHeight="1" x14ac:dyDescent="0.45">
      <c r="B13" s="4" t="s">
        <v>132</v>
      </c>
      <c r="C13" s="111">
        <v>11.923971125697065</v>
      </c>
      <c r="D13" s="111">
        <v>14.499220833190307</v>
      </c>
      <c r="E13" s="132">
        <v>17.479065380035223</v>
      </c>
      <c r="F13" s="51"/>
      <c r="G13" s="51"/>
      <c r="H13" s="51"/>
      <c r="I13" s="51"/>
      <c r="J13" s="51"/>
      <c r="K13" s="35"/>
      <c r="L13" s="152"/>
    </row>
    <row r="14" spans="2:13" s="4" customFormat="1" ht="13.5" customHeight="1" x14ac:dyDescent="0.45">
      <c r="B14" s="4" t="s">
        <v>133</v>
      </c>
      <c r="C14" s="96">
        <v>11.099441207430779</v>
      </c>
      <c r="D14" s="96">
        <v>14.184020380294864</v>
      </c>
      <c r="E14" s="161">
        <v>18.6985350577121</v>
      </c>
      <c r="F14" s="79"/>
      <c r="G14" s="79"/>
      <c r="H14" s="79"/>
      <c r="I14" s="79"/>
      <c r="J14" s="79"/>
      <c r="K14" s="35"/>
      <c r="L14" s="152"/>
    </row>
    <row r="15" spans="2:13" s="4" customFormat="1" ht="13.5" customHeight="1" x14ac:dyDescent="0.45">
      <c r="B15" s="4" t="s">
        <v>93</v>
      </c>
      <c r="C15" s="189">
        <f>+'Revenue Build - Start'!C20+'Revenue Build - Start'!C38</f>
        <v>8.4</v>
      </c>
      <c r="D15" s="189">
        <f>+'Revenue Build - Start'!D20+'Revenue Build - Start'!D38</f>
        <v>11.4</v>
      </c>
      <c r="E15" s="189">
        <f>+'Revenue Build - Start'!E20+'Revenue Build - Start'!E38</f>
        <v>13.8</v>
      </c>
      <c r="F15" s="79"/>
      <c r="G15" s="79"/>
      <c r="H15" s="79"/>
      <c r="I15" s="79"/>
      <c r="J15" s="79"/>
      <c r="K15" s="35"/>
      <c r="L15" s="152"/>
    </row>
    <row r="16" spans="2:13" s="4" customFormat="1" ht="13.5" customHeight="1" x14ac:dyDescent="0.45">
      <c r="B16" s="4" t="s">
        <v>94</v>
      </c>
      <c r="C16" s="96">
        <v>8.3721499393192165</v>
      </c>
      <c r="D16" s="96">
        <v>10.87441562489273</v>
      </c>
      <c r="E16" s="161">
        <v>13.719033873864857</v>
      </c>
      <c r="F16" s="79"/>
      <c r="G16" s="79"/>
      <c r="H16" s="79"/>
      <c r="I16" s="79"/>
      <c r="J16" s="79"/>
      <c r="K16" s="35"/>
      <c r="L16" s="152"/>
    </row>
    <row r="17" spans="1:17" s="4" customFormat="1" ht="13.5" customHeight="1" x14ac:dyDescent="0.45">
      <c r="B17" s="12" t="s">
        <v>95</v>
      </c>
      <c r="C17" s="125">
        <f>SUM(C13:C16)</f>
        <v>39.795562272447057</v>
      </c>
      <c r="D17" s="125">
        <f>SUM(D13:D16)</f>
        <v>50.9576568383779</v>
      </c>
      <c r="E17" s="86">
        <f>SUM(E13:E16)</f>
        <v>63.696634311612186</v>
      </c>
      <c r="F17" s="125"/>
      <c r="G17" s="125"/>
      <c r="H17" s="125"/>
      <c r="I17" s="125"/>
      <c r="J17" s="125"/>
      <c r="K17" s="35"/>
      <c r="L17" s="152"/>
    </row>
    <row r="18" spans="1:17" s="4" customFormat="1" ht="13.5" customHeight="1" x14ac:dyDescent="0.45">
      <c r="B18" s="16"/>
      <c r="C18" s="126"/>
      <c r="D18" s="126"/>
      <c r="E18" s="98"/>
      <c r="F18" s="126"/>
      <c r="G18" s="126"/>
      <c r="H18" s="126"/>
      <c r="I18" s="126"/>
      <c r="J18" s="126"/>
      <c r="K18" s="35"/>
      <c r="L18" s="152"/>
    </row>
    <row r="19" spans="1:17" s="4" customFormat="1" ht="13.5" customHeight="1" x14ac:dyDescent="0.45">
      <c r="B19" s="16" t="s">
        <v>9</v>
      </c>
      <c r="C19" s="126">
        <f>+C11-C17</f>
        <v>12.31472856198225</v>
      </c>
      <c r="D19" s="126">
        <f>+D11-D17</f>
        <v>13.73723611841146</v>
      </c>
      <c r="E19" s="98">
        <f>+E11-E17</f>
        <v>19.633793662974355</v>
      </c>
      <c r="F19" s="126"/>
      <c r="G19" s="126"/>
      <c r="H19" s="126"/>
      <c r="I19" s="126"/>
      <c r="J19" s="126"/>
      <c r="K19" s="35"/>
      <c r="L19" s="152"/>
    </row>
    <row r="20" spans="1:17" s="4" customFormat="1" ht="13.5" customHeight="1" x14ac:dyDescent="0.45">
      <c r="E20" s="61"/>
      <c r="F20" s="35"/>
      <c r="G20" s="35"/>
      <c r="H20" s="35"/>
      <c r="I20" s="35"/>
      <c r="J20" s="35"/>
      <c r="K20" s="35"/>
      <c r="L20" s="152"/>
    </row>
    <row r="21" spans="1:17" s="19" customFormat="1" ht="13.5" customHeight="1" x14ac:dyDescent="0.45">
      <c r="A21" s="4"/>
      <c r="B21" s="4"/>
      <c r="C21" s="4"/>
      <c r="D21" s="4"/>
      <c r="E21" s="62"/>
      <c r="F21" s="4"/>
      <c r="G21" s="4"/>
      <c r="H21" s="4"/>
      <c r="I21" s="4"/>
      <c r="J21" s="4"/>
      <c r="K21" s="4"/>
      <c r="L21" s="146"/>
      <c r="M21" s="4"/>
      <c r="N21" s="4"/>
      <c r="O21" s="4"/>
      <c r="P21" s="4"/>
      <c r="Q21" s="4"/>
    </row>
    <row r="22" spans="1:17" s="4" customFormat="1" ht="13.5" customHeight="1" x14ac:dyDescent="0.45">
      <c r="B22" s="8" t="s">
        <v>16</v>
      </c>
      <c r="C22" s="31"/>
      <c r="D22" s="31"/>
      <c r="E22" s="58">
        <v>0</v>
      </c>
      <c r="F22" s="31">
        <v>1</v>
      </c>
      <c r="G22" s="31">
        <f>F22+1</f>
        <v>2</v>
      </c>
      <c r="H22" s="31">
        <f>G22+1</f>
        <v>3</v>
      </c>
      <c r="I22" s="31">
        <f>H22+1</f>
        <v>4</v>
      </c>
      <c r="J22" s="31">
        <f>I22+1</f>
        <v>5</v>
      </c>
      <c r="L22" s="146"/>
    </row>
    <row r="23" spans="1:17" s="4" customFormat="1" ht="13.5" customHeight="1" x14ac:dyDescent="0.45">
      <c r="B23" s="4" t="s">
        <v>17</v>
      </c>
      <c r="C23" s="76"/>
      <c r="D23" s="76"/>
      <c r="E23" s="77">
        <v>110.9</v>
      </c>
      <c r="F23" s="76"/>
      <c r="G23" s="76"/>
      <c r="H23" s="76"/>
      <c r="I23" s="76"/>
      <c r="J23" s="76"/>
      <c r="L23" s="146"/>
    </row>
    <row r="24" spans="1:17" s="19" customFormat="1" ht="13.5" customHeight="1" x14ac:dyDescent="0.45">
      <c r="A24" s="4"/>
      <c r="B24" s="4" t="s">
        <v>142</v>
      </c>
      <c r="C24" s="81"/>
      <c r="D24" s="81"/>
      <c r="E24" s="160">
        <v>55.1</v>
      </c>
      <c r="F24" s="81"/>
      <c r="G24" s="81"/>
      <c r="H24" s="81"/>
      <c r="I24" s="81"/>
      <c r="J24" s="81"/>
      <c r="K24" s="140"/>
      <c r="L24" s="146"/>
      <c r="M24" s="11"/>
      <c r="N24" s="4"/>
      <c r="O24" s="4"/>
      <c r="P24" s="4"/>
      <c r="Q24" s="4"/>
    </row>
    <row r="25" spans="1:17" s="4" customFormat="1" ht="13.5" customHeight="1" x14ac:dyDescent="0.45">
      <c r="B25" s="4" t="s">
        <v>38</v>
      </c>
      <c r="C25" s="81"/>
      <c r="D25" s="81"/>
      <c r="E25" s="160">
        <v>0</v>
      </c>
      <c r="F25" s="81"/>
      <c r="G25" s="81"/>
      <c r="H25" s="81"/>
      <c r="I25" s="81"/>
      <c r="J25" s="81"/>
      <c r="L25" s="146"/>
    </row>
    <row r="26" spans="1:17" s="4" customFormat="1" ht="13.5" customHeight="1" x14ac:dyDescent="0.45">
      <c r="B26" s="4" t="s">
        <v>39</v>
      </c>
      <c r="C26" s="81"/>
      <c r="D26" s="81"/>
      <c r="E26" s="160">
        <v>0</v>
      </c>
      <c r="F26" s="81"/>
      <c r="G26" s="81"/>
      <c r="H26" s="81"/>
      <c r="I26" s="81"/>
      <c r="J26" s="81"/>
      <c r="L26" s="146"/>
    </row>
    <row r="27" spans="1:17" s="4" customFormat="1" ht="13.5" customHeight="1" x14ac:dyDescent="0.45">
      <c r="B27" s="4" t="s">
        <v>20</v>
      </c>
      <c r="C27" s="81"/>
      <c r="D27" s="81"/>
      <c r="E27" s="160">
        <v>3</v>
      </c>
      <c r="F27" s="81"/>
      <c r="G27" s="81"/>
      <c r="H27" s="81"/>
      <c r="I27" s="81"/>
      <c r="J27" s="81"/>
      <c r="L27" s="146"/>
    </row>
    <row r="28" spans="1:17" s="4" customFormat="1" ht="13.5" customHeight="1" x14ac:dyDescent="0.45">
      <c r="B28" s="4" t="s">
        <v>143</v>
      </c>
      <c r="C28" s="81"/>
      <c r="D28" s="81"/>
      <c r="E28" s="160">
        <v>15.8</v>
      </c>
      <c r="F28" s="81"/>
      <c r="G28" s="81"/>
      <c r="H28" s="81"/>
      <c r="I28" s="81"/>
      <c r="J28" s="81"/>
      <c r="L28" s="146"/>
    </row>
    <row r="29" spans="1:17" s="4" customFormat="1" ht="13.5" customHeight="1" x14ac:dyDescent="0.45">
      <c r="B29" s="12" t="s">
        <v>19</v>
      </c>
      <c r="C29" s="53"/>
      <c r="D29" s="53"/>
      <c r="E29" s="88">
        <f>SUM(E23:E28)</f>
        <v>184.8</v>
      </c>
      <c r="F29" s="53"/>
      <c r="G29" s="53"/>
      <c r="H29" s="53"/>
      <c r="I29" s="53"/>
      <c r="J29" s="53"/>
      <c r="L29" s="146"/>
    </row>
    <row r="30" spans="1:17" s="19" customFormat="1" ht="13.5" customHeight="1" x14ac:dyDescent="0.45">
      <c r="A30" s="4"/>
      <c r="B30" s="4"/>
      <c r="C30" s="54"/>
      <c r="D30" s="54"/>
      <c r="E30" s="89"/>
      <c r="F30" s="54"/>
      <c r="G30" s="54"/>
      <c r="H30" s="54"/>
      <c r="I30" s="54"/>
      <c r="J30" s="54"/>
      <c r="K30" s="4"/>
      <c r="L30" s="146"/>
      <c r="M30" s="4"/>
      <c r="N30" s="4"/>
      <c r="O30" s="4"/>
      <c r="P30" s="4"/>
      <c r="Q30" s="4"/>
    </row>
    <row r="31" spans="1:17" s="19" customFormat="1" ht="13.5" customHeight="1" x14ac:dyDescent="0.45">
      <c r="A31" s="4"/>
      <c r="B31" s="4" t="s">
        <v>145</v>
      </c>
      <c r="C31" s="76"/>
      <c r="D31" s="76"/>
      <c r="E31" s="77">
        <v>38.4</v>
      </c>
      <c r="F31" s="76"/>
      <c r="G31" s="76"/>
      <c r="H31" s="76"/>
      <c r="I31" s="76"/>
      <c r="J31" s="76"/>
      <c r="K31" s="140"/>
      <c r="L31" s="146"/>
      <c r="M31" s="11"/>
      <c r="N31" s="4"/>
      <c r="O31" s="4"/>
      <c r="P31" s="4"/>
      <c r="Q31" s="4"/>
    </row>
    <row r="32" spans="1:17" s="19" customFormat="1" ht="13.5" customHeight="1" x14ac:dyDescent="0.45">
      <c r="A32" s="4"/>
      <c r="B32" s="4" t="s">
        <v>144</v>
      </c>
      <c r="C32" s="81"/>
      <c r="D32" s="81"/>
      <c r="E32" s="160">
        <v>7.7</v>
      </c>
      <c r="F32" s="81"/>
      <c r="G32" s="81"/>
      <c r="H32" s="81"/>
      <c r="I32" s="81"/>
      <c r="J32" s="81"/>
      <c r="K32" s="4"/>
      <c r="L32" s="146"/>
      <c r="M32" s="11"/>
      <c r="N32" s="4"/>
      <c r="O32" s="4"/>
      <c r="P32" s="4"/>
      <c r="Q32" s="4"/>
    </row>
    <row r="33" spans="1:17" s="4" customFormat="1" ht="13.5" customHeight="1" x14ac:dyDescent="0.45">
      <c r="B33" s="4" t="s">
        <v>164</v>
      </c>
      <c r="C33" s="81"/>
      <c r="D33" s="81"/>
      <c r="E33" s="160">
        <v>0</v>
      </c>
      <c r="F33" s="81"/>
      <c r="G33" s="81"/>
      <c r="H33" s="81"/>
      <c r="I33" s="81"/>
      <c r="J33" s="81"/>
      <c r="L33" s="146"/>
    </row>
    <row r="34" spans="1:17" s="4" customFormat="1" ht="13.5" customHeight="1" x14ac:dyDescent="0.45">
      <c r="B34" s="4" t="s">
        <v>21</v>
      </c>
      <c r="C34" s="81"/>
      <c r="D34" s="81"/>
      <c r="E34" s="160">
        <v>138.70000000000002</v>
      </c>
      <c r="F34" s="81"/>
      <c r="G34" s="81"/>
      <c r="H34" s="81"/>
      <c r="I34" s="81"/>
      <c r="J34" s="81"/>
      <c r="L34" s="146"/>
    </row>
    <row r="35" spans="1:17" s="4" customFormat="1" ht="13.5" customHeight="1" x14ac:dyDescent="0.45">
      <c r="B35" s="12" t="s">
        <v>22</v>
      </c>
      <c r="C35" s="53"/>
      <c r="D35" s="53"/>
      <c r="E35" s="88">
        <f>SUM(E31:E34)</f>
        <v>184.8</v>
      </c>
      <c r="F35" s="53"/>
      <c r="G35" s="53"/>
      <c r="H35" s="53"/>
      <c r="I35" s="53"/>
      <c r="J35" s="53"/>
      <c r="L35" s="146"/>
    </row>
    <row r="36" spans="1:17" s="19" customFormat="1" ht="13.5" customHeight="1" x14ac:dyDescent="0.45">
      <c r="A36" s="4"/>
      <c r="B36" s="4"/>
      <c r="C36" s="137"/>
      <c r="D36" s="4"/>
      <c r="E36" s="89"/>
      <c r="F36" s="138"/>
      <c r="G36" s="138"/>
      <c r="H36" s="138"/>
      <c r="I36" s="138"/>
      <c r="J36" s="138"/>
      <c r="K36" s="4"/>
      <c r="L36" s="146"/>
      <c r="M36" s="11"/>
      <c r="N36" s="4"/>
      <c r="O36" s="4"/>
      <c r="P36" s="4"/>
      <c r="Q36" s="4"/>
    </row>
    <row r="37" spans="1:17" s="4" customFormat="1" ht="13.5" customHeight="1" x14ac:dyDescent="0.45">
      <c r="B37" s="136" t="s">
        <v>99</v>
      </c>
      <c r="C37" s="37"/>
      <c r="D37" s="37"/>
      <c r="E37" s="67"/>
      <c r="F37" s="40"/>
      <c r="G37" s="40"/>
      <c r="H37" s="40"/>
      <c r="I37" s="40"/>
      <c r="J37" s="40"/>
      <c r="L37" s="146"/>
    </row>
    <row r="38" spans="1:17" s="19" customFormat="1" ht="13.5" customHeight="1" x14ac:dyDescent="0.45">
      <c r="A38" s="4"/>
      <c r="B38" s="4" t="s">
        <v>146</v>
      </c>
      <c r="D38" s="4"/>
      <c r="E38" s="213">
        <f>+E8/E24</f>
        <v>1.8443280061658744</v>
      </c>
      <c r="F38" s="193"/>
      <c r="G38" s="193"/>
      <c r="H38" s="193"/>
      <c r="I38" s="193"/>
      <c r="J38" s="193"/>
      <c r="K38" s="4"/>
      <c r="L38" s="146"/>
      <c r="M38" s="11"/>
      <c r="N38" s="4"/>
      <c r="O38" s="4"/>
      <c r="P38" s="4"/>
      <c r="Q38" s="4"/>
    </row>
    <row r="39" spans="1:17" s="19" customFormat="1" ht="13.5" customHeight="1" x14ac:dyDescent="0.45">
      <c r="A39" s="4"/>
      <c r="B39" s="4" t="s">
        <v>147</v>
      </c>
      <c r="D39" s="4"/>
      <c r="E39" s="213">
        <f>+E10/E31</f>
        <v>0.47635534284252973</v>
      </c>
      <c r="F39" s="193"/>
      <c r="G39" s="193"/>
      <c r="H39" s="193"/>
      <c r="I39" s="193"/>
      <c r="J39" s="193"/>
      <c r="K39" s="4"/>
      <c r="L39" s="146"/>
      <c r="M39" s="11"/>
      <c r="N39" s="4"/>
      <c r="O39" s="4"/>
      <c r="P39" s="4"/>
      <c r="Q39" s="4"/>
    </row>
    <row r="40" spans="1:17" s="19" customFormat="1" ht="13.5" customHeight="1" x14ac:dyDescent="0.45">
      <c r="A40" s="4"/>
      <c r="B40" s="4" t="s">
        <v>18</v>
      </c>
      <c r="D40" s="4"/>
      <c r="E40" s="89">
        <f>+E24+E28-E31-E32</f>
        <v>24.800000000000008</v>
      </c>
      <c r="F40" s="54"/>
      <c r="G40" s="54"/>
      <c r="H40" s="54"/>
      <c r="I40" s="54"/>
      <c r="J40" s="54"/>
      <c r="K40" s="4"/>
      <c r="L40" s="146"/>
      <c r="M40" s="11"/>
      <c r="N40" s="4"/>
      <c r="O40" s="4"/>
      <c r="P40" s="4"/>
      <c r="Q40" s="4"/>
    </row>
    <row r="41" spans="1:17" s="4" customFormat="1" ht="13.5" customHeight="1" x14ac:dyDescent="0.45">
      <c r="B41" s="45"/>
      <c r="E41" s="62"/>
      <c r="F41" s="173"/>
      <c r="G41" s="173"/>
      <c r="H41" s="173"/>
      <c r="I41" s="173"/>
      <c r="J41" s="173"/>
    </row>
    <row r="42" spans="1:17" s="2" customFormat="1" x14ac:dyDescent="0.4">
      <c r="E42" s="56"/>
      <c r="L42" s="145"/>
    </row>
    <row r="43" spans="1:17" s="2" customFormat="1" x14ac:dyDescent="0.4">
      <c r="E43" s="56"/>
      <c r="L43" s="145"/>
    </row>
    <row r="44" spans="1:17" s="2" customFormat="1" x14ac:dyDescent="0.4">
      <c r="E44" s="56"/>
      <c r="L44" s="145"/>
    </row>
  </sheetData>
  <pageMargins left="0.7" right="0.7" top="0.75" bottom="0.75" header="0.3" footer="0.3"/>
  <pageSetup scale="68" orientation="portrait" r:id="rId1"/>
  <rowBreaks count="1" manualBreakCount="1">
    <brk id="20" max="10" man="1"/>
  </rowBreaks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C6C3-770B-4CB2-BEAB-6EBE4198A6DA}">
  <dimension ref="A1:Q49"/>
  <sheetViews>
    <sheetView showGridLines="0" view="pageBreakPreview" zoomScale="130" zoomScaleNormal="130" zoomScaleSheetLayoutView="130" workbookViewId="0"/>
  </sheetViews>
  <sheetFormatPr defaultColWidth="9.1328125" defaultRowHeight="13.15" x14ac:dyDescent="0.4"/>
  <cols>
    <col min="1" max="1" width="5.1328125" style="2" customWidth="1"/>
    <col min="2" max="2" width="33.53125" style="2" customWidth="1"/>
    <col min="3" max="10" width="11.265625" style="2" customWidth="1"/>
    <col min="11" max="11" width="4.53125" style="2" customWidth="1"/>
    <col min="12" max="12" width="9.1328125" style="145"/>
    <col min="13" max="17" width="9.1328125" style="2" customWidth="1"/>
    <col min="18" max="20" width="9.1328125" style="1" customWidth="1"/>
    <col min="21" max="16384" width="9.1328125" style="1"/>
  </cols>
  <sheetData>
    <row r="1" spans="1:17" s="19" customFormat="1" ht="13.5" customHeight="1" x14ac:dyDescent="0.45">
      <c r="A1" s="4"/>
      <c r="B1" s="4"/>
      <c r="C1" s="4"/>
      <c r="D1" s="4"/>
      <c r="E1" s="4"/>
      <c r="F1" s="4"/>
      <c r="G1" s="4"/>
      <c r="H1" s="55"/>
      <c r="I1" s="4"/>
      <c r="J1" s="4"/>
      <c r="K1" s="4"/>
      <c r="L1" s="146"/>
      <c r="M1" s="4"/>
      <c r="N1" s="4"/>
      <c r="O1" s="4"/>
      <c r="P1" s="4"/>
      <c r="Q1" s="4"/>
    </row>
    <row r="2" spans="1:17" s="4" customFormat="1" ht="13.5" customHeight="1" x14ac:dyDescent="0.45">
      <c r="B2" s="5" t="s">
        <v>104</v>
      </c>
      <c r="C2" s="5"/>
      <c r="D2" s="5"/>
      <c r="E2" s="57"/>
      <c r="F2" s="6"/>
      <c r="G2" s="6"/>
      <c r="H2" s="6"/>
      <c r="I2" s="6"/>
      <c r="J2" s="7" t="s">
        <v>31</v>
      </c>
      <c r="L2" s="146"/>
    </row>
    <row r="3" spans="1:17" s="4" customFormat="1" ht="13.5" customHeight="1" x14ac:dyDescent="0.45">
      <c r="B3" s="8" t="s">
        <v>124</v>
      </c>
      <c r="C3" s="30">
        <f>+D3-1</f>
        <v>-2</v>
      </c>
      <c r="D3" s="30">
        <f>+E3-1</f>
        <v>-1</v>
      </c>
      <c r="E3" s="69">
        <v>0</v>
      </c>
      <c r="F3" s="30">
        <v>1</v>
      </c>
      <c r="G3" s="30">
        <f>F3+1</f>
        <v>2</v>
      </c>
      <c r="H3" s="30">
        <f>G3+1</f>
        <v>3</v>
      </c>
      <c r="I3" s="30">
        <f>H3+1</f>
        <v>4</v>
      </c>
      <c r="J3" s="30">
        <f>I3+1</f>
        <v>5</v>
      </c>
      <c r="L3" s="146"/>
    </row>
    <row r="4" spans="1:17" s="4" customFormat="1" ht="13.5" customHeight="1" x14ac:dyDescent="0.45">
      <c r="B4" s="4" t="s">
        <v>169</v>
      </c>
      <c r="C4" s="137">
        <f>MIN(C17,C35)</f>
        <v>3212127</v>
      </c>
      <c r="D4" s="137">
        <f>MIN(D17,D35)</f>
        <v>4304628.9085187893</v>
      </c>
      <c r="E4" s="155">
        <f>MIN(E17,E35)</f>
        <v>5402115.180145137</v>
      </c>
      <c r="F4" s="170"/>
      <c r="G4" s="170"/>
      <c r="H4" s="170"/>
      <c r="I4" s="170"/>
      <c r="J4" s="170"/>
      <c r="K4" s="35"/>
    </row>
    <row r="5" spans="1:17" s="4" customFormat="1" ht="13.5" customHeight="1" x14ac:dyDescent="0.45">
      <c r="B5" s="4" t="s">
        <v>172</v>
      </c>
      <c r="C5" s="157">
        <f>+C6*1000000/C4</f>
        <v>152.22999999999999</v>
      </c>
      <c r="D5" s="157">
        <f>+D6*1000000/D4</f>
        <v>144.19999999999999</v>
      </c>
      <c r="E5" s="158">
        <f>+E6*1000000/E4</f>
        <v>147.88999999999999</v>
      </c>
      <c r="F5" s="157"/>
      <c r="G5" s="157"/>
      <c r="H5" s="157"/>
      <c r="I5" s="157"/>
      <c r="J5" s="157"/>
      <c r="K5" s="35"/>
      <c r="L5" s="152"/>
    </row>
    <row r="6" spans="1:17" s="4" customFormat="1" ht="13.5" customHeight="1" x14ac:dyDescent="0.45">
      <c r="B6" s="12" t="s">
        <v>128</v>
      </c>
      <c r="C6" s="219">
        <v>488.98209320999996</v>
      </c>
      <c r="D6" s="219">
        <v>620.72748860840943</v>
      </c>
      <c r="E6" s="220">
        <v>798.91881399166425</v>
      </c>
      <c r="F6" s="221"/>
      <c r="G6" s="221"/>
      <c r="H6" s="221"/>
      <c r="I6" s="221"/>
      <c r="J6" s="221"/>
      <c r="K6" s="35"/>
      <c r="L6" s="152"/>
    </row>
    <row r="7" spans="1:17" s="4" customFormat="1" ht="13.5" customHeight="1" x14ac:dyDescent="0.45">
      <c r="B7" s="37"/>
      <c r="C7" s="137"/>
      <c r="D7" s="167"/>
      <c r="E7" s="74"/>
      <c r="F7" s="173"/>
      <c r="G7" s="173"/>
      <c r="H7" s="173"/>
      <c r="I7" s="173"/>
      <c r="J7" s="173"/>
      <c r="K7" s="35"/>
      <c r="L7" s="35"/>
    </row>
    <row r="8" spans="1:17" s="4" customFormat="1" ht="13.5" customHeight="1" x14ac:dyDescent="0.45">
      <c r="B8" s="4" t="s">
        <v>129</v>
      </c>
      <c r="C8" s="217">
        <f>+C9/C6</f>
        <v>0.151</v>
      </c>
      <c r="D8" s="217">
        <f>+D9/D6</f>
        <v>0.14899999999999999</v>
      </c>
      <c r="E8" s="218">
        <f>+E9/E6</f>
        <v>0.15</v>
      </c>
      <c r="F8" s="216"/>
      <c r="G8" s="216"/>
      <c r="H8" s="216"/>
      <c r="I8" s="216"/>
      <c r="J8" s="216"/>
      <c r="K8" s="35"/>
      <c r="L8" s="152"/>
    </row>
    <row r="9" spans="1:17" s="4" customFormat="1" ht="13.5" customHeight="1" x14ac:dyDescent="0.45">
      <c r="B9" s="12" t="s">
        <v>90</v>
      </c>
      <c r="C9" s="219">
        <v>73.836296074709992</v>
      </c>
      <c r="D9" s="219">
        <v>92.488395802653002</v>
      </c>
      <c r="E9" s="220">
        <v>119.83782209874963</v>
      </c>
      <c r="F9" s="221"/>
      <c r="G9" s="221"/>
      <c r="H9" s="221"/>
      <c r="I9" s="221"/>
      <c r="J9" s="221"/>
      <c r="K9" s="35"/>
      <c r="L9" s="152"/>
    </row>
    <row r="10" spans="1:17" s="4" customFormat="1" ht="13.5" customHeight="1" x14ac:dyDescent="0.45">
      <c r="B10" s="37"/>
      <c r="C10" s="137"/>
      <c r="D10" s="167"/>
      <c r="E10" s="74"/>
      <c r="F10" s="167"/>
      <c r="G10" s="167"/>
      <c r="H10" s="167"/>
      <c r="I10" s="167"/>
      <c r="J10" s="167"/>
      <c r="K10" s="35"/>
      <c r="L10" s="152"/>
    </row>
    <row r="11" spans="1:17" s="2" customFormat="1" x14ac:dyDescent="0.4">
      <c r="E11" s="56"/>
      <c r="L11" s="145"/>
    </row>
    <row r="12" spans="1:17" s="4" customFormat="1" ht="13.5" customHeight="1" x14ac:dyDescent="0.45">
      <c r="B12" s="8" t="s">
        <v>105</v>
      </c>
      <c r="C12" s="30">
        <f>+D12-1</f>
        <v>-2</v>
      </c>
      <c r="D12" s="30">
        <f>+E12-1</f>
        <v>-1</v>
      </c>
      <c r="E12" s="69">
        <v>0</v>
      </c>
      <c r="F12" s="30">
        <v>1</v>
      </c>
      <c r="G12" s="30">
        <f>F12+1</f>
        <v>2</v>
      </c>
      <c r="H12" s="30">
        <f>G12+1</f>
        <v>3</v>
      </c>
      <c r="I12" s="30">
        <f>H12+1</f>
        <v>4</v>
      </c>
      <c r="J12" s="30">
        <f>I12+1</f>
        <v>5</v>
      </c>
      <c r="L12" s="146"/>
    </row>
    <row r="13" spans="1:17" s="4" customFormat="1" ht="13.5" customHeight="1" x14ac:dyDescent="0.45">
      <c r="B13" s="136" t="s">
        <v>111</v>
      </c>
      <c r="C13" s="138"/>
      <c r="D13" s="137"/>
      <c r="E13" s="155"/>
      <c r="F13" s="137"/>
      <c r="G13" s="137"/>
      <c r="H13" s="137"/>
      <c r="I13" s="137"/>
      <c r="J13" s="137"/>
      <c r="K13" s="35"/>
      <c r="L13" s="152"/>
    </row>
    <row r="14" spans="1:17" s="4" customFormat="1" ht="13.5" customHeight="1" x14ac:dyDescent="0.45">
      <c r="B14" s="45" t="s">
        <v>112</v>
      </c>
      <c r="C14" s="138"/>
      <c r="D14" s="137">
        <f>+C17</f>
        <v>3212127</v>
      </c>
      <c r="E14" s="155">
        <f t="shared" ref="E14" si="0">+D17</f>
        <v>4304628.9085187893</v>
      </c>
      <c r="F14" s="137"/>
      <c r="G14" s="137"/>
      <c r="H14" s="137"/>
      <c r="I14" s="137"/>
      <c r="J14" s="137"/>
      <c r="K14" s="35"/>
      <c r="L14" s="152"/>
    </row>
    <row r="15" spans="1:17" s="4" customFormat="1" ht="13.5" customHeight="1" x14ac:dyDescent="0.45">
      <c r="B15" s="45" t="s">
        <v>113</v>
      </c>
      <c r="C15" s="138"/>
      <c r="D15" s="137">
        <f>+D25</f>
        <v>1628927.1175187889</v>
      </c>
      <c r="E15" s="155">
        <f t="shared" ref="E15" si="1">+E25</f>
        <v>1911061.1353363986</v>
      </c>
      <c r="F15" s="137"/>
      <c r="G15" s="137"/>
      <c r="H15" s="137"/>
      <c r="I15" s="137"/>
      <c r="J15" s="137"/>
      <c r="K15" s="35"/>
      <c r="L15" s="152"/>
    </row>
    <row r="16" spans="1:17" s="4" customFormat="1" ht="13.5" customHeight="1" x14ac:dyDescent="0.45">
      <c r="B16" s="45" t="s">
        <v>114</v>
      </c>
      <c r="C16" s="138"/>
      <c r="D16" s="162">
        <v>536425.20900000003</v>
      </c>
      <c r="E16" s="163">
        <v>813574.86371005117</v>
      </c>
      <c r="F16" s="137"/>
      <c r="G16" s="137"/>
      <c r="H16" s="137"/>
      <c r="I16" s="137"/>
      <c r="J16" s="137"/>
      <c r="K16" s="35"/>
      <c r="L16" s="152"/>
    </row>
    <row r="17" spans="2:12" s="4" customFormat="1" ht="13.5" customHeight="1" x14ac:dyDescent="0.45">
      <c r="B17" s="12" t="s">
        <v>115</v>
      </c>
      <c r="C17" s="164">
        <v>3212127</v>
      </c>
      <c r="D17" s="165">
        <f>D14+D15-D16</f>
        <v>4304628.9085187893</v>
      </c>
      <c r="E17" s="181">
        <f t="shared" ref="E17" si="2">E14+E15-E16</f>
        <v>5402115.180145137</v>
      </c>
      <c r="F17" s="165"/>
      <c r="G17" s="165"/>
      <c r="H17" s="165"/>
      <c r="I17" s="165"/>
      <c r="J17" s="165"/>
      <c r="K17" s="35"/>
      <c r="L17" s="152"/>
    </row>
    <row r="18" spans="2:12" s="4" customFormat="1" ht="13.5" customHeight="1" x14ac:dyDescent="0.45">
      <c r="B18" s="37" t="s">
        <v>108</v>
      </c>
      <c r="C18" s="137"/>
      <c r="D18" s="174">
        <f>+D17/C17-1</f>
        <v>0.34011790583584944</v>
      </c>
      <c r="E18" s="183">
        <f t="shared" ref="E18" si="3">+E17/D17-1</f>
        <v>0.25495490899446427</v>
      </c>
      <c r="F18" s="174"/>
      <c r="G18" s="174"/>
      <c r="H18" s="174"/>
      <c r="I18" s="174"/>
      <c r="J18" s="174"/>
      <c r="K18" s="35"/>
      <c r="L18" s="152"/>
    </row>
    <row r="19" spans="2:12" s="4" customFormat="1" ht="13.5" customHeight="1" x14ac:dyDescent="0.45">
      <c r="C19" s="137"/>
      <c r="D19" s="137"/>
      <c r="E19" s="155"/>
      <c r="F19" s="137"/>
      <c r="G19" s="137"/>
      <c r="H19" s="137"/>
      <c r="I19" s="137"/>
      <c r="J19" s="137"/>
      <c r="K19" s="35"/>
      <c r="L19" s="152"/>
    </row>
    <row r="20" spans="2:12" s="4" customFormat="1" ht="13.5" customHeight="1" x14ac:dyDescent="0.45">
      <c r="B20" s="4" t="s">
        <v>107</v>
      </c>
      <c r="C20" s="166">
        <v>3.2</v>
      </c>
      <c r="D20" s="166">
        <v>4.5</v>
      </c>
      <c r="E20" s="187">
        <v>5.8</v>
      </c>
      <c r="F20" s="168"/>
      <c r="G20" s="168"/>
      <c r="H20" s="168"/>
      <c r="I20" s="168"/>
      <c r="J20" s="168"/>
      <c r="K20" s="35"/>
      <c r="L20" s="152"/>
    </row>
    <row r="21" spans="2:12" s="4" customFormat="1" ht="13.5" customHeight="1" x14ac:dyDescent="0.45">
      <c r="B21" s="4" t="s">
        <v>120</v>
      </c>
      <c r="C21" s="159">
        <v>543.26</v>
      </c>
      <c r="D21" s="159">
        <v>621.02</v>
      </c>
      <c r="E21" s="182">
        <v>732.23</v>
      </c>
      <c r="F21" s="157"/>
      <c r="G21" s="157"/>
      <c r="H21" s="157"/>
      <c r="I21" s="157"/>
      <c r="J21" s="157"/>
      <c r="K21" s="35"/>
      <c r="L21" s="152"/>
    </row>
    <row r="22" spans="2:12" s="4" customFormat="1" ht="13.5" customHeight="1" x14ac:dyDescent="0.45">
      <c r="B22" s="12" t="s">
        <v>109</v>
      </c>
      <c r="C22" s="165">
        <f>+C20*1000000/C21</f>
        <v>5890.3655708132383</v>
      </c>
      <c r="D22" s="165">
        <f>+D20*1000000/D21</f>
        <v>7246.1434414350588</v>
      </c>
      <c r="E22" s="181">
        <f>+E20*1000000/E21</f>
        <v>7921.0084263141362</v>
      </c>
      <c r="F22" s="165"/>
      <c r="G22" s="165"/>
      <c r="H22" s="165"/>
      <c r="I22" s="165"/>
      <c r="J22" s="165"/>
      <c r="K22" s="35"/>
      <c r="L22" s="152"/>
    </row>
    <row r="23" spans="2:12" s="4" customFormat="1" ht="13.5" customHeight="1" x14ac:dyDescent="0.45">
      <c r="C23" s="137"/>
      <c r="D23" s="137"/>
      <c r="E23" s="155"/>
      <c r="F23" s="137"/>
      <c r="G23" s="137"/>
      <c r="H23" s="137"/>
      <c r="I23" s="137"/>
      <c r="J23" s="137"/>
      <c r="K23" s="35"/>
      <c r="L23" s="152"/>
    </row>
    <row r="24" spans="2:12" s="4" customFormat="1" ht="13.5" customHeight="1" x14ac:dyDescent="0.45">
      <c r="B24" s="4" t="s">
        <v>170</v>
      </c>
      <c r="C24" s="162">
        <v>250</v>
      </c>
      <c r="D24" s="162">
        <v>248</v>
      </c>
      <c r="E24" s="163">
        <v>252</v>
      </c>
      <c r="F24" s="138"/>
      <c r="G24" s="138"/>
      <c r="H24" s="138"/>
      <c r="I24" s="138"/>
      <c r="J24" s="138"/>
      <c r="K24" s="35"/>
      <c r="L24" s="152"/>
    </row>
    <row r="25" spans="2:12" s="4" customFormat="1" ht="13.5" customHeight="1" x14ac:dyDescent="0.45">
      <c r="B25" s="12" t="s">
        <v>110</v>
      </c>
      <c r="C25" s="165">
        <f>+C24*AVERAGE(C22)</f>
        <v>1472591.3927033097</v>
      </c>
      <c r="D25" s="165">
        <f>+D24*AVERAGE(C22:D22)</f>
        <v>1628927.1175187889</v>
      </c>
      <c r="E25" s="181">
        <f>+E24*AVERAGE(D22:E22)</f>
        <v>1911061.1353363986</v>
      </c>
      <c r="F25" s="165"/>
      <c r="G25" s="165"/>
      <c r="H25" s="165"/>
      <c r="I25" s="165"/>
      <c r="J25" s="165"/>
      <c r="K25" s="35"/>
      <c r="L25" s="152"/>
    </row>
    <row r="26" spans="2:12" s="4" customFormat="1" ht="13.5" customHeight="1" x14ac:dyDescent="0.45">
      <c r="C26" s="137"/>
      <c r="D26" s="137"/>
      <c r="E26" s="155"/>
      <c r="F26" s="137"/>
      <c r="G26" s="137"/>
      <c r="H26" s="137"/>
      <c r="I26" s="137"/>
      <c r="J26" s="137"/>
      <c r="K26" s="35"/>
      <c r="L26" s="152"/>
    </row>
    <row r="27" spans="2:12" s="4" customFormat="1" ht="13.5" customHeight="1" x14ac:dyDescent="0.45">
      <c r="B27" s="4" t="s">
        <v>116</v>
      </c>
      <c r="C27" s="214"/>
      <c r="D27" s="214">
        <f>+D16/D14</f>
        <v>0.16700000000000001</v>
      </c>
      <c r="E27" s="215">
        <f>+E16/E14</f>
        <v>0.189</v>
      </c>
      <c r="F27" s="197"/>
      <c r="G27" s="197"/>
      <c r="H27" s="197"/>
      <c r="I27" s="197"/>
      <c r="J27" s="197"/>
      <c r="K27" s="35"/>
      <c r="L27" s="152"/>
    </row>
    <row r="28" spans="2:12" s="4" customFormat="1" ht="13.5" customHeight="1" x14ac:dyDescent="0.45">
      <c r="C28" s="137"/>
      <c r="D28" s="137"/>
      <c r="E28" s="155"/>
      <c r="F28" s="137"/>
      <c r="G28" s="137"/>
      <c r="H28" s="137"/>
      <c r="I28" s="137"/>
      <c r="J28" s="137"/>
      <c r="K28" s="35"/>
      <c r="L28" s="152"/>
    </row>
    <row r="29" spans="2:12" s="4" customFormat="1" ht="13.5" customHeight="1" x14ac:dyDescent="0.45">
      <c r="C29" s="137"/>
      <c r="D29" s="137"/>
      <c r="E29" s="155"/>
      <c r="F29" s="137"/>
      <c r="G29" s="137"/>
      <c r="H29" s="137"/>
      <c r="I29" s="137"/>
      <c r="J29" s="137"/>
      <c r="K29" s="35"/>
      <c r="L29" s="152"/>
    </row>
    <row r="30" spans="2:12" s="4" customFormat="1" ht="13.5" customHeight="1" x14ac:dyDescent="0.45">
      <c r="B30" s="8" t="s">
        <v>117</v>
      </c>
      <c r="C30" s="30">
        <f>+D30-1</f>
        <v>-2</v>
      </c>
      <c r="D30" s="30">
        <f>+E30-1</f>
        <v>-1</v>
      </c>
      <c r="E30" s="69">
        <v>0</v>
      </c>
      <c r="F30" s="30">
        <v>1</v>
      </c>
      <c r="G30" s="30">
        <f>F30+1</f>
        <v>2</v>
      </c>
      <c r="H30" s="30">
        <f>G30+1</f>
        <v>3</v>
      </c>
      <c r="I30" s="30">
        <f>H30+1</f>
        <v>4</v>
      </c>
      <c r="J30" s="30">
        <f>I30+1</f>
        <v>5</v>
      </c>
      <c r="L30" s="146"/>
    </row>
    <row r="31" spans="2:12" s="4" customFormat="1" ht="13.5" customHeight="1" x14ac:dyDescent="0.45">
      <c r="B31" s="136" t="s">
        <v>121</v>
      </c>
      <c r="C31" s="138"/>
      <c r="D31" s="137"/>
      <c r="E31" s="155"/>
      <c r="F31" s="137"/>
      <c r="G31" s="137"/>
      <c r="H31" s="137"/>
      <c r="I31" s="137"/>
      <c r="J31" s="137"/>
      <c r="K31" s="35"/>
      <c r="L31" s="152"/>
    </row>
    <row r="32" spans="2:12" s="4" customFormat="1" ht="13.5" customHeight="1" x14ac:dyDescent="0.45">
      <c r="B32" s="45" t="s">
        <v>112</v>
      </c>
      <c r="C32" s="138"/>
      <c r="D32" s="137">
        <f>+C35</f>
        <v>3505699</v>
      </c>
      <c r="E32" s="155">
        <f t="shared" ref="E32" si="4">+D35</f>
        <v>5665304.5457586208</v>
      </c>
      <c r="F32" s="137"/>
      <c r="G32" s="137"/>
      <c r="H32" s="137"/>
      <c r="I32" s="137"/>
      <c r="J32" s="137"/>
      <c r="K32" s="35"/>
      <c r="L32" s="152"/>
    </row>
    <row r="33" spans="2:12" s="4" customFormat="1" ht="13.5" customHeight="1" x14ac:dyDescent="0.45">
      <c r="B33" s="45" t="s">
        <v>113</v>
      </c>
      <c r="C33" s="138"/>
      <c r="D33" s="137">
        <f>+D43</f>
        <v>2731034.4827586208</v>
      </c>
      <c r="E33" s="155">
        <f t="shared" ref="E33" si="5">+E43</f>
        <v>2471860.0953895068</v>
      </c>
      <c r="F33" s="137"/>
      <c r="G33" s="137"/>
      <c r="H33" s="137"/>
      <c r="I33" s="137"/>
      <c r="J33" s="137"/>
      <c r="K33" s="35"/>
      <c r="L33" s="152"/>
    </row>
    <row r="34" spans="2:12" s="4" customFormat="1" ht="13.5" customHeight="1" x14ac:dyDescent="0.45">
      <c r="B34" s="45" t="s">
        <v>114</v>
      </c>
      <c r="C34" s="138"/>
      <c r="D34" s="162">
        <v>571428.93700000003</v>
      </c>
      <c r="E34" s="163">
        <v>974432.3818704827</v>
      </c>
      <c r="F34" s="137"/>
      <c r="G34" s="137"/>
      <c r="H34" s="137"/>
      <c r="I34" s="137"/>
      <c r="J34" s="137"/>
      <c r="K34" s="35"/>
      <c r="L34" s="152"/>
    </row>
    <row r="35" spans="2:12" s="4" customFormat="1" ht="13.5" customHeight="1" x14ac:dyDescent="0.45">
      <c r="B35" s="12" t="s">
        <v>115</v>
      </c>
      <c r="C35" s="164">
        <v>3505699</v>
      </c>
      <c r="D35" s="165">
        <f>D32+D33-D34</f>
        <v>5665304.5457586208</v>
      </c>
      <c r="E35" s="181">
        <f t="shared" ref="E35" si="6">E32+E33-E34</f>
        <v>7162732.2592776446</v>
      </c>
      <c r="F35" s="165"/>
      <c r="G35" s="165"/>
      <c r="H35" s="165"/>
      <c r="I35" s="165"/>
      <c r="J35" s="165"/>
      <c r="K35" s="35"/>
      <c r="L35" s="152"/>
    </row>
    <row r="36" spans="2:12" s="4" customFormat="1" ht="13.5" customHeight="1" x14ac:dyDescent="0.45">
      <c r="B36" s="37" t="s">
        <v>108</v>
      </c>
      <c r="C36" s="137"/>
      <c r="D36" s="174">
        <f>+D35/C35-1</f>
        <v>0.61602708782431725</v>
      </c>
      <c r="E36" s="183">
        <f t="shared" ref="E36" si="7">+E35/D35-1</f>
        <v>0.26431548408815653</v>
      </c>
      <c r="F36" s="174"/>
      <c r="G36" s="174"/>
      <c r="H36" s="174"/>
      <c r="I36" s="174"/>
      <c r="J36" s="174"/>
      <c r="K36" s="35"/>
      <c r="L36" s="152"/>
    </row>
    <row r="37" spans="2:12" s="4" customFormat="1" ht="13.5" customHeight="1" x14ac:dyDescent="0.45">
      <c r="C37" s="137"/>
      <c r="D37" s="137"/>
      <c r="E37" s="155"/>
      <c r="F37" s="137"/>
      <c r="G37" s="137"/>
      <c r="H37" s="137"/>
      <c r="I37" s="137"/>
      <c r="J37" s="137"/>
      <c r="K37" s="35"/>
      <c r="L37" s="152"/>
    </row>
    <row r="38" spans="2:12" s="4" customFormat="1" ht="13.5" customHeight="1" x14ac:dyDescent="0.45">
      <c r="B38" s="4" t="s">
        <v>118</v>
      </c>
      <c r="C38" s="166">
        <v>5.2</v>
      </c>
      <c r="D38" s="166">
        <v>6.9</v>
      </c>
      <c r="E38" s="187">
        <v>8</v>
      </c>
      <c r="F38" s="168"/>
      <c r="G38" s="168"/>
      <c r="H38" s="168"/>
      <c r="I38" s="168"/>
      <c r="J38" s="168"/>
      <c r="K38" s="35"/>
      <c r="L38" s="152"/>
    </row>
    <row r="39" spans="2:12" s="4" customFormat="1" ht="13.5" customHeight="1" x14ac:dyDescent="0.45">
      <c r="B39" s="4" t="s">
        <v>119</v>
      </c>
      <c r="C39" s="159">
        <v>14.5</v>
      </c>
      <c r="D39" s="159">
        <v>17.25</v>
      </c>
      <c r="E39" s="182">
        <v>18.87</v>
      </c>
      <c r="F39" s="157"/>
      <c r="G39" s="157"/>
      <c r="H39" s="157"/>
      <c r="I39" s="157"/>
      <c r="J39" s="157"/>
      <c r="K39" s="35"/>
      <c r="L39" s="152"/>
    </row>
    <row r="40" spans="2:12" s="4" customFormat="1" ht="13.5" customHeight="1" x14ac:dyDescent="0.45">
      <c r="B40" s="12" t="s">
        <v>122</v>
      </c>
      <c r="C40" s="165">
        <f>+C38*1000000/C39</f>
        <v>358620.68965517241</v>
      </c>
      <c r="D40" s="165">
        <f>+D38*1000000/D39</f>
        <v>400000</v>
      </c>
      <c r="E40" s="181">
        <f>+E38*1000000/E39</f>
        <v>423953.36512983567</v>
      </c>
      <c r="F40" s="165"/>
      <c r="G40" s="165"/>
      <c r="H40" s="165"/>
      <c r="I40" s="165"/>
      <c r="J40" s="165"/>
      <c r="K40" s="35"/>
      <c r="L40" s="152"/>
    </row>
    <row r="41" spans="2:12" s="4" customFormat="1" ht="13.5" customHeight="1" x14ac:dyDescent="0.45">
      <c r="C41" s="137"/>
      <c r="D41" s="137"/>
      <c r="E41" s="155"/>
      <c r="F41" s="137"/>
      <c r="G41" s="137"/>
      <c r="H41" s="137"/>
      <c r="I41" s="137"/>
      <c r="J41" s="137"/>
      <c r="K41" s="35"/>
      <c r="L41" s="152"/>
    </row>
    <row r="42" spans="2:12" s="4" customFormat="1" ht="13.5" customHeight="1" x14ac:dyDescent="0.45">
      <c r="B42" s="4" t="s">
        <v>171</v>
      </c>
      <c r="C42" s="96">
        <v>8</v>
      </c>
      <c r="D42" s="96">
        <v>7.2</v>
      </c>
      <c r="E42" s="161">
        <v>6</v>
      </c>
      <c r="F42" s="79"/>
      <c r="G42" s="79"/>
      <c r="H42" s="79"/>
      <c r="I42" s="79"/>
      <c r="J42" s="79"/>
      <c r="K42" s="35"/>
      <c r="L42" s="152"/>
    </row>
    <row r="43" spans="2:12" s="4" customFormat="1" ht="13.5" customHeight="1" x14ac:dyDescent="0.45">
      <c r="B43" s="12" t="s">
        <v>123</v>
      </c>
      <c r="C43" s="165">
        <f>+C42*AVERAGE(C40)</f>
        <v>2868965.5172413792</v>
      </c>
      <c r="D43" s="165">
        <f t="shared" ref="D43:E43" si="8">+D42*AVERAGE(C40:D40)</f>
        <v>2731034.4827586208</v>
      </c>
      <c r="E43" s="181">
        <f t="shared" si="8"/>
        <v>2471860.0953895068</v>
      </c>
      <c r="F43" s="165"/>
      <c r="G43" s="165"/>
      <c r="H43" s="165"/>
      <c r="I43" s="165"/>
      <c r="J43" s="165"/>
      <c r="K43" s="35"/>
      <c r="L43" s="152"/>
    </row>
    <row r="44" spans="2:12" s="4" customFormat="1" ht="13.5" customHeight="1" x14ac:dyDescent="0.45">
      <c r="C44" s="137"/>
      <c r="D44" s="137"/>
      <c r="E44" s="155"/>
      <c r="F44" s="137"/>
      <c r="G44" s="137"/>
      <c r="H44" s="137"/>
      <c r="I44" s="137"/>
      <c r="J44" s="137"/>
      <c r="K44" s="35"/>
      <c r="L44" s="152"/>
    </row>
    <row r="45" spans="2:12" s="4" customFormat="1" ht="13.5" customHeight="1" x14ac:dyDescent="0.45">
      <c r="B45" s="4" t="s">
        <v>116</v>
      </c>
      <c r="C45" s="214"/>
      <c r="D45" s="214">
        <f>+D34/D32</f>
        <v>0.16300000000000001</v>
      </c>
      <c r="E45" s="215">
        <f>+E34/E32</f>
        <v>0.17199999999999999</v>
      </c>
      <c r="F45" s="214"/>
      <c r="G45" s="214"/>
      <c r="H45" s="214"/>
      <c r="I45" s="214"/>
      <c r="J45" s="214"/>
      <c r="K45" s="35"/>
      <c r="L45" s="152"/>
    </row>
    <row r="46" spans="2:12" s="4" customFormat="1" ht="13.5" customHeight="1" x14ac:dyDescent="0.45">
      <c r="C46" s="137"/>
      <c r="D46" s="137"/>
      <c r="E46" s="155"/>
      <c r="F46" s="137"/>
      <c r="G46" s="137"/>
      <c r="H46" s="137"/>
      <c r="I46" s="137"/>
      <c r="J46" s="137"/>
      <c r="K46" s="35"/>
      <c r="L46" s="152"/>
    </row>
    <row r="47" spans="2:12" s="2" customFormat="1" x14ac:dyDescent="0.4">
      <c r="E47" s="56"/>
      <c r="L47" s="145"/>
    </row>
    <row r="48" spans="2:12" s="2" customFormat="1" x14ac:dyDescent="0.4">
      <c r="E48" s="56"/>
      <c r="L48" s="145"/>
    </row>
    <row r="49" spans="5:12" s="2" customFormat="1" x14ac:dyDescent="0.4">
      <c r="E49" s="56"/>
      <c r="L49" s="145"/>
    </row>
  </sheetData>
  <pageMargins left="0.7" right="0.7" top="0.75" bottom="0.75" header="0.3" footer="0.3"/>
  <pageSetup scale="63" orientation="portrait" r:id="rId1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C296-DCE3-4686-9AE2-28368FB02D8D}">
  <sheetPr>
    <tabColor theme="7" tint="0.39997558519241921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6DE5-CA0A-449F-9305-9AE8C8602974}">
  <dimension ref="A1:Q187"/>
  <sheetViews>
    <sheetView showGridLines="0" tabSelected="1" view="pageBreakPreview" topLeftCell="A20" zoomScale="130" zoomScaleNormal="140" zoomScaleSheetLayoutView="130" workbookViewId="0"/>
  </sheetViews>
  <sheetFormatPr defaultColWidth="9.1328125" defaultRowHeight="13.15" x14ac:dyDescent="0.4"/>
  <cols>
    <col min="1" max="1" width="5.19921875" style="2" customWidth="1"/>
    <col min="2" max="2" width="25.59765625" style="2" customWidth="1"/>
    <col min="3" max="10" width="11.265625" style="2" customWidth="1"/>
    <col min="11" max="11" width="6.06640625" style="2" customWidth="1"/>
    <col min="12" max="12" width="9.1328125" style="145"/>
    <col min="13" max="17" width="9.1328125" style="2" customWidth="1"/>
    <col min="18" max="20" width="9.1328125" style="1" customWidth="1"/>
    <col min="21" max="16384" width="9.1328125" style="1"/>
  </cols>
  <sheetData>
    <row r="1" spans="2:17" x14ac:dyDescent="0.4">
      <c r="B1" s="3"/>
    </row>
    <row r="2" spans="2:17" s="4" customFormat="1" ht="13.5" customHeight="1" x14ac:dyDescent="0.45">
      <c r="B2" s="5" t="s">
        <v>0</v>
      </c>
      <c r="C2" s="5"/>
      <c r="D2" s="5"/>
      <c r="E2" s="6"/>
      <c r="F2" s="6"/>
      <c r="G2" s="6"/>
      <c r="H2" s="6"/>
      <c r="I2" s="6"/>
      <c r="J2" s="7" t="s">
        <v>31</v>
      </c>
      <c r="L2" s="146"/>
    </row>
    <row r="3" spans="2:17" s="4" customFormat="1" ht="13.5" customHeight="1" x14ac:dyDescent="0.45">
      <c r="B3" s="8" t="s">
        <v>70</v>
      </c>
      <c r="C3" s="8"/>
      <c r="D3" s="8"/>
      <c r="E3" s="8"/>
      <c r="G3" s="8" t="s">
        <v>84</v>
      </c>
      <c r="H3" s="8"/>
      <c r="I3" s="8"/>
      <c r="J3" s="8"/>
      <c r="L3" s="146"/>
    </row>
    <row r="4" spans="2:17" s="4" customFormat="1" ht="13.5" customHeight="1" x14ac:dyDescent="0.45">
      <c r="C4" s="9" t="s">
        <v>47</v>
      </c>
      <c r="D4" s="9" t="s">
        <v>48</v>
      </c>
      <c r="E4" s="9" t="s">
        <v>0</v>
      </c>
      <c r="F4" s="9"/>
      <c r="G4" s="4" t="s">
        <v>136</v>
      </c>
      <c r="J4" s="42">
        <v>4.2999999999999997E-2</v>
      </c>
      <c r="L4" s="146"/>
    </row>
    <row r="5" spans="2:17" s="4" customFormat="1" ht="13.5" customHeight="1" x14ac:dyDescent="0.45">
      <c r="B5" s="4" t="s">
        <v>134</v>
      </c>
      <c r="C5" s="51">
        <f>E78</f>
        <v>19.633793662974362</v>
      </c>
      <c r="G5" s="4" t="s">
        <v>138</v>
      </c>
      <c r="J5" s="42">
        <v>0</v>
      </c>
      <c r="L5" s="147"/>
    </row>
    <row r="6" spans="2:17" s="4" customFormat="1" ht="13.5" customHeight="1" x14ac:dyDescent="0.45">
      <c r="B6" s="4" t="s">
        <v>1</v>
      </c>
      <c r="C6" s="97">
        <v>15</v>
      </c>
      <c r="D6" s="10"/>
      <c r="G6" s="4" t="s">
        <v>141</v>
      </c>
      <c r="J6" s="42">
        <v>0.5</v>
      </c>
      <c r="L6" s="148"/>
      <c r="Q6" s="11"/>
    </row>
    <row r="7" spans="2:17" s="4" customFormat="1" ht="13.5" customHeight="1" x14ac:dyDescent="0.45">
      <c r="B7" s="12" t="s">
        <v>50</v>
      </c>
      <c r="C7" s="53">
        <f>C5*C6</f>
        <v>294.50690494461543</v>
      </c>
      <c r="D7" s="53">
        <f>C7</f>
        <v>294.50690494461543</v>
      </c>
      <c r="E7" s="14"/>
      <c r="G7" s="4" t="s">
        <v>137</v>
      </c>
      <c r="J7" s="42">
        <v>0</v>
      </c>
      <c r="L7" s="148"/>
      <c r="Q7" s="11"/>
    </row>
    <row r="8" spans="2:17" s="4" customFormat="1" ht="13.5" customHeight="1" x14ac:dyDescent="0.45">
      <c r="B8" s="52" t="s">
        <v>55</v>
      </c>
      <c r="C8" s="50">
        <f>+C105</f>
        <v>0</v>
      </c>
      <c r="D8" s="96">
        <v>0</v>
      </c>
      <c r="L8" s="149"/>
      <c r="Q8" s="11"/>
    </row>
    <row r="9" spans="2:17" s="4" customFormat="1" ht="13.5" customHeight="1" x14ac:dyDescent="0.45">
      <c r="B9" s="52" t="s">
        <v>52</v>
      </c>
      <c r="C9" s="50">
        <f>C95</f>
        <v>110.9</v>
      </c>
      <c r="D9" s="96">
        <v>110.9</v>
      </c>
      <c r="L9" s="147"/>
    </row>
    <row r="10" spans="2:17" s="4" customFormat="1" ht="13.5" customHeight="1" x14ac:dyDescent="0.45">
      <c r="B10" s="12" t="s">
        <v>49</v>
      </c>
      <c r="C10" s="53">
        <f>C7+C9-C8</f>
        <v>405.40690494461546</v>
      </c>
      <c r="D10" s="53">
        <f>D7+D9-D8</f>
        <v>405.40690494461546</v>
      </c>
      <c r="E10" s="14"/>
      <c r="L10" s="146"/>
    </row>
    <row r="11" spans="2:17" s="4" customFormat="1" ht="13.5" customHeight="1" x14ac:dyDescent="0.45">
      <c r="B11" s="52" t="s">
        <v>80</v>
      </c>
      <c r="C11" s="50"/>
      <c r="D11" s="79">
        <f>+E11*D7</f>
        <v>1.4725345247230772</v>
      </c>
      <c r="E11" s="42">
        <v>5.0000000000000001E-3</v>
      </c>
      <c r="L11" s="147"/>
    </row>
    <row r="12" spans="2:17" s="4" customFormat="1" ht="13.5" customHeight="1" x14ac:dyDescent="0.45">
      <c r="B12" s="52" t="s">
        <v>54</v>
      </c>
      <c r="C12" s="50"/>
      <c r="D12" s="79">
        <f>+E12*D8</f>
        <v>0</v>
      </c>
      <c r="E12" s="42">
        <v>0</v>
      </c>
      <c r="L12" s="147"/>
    </row>
    <row r="13" spans="2:17" s="4" customFormat="1" ht="13.5" customHeight="1" x14ac:dyDescent="0.45">
      <c r="B13" s="12" t="s">
        <v>78</v>
      </c>
      <c r="C13" s="53"/>
      <c r="D13" s="53">
        <f>+D10+D11+D12</f>
        <v>406.87943946933854</v>
      </c>
      <c r="E13" s="14"/>
      <c r="L13" s="146"/>
    </row>
    <row r="14" spans="2:17" s="4" customFormat="1" ht="13.5" customHeight="1" x14ac:dyDescent="0.45">
      <c r="B14" s="16"/>
      <c r="C14" s="90"/>
      <c r="D14" s="90"/>
      <c r="E14" s="112"/>
      <c r="L14" s="146"/>
    </row>
    <row r="15" spans="2:17" s="4" customFormat="1" ht="13.5" customHeight="1" x14ac:dyDescent="0.45">
      <c r="L15" s="146"/>
      <c r="Q15" s="11"/>
    </row>
    <row r="16" spans="2:17" s="4" customFormat="1" ht="13.5" customHeight="1" x14ac:dyDescent="0.45">
      <c r="B16" s="5" t="s">
        <v>3</v>
      </c>
      <c r="C16" s="5"/>
      <c r="D16" s="5"/>
      <c r="E16" s="6"/>
      <c r="F16" s="6"/>
      <c r="G16" s="6"/>
      <c r="H16" s="6"/>
      <c r="I16" s="6"/>
      <c r="J16" s="7" t="s">
        <v>31</v>
      </c>
      <c r="L16" s="146"/>
      <c r="M16" s="16"/>
    </row>
    <row r="17" spans="1:17" s="4" customFormat="1" ht="13.5" customHeight="1" x14ac:dyDescent="0.45">
      <c r="B17" s="8" t="s">
        <v>4</v>
      </c>
      <c r="C17" s="8"/>
      <c r="D17" s="8"/>
      <c r="G17" s="8" t="s">
        <v>5</v>
      </c>
      <c r="H17" s="8"/>
      <c r="I17" s="8"/>
      <c r="J17" s="8"/>
      <c r="L17" s="146"/>
    </row>
    <row r="18" spans="1:17" s="4" customFormat="1" ht="13.5" customHeight="1" x14ac:dyDescent="0.45">
      <c r="B18" s="4" t="s">
        <v>45</v>
      </c>
      <c r="D18" s="51">
        <f>+D8</f>
        <v>0</v>
      </c>
      <c r="G18" s="4" t="s">
        <v>79</v>
      </c>
      <c r="J18" s="54">
        <f>+SUM(D35:D37)-SUM(H35:H37)</f>
        <v>61.945107713681296</v>
      </c>
      <c r="L18" s="146"/>
    </row>
    <row r="19" spans="1:17" s="4" customFormat="1" ht="13.5" customHeight="1" x14ac:dyDescent="0.45">
      <c r="B19" s="4" t="s">
        <v>46</v>
      </c>
      <c r="D19" s="94">
        <f>+J19</f>
        <v>343.46179723093422</v>
      </c>
      <c r="G19" s="4" t="s">
        <v>46</v>
      </c>
      <c r="J19" s="94">
        <f>SUM(H35:H37)</f>
        <v>343.46179723093422</v>
      </c>
      <c r="L19" s="146"/>
    </row>
    <row r="20" spans="1:17" s="4" customFormat="1" ht="13.5" customHeight="1" x14ac:dyDescent="0.45">
      <c r="B20" s="4" t="s">
        <v>44</v>
      </c>
      <c r="D20" s="94">
        <f>+J24-D19-D18</f>
        <v>63.417642238404369</v>
      </c>
      <c r="G20" s="4" t="s">
        <v>81</v>
      </c>
      <c r="J20" s="94">
        <f>+D9-C9</f>
        <v>0</v>
      </c>
      <c r="L20" s="146"/>
    </row>
    <row r="21" spans="1:17" s="4" customFormat="1" ht="13.5" customHeight="1" x14ac:dyDescent="0.45">
      <c r="D21" s="94"/>
      <c r="G21" s="4" t="s">
        <v>69</v>
      </c>
      <c r="J21" s="94">
        <f>+D11</f>
        <v>1.4725345247230772</v>
      </c>
      <c r="L21" s="146"/>
    </row>
    <row r="22" spans="1:17" s="4" customFormat="1" ht="13.5" customHeight="1" x14ac:dyDescent="0.45">
      <c r="D22" s="94"/>
      <c r="G22" s="4" t="s">
        <v>40</v>
      </c>
      <c r="J22" s="94">
        <f>+D12</f>
        <v>0</v>
      </c>
      <c r="L22" s="146"/>
    </row>
    <row r="23" spans="1:17" s="4" customFormat="1" ht="13.5" customHeight="1" x14ac:dyDescent="0.45">
      <c r="D23" s="94"/>
      <c r="J23" s="94"/>
      <c r="L23" s="146"/>
    </row>
    <row r="24" spans="1:17" s="4" customFormat="1" ht="13.5" customHeight="1" x14ac:dyDescent="0.45">
      <c r="B24" s="12" t="s">
        <v>6</v>
      </c>
      <c r="C24" s="12"/>
      <c r="D24" s="53">
        <f>SUM(D18:D23)</f>
        <v>406.87943946933859</v>
      </c>
      <c r="G24" s="12" t="s">
        <v>7</v>
      </c>
      <c r="H24" s="13"/>
      <c r="I24" s="13"/>
      <c r="J24" s="53">
        <f>SUM(J18:J23)</f>
        <v>406.87943946933859</v>
      </c>
      <c r="L24" s="146"/>
    </row>
    <row r="25" spans="1:17" s="46" customFormat="1" ht="13.5" customHeight="1" x14ac:dyDescent="0.45">
      <c r="A25" s="37"/>
      <c r="B25" s="37" t="s">
        <v>98</v>
      </c>
      <c r="C25" s="37"/>
      <c r="D25" s="135">
        <f>+D24-J24</f>
        <v>0</v>
      </c>
      <c r="E25" s="37"/>
      <c r="F25" s="37"/>
      <c r="G25" s="37"/>
      <c r="H25" s="37"/>
      <c r="I25" s="37"/>
      <c r="J25" s="37"/>
      <c r="K25" s="37"/>
      <c r="L25" s="150"/>
      <c r="M25" s="37"/>
      <c r="N25" s="37"/>
      <c r="O25" s="37"/>
      <c r="P25" s="37"/>
      <c r="Q25" s="37"/>
    </row>
    <row r="26" spans="1:17" s="46" customFormat="1" ht="13.5" customHeight="1" x14ac:dyDescent="0.45">
      <c r="A26" s="37"/>
      <c r="B26" s="37" t="s">
        <v>97</v>
      </c>
      <c r="C26" s="37"/>
      <c r="D26" s="135">
        <f>+D20-H34</f>
        <v>0</v>
      </c>
      <c r="E26" s="37"/>
      <c r="F26" s="37"/>
      <c r="G26" s="37"/>
      <c r="H26" s="37"/>
      <c r="I26" s="37"/>
      <c r="J26" s="37"/>
      <c r="K26" s="37"/>
      <c r="L26" s="150"/>
      <c r="M26" s="37"/>
      <c r="N26" s="37"/>
      <c r="O26" s="37"/>
      <c r="P26" s="37"/>
      <c r="Q26" s="37"/>
    </row>
    <row r="27" spans="1:17" s="19" customFormat="1" ht="13.5" customHeight="1" x14ac:dyDescent="0.4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146"/>
      <c r="M27" s="4"/>
      <c r="N27" s="4"/>
      <c r="O27" s="4"/>
      <c r="P27" s="4"/>
      <c r="Q27" s="4"/>
    </row>
    <row r="28" spans="1:17" s="19" customFormat="1" ht="13.5" customHeight="1" x14ac:dyDescent="0.45">
      <c r="A28" s="4"/>
      <c r="B28" s="8" t="s">
        <v>53</v>
      </c>
      <c r="C28" s="20"/>
      <c r="D28" s="20"/>
      <c r="E28" s="20"/>
      <c r="F28" s="8"/>
      <c r="G28" s="20"/>
      <c r="H28" s="20"/>
      <c r="I28" s="20"/>
      <c r="J28" s="20"/>
      <c r="K28" s="4"/>
      <c r="L28" s="146"/>
      <c r="M28" s="4"/>
      <c r="N28" s="4"/>
      <c r="O28" s="4"/>
      <c r="P28" s="4"/>
      <c r="Q28" s="4"/>
    </row>
    <row r="29" spans="1:17" s="19" customFormat="1" ht="13.5" customHeight="1" x14ac:dyDescent="0.45">
      <c r="A29" s="4"/>
      <c r="B29" s="21"/>
      <c r="D29" s="22" t="s">
        <v>47</v>
      </c>
      <c r="E29" s="22"/>
      <c r="F29" s="22"/>
      <c r="H29" s="22" t="s">
        <v>48</v>
      </c>
      <c r="I29" s="22"/>
      <c r="J29" s="22"/>
      <c r="K29" s="4"/>
      <c r="L29" s="146"/>
      <c r="M29" s="4"/>
      <c r="N29" s="4"/>
      <c r="O29" s="4"/>
      <c r="P29" s="4"/>
      <c r="Q29" s="4"/>
    </row>
    <row r="30" spans="1:17" s="19" customFormat="1" ht="13.5" customHeight="1" x14ac:dyDescent="0.45">
      <c r="A30" s="4"/>
      <c r="B30" s="21"/>
      <c r="D30" s="23" t="s">
        <v>56</v>
      </c>
      <c r="E30" s="23" t="s">
        <v>151</v>
      </c>
      <c r="F30" s="24" t="s">
        <v>96</v>
      </c>
      <c r="H30" s="23" t="s">
        <v>56</v>
      </c>
      <c r="I30" s="23" t="s">
        <v>151</v>
      </c>
      <c r="J30" s="24" t="s">
        <v>96</v>
      </c>
      <c r="K30" s="4"/>
      <c r="L30" s="146"/>
      <c r="M30" s="4"/>
      <c r="N30" s="4"/>
      <c r="O30" s="4"/>
      <c r="P30" s="4"/>
      <c r="Q30" s="4"/>
    </row>
    <row r="31" spans="1:17" s="19" customFormat="1" ht="13.5" customHeight="1" x14ac:dyDescent="0.45">
      <c r="A31" s="4"/>
      <c r="B31" s="52" t="s">
        <v>149</v>
      </c>
      <c r="D31" s="99">
        <f>+E31*D$41/1000000</f>
        <v>0</v>
      </c>
      <c r="E31" s="101">
        <v>0</v>
      </c>
      <c r="F31" s="92">
        <f t="shared" ref="F31:F39" si="0">+E31/E$39</f>
        <v>0</v>
      </c>
      <c r="H31" s="212">
        <f>J20</f>
        <v>0</v>
      </c>
      <c r="I31" s="25">
        <f>+H31*1000000/H$41</f>
        <v>0</v>
      </c>
      <c r="J31" s="92">
        <f>+I31/I$39</f>
        <v>0</v>
      </c>
      <c r="K31" s="4"/>
      <c r="L31" s="146"/>
      <c r="M31" s="4"/>
      <c r="N31" s="4"/>
      <c r="O31" s="4"/>
      <c r="P31" s="4"/>
      <c r="Q31" s="4"/>
    </row>
    <row r="32" spans="1:17" s="19" customFormat="1" ht="13.5" customHeight="1" x14ac:dyDescent="0.45">
      <c r="A32" s="4"/>
      <c r="B32" s="52" t="s">
        <v>76</v>
      </c>
      <c r="D32" s="100">
        <f>+E32*D$41/1000000</f>
        <v>0</v>
      </c>
      <c r="E32" s="101">
        <v>0</v>
      </c>
      <c r="F32" s="92">
        <f t="shared" si="0"/>
        <v>0</v>
      </c>
      <c r="H32" s="191">
        <f>D35-H35+D36-H36+D37-H37</f>
        <v>61.945107713681267</v>
      </c>
      <c r="I32" s="25">
        <f>+H32*1000000/H$41</f>
        <v>1300000.0000000002</v>
      </c>
      <c r="J32" s="92">
        <f>+I32/I$39</f>
        <v>0.14622708039492247</v>
      </c>
      <c r="K32" s="4"/>
      <c r="L32" s="146"/>
      <c r="M32" s="4"/>
      <c r="N32" s="4"/>
      <c r="O32" s="4"/>
      <c r="P32" s="4"/>
      <c r="Q32" s="4"/>
    </row>
    <row r="33" spans="1:17" s="19" customFormat="1" ht="13.5" customHeight="1" x14ac:dyDescent="0.45">
      <c r="A33" s="4"/>
      <c r="B33" s="52" t="s">
        <v>148</v>
      </c>
      <c r="D33" s="106">
        <v>0</v>
      </c>
      <c r="E33" s="101">
        <v>0</v>
      </c>
      <c r="F33" s="92">
        <f t="shared" si="0"/>
        <v>0</v>
      </c>
      <c r="H33" s="191">
        <f>J21+J22</f>
        <v>1.4725345247230772</v>
      </c>
      <c r="I33" s="101">
        <v>0</v>
      </c>
      <c r="J33" s="92">
        <f>+I33/I$39</f>
        <v>0</v>
      </c>
      <c r="K33" s="4"/>
      <c r="L33" s="146"/>
      <c r="M33" s="4"/>
      <c r="N33" s="4"/>
      <c r="O33" s="4"/>
      <c r="P33" s="4"/>
      <c r="Q33" s="4"/>
    </row>
    <row r="34" spans="1:17" s="19" customFormat="1" ht="13.5" customHeight="1" x14ac:dyDescent="0.45">
      <c r="A34" s="4"/>
      <c r="B34" s="26" t="s">
        <v>83</v>
      </c>
      <c r="C34" s="105"/>
      <c r="D34" s="91">
        <f>SUM(D31:D33)</f>
        <v>0</v>
      </c>
      <c r="E34" s="28">
        <f>SUM(E31:E33)</f>
        <v>0</v>
      </c>
      <c r="F34" s="93">
        <f t="shared" si="0"/>
        <v>0</v>
      </c>
      <c r="G34" s="105"/>
      <c r="H34" s="91">
        <f>SUM(H31:H33)</f>
        <v>63.417642238404348</v>
      </c>
      <c r="I34" s="28">
        <f>SUM(I31:I33)</f>
        <v>1300000.0000000002</v>
      </c>
      <c r="J34" s="93">
        <f>+I34/I$39</f>
        <v>0.14622708039492247</v>
      </c>
      <c r="K34" s="4"/>
      <c r="L34" s="151"/>
      <c r="M34" s="4"/>
      <c r="N34" s="4"/>
      <c r="O34" s="4"/>
      <c r="P34" s="4"/>
      <c r="Q34" s="4"/>
    </row>
    <row r="35" spans="1:17" s="19" customFormat="1" ht="13.5" customHeight="1" x14ac:dyDescent="0.45">
      <c r="A35" s="4"/>
      <c r="B35" s="52" t="s">
        <v>139</v>
      </c>
      <c r="D35" s="100">
        <f>+E35*D$41/1000000</f>
        <v>257.31044742606059</v>
      </c>
      <c r="E35" s="101">
        <v>5400000</v>
      </c>
      <c r="F35" s="92">
        <f t="shared" si="0"/>
        <v>0.63469675599435826</v>
      </c>
      <c r="H35" s="100">
        <f>+I35*H$41/1000000</f>
        <v>257.31044742606059</v>
      </c>
      <c r="I35" s="134">
        <f>+E35*(1-J5)</f>
        <v>5400000</v>
      </c>
      <c r="J35" s="92">
        <f>+I35/I$39</f>
        <v>0.60740479548660087</v>
      </c>
      <c r="K35" s="4"/>
      <c r="L35" s="146"/>
      <c r="M35" s="4"/>
      <c r="N35" s="4"/>
      <c r="O35" s="4"/>
      <c r="P35" s="4"/>
      <c r="Q35" s="4"/>
    </row>
    <row r="36" spans="1:17" s="19" customFormat="1" ht="13.5" customHeight="1" x14ac:dyDescent="0.45">
      <c r="A36" s="4"/>
      <c r="B36" s="52" t="s">
        <v>140</v>
      </c>
      <c r="D36" s="100">
        <f>+E36*D$41/1000000</f>
        <v>123.89021542736252</v>
      </c>
      <c r="E36" s="101">
        <v>2600000</v>
      </c>
      <c r="F36" s="92">
        <f t="shared" si="0"/>
        <v>0.305594734367654</v>
      </c>
      <c r="H36" s="100">
        <f>+I36*H$41/1000000</f>
        <v>61.94510771368126</v>
      </c>
      <c r="I36" s="134">
        <f>+E36*(1-J6)</f>
        <v>1300000</v>
      </c>
      <c r="J36" s="92">
        <f t="shared" ref="J36:J38" si="1">+I36/I$39</f>
        <v>0.14622708039492244</v>
      </c>
      <c r="K36" s="4"/>
      <c r="L36" s="146"/>
      <c r="M36" s="4"/>
      <c r="N36" s="4"/>
      <c r="O36" s="4"/>
      <c r="P36" s="4"/>
      <c r="Q36" s="4"/>
    </row>
    <row r="37" spans="1:17" s="19" customFormat="1" ht="13.5" customHeight="1" x14ac:dyDescent="0.45">
      <c r="A37" s="4"/>
      <c r="B37" s="52" t="s">
        <v>135</v>
      </c>
      <c r="D37" s="100">
        <f>+E37*D$41/1000000</f>
        <v>24.206242091192369</v>
      </c>
      <c r="E37" s="101">
        <v>508000</v>
      </c>
      <c r="F37" s="92">
        <f t="shared" si="0"/>
        <v>5.9708509637987774E-2</v>
      </c>
      <c r="H37" s="100">
        <f>+I37*H$41/1000000</f>
        <v>24.206242091192369</v>
      </c>
      <c r="I37" s="134">
        <f>+E37*(1-J7)</f>
        <v>508000</v>
      </c>
      <c r="J37" s="92">
        <f t="shared" ref="J37" si="2">+I37/I$39</f>
        <v>5.7141043723554309E-2</v>
      </c>
      <c r="K37" s="4"/>
      <c r="L37" s="146"/>
      <c r="M37" s="4"/>
      <c r="N37" s="4"/>
      <c r="O37" s="4"/>
      <c r="P37" s="4"/>
      <c r="Q37" s="4"/>
    </row>
    <row r="38" spans="1:17" s="19" customFormat="1" ht="13.5" customHeight="1" x14ac:dyDescent="0.45">
      <c r="A38" s="4"/>
      <c r="B38" s="52" t="s">
        <v>136</v>
      </c>
      <c r="D38" s="100">
        <f>+E38*D$41/1000000</f>
        <v>0</v>
      </c>
      <c r="E38" s="101">
        <v>0</v>
      </c>
      <c r="F38" s="92">
        <f t="shared" si="0"/>
        <v>0</v>
      </c>
      <c r="H38" s="106">
        <v>0</v>
      </c>
      <c r="I38" s="123">
        <f>SUM(I34:I37)/(1-J4)*J4</f>
        <v>382282.13166144199</v>
      </c>
      <c r="J38" s="92">
        <f t="shared" si="1"/>
        <v>4.3000000000000003E-2</v>
      </c>
      <c r="K38" s="4"/>
      <c r="L38" s="146"/>
      <c r="M38" s="4"/>
      <c r="N38" s="4"/>
      <c r="O38" s="4"/>
      <c r="P38" s="4"/>
      <c r="Q38" s="4"/>
    </row>
    <row r="39" spans="1:17" s="19" customFormat="1" ht="13.5" customHeight="1" x14ac:dyDescent="0.45">
      <c r="A39" s="4"/>
      <c r="B39" s="26" t="s">
        <v>77</v>
      </c>
      <c r="C39" s="27"/>
      <c r="D39" s="133">
        <f>SUM(D34:D38)</f>
        <v>405.40690494461552</v>
      </c>
      <c r="E39" s="28">
        <f>SUM(E34:E38)</f>
        <v>8508000</v>
      </c>
      <c r="F39" s="93">
        <f t="shared" si="0"/>
        <v>1</v>
      </c>
      <c r="G39" s="27"/>
      <c r="H39" s="91">
        <f>SUM(H34:H38)</f>
        <v>406.87943946933859</v>
      </c>
      <c r="I39" s="28">
        <f>SUM(I34:I38)</f>
        <v>8890282.1316614412</v>
      </c>
      <c r="J39" s="93">
        <f>+I39/I$39</f>
        <v>1</v>
      </c>
      <c r="K39" s="4"/>
      <c r="L39" s="146"/>
      <c r="M39" s="4"/>
      <c r="N39" s="4"/>
      <c r="O39" s="4"/>
      <c r="P39" s="4"/>
      <c r="Q39" s="4"/>
    </row>
    <row r="40" spans="1:17" s="19" customFormat="1" ht="13.5" customHeight="1" x14ac:dyDescent="0.45">
      <c r="A40" s="4"/>
      <c r="B40" s="107"/>
      <c r="D40" s="107"/>
      <c r="E40" s="108"/>
      <c r="F40" s="109"/>
      <c r="G40" s="29"/>
      <c r="H40" s="107"/>
      <c r="I40" s="108"/>
      <c r="J40" s="109"/>
      <c r="K40" s="4"/>
      <c r="L40" s="146"/>
      <c r="M40" s="4"/>
      <c r="N40" s="4"/>
      <c r="O40" s="4"/>
      <c r="P40" s="4"/>
      <c r="Q40" s="4"/>
    </row>
    <row r="41" spans="1:17" s="19" customFormat="1" ht="13.5" customHeight="1" x14ac:dyDescent="0.45">
      <c r="A41" s="4"/>
      <c r="B41" s="4" t="s">
        <v>82</v>
      </c>
      <c r="D41" s="110">
        <f>+C10*1000000/E39</f>
        <v>47.650082856677891</v>
      </c>
      <c r="G41" s="4"/>
      <c r="H41" s="55">
        <f>+D41</f>
        <v>47.650082856677891</v>
      </c>
      <c r="I41" s="55"/>
      <c r="J41" s="4"/>
      <c r="K41" s="4"/>
      <c r="L41" s="146"/>
      <c r="M41" s="4"/>
      <c r="N41" s="4"/>
      <c r="O41" s="4"/>
      <c r="P41" s="4"/>
      <c r="Q41" s="4"/>
    </row>
    <row r="42" spans="1:17" s="19" customFormat="1" ht="13.5" customHeight="1" x14ac:dyDescent="0.4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46"/>
      <c r="M42" s="4"/>
      <c r="N42" s="4"/>
      <c r="O42" s="4"/>
      <c r="P42" s="4"/>
      <c r="Q42" s="4"/>
    </row>
    <row r="43" spans="1:17" s="19" customFormat="1" ht="13.5" customHeight="1" x14ac:dyDescent="0.45">
      <c r="A43" s="4"/>
      <c r="B43" s="4"/>
      <c r="C43" s="4"/>
      <c r="D43" s="4"/>
      <c r="E43" s="4"/>
      <c r="F43" s="4"/>
      <c r="G43" s="4"/>
      <c r="H43" s="55"/>
      <c r="I43" s="4"/>
      <c r="J43" s="4"/>
      <c r="K43" s="4"/>
      <c r="L43" s="146"/>
      <c r="M43" s="4"/>
      <c r="N43" s="4"/>
      <c r="O43" s="4"/>
      <c r="P43" s="4"/>
      <c r="Q43" s="4"/>
    </row>
    <row r="44" spans="1:17" s="4" customFormat="1" ht="13.5" customHeight="1" x14ac:dyDescent="0.45">
      <c r="B44" s="5" t="s">
        <v>2</v>
      </c>
      <c r="C44" s="5"/>
      <c r="D44" s="5"/>
      <c r="E44" s="57"/>
      <c r="F44" s="6"/>
      <c r="G44" s="6"/>
      <c r="H44" s="6"/>
      <c r="I44" s="6"/>
      <c r="J44" s="7" t="s">
        <v>31</v>
      </c>
      <c r="L44" s="146"/>
    </row>
    <row r="45" spans="1:17" s="4" customFormat="1" ht="13.5" customHeight="1" x14ac:dyDescent="0.45">
      <c r="B45" s="8" t="s">
        <v>8</v>
      </c>
      <c r="C45" s="30">
        <f>+D45-1</f>
        <v>-2</v>
      </c>
      <c r="D45" s="30">
        <f>+E45-1</f>
        <v>-1</v>
      </c>
      <c r="E45" s="69">
        <v>0</v>
      </c>
      <c r="F45" s="30">
        <v>1</v>
      </c>
      <c r="G45" s="30">
        <f>F45+1</f>
        <v>2</v>
      </c>
      <c r="H45" s="30">
        <f>G45+1</f>
        <v>3</v>
      </c>
      <c r="I45" s="30">
        <f>H45+1</f>
        <v>4</v>
      </c>
      <c r="J45" s="30">
        <f>I45+1</f>
        <v>5</v>
      </c>
      <c r="L45" s="146"/>
    </row>
    <row r="46" spans="1:17" s="4" customFormat="1" ht="13.5" customHeight="1" x14ac:dyDescent="0.45">
      <c r="B46" s="4" t="s">
        <v>90</v>
      </c>
      <c r="C46" s="51">
        <f>+'Revenue Build - End'!C21</f>
        <v>73.836296074709992</v>
      </c>
      <c r="D46" s="51">
        <f>+'Revenue Build - End'!D21</f>
        <v>92.488395802653002</v>
      </c>
      <c r="E46" s="78">
        <f>+'Revenue Build - End'!E21</f>
        <v>119.83782209874963</v>
      </c>
      <c r="F46" s="51">
        <f>+'Revenue Build - End'!F21</f>
        <v>148.79459011418356</v>
      </c>
      <c r="G46" s="51">
        <f>+'Revenue Build - End'!G21</f>
        <v>191.91399393511497</v>
      </c>
      <c r="H46" s="51">
        <f>+'Revenue Build - End'!H21</f>
        <v>242.33647568026922</v>
      </c>
      <c r="I46" s="51">
        <f>+'Revenue Build - End'!I21</f>
        <v>301.40047784296047</v>
      </c>
      <c r="J46" s="51">
        <f>+'Revenue Build - End'!J21</f>
        <v>370.68246528425971</v>
      </c>
      <c r="K46" s="55"/>
      <c r="L46" s="146"/>
      <c r="M46" s="16"/>
    </row>
    <row r="47" spans="1:17" s="4" customFormat="1" ht="13.5" customHeight="1" x14ac:dyDescent="0.45">
      <c r="B47" s="49" t="s">
        <v>89</v>
      </c>
      <c r="C47" s="124"/>
      <c r="D47" s="70">
        <f t="shared" ref="D47" si="3">D46/C46-1</f>
        <v>0.2526142387894188</v>
      </c>
      <c r="E47" s="71">
        <f>E46/D46-1</f>
        <v>0.29570657009181378</v>
      </c>
      <c r="F47" s="70">
        <f t="shared" ref="F47" si="4">F46/E46-1</f>
        <v>0.24163296285185143</v>
      </c>
      <c r="G47" s="70">
        <f t="shared" ref="G47" si="5">G46/F46-1</f>
        <v>0.28979147553578377</v>
      </c>
      <c r="H47" s="70">
        <f t="shared" ref="H47" si="6">H46/G46-1</f>
        <v>0.26273478401060113</v>
      </c>
      <c r="I47" s="70">
        <f t="shared" ref="I47" si="7">I46/H46-1</f>
        <v>0.24372724740215479</v>
      </c>
      <c r="J47" s="70">
        <f t="shared" ref="J47" si="8">J46/I46-1</f>
        <v>0.2298668798972423</v>
      </c>
      <c r="L47" s="146"/>
    </row>
    <row r="48" spans="1:17" s="4" customFormat="1" ht="13.5" customHeight="1" x14ac:dyDescent="0.45">
      <c r="B48" s="49"/>
      <c r="C48" s="124"/>
      <c r="D48" s="70"/>
      <c r="E48" s="71"/>
      <c r="F48" s="70"/>
      <c r="G48" s="70"/>
      <c r="H48" s="70"/>
      <c r="I48" s="70"/>
      <c r="J48" s="70"/>
      <c r="K48" s="70"/>
      <c r="L48" s="146"/>
    </row>
    <row r="49" spans="2:13" s="4" customFormat="1" ht="13.5" customHeight="1" x14ac:dyDescent="0.45">
      <c r="B49" s="4" t="s">
        <v>131</v>
      </c>
      <c r="C49" s="51">
        <f t="shared" ref="C49:J49" si="9">C54*C$46</f>
        <v>10.410917746534109</v>
      </c>
      <c r="D49" s="51">
        <f t="shared" si="9"/>
        <v>13.688282578792643</v>
      </c>
      <c r="E49" s="78">
        <f t="shared" si="9"/>
        <v>18.215348959009944</v>
      </c>
      <c r="F49" s="51">
        <f t="shared" si="9"/>
        <v>22.319188517127532</v>
      </c>
      <c r="G49" s="51">
        <f t="shared" si="9"/>
        <v>28.787099090267244</v>
      </c>
      <c r="H49" s="51">
        <f t="shared" si="9"/>
        <v>36.35047135204038</v>
      </c>
      <c r="I49" s="51">
        <f t="shared" si="9"/>
        <v>45.210071676444066</v>
      </c>
      <c r="J49" s="51">
        <f t="shared" si="9"/>
        <v>55.602369792638953</v>
      </c>
      <c r="L49" s="146"/>
    </row>
    <row r="50" spans="2:13" s="4" customFormat="1" ht="13.5" customHeight="1" x14ac:dyDescent="0.45">
      <c r="B50" s="12" t="s">
        <v>91</v>
      </c>
      <c r="C50" s="125">
        <f>C46-C49</f>
        <v>63.425378328175881</v>
      </c>
      <c r="D50" s="125">
        <f t="shared" ref="D50:J50" si="10">D46-D49</f>
        <v>78.800113223860365</v>
      </c>
      <c r="E50" s="86">
        <f t="shared" si="10"/>
        <v>101.62247313973968</v>
      </c>
      <c r="F50" s="125">
        <f t="shared" si="10"/>
        <v>126.47540159705603</v>
      </c>
      <c r="G50" s="125">
        <f t="shared" si="10"/>
        <v>163.12689484484773</v>
      </c>
      <c r="H50" s="125">
        <f t="shared" si="10"/>
        <v>205.98600432822883</v>
      </c>
      <c r="I50" s="125">
        <f t="shared" si="10"/>
        <v>256.19040616651642</v>
      </c>
      <c r="J50" s="125">
        <f t="shared" si="10"/>
        <v>315.08009549162074</v>
      </c>
      <c r="K50" s="55"/>
      <c r="L50" s="146"/>
      <c r="M50" s="16"/>
    </row>
    <row r="51" spans="2:13" s="4" customFormat="1" ht="13.5" customHeight="1" x14ac:dyDescent="0.45">
      <c r="B51" s="49" t="s">
        <v>89</v>
      </c>
      <c r="C51" s="124"/>
      <c r="D51" s="70">
        <f t="shared" ref="D51:J51" si="11">D50/C50-1</f>
        <v>0.24240667223350965</v>
      </c>
      <c r="E51" s="71">
        <f t="shared" si="11"/>
        <v>0.28962344065476286</v>
      </c>
      <c r="F51" s="70">
        <f t="shared" si="11"/>
        <v>0.24456134248121897</v>
      </c>
      <c r="G51" s="70">
        <f t="shared" si="11"/>
        <v>0.28979147553578377</v>
      </c>
      <c r="H51" s="70">
        <f t="shared" si="11"/>
        <v>0.26273478401060113</v>
      </c>
      <c r="I51" s="70">
        <f t="shared" si="11"/>
        <v>0.24372724740215501</v>
      </c>
      <c r="J51" s="70">
        <f t="shared" si="11"/>
        <v>0.22986687989724208</v>
      </c>
      <c r="L51" s="146"/>
    </row>
    <row r="52" spans="2:13" s="37" customFormat="1" ht="13.5" customHeight="1" x14ac:dyDescent="0.45">
      <c r="B52" s="128"/>
      <c r="C52" s="129"/>
      <c r="D52" s="129"/>
      <c r="E52" s="143"/>
      <c r="F52" s="129"/>
      <c r="G52" s="129"/>
      <c r="H52" s="129"/>
      <c r="I52" s="129"/>
      <c r="J52" s="129"/>
      <c r="K52" s="130"/>
      <c r="L52" s="150"/>
      <c r="M52" s="128"/>
    </row>
    <row r="53" spans="2:13" s="4" customFormat="1" ht="13.5" customHeight="1" x14ac:dyDescent="0.45">
      <c r="B53" s="127" t="s">
        <v>92</v>
      </c>
      <c r="C53" s="126"/>
      <c r="D53" s="126"/>
      <c r="E53" s="98"/>
      <c r="F53" s="126"/>
      <c r="G53" s="126"/>
      <c r="H53" s="126"/>
      <c r="I53" s="126"/>
      <c r="J53" s="126"/>
      <c r="K53" s="55"/>
      <c r="L53" s="146"/>
      <c r="M53" s="16"/>
    </row>
    <row r="54" spans="2:13" s="4" customFormat="1" ht="13.5" customHeight="1" x14ac:dyDescent="0.45">
      <c r="B54" s="49" t="s">
        <v>131</v>
      </c>
      <c r="C54" s="131">
        <v>0.14099999999999999</v>
      </c>
      <c r="D54" s="131">
        <v>0.14799999999999999</v>
      </c>
      <c r="E54" s="144">
        <v>0.152</v>
      </c>
      <c r="F54" s="131">
        <v>0.15</v>
      </c>
      <c r="G54" s="131">
        <v>0.15</v>
      </c>
      <c r="H54" s="131">
        <v>0.15</v>
      </c>
      <c r="I54" s="131">
        <v>0.15</v>
      </c>
      <c r="J54" s="131">
        <v>0.15</v>
      </c>
      <c r="K54" s="55"/>
      <c r="L54" s="146"/>
      <c r="M54" s="16"/>
    </row>
    <row r="55" spans="2:13" s="4" customFormat="1" ht="13.5" customHeight="1" x14ac:dyDescent="0.45">
      <c r="B55" s="49" t="s">
        <v>91</v>
      </c>
      <c r="C55" s="70">
        <f t="shared" ref="C55:J55" si="12">C50/C$46</f>
        <v>0.85899999999999999</v>
      </c>
      <c r="D55" s="70">
        <f t="shared" si="12"/>
        <v>0.85200000000000009</v>
      </c>
      <c r="E55" s="71">
        <f t="shared" si="12"/>
        <v>0.84799999999999998</v>
      </c>
      <c r="F55" s="70">
        <f t="shared" si="12"/>
        <v>0.85000000000000009</v>
      </c>
      <c r="G55" s="70">
        <f t="shared" si="12"/>
        <v>0.85</v>
      </c>
      <c r="H55" s="70">
        <f t="shared" si="12"/>
        <v>0.85</v>
      </c>
      <c r="I55" s="70">
        <f t="shared" si="12"/>
        <v>0.85000000000000009</v>
      </c>
      <c r="J55" s="70">
        <f t="shared" si="12"/>
        <v>0.85</v>
      </c>
      <c r="L55" s="146"/>
    </row>
    <row r="56" spans="2:13" s="4" customFormat="1" ht="13.5" customHeight="1" x14ac:dyDescent="0.45">
      <c r="B56" s="33"/>
      <c r="C56" s="33"/>
      <c r="D56" s="33"/>
      <c r="E56" s="60"/>
      <c r="F56" s="34"/>
      <c r="G56" s="34"/>
      <c r="H56" s="34"/>
      <c r="I56" s="34"/>
      <c r="J56" s="34"/>
      <c r="K56" s="35"/>
      <c r="L56" s="152"/>
    </row>
    <row r="57" spans="2:13" s="4" customFormat="1" ht="13.5" customHeight="1" x14ac:dyDescent="0.45">
      <c r="B57" s="4" t="s">
        <v>87</v>
      </c>
      <c r="C57" s="51">
        <f t="shared" ref="C57:J57" si="13">+C58*C50</f>
        <v>11.315087493746578</v>
      </c>
      <c r="D57" s="51">
        <f t="shared" si="13"/>
        <v>14.105220267071005</v>
      </c>
      <c r="E57" s="78">
        <f t="shared" si="13"/>
        <v>18.292045165153141</v>
      </c>
      <c r="F57" s="51">
        <f t="shared" si="13"/>
        <v>22.765572287470086</v>
      </c>
      <c r="G57" s="51">
        <f t="shared" si="13"/>
        <v>29.362841072072591</v>
      </c>
      <c r="H57" s="51">
        <f t="shared" si="13"/>
        <v>37.077480779081185</v>
      </c>
      <c r="I57" s="51">
        <f t="shared" si="13"/>
        <v>46.114273109972956</v>
      </c>
      <c r="J57" s="51">
        <f t="shared" si="13"/>
        <v>56.71441718849173</v>
      </c>
      <c r="K57" s="35"/>
      <c r="L57" s="152"/>
    </row>
    <row r="58" spans="2:13" s="4" customFormat="1" ht="13.5" customHeight="1" x14ac:dyDescent="0.45">
      <c r="B58" s="49" t="s">
        <v>88</v>
      </c>
      <c r="C58" s="131">
        <v>0.1784</v>
      </c>
      <c r="D58" s="131">
        <v>0.17899999999999999</v>
      </c>
      <c r="E58" s="144">
        <v>0.18</v>
      </c>
      <c r="F58" s="131">
        <v>0.18</v>
      </c>
      <c r="G58" s="131">
        <v>0.18</v>
      </c>
      <c r="H58" s="131">
        <v>0.18</v>
      </c>
      <c r="I58" s="131">
        <v>0.18</v>
      </c>
      <c r="J58" s="131">
        <v>0.18</v>
      </c>
      <c r="L58" s="146"/>
    </row>
    <row r="59" spans="2:13" s="4" customFormat="1" ht="13.5" customHeight="1" x14ac:dyDescent="0.45">
      <c r="B59" s="33"/>
      <c r="C59" s="33"/>
      <c r="D59" s="33"/>
      <c r="E59" s="60"/>
      <c r="F59" s="34"/>
      <c r="G59" s="34"/>
      <c r="H59" s="34"/>
      <c r="I59" s="34"/>
      <c r="J59" s="34"/>
      <c r="K59" s="35"/>
      <c r="L59" s="152"/>
    </row>
    <row r="60" spans="2:13" s="4" customFormat="1" ht="13.5" customHeight="1" x14ac:dyDescent="0.45">
      <c r="B60" s="16" t="s">
        <v>67</v>
      </c>
      <c r="C60" s="126">
        <f t="shared" ref="C60:J60" si="14">C50-C57</f>
        <v>52.110290834429307</v>
      </c>
      <c r="D60" s="126">
        <f t="shared" si="14"/>
        <v>64.69489295678936</v>
      </c>
      <c r="E60" s="98">
        <f t="shared" si="14"/>
        <v>83.330427974586541</v>
      </c>
      <c r="F60" s="126">
        <f t="shared" si="14"/>
        <v>103.70982930958596</v>
      </c>
      <c r="G60" s="126">
        <f t="shared" si="14"/>
        <v>133.76405377277513</v>
      </c>
      <c r="H60" s="126">
        <f t="shared" si="14"/>
        <v>168.90852354914765</v>
      </c>
      <c r="I60" s="126">
        <f t="shared" si="14"/>
        <v>210.07613305654348</v>
      </c>
      <c r="J60" s="126">
        <f t="shared" si="14"/>
        <v>258.36567830312902</v>
      </c>
      <c r="K60" s="35"/>
      <c r="L60" s="152"/>
    </row>
    <row r="61" spans="2:13" s="4" customFormat="1" ht="13.5" customHeight="1" x14ac:dyDescent="0.45">
      <c r="B61" s="49" t="s">
        <v>88</v>
      </c>
      <c r="C61" s="73">
        <f t="shared" ref="C61:J61" si="15">+C60/C$50</f>
        <v>0.8216</v>
      </c>
      <c r="D61" s="73">
        <f t="shared" si="15"/>
        <v>0.82100000000000006</v>
      </c>
      <c r="E61" s="74">
        <f t="shared" si="15"/>
        <v>0.82000000000000006</v>
      </c>
      <c r="F61" s="102">
        <f t="shared" si="15"/>
        <v>0.82000000000000006</v>
      </c>
      <c r="G61" s="102">
        <f t="shared" si="15"/>
        <v>0.82</v>
      </c>
      <c r="H61" s="102">
        <f t="shared" si="15"/>
        <v>0.82000000000000006</v>
      </c>
      <c r="I61" s="102">
        <f t="shared" si="15"/>
        <v>0.82000000000000006</v>
      </c>
      <c r="J61" s="102">
        <f t="shared" si="15"/>
        <v>0.82000000000000006</v>
      </c>
      <c r="K61" s="35"/>
      <c r="L61" s="152"/>
    </row>
    <row r="62" spans="2:13" s="4" customFormat="1" ht="13.5" customHeight="1" x14ac:dyDescent="0.45">
      <c r="B62" s="49"/>
      <c r="C62" s="73"/>
      <c r="D62" s="73"/>
      <c r="E62" s="74"/>
      <c r="F62" s="102"/>
      <c r="G62" s="102"/>
      <c r="H62" s="102"/>
      <c r="I62" s="102"/>
      <c r="J62" s="102"/>
      <c r="K62" s="35"/>
      <c r="L62" s="152"/>
    </row>
    <row r="63" spans="2:13" s="4" customFormat="1" ht="13.5" customHeight="1" x14ac:dyDescent="0.45">
      <c r="B63" s="4" t="s">
        <v>132</v>
      </c>
      <c r="C63" s="51">
        <f t="shared" ref="C63:J64" si="16">C71*C$50</f>
        <v>11.923971125697065</v>
      </c>
      <c r="D63" s="51">
        <f t="shared" si="16"/>
        <v>14.499220833190307</v>
      </c>
      <c r="E63" s="78">
        <f t="shared" si="16"/>
        <v>17.479065380035223</v>
      </c>
      <c r="F63" s="51">
        <f t="shared" si="16"/>
        <v>21.500818271499526</v>
      </c>
      <c r="G63" s="51">
        <f t="shared" si="16"/>
        <v>27.731572123624115</v>
      </c>
      <c r="H63" s="51">
        <f t="shared" si="16"/>
        <v>35.017620735798907</v>
      </c>
      <c r="I63" s="51">
        <f t="shared" si="16"/>
        <v>43.552369048307796</v>
      </c>
      <c r="J63" s="51">
        <f t="shared" si="16"/>
        <v>53.56361623357553</v>
      </c>
      <c r="K63" s="35"/>
      <c r="L63" s="152"/>
    </row>
    <row r="64" spans="2:13" s="4" customFormat="1" ht="13.5" customHeight="1" x14ac:dyDescent="0.45">
      <c r="B64" s="4" t="s">
        <v>133</v>
      </c>
      <c r="C64" s="79">
        <f t="shared" si="16"/>
        <v>11.099441207430779</v>
      </c>
      <c r="D64" s="79">
        <f t="shared" si="16"/>
        <v>14.184020380294864</v>
      </c>
      <c r="E64" s="83">
        <f t="shared" si="16"/>
        <v>18.6985350577121</v>
      </c>
      <c r="F64" s="79">
        <f t="shared" si="16"/>
        <v>25.295080319411209</v>
      </c>
      <c r="G64" s="79">
        <f t="shared" si="16"/>
        <v>32.625378968969549</v>
      </c>
      <c r="H64" s="79">
        <f t="shared" si="16"/>
        <v>41.197200865645769</v>
      </c>
      <c r="I64" s="79">
        <f t="shared" si="16"/>
        <v>51.238081233303291</v>
      </c>
      <c r="J64" s="79">
        <f t="shared" si="16"/>
        <v>63.016019098324151</v>
      </c>
      <c r="K64" s="35"/>
      <c r="L64" s="152"/>
    </row>
    <row r="65" spans="2:14" s="4" customFormat="1" ht="13.5" customHeight="1" x14ac:dyDescent="0.45">
      <c r="B65" s="4" t="s">
        <v>168</v>
      </c>
      <c r="C65" s="189">
        <f>+'Revenue Build - End'!C33</f>
        <v>3.2</v>
      </c>
      <c r="D65" s="189">
        <f>+'Revenue Build - End'!D33</f>
        <v>4.5</v>
      </c>
      <c r="E65" s="190">
        <f>+'Revenue Build - End'!E33</f>
        <v>5.8</v>
      </c>
      <c r="F65" s="189">
        <f>+'Revenue Build - End'!F33</f>
        <v>7.25</v>
      </c>
      <c r="G65" s="189">
        <f>+'Revenue Build - End'!G33</f>
        <v>9.0625</v>
      </c>
      <c r="H65" s="189">
        <f>+'Revenue Build - End'!H33</f>
        <v>11.328125</v>
      </c>
      <c r="I65" s="189">
        <f>+'Revenue Build - End'!I33</f>
        <v>14.16015625</v>
      </c>
      <c r="J65" s="189">
        <f>+'Revenue Build - End'!J33</f>
        <v>17.7001953125</v>
      </c>
      <c r="K65" s="35"/>
      <c r="L65" s="152"/>
    </row>
    <row r="66" spans="2:14" s="4" customFormat="1" ht="13.5" customHeight="1" x14ac:dyDescent="0.45">
      <c r="B66" s="4" t="s">
        <v>167</v>
      </c>
      <c r="C66" s="189">
        <f>+'Revenue Build - End'!C56</f>
        <v>5.2</v>
      </c>
      <c r="D66" s="189">
        <f>+'Revenue Build - End'!D56</f>
        <v>6.9</v>
      </c>
      <c r="E66" s="190">
        <f>+'Revenue Build - End'!E56</f>
        <v>8</v>
      </c>
      <c r="F66" s="189">
        <f>+'Revenue Build - End'!F56</f>
        <v>8.8000000000000007</v>
      </c>
      <c r="G66" s="189">
        <f>+'Revenue Build - End'!G56</f>
        <v>9.6800000000000015</v>
      </c>
      <c r="H66" s="189">
        <f>+'Revenue Build - End'!H56</f>
        <v>10.648000000000003</v>
      </c>
      <c r="I66" s="189">
        <f>+'Revenue Build - End'!I56</f>
        <v>11.712800000000005</v>
      </c>
      <c r="J66" s="189">
        <f>+'Revenue Build - End'!J56</f>
        <v>12.884080000000006</v>
      </c>
      <c r="K66" s="35"/>
      <c r="L66" s="152"/>
    </row>
    <row r="67" spans="2:14" s="4" customFormat="1" ht="13.5" customHeight="1" x14ac:dyDescent="0.45">
      <c r="B67" s="4" t="s">
        <v>94</v>
      </c>
      <c r="C67" s="79">
        <f t="shared" ref="C67:J67" si="17">C75*C$50</f>
        <v>8.3721499393192165</v>
      </c>
      <c r="D67" s="79">
        <f t="shared" si="17"/>
        <v>10.87441562489273</v>
      </c>
      <c r="E67" s="83">
        <f t="shared" si="17"/>
        <v>13.719033873864857</v>
      </c>
      <c r="F67" s="79">
        <f t="shared" si="17"/>
        <v>17.074179215602566</v>
      </c>
      <c r="G67" s="79">
        <f t="shared" si="17"/>
        <v>22.022130804054445</v>
      </c>
      <c r="H67" s="79">
        <f t="shared" si="17"/>
        <v>27.808110584310892</v>
      </c>
      <c r="I67" s="79">
        <f t="shared" si="17"/>
        <v>34.58570483247972</v>
      </c>
      <c r="J67" s="79">
        <f t="shared" si="17"/>
        <v>42.535812891368799</v>
      </c>
      <c r="K67" s="35"/>
      <c r="L67" s="152"/>
    </row>
    <row r="68" spans="2:14" s="4" customFormat="1" ht="13.5" customHeight="1" x14ac:dyDescent="0.45">
      <c r="B68" s="12" t="s">
        <v>95</v>
      </c>
      <c r="C68" s="125">
        <f>SUM(C63:C67)</f>
        <v>39.795562272447057</v>
      </c>
      <c r="D68" s="125">
        <f t="shared" ref="D68:J68" si="18">SUM(D63:D67)</f>
        <v>50.9576568383779</v>
      </c>
      <c r="E68" s="86">
        <f t="shared" si="18"/>
        <v>63.696634311612179</v>
      </c>
      <c r="F68" s="125">
        <f t="shared" si="18"/>
        <v>79.920077806513305</v>
      </c>
      <c r="G68" s="125">
        <f t="shared" si="18"/>
        <v>101.12158189664811</v>
      </c>
      <c r="H68" s="125">
        <f t="shared" si="18"/>
        <v>125.99905718575556</v>
      </c>
      <c r="I68" s="125">
        <f t="shared" si="18"/>
        <v>155.24911136409082</v>
      </c>
      <c r="J68" s="125">
        <f t="shared" si="18"/>
        <v>189.6997235357685</v>
      </c>
      <c r="K68" s="35"/>
      <c r="L68" s="152"/>
    </row>
    <row r="69" spans="2:14" s="4" customFormat="1" ht="13.5" customHeight="1" x14ac:dyDescent="0.45">
      <c r="B69" s="16"/>
      <c r="C69" s="126"/>
      <c r="D69" s="126"/>
      <c r="E69" s="98"/>
      <c r="F69" s="126"/>
      <c r="G69" s="126"/>
      <c r="H69" s="126"/>
      <c r="I69" s="126"/>
      <c r="J69" s="126"/>
      <c r="K69" s="35"/>
      <c r="L69" s="152"/>
    </row>
    <row r="70" spans="2:14" s="4" customFormat="1" ht="13.5" customHeight="1" x14ac:dyDescent="0.15">
      <c r="B70" s="127" t="s">
        <v>88</v>
      </c>
      <c r="C70" s="126"/>
      <c r="D70" s="126"/>
      <c r="E70" s="98"/>
      <c r="F70" s="126"/>
      <c r="G70" s="126"/>
      <c r="H70" s="126"/>
      <c r="I70" s="126"/>
      <c r="J70" s="126"/>
      <c r="K70" s="35"/>
      <c r="L70" s="152"/>
      <c r="M70" s="188"/>
    </row>
    <row r="71" spans="2:14" s="4" customFormat="1" ht="13.5" customHeight="1" x14ac:dyDescent="0.45">
      <c r="B71" s="49" t="str">
        <f>+B63</f>
        <v>Operations &amp; support</v>
      </c>
      <c r="C71" s="131">
        <v>0.188</v>
      </c>
      <c r="D71" s="131">
        <v>0.184</v>
      </c>
      <c r="E71" s="144">
        <v>0.17199999999999999</v>
      </c>
      <c r="F71" s="131">
        <v>0.17</v>
      </c>
      <c r="G71" s="131">
        <v>0.17</v>
      </c>
      <c r="H71" s="131">
        <v>0.17</v>
      </c>
      <c r="I71" s="131">
        <v>0.17</v>
      </c>
      <c r="J71" s="131">
        <v>0.17</v>
      </c>
      <c r="K71" s="35"/>
      <c r="L71" s="152"/>
      <c r="M71" s="223"/>
      <c r="N71" s="223"/>
    </row>
    <row r="72" spans="2:14" s="4" customFormat="1" ht="13.5" customHeight="1" x14ac:dyDescent="0.45">
      <c r="B72" s="49" t="str">
        <f>+B64</f>
        <v>Product development</v>
      </c>
      <c r="C72" s="131">
        <v>0.17499999999999999</v>
      </c>
      <c r="D72" s="131">
        <v>0.18</v>
      </c>
      <c r="E72" s="144">
        <v>0.184</v>
      </c>
      <c r="F72" s="131">
        <v>0.2</v>
      </c>
      <c r="G72" s="131">
        <v>0.2</v>
      </c>
      <c r="H72" s="131">
        <v>0.2</v>
      </c>
      <c r="I72" s="131">
        <v>0.2</v>
      </c>
      <c r="J72" s="131">
        <v>0.2</v>
      </c>
      <c r="K72" s="35"/>
      <c r="L72" s="152"/>
    </row>
    <row r="73" spans="2:14" s="4" customFormat="1" ht="13.5" customHeight="1" x14ac:dyDescent="0.45">
      <c r="B73" s="49" t="str">
        <f>+B65</f>
        <v>Ad spend - vehicle acquisition</v>
      </c>
      <c r="C73" s="70">
        <f>+C65/C$50</f>
        <v>5.0452990338387037E-2</v>
      </c>
      <c r="D73" s="70">
        <f t="shared" ref="D73:J73" si="19">+D65/D$50</f>
        <v>5.7106516931214484E-2</v>
      </c>
      <c r="E73" s="71">
        <f t="shared" si="19"/>
        <v>5.7073989844987322E-2</v>
      </c>
      <c r="F73" s="70">
        <f t="shared" si="19"/>
        <v>5.7323399716081691E-2</v>
      </c>
      <c r="G73" s="70">
        <f t="shared" si="19"/>
        <v>5.5554910234878623E-2</v>
      </c>
      <c r="H73" s="70">
        <f t="shared" si="19"/>
        <v>5.4994634402195479E-2</v>
      </c>
      <c r="I73" s="70">
        <f t="shared" si="19"/>
        <v>5.5272000469823619E-2</v>
      </c>
      <c r="J73" s="70">
        <f t="shared" si="19"/>
        <v>5.6176812073394589E-2</v>
      </c>
      <c r="K73" s="35"/>
      <c r="L73" s="152"/>
    </row>
    <row r="74" spans="2:14" s="4" customFormat="1" ht="13.5" customHeight="1" x14ac:dyDescent="0.45">
      <c r="B74" s="49" t="str">
        <f>+B66</f>
        <v>Ad spend - driver acquisition</v>
      </c>
      <c r="C74" s="70">
        <f t="shared" ref="C74:J74" si="20">+C66/C$50</f>
        <v>8.1986109299878929E-2</v>
      </c>
      <c r="D74" s="70">
        <f t="shared" si="20"/>
        <v>8.7563325961195537E-2</v>
      </c>
      <c r="E74" s="71">
        <f t="shared" si="20"/>
        <v>7.8722744613775625E-2</v>
      </c>
      <c r="F74" s="70">
        <f t="shared" si="20"/>
        <v>6.9578747241588815E-2</v>
      </c>
      <c r="G74" s="70">
        <f t="shared" si="20"/>
        <v>5.9340306877089674E-2</v>
      </c>
      <c r="H74" s="70">
        <f t="shared" si="20"/>
        <v>5.1692832407355817E-2</v>
      </c>
      <c r="I74" s="70">
        <f t="shared" si="20"/>
        <v>4.5719120302994562E-2</v>
      </c>
      <c r="J74" s="70">
        <f t="shared" si="20"/>
        <v>4.0891443745111618E-2</v>
      </c>
      <c r="K74" s="35"/>
      <c r="L74" s="152"/>
    </row>
    <row r="75" spans="2:14" s="4" customFormat="1" ht="13.5" customHeight="1" x14ac:dyDescent="0.45">
      <c r="B75" s="49" t="str">
        <f t="shared" ref="B75" si="21">+B67</f>
        <v>General &amp; administrative</v>
      </c>
      <c r="C75" s="131">
        <v>0.13200000000000001</v>
      </c>
      <c r="D75" s="131">
        <v>0.13800000000000001</v>
      </c>
      <c r="E75" s="144">
        <v>0.13500000000000001</v>
      </c>
      <c r="F75" s="131">
        <v>0.13500000000000001</v>
      </c>
      <c r="G75" s="131">
        <v>0.13500000000000001</v>
      </c>
      <c r="H75" s="131">
        <v>0.13500000000000001</v>
      </c>
      <c r="I75" s="131">
        <v>0.13500000000000001</v>
      </c>
      <c r="J75" s="131">
        <v>0.13500000000000001</v>
      </c>
      <c r="K75" s="35"/>
      <c r="L75" s="152"/>
    </row>
    <row r="76" spans="2:14" s="4" customFormat="1" ht="13.5" customHeight="1" x14ac:dyDescent="0.45">
      <c r="B76" s="49" t="s">
        <v>95</v>
      </c>
      <c r="C76" s="73">
        <f t="shared" ref="C76:J76" si="22">C68/C50</f>
        <v>0.62743909963826594</v>
      </c>
      <c r="D76" s="73">
        <f t="shared" si="22"/>
        <v>0.64666984289241003</v>
      </c>
      <c r="E76" s="74">
        <f t="shared" si="22"/>
        <v>0.62679673445876294</v>
      </c>
      <c r="F76" s="73">
        <f t="shared" si="22"/>
        <v>0.63190214695767055</v>
      </c>
      <c r="G76" s="73">
        <f t="shared" si="22"/>
        <v>0.61989521711196838</v>
      </c>
      <c r="H76" s="73">
        <f t="shared" si="22"/>
        <v>0.61168746680955133</v>
      </c>
      <c r="I76" s="73">
        <f t="shared" si="22"/>
        <v>0.60599112077281825</v>
      </c>
      <c r="J76" s="73">
        <f t="shared" si="22"/>
        <v>0.60206825581850631</v>
      </c>
      <c r="K76" s="35"/>
      <c r="L76" s="152"/>
    </row>
    <row r="77" spans="2:14" s="4" customFormat="1" ht="13.5" customHeight="1" x14ac:dyDescent="0.45">
      <c r="B77" s="49"/>
      <c r="C77" s="73"/>
      <c r="D77" s="73"/>
      <c r="E77" s="74"/>
      <c r="F77" s="73"/>
      <c r="G77" s="73"/>
      <c r="H77" s="73"/>
      <c r="I77" s="73"/>
      <c r="J77" s="73"/>
      <c r="K77" s="35"/>
      <c r="L77" s="152"/>
    </row>
    <row r="78" spans="2:14" s="4" customFormat="1" ht="13.5" customHeight="1" x14ac:dyDescent="0.45">
      <c r="B78" s="16" t="s">
        <v>9</v>
      </c>
      <c r="C78" s="126">
        <f>+C60-C68</f>
        <v>12.31472856198225</v>
      </c>
      <c r="D78" s="126">
        <f t="shared" ref="D78:J78" si="23">+D60-D68</f>
        <v>13.73723611841146</v>
      </c>
      <c r="E78" s="98">
        <f t="shared" si="23"/>
        <v>19.633793662974362</v>
      </c>
      <c r="F78" s="126">
        <f t="shared" si="23"/>
        <v>23.789751503072651</v>
      </c>
      <c r="G78" s="126">
        <f t="shared" si="23"/>
        <v>32.642471876127019</v>
      </c>
      <c r="H78" s="126">
        <f t="shared" si="23"/>
        <v>42.909466363392085</v>
      </c>
      <c r="I78" s="126">
        <f t="shared" si="23"/>
        <v>54.827021692452661</v>
      </c>
      <c r="J78" s="126">
        <f t="shared" si="23"/>
        <v>68.665954767360518</v>
      </c>
      <c r="K78" s="35"/>
      <c r="L78" s="152"/>
    </row>
    <row r="79" spans="2:14" s="4" customFormat="1" ht="13.5" customHeight="1" x14ac:dyDescent="0.45">
      <c r="B79" s="49" t="s">
        <v>88</v>
      </c>
      <c r="C79" s="70">
        <f t="shared" ref="C79:J79" si="24">+C78/C$50</f>
        <v>0.19416090036173414</v>
      </c>
      <c r="D79" s="70">
        <f t="shared" si="24"/>
        <v>0.17433015710759003</v>
      </c>
      <c r="E79" s="71">
        <f t="shared" si="24"/>
        <v>0.19320326554123712</v>
      </c>
      <c r="F79" s="72">
        <f t="shared" si="24"/>
        <v>0.18809785304232948</v>
      </c>
      <c r="G79" s="72">
        <f t="shared" si="24"/>
        <v>0.20010478288803163</v>
      </c>
      <c r="H79" s="72">
        <f t="shared" si="24"/>
        <v>0.20831253319044873</v>
      </c>
      <c r="I79" s="72">
        <f t="shared" si="24"/>
        <v>0.21400887922718179</v>
      </c>
      <c r="J79" s="72">
        <f t="shared" si="24"/>
        <v>0.21793174418149378</v>
      </c>
      <c r="K79" s="35"/>
      <c r="L79" s="152"/>
    </row>
    <row r="80" spans="2:14" s="4" customFormat="1" ht="13.5" customHeight="1" x14ac:dyDescent="0.45">
      <c r="E80" s="61"/>
      <c r="F80" s="35"/>
      <c r="G80" s="35"/>
      <c r="H80" s="35"/>
      <c r="I80" s="35"/>
      <c r="J80" s="35"/>
      <c r="K80" s="35"/>
      <c r="L80" s="152"/>
    </row>
    <row r="81" spans="1:17" s="4" customFormat="1" ht="13.5" customHeight="1" x14ac:dyDescent="0.45">
      <c r="B81" s="4" t="s">
        <v>10</v>
      </c>
      <c r="C81" s="51"/>
      <c r="D81" s="51"/>
      <c r="E81" s="78"/>
      <c r="F81" s="51">
        <f>F126*F$50</f>
        <v>0.37942620479116812</v>
      </c>
      <c r="G81" s="51">
        <f>G126*G$50</f>
        <v>0.4893806845345432</v>
      </c>
      <c r="H81" s="51">
        <f>H126*H$50</f>
        <v>0.61795801298468656</v>
      </c>
      <c r="I81" s="51">
        <f>I126*I$50</f>
        <v>0.76857121849954924</v>
      </c>
      <c r="J81" s="51">
        <f>J126*J$50</f>
        <v>0.94524028647486225</v>
      </c>
      <c r="K81" s="35"/>
      <c r="L81" s="152"/>
    </row>
    <row r="82" spans="1:17" s="4" customFormat="1" ht="13.5" customHeight="1" x14ac:dyDescent="0.45">
      <c r="B82" s="4" t="s">
        <v>13</v>
      </c>
      <c r="E82" s="59"/>
      <c r="F82" s="79">
        <f ca="1">+F136</f>
        <v>0</v>
      </c>
      <c r="G82" s="79">
        <f t="shared" ref="G82:J82" ca="1" si="25">+G136</f>
        <v>0</v>
      </c>
      <c r="H82" s="79">
        <f t="shared" ca="1" si="25"/>
        <v>0</v>
      </c>
      <c r="I82" s="79">
        <f t="shared" ca="1" si="25"/>
        <v>0</v>
      </c>
      <c r="J82" s="79">
        <f t="shared" ca="1" si="25"/>
        <v>0</v>
      </c>
      <c r="K82" s="35"/>
      <c r="L82" s="152"/>
    </row>
    <row r="83" spans="1:17" s="4" customFormat="1" ht="13.5" customHeight="1" x14ac:dyDescent="0.45">
      <c r="B83" s="4" t="s">
        <v>43</v>
      </c>
      <c r="E83" s="59"/>
      <c r="F83" s="79">
        <f>F129</f>
        <v>0</v>
      </c>
      <c r="G83" s="79">
        <f>G129</f>
        <v>0</v>
      </c>
      <c r="H83" s="79">
        <f>H129</f>
        <v>0</v>
      </c>
      <c r="I83" s="79">
        <f>I129</f>
        <v>0</v>
      </c>
      <c r="J83" s="79">
        <f>J129</f>
        <v>0</v>
      </c>
      <c r="K83" s="35"/>
      <c r="L83" s="152"/>
    </row>
    <row r="84" spans="1:17" s="4" customFormat="1" ht="13.5" customHeight="1" x14ac:dyDescent="0.45">
      <c r="B84" s="12" t="s">
        <v>12</v>
      </c>
      <c r="C84" s="12"/>
      <c r="D84" s="12"/>
      <c r="E84" s="139"/>
      <c r="F84" s="125">
        <f ca="1">F78-F81-F82-F83</f>
        <v>23.410325298281482</v>
      </c>
      <c r="G84" s="125">
        <f ca="1">G78-G81-G82-G83</f>
        <v>32.153091191592473</v>
      </c>
      <c r="H84" s="125">
        <f ca="1">H78-H81-H82-H83</f>
        <v>42.291508350407398</v>
      </c>
      <c r="I84" s="125">
        <f ca="1">I78-I81-I82-I83</f>
        <v>54.058450473953108</v>
      </c>
      <c r="J84" s="125">
        <f ca="1">J78-J81-J82-J83</f>
        <v>67.720714480885661</v>
      </c>
      <c r="K84" s="35"/>
      <c r="L84" s="152"/>
    </row>
    <row r="85" spans="1:17" s="4" customFormat="1" ht="13.5" customHeight="1" x14ac:dyDescent="0.45">
      <c r="B85" s="49" t="s">
        <v>88</v>
      </c>
      <c r="C85" s="70"/>
      <c r="D85" s="70"/>
      <c r="E85" s="71"/>
      <c r="F85" s="72">
        <f ca="1">+F84/F$50</f>
        <v>0.18509785304232948</v>
      </c>
      <c r="G85" s="72">
        <f ca="1">+G84/G$50</f>
        <v>0.1971047828880316</v>
      </c>
      <c r="H85" s="72">
        <f ca="1">+H84/H$50</f>
        <v>0.20531253319044873</v>
      </c>
      <c r="I85" s="72">
        <f ca="1">+I84/I$50</f>
        <v>0.21100887922718178</v>
      </c>
      <c r="J85" s="72">
        <f ca="1">+J84/J$50</f>
        <v>0.21493174418149377</v>
      </c>
      <c r="L85" s="146"/>
    </row>
    <row r="86" spans="1:17" s="19" customFormat="1" ht="13.5" customHeight="1" x14ac:dyDescent="0.45">
      <c r="A86" s="4"/>
      <c r="B86" s="4"/>
      <c r="C86" s="4"/>
      <c r="D86" s="4"/>
      <c r="E86" s="62"/>
      <c r="F86" s="4"/>
      <c r="G86" s="4"/>
      <c r="H86" s="4"/>
      <c r="I86" s="4"/>
      <c r="J86" s="4"/>
      <c r="K86" s="4"/>
      <c r="L86" s="146"/>
      <c r="M86" s="4"/>
      <c r="N86" s="4"/>
      <c r="O86" s="4"/>
      <c r="P86" s="4"/>
      <c r="Q86" s="4"/>
    </row>
    <row r="87" spans="1:17" s="4" customFormat="1" ht="13.5" customHeight="1" x14ac:dyDescent="0.45">
      <c r="B87" s="4" t="s">
        <v>65</v>
      </c>
      <c r="E87" s="63"/>
      <c r="F87" s="54">
        <f ca="1">+IF(F84&lt;0, 0, F84*F88)</f>
        <v>5.8525813245703704</v>
      </c>
      <c r="G87" s="54">
        <f t="shared" ref="G87:J87" ca="1" si="26">+IF(G84&lt;0, 0, G84*G88)</f>
        <v>8.0382727978981183</v>
      </c>
      <c r="H87" s="54">
        <f t="shared" ca="1" si="26"/>
        <v>10.572877087601849</v>
      </c>
      <c r="I87" s="54">
        <f t="shared" ca="1" si="26"/>
        <v>13.514612618488277</v>
      </c>
      <c r="J87" s="54">
        <f t="shared" ca="1" si="26"/>
        <v>16.930178620221415</v>
      </c>
      <c r="L87" s="146"/>
    </row>
    <row r="88" spans="1:17" s="4" customFormat="1" ht="13.5" customHeight="1" x14ac:dyDescent="0.45">
      <c r="B88" s="49" t="s">
        <v>14</v>
      </c>
      <c r="E88" s="63"/>
      <c r="F88" s="75">
        <v>0.25</v>
      </c>
      <c r="G88" s="75">
        <v>0.25</v>
      </c>
      <c r="H88" s="75">
        <v>0.25</v>
      </c>
      <c r="I88" s="75">
        <v>0.25</v>
      </c>
      <c r="J88" s="75">
        <v>0.25</v>
      </c>
      <c r="L88" s="146"/>
    </row>
    <row r="89" spans="1:17" s="4" customFormat="1" ht="13.5" customHeight="1" x14ac:dyDescent="0.45">
      <c r="B89" s="49"/>
      <c r="C89" s="33"/>
      <c r="D89" s="33"/>
      <c r="E89" s="62"/>
      <c r="F89" s="54"/>
      <c r="G89" s="54"/>
      <c r="H89" s="54"/>
      <c r="I89" s="54"/>
      <c r="J89" s="54"/>
      <c r="L89" s="146"/>
    </row>
    <row r="90" spans="1:17" s="4" customFormat="1" ht="13.5" customHeight="1" x14ac:dyDescent="0.45">
      <c r="B90" s="16" t="s">
        <v>11</v>
      </c>
      <c r="C90" s="16"/>
      <c r="D90" s="16"/>
      <c r="E90" s="118"/>
      <c r="F90" s="90">
        <f ca="1">F84-F87</f>
        <v>17.557743973711112</v>
      </c>
      <c r="G90" s="90">
        <f t="shared" ref="G90:J90" ca="1" si="27">G84-G87</f>
        <v>24.114818393694357</v>
      </c>
      <c r="H90" s="90">
        <f t="shared" ca="1" si="27"/>
        <v>31.718631262805548</v>
      </c>
      <c r="I90" s="90">
        <f t="shared" ca="1" si="27"/>
        <v>40.54383785546483</v>
      </c>
      <c r="J90" s="90">
        <f t="shared" ca="1" si="27"/>
        <v>50.790535860664249</v>
      </c>
      <c r="L90" s="146"/>
    </row>
    <row r="91" spans="1:17" s="4" customFormat="1" ht="13.5" customHeight="1" x14ac:dyDescent="0.45">
      <c r="B91" s="49" t="s">
        <v>88</v>
      </c>
      <c r="C91" s="70"/>
      <c r="D91" s="70"/>
      <c r="E91" s="71"/>
      <c r="F91" s="72">
        <f ca="1">+F90/F$50</f>
        <v>0.13882338978174713</v>
      </c>
      <c r="G91" s="72">
        <f ca="1">+G90/G$50</f>
        <v>0.14782858716602371</v>
      </c>
      <c r="H91" s="72">
        <f ca="1">+H90/H$50</f>
        <v>0.15398439989283655</v>
      </c>
      <c r="I91" s="72">
        <f ca="1">+I90/I$50</f>
        <v>0.15825665942038633</v>
      </c>
      <c r="J91" s="72">
        <f ca="1">+J90/J$50</f>
        <v>0.16119880813612034</v>
      </c>
      <c r="L91" s="146"/>
    </row>
    <row r="92" spans="1:17" s="4" customFormat="1" ht="13.5" customHeight="1" x14ac:dyDescent="0.45">
      <c r="B92" s="49"/>
      <c r="C92" s="70"/>
      <c r="D92" s="70"/>
      <c r="E92" s="71"/>
      <c r="F92" s="72"/>
      <c r="G92" s="72"/>
      <c r="H92" s="72"/>
      <c r="I92" s="72"/>
      <c r="J92" s="72"/>
      <c r="L92" s="146"/>
    </row>
    <row r="93" spans="1:17" s="19" customFormat="1" ht="13.5" customHeight="1" x14ac:dyDescent="0.45">
      <c r="A93" s="4"/>
      <c r="B93" s="4"/>
      <c r="C93" s="4"/>
      <c r="D93" s="4"/>
      <c r="E93" s="62"/>
      <c r="F93" s="4"/>
      <c r="G93" s="4"/>
      <c r="H93" s="4"/>
      <c r="I93" s="4"/>
      <c r="J93" s="4"/>
      <c r="K93" s="4"/>
      <c r="L93" s="146"/>
      <c r="M93" s="4"/>
      <c r="N93" s="4"/>
      <c r="O93" s="4"/>
      <c r="P93" s="4"/>
      <c r="Q93" s="4"/>
    </row>
    <row r="94" spans="1:17" s="4" customFormat="1" ht="13.5" customHeight="1" x14ac:dyDescent="0.45">
      <c r="B94" s="8" t="s">
        <v>16</v>
      </c>
      <c r="C94" s="31">
        <v>0</v>
      </c>
      <c r="D94" s="36" t="s">
        <v>37</v>
      </c>
      <c r="E94" s="65" t="s">
        <v>36</v>
      </c>
      <c r="F94" s="31">
        <v>1</v>
      </c>
      <c r="G94" s="31">
        <f>F94+1</f>
        <v>2</v>
      </c>
      <c r="H94" s="31">
        <f>G94+1</f>
        <v>3</v>
      </c>
      <c r="I94" s="31">
        <f>H94+1</f>
        <v>4</v>
      </c>
      <c r="J94" s="31">
        <f>I94+1</f>
        <v>5</v>
      </c>
      <c r="L94" s="146"/>
    </row>
    <row r="95" spans="1:17" s="4" customFormat="1" ht="13.5" customHeight="1" x14ac:dyDescent="0.45">
      <c r="B95" s="4" t="s">
        <v>17</v>
      </c>
      <c r="C95" s="76">
        <v>110.9</v>
      </c>
      <c r="D95" s="80">
        <f>E95-C95</f>
        <v>0</v>
      </c>
      <c r="E95" s="78">
        <f>+D9</f>
        <v>110.9</v>
      </c>
      <c r="F95" s="54">
        <f ca="1">F153+E95</f>
        <v>120</v>
      </c>
      <c r="G95" s="54">
        <f ca="1">G153+F95</f>
        <v>120</v>
      </c>
      <c r="H95" s="54">
        <f ca="1">H153+G95</f>
        <v>120</v>
      </c>
      <c r="I95" s="54">
        <f ca="1">I153+H95</f>
        <v>120</v>
      </c>
      <c r="J95" s="54">
        <f ca="1">J153+I95</f>
        <v>120</v>
      </c>
      <c r="L95" s="146"/>
    </row>
    <row r="96" spans="1:17" s="19" customFormat="1" ht="13.5" customHeight="1" x14ac:dyDescent="0.45">
      <c r="A96" s="4"/>
      <c r="B96" s="4" t="s">
        <v>142</v>
      </c>
      <c r="C96" s="81">
        <v>55.1</v>
      </c>
      <c r="D96" s="82"/>
      <c r="E96" s="83">
        <f t="shared" ref="E96" si="28">+D96+C96</f>
        <v>55.1</v>
      </c>
      <c r="F96" s="50">
        <f>+F50/F115</f>
        <v>70.264111998364456</v>
      </c>
      <c r="G96" s="50">
        <f>+G50/G115</f>
        <v>90.626052691582075</v>
      </c>
      <c r="H96" s="50">
        <f>+H50/H115</f>
        <v>114.43666907123824</v>
      </c>
      <c r="I96" s="50">
        <f>+I50/I115</f>
        <v>142.32800342584247</v>
      </c>
      <c r="J96" s="50">
        <f>+J50/J115</f>
        <v>175.04449749534484</v>
      </c>
      <c r="K96" s="140"/>
      <c r="L96" s="146"/>
      <c r="M96" s="11"/>
      <c r="N96" s="4"/>
      <c r="O96" s="4"/>
      <c r="P96" s="4"/>
      <c r="Q96" s="4"/>
    </row>
    <row r="97" spans="1:17" s="4" customFormat="1" ht="13.5" customHeight="1" x14ac:dyDescent="0.45">
      <c r="B97" s="4" t="s">
        <v>38</v>
      </c>
      <c r="C97" s="81">
        <v>0</v>
      </c>
      <c r="D97" s="82">
        <f>+D12</f>
        <v>0</v>
      </c>
      <c r="E97" s="83">
        <f>D97+C97</f>
        <v>0</v>
      </c>
      <c r="F97" s="50">
        <f>F130</f>
        <v>0</v>
      </c>
      <c r="G97" s="50">
        <f t="shared" ref="G97:J97" si="29">G130</f>
        <v>0</v>
      </c>
      <c r="H97" s="50">
        <f t="shared" si="29"/>
        <v>0</v>
      </c>
      <c r="I97" s="50">
        <f t="shared" si="29"/>
        <v>0</v>
      </c>
      <c r="J97" s="50">
        <f t="shared" si="29"/>
        <v>0</v>
      </c>
      <c r="L97" s="146"/>
    </row>
    <row r="98" spans="1:17" s="4" customFormat="1" ht="13.5" customHeight="1" x14ac:dyDescent="0.45">
      <c r="B98" s="4" t="s">
        <v>39</v>
      </c>
      <c r="C98" s="81">
        <v>0</v>
      </c>
      <c r="D98" s="82"/>
      <c r="E98" s="83">
        <f>D98+C98</f>
        <v>0</v>
      </c>
      <c r="F98" s="79">
        <f>E98</f>
        <v>0</v>
      </c>
      <c r="G98" s="79">
        <f t="shared" ref="G98:J98" si="30">F98</f>
        <v>0</v>
      </c>
      <c r="H98" s="79">
        <f t="shared" si="30"/>
        <v>0</v>
      </c>
      <c r="I98" s="79">
        <f t="shared" si="30"/>
        <v>0</v>
      </c>
      <c r="J98" s="79">
        <f t="shared" si="30"/>
        <v>0</v>
      </c>
      <c r="L98" s="146"/>
    </row>
    <row r="99" spans="1:17" s="4" customFormat="1" ht="13.5" customHeight="1" x14ac:dyDescent="0.45">
      <c r="B99" s="4" t="s">
        <v>20</v>
      </c>
      <c r="C99" s="81">
        <v>3</v>
      </c>
      <c r="D99" s="84"/>
      <c r="E99" s="83">
        <f>D99+C99</f>
        <v>3</v>
      </c>
      <c r="F99" s="50">
        <f>F124</f>
        <v>3.2529508031941119</v>
      </c>
      <c r="G99" s="50">
        <f t="shared" ref="G99:J99" si="31">G124</f>
        <v>3.5792045928838068</v>
      </c>
      <c r="H99" s="50">
        <f t="shared" si="31"/>
        <v>3.9911766015402645</v>
      </c>
      <c r="I99" s="50">
        <f t="shared" si="31"/>
        <v>4.5035574138732972</v>
      </c>
      <c r="J99" s="50">
        <f t="shared" si="31"/>
        <v>5.1337176048565381</v>
      </c>
      <c r="L99" s="146"/>
    </row>
    <row r="100" spans="1:17" s="4" customFormat="1" ht="13.5" customHeight="1" x14ac:dyDescent="0.45">
      <c r="B100" s="4" t="s">
        <v>143</v>
      </c>
      <c r="C100" s="81">
        <v>15.8</v>
      </c>
      <c r="D100" s="84"/>
      <c r="E100" s="83">
        <f>+D100+C100</f>
        <v>15.8</v>
      </c>
      <c r="F100" s="96">
        <f>+E100</f>
        <v>15.8</v>
      </c>
      <c r="G100" s="96">
        <f t="shared" ref="G100:J100" si="32">+F100</f>
        <v>15.8</v>
      </c>
      <c r="H100" s="96">
        <f t="shared" si="32"/>
        <v>15.8</v>
      </c>
      <c r="I100" s="96">
        <f t="shared" si="32"/>
        <v>15.8</v>
      </c>
      <c r="J100" s="96">
        <f t="shared" si="32"/>
        <v>15.8</v>
      </c>
      <c r="L100" s="146"/>
    </row>
    <row r="101" spans="1:17" s="4" customFormat="1" ht="13.5" customHeight="1" x14ac:dyDescent="0.45">
      <c r="B101" s="12" t="s">
        <v>19</v>
      </c>
      <c r="C101" s="53">
        <f>SUM(C95:C100)</f>
        <v>184.8</v>
      </c>
      <c r="D101" s="85"/>
      <c r="E101" s="86">
        <f t="shared" ref="E101:J101" si="33">SUM(E95:E100)</f>
        <v>184.8</v>
      </c>
      <c r="F101" s="53">
        <f t="shared" ca="1" si="33"/>
        <v>209.31706280155859</v>
      </c>
      <c r="G101" s="53">
        <f t="shared" ca="1" si="33"/>
        <v>230.00525728446587</v>
      </c>
      <c r="H101" s="53">
        <f t="shared" ca="1" si="33"/>
        <v>254.22784567277853</v>
      </c>
      <c r="I101" s="53">
        <f t="shared" ca="1" si="33"/>
        <v>282.63156083971575</v>
      </c>
      <c r="J101" s="53">
        <f t="shared" ca="1" si="33"/>
        <v>315.9782151002014</v>
      </c>
      <c r="L101" s="146"/>
    </row>
    <row r="102" spans="1:17" s="19" customFormat="1" ht="13.5" customHeight="1" x14ac:dyDescent="0.45">
      <c r="A102" s="4"/>
      <c r="B102" s="4"/>
      <c r="C102" s="54"/>
      <c r="D102" s="87"/>
      <c r="E102" s="78"/>
      <c r="F102" s="54"/>
      <c r="G102" s="54"/>
      <c r="H102" s="54"/>
      <c r="I102" s="54"/>
      <c r="J102" s="54"/>
      <c r="K102" s="4"/>
      <c r="L102" s="146"/>
      <c r="M102" s="4"/>
      <c r="N102" s="4"/>
      <c r="O102" s="4"/>
      <c r="P102" s="4"/>
      <c r="Q102" s="4"/>
    </row>
    <row r="103" spans="1:17" s="19" customFormat="1" ht="13.5" customHeight="1" x14ac:dyDescent="0.45">
      <c r="A103" s="4"/>
      <c r="B103" s="4" t="s">
        <v>145</v>
      </c>
      <c r="C103" s="76">
        <v>38.4</v>
      </c>
      <c r="D103" s="87"/>
      <c r="E103" s="78">
        <f>+D103+C103</f>
        <v>38.4</v>
      </c>
      <c r="F103" s="54">
        <f>+F57/F116</f>
        <v>45.531144574940171</v>
      </c>
      <c r="G103" s="54">
        <f>+G57/G116</f>
        <v>58.725682144145182</v>
      </c>
      <c r="H103" s="54">
        <f>+H57/H116</f>
        <v>74.15496155816237</v>
      </c>
      <c r="I103" s="54">
        <f>+I57/I116</f>
        <v>92.228546219945912</v>
      </c>
      <c r="J103" s="54">
        <f>+J57/J116</f>
        <v>113.42883437698346</v>
      </c>
      <c r="K103" s="140"/>
      <c r="L103" s="146"/>
      <c r="M103" s="11"/>
      <c r="N103" s="4"/>
      <c r="O103" s="4"/>
      <c r="P103" s="4"/>
      <c r="Q103" s="4"/>
    </row>
    <row r="104" spans="1:17" s="19" customFormat="1" ht="13.5" customHeight="1" x14ac:dyDescent="0.45">
      <c r="A104" s="4"/>
      <c r="B104" s="4" t="s">
        <v>144</v>
      </c>
      <c r="C104" s="81">
        <v>7.7</v>
      </c>
      <c r="D104" s="84"/>
      <c r="E104" s="83">
        <f>+D104+C104</f>
        <v>7.7</v>
      </c>
      <c r="F104" s="96">
        <v>7.7</v>
      </c>
      <c r="G104" s="96">
        <v>7.7</v>
      </c>
      <c r="H104" s="96">
        <v>7.7</v>
      </c>
      <c r="I104" s="96">
        <v>7.7</v>
      </c>
      <c r="J104" s="96">
        <v>7.7</v>
      </c>
      <c r="K104" s="4"/>
      <c r="L104" s="146"/>
      <c r="M104" s="11"/>
      <c r="N104" s="4"/>
      <c r="O104" s="4"/>
      <c r="P104" s="4"/>
      <c r="Q104" s="4"/>
    </row>
    <row r="105" spans="1:17" s="4" customFormat="1" ht="13.5" customHeight="1" x14ac:dyDescent="0.45">
      <c r="B105" s="4" t="s">
        <v>164</v>
      </c>
      <c r="C105" s="81">
        <v>0</v>
      </c>
      <c r="D105" s="84">
        <f>+D8</f>
        <v>0</v>
      </c>
      <c r="E105" s="83">
        <f t="shared" ref="E105:E106" si="34">D105+C105</f>
        <v>0</v>
      </c>
      <c r="F105" s="79">
        <f ca="1">F134</f>
        <v>0</v>
      </c>
      <c r="G105" s="79">
        <f t="shared" ref="G105:J105" ca="1" si="35">G134</f>
        <v>0</v>
      </c>
      <c r="H105" s="79">
        <f t="shared" ca="1" si="35"/>
        <v>0</v>
      </c>
      <c r="I105" s="79">
        <f t="shared" ca="1" si="35"/>
        <v>0</v>
      </c>
      <c r="J105" s="79">
        <f t="shared" ca="1" si="35"/>
        <v>0</v>
      </c>
      <c r="L105" s="146"/>
    </row>
    <row r="106" spans="1:17" s="4" customFormat="1" ht="13.5" customHeight="1" x14ac:dyDescent="0.45">
      <c r="B106" s="4" t="s">
        <v>21</v>
      </c>
      <c r="C106" s="81">
        <v>138.70000000000002</v>
      </c>
      <c r="D106" s="84">
        <f>+H31</f>
        <v>0</v>
      </c>
      <c r="E106" s="83">
        <f t="shared" si="34"/>
        <v>138.70000000000002</v>
      </c>
      <c r="F106" s="50">
        <f ca="1">E106+F90-F150</f>
        <v>156.08591822661839</v>
      </c>
      <c r="G106" s="50">
        <f ca="1">F106+G90-G150</f>
        <v>163.57957514032069</v>
      </c>
      <c r="H106" s="50">
        <f ca="1">G106+H90-H150</f>
        <v>172.37288411461614</v>
      </c>
      <c r="I106" s="50">
        <f ca="1">H106+I90-I150</f>
        <v>182.70301461976985</v>
      </c>
      <c r="J106" s="50">
        <f ca="1">I106+J90-J150</f>
        <v>194.84938072321791</v>
      </c>
      <c r="L106" s="146"/>
    </row>
    <row r="107" spans="1:17" s="4" customFormat="1" ht="13.5" customHeight="1" x14ac:dyDescent="0.45">
      <c r="B107" s="12" t="s">
        <v>22</v>
      </c>
      <c r="C107" s="53">
        <f>SUM(C103:C106)</f>
        <v>184.8</v>
      </c>
      <c r="D107" s="85"/>
      <c r="E107" s="88">
        <f t="shared" ref="E107:J107" si="36">SUM(E103:E106)</f>
        <v>184.8</v>
      </c>
      <c r="F107" s="53">
        <f t="shared" ca="1" si="36"/>
        <v>209.31706280155856</v>
      </c>
      <c r="G107" s="53">
        <f t="shared" ca="1" si="36"/>
        <v>230.00525728446587</v>
      </c>
      <c r="H107" s="53">
        <f t="shared" ca="1" si="36"/>
        <v>254.22784567277853</v>
      </c>
      <c r="I107" s="53">
        <f t="shared" ca="1" si="36"/>
        <v>282.63156083971575</v>
      </c>
      <c r="J107" s="53">
        <f t="shared" ca="1" si="36"/>
        <v>315.9782151002014</v>
      </c>
      <c r="L107" s="146"/>
    </row>
    <row r="108" spans="1:17" s="4" customFormat="1" ht="13.5" customHeight="1" x14ac:dyDescent="0.45">
      <c r="B108" s="37" t="s">
        <v>29</v>
      </c>
      <c r="C108" s="38">
        <f>C101-C107</f>
        <v>0</v>
      </c>
      <c r="D108" s="39"/>
      <c r="E108" s="66">
        <f t="shared" ref="E108:J108" si="37">E101-E107</f>
        <v>0</v>
      </c>
      <c r="F108" s="38">
        <f t="shared" ca="1" si="37"/>
        <v>0</v>
      </c>
      <c r="G108" s="38">
        <f t="shared" ca="1" si="37"/>
        <v>0</v>
      </c>
      <c r="H108" s="38">
        <f t="shared" ca="1" si="37"/>
        <v>0</v>
      </c>
      <c r="I108" s="38">
        <f t="shared" ca="1" si="37"/>
        <v>0</v>
      </c>
      <c r="J108" s="38">
        <f t="shared" ca="1" si="37"/>
        <v>0</v>
      </c>
      <c r="L108" s="146"/>
    </row>
    <row r="109" spans="1:17" s="4" customFormat="1" ht="13.5" customHeight="1" x14ac:dyDescent="0.45">
      <c r="B109" s="37"/>
      <c r="C109" s="192"/>
      <c r="D109" s="37"/>
      <c r="E109" s="67"/>
      <c r="F109" s="40"/>
      <c r="G109" s="40"/>
      <c r="H109" s="40"/>
      <c r="I109" s="40"/>
      <c r="J109" s="40"/>
      <c r="L109" s="146"/>
    </row>
    <row r="110" spans="1:17" s="4" customFormat="1" ht="13.5" customHeight="1" x14ac:dyDescent="0.45">
      <c r="B110" s="136" t="s">
        <v>101</v>
      </c>
      <c r="C110" s="37"/>
      <c r="D110" s="37"/>
      <c r="E110" s="67"/>
      <c r="F110" s="40"/>
      <c r="G110" s="40"/>
      <c r="H110" s="40"/>
      <c r="I110" s="40"/>
      <c r="J110" s="40"/>
      <c r="L110" s="146"/>
    </row>
    <row r="111" spans="1:17" s="19" customFormat="1" ht="13.5" customHeight="1" x14ac:dyDescent="0.45">
      <c r="A111" s="4"/>
      <c r="B111" s="4" t="s">
        <v>103</v>
      </c>
      <c r="C111" s="137"/>
      <c r="D111" s="4"/>
      <c r="E111" s="141">
        <f>+(E105)/E78</f>
        <v>0</v>
      </c>
      <c r="F111" s="142">
        <f t="shared" ref="F111:J111" ca="1" si="38">+(F105)/F78</f>
        <v>0</v>
      </c>
      <c r="G111" s="142">
        <f t="shared" ca="1" si="38"/>
        <v>0</v>
      </c>
      <c r="H111" s="142">
        <f t="shared" ca="1" si="38"/>
        <v>0</v>
      </c>
      <c r="I111" s="142">
        <f t="shared" ca="1" si="38"/>
        <v>0</v>
      </c>
      <c r="J111" s="142">
        <f t="shared" ca="1" si="38"/>
        <v>0</v>
      </c>
      <c r="K111" s="4"/>
      <c r="L111" s="146"/>
      <c r="M111" s="11"/>
      <c r="N111" s="4"/>
      <c r="O111" s="4"/>
      <c r="P111" s="4"/>
      <c r="Q111" s="4"/>
    </row>
    <row r="112" spans="1:17" s="19" customFormat="1" ht="13.5" customHeight="1" x14ac:dyDescent="0.45">
      <c r="A112" s="4"/>
      <c r="B112" s="4" t="s">
        <v>102</v>
      </c>
      <c r="C112" s="137"/>
      <c r="D112" s="4"/>
      <c r="E112" s="141" t="str">
        <f t="shared" ref="E112:J112" si="39">IFERROR(E78/E136, "n/a")</f>
        <v>n/a</v>
      </c>
      <c r="F112" s="142" t="str">
        <f t="shared" ca="1" si="39"/>
        <v>n/a</v>
      </c>
      <c r="G112" s="142" t="str">
        <f t="shared" ca="1" si="39"/>
        <v>n/a</v>
      </c>
      <c r="H112" s="142" t="str">
        <f t="shared" ca="1" si="39"/>
        <v>n/a</v>
      </c>
      <c r="I112" s="142" t="str">
        <f t="shared" ca="1" si="39"/>
        <v>n/a</v>
      </c>
      <c r="J112" s="142" t="str">
        <f t="shared" ca="1" si="39"/>
        <v>n/a</v>
      </c>
      <c r="K112" s="4"/>
      <c r="L112" s="146"/>
      <c r="M112" s="11"/>
      <c r="N112" s="4"/>
      <c r="O112" s="4"/>
      <c r="P112" s="4"/>
      <c r="Q112" s="4"/>
    </row>
    <row r="113" spans="1:17" s="19" customFormat="1" ht="13.5" customHeight="1" x14ac:dyDescent="0.45">
      <c r="A113" s="4"/>
      <c r="B113" s="4"/>
      <c r="C113" s="137"/>
      <c r="D113" s="4"/>
      <c r="E113" s="89"/>
      <c r="F113" s="138"/>
      <c r="G113" s="138"/>
      <c r="H113" s="138"/>
      <c r="I113" s="138"/>
      <c r="J113" s="138"/>
      <c r="K113" s="4"/>
      <c r="L113" s="146"/>
      <c r="M113" s="11"/>
      <c r="N113" s="4"/>
      <c r="O113" s="4"/>
      <c r="P113" s="4"/>
      <c r="Q113" s="4"/>
    </row>
    <row r="114" spans="1:17" s="4" customFormat="1" ht="13.5" customHeight="1" x14ac:dyDescent="0.45">
      <c r="B114" s="136" t="s">
        <v>99</v>
      </c>
      <c r="C114" s="37"/>
      <c r="D114" s="37"/>
      <c r="E114" s="67"/>
      <c r="F114" s="40"/>
      <c r="G114" s="40"/>
      <c r="H114" s="40"/>
      <c r="I114" s="40"/>
      <c r="J114" s="40"/>
      <c r="L114" s="146"/>
    </row>
    <row r="115" spans="1:17" s="19" customFormat="1" ht="13.5" customHeight="1" x14ac:dyDescent="0.45">
      <c r="A115" s="4"/>
      <c r="B115" s="4" t="s">
        <v>146</v>
      </c>
      <c r="C115" s="193">
        <f>+E50/C96</f>
        <v>1.8443280061658744</v>
      </c>
      <c r="D115" s="4"/>
      <c r="E115" s="89"/>
      <c r="F115" s="194">
        <v>1.8</v>
      </c>
      <c r="G115" s="194">
        <v>1.8</v>
      </c>
      <c r="H115" s="194">
        <v>1.8</v>
      </c>
      <c r="I115" s="194">
        <v>1.8</v>
      </c>
      <c r="J115" s="194">
        <v>1.8</v>
      </c>
      <c r="K115" s="4"/>
      <c r="L115" s="146"/>
      <c r="M115" s="11"/>
      <c r="N115" s="4"/>
      <c r="O115" s="4"/>
      <c r="P115" s="4"/>
      <c r="Q115" s="4"/>
    </row>
    <row r="116" spans="1:17" s="19" customFormat="1" ht="13.5" customHeight="1" x14ac:dyDescent="0.45">
      <c r="A116" s="4"/>
      <c r="B116" s="4" t="s">
        <v>147</v>
      </c>
      <c r="C116" s="193">
        <f>+E57/C103</f>
        <v>0.47635534284252973</v>
      </c>
      <c r="D116" s="4"/>
      <c r="E116" s="89"/>
      <c r="F116" s="194">
        <v>0.5</v>
      </c>
      <c r="G116" s="194">
        <v>0.5</v>
      </c>
      <c r="H116" s="194">
        <v>0.5</v>
      </c>
      <c r="I116" s="194">
        <v>0.5</v>
      </c>
      <c r="J116" s="194">
        <v>0.5</v>
      </c>
      <c r="K116" s="4"/>
      <c r="L116" s="146"/>
      <c r="M116" s="11"/>
      <c r="N116" s="4"/>
      <c r="O116" s="4"/>
      <c r="P116" s="4"/>
      <c r="Q116" s="4"/>
    </row>
    <row r="117" spans="1:17" s="19" customFormat="1" ht="13.5" customHeight="1" x14ac:dyDescent="0.45">
      <c r="A117" s="4"/>
      <c r="B117" s="4" t="s">
        <v>18</v>
      </c>
      <c r="C117" s="54">
        <f>+C96+C100-C103-C104</f>
        <v>24.800000000000008</v>
      </c>
      <c r="D117" s="4"/>
      <c r="E117" s="89">
        <f t="shared" ref="E117:J117" si="40">+E96+E100-E103-E104</f>
        <v>24.800000000000008</v>
      </c>
      <c r="F117" s="54">
        <f t="shared" si="40"/>
        <v>32.832967423424279</v>
      </c>
      <c r="G117" s="54">
        <f t="shared" si="40"/>
        <v>40.000370547436887</v>
      </c>
      <c r="H117" s="54">
        <f t="shared" si="40"/>
        <v>48.381707513075881</v>
      </c>
      <c r="I117" s="54">
        <f t="shared" si="40"/>
        <v>58.199457205896564</v>
      </c>
      <c r="J117" s="54">
        <f t="shared" si="40"/>
        <v>69.715663118361391</v>
      </c>
      <c r="K117" s="4"/>
      <c r="L117" s="146"/>
      <c r="M117" s="11"/>
      <c r="N117" s="4"/>
      <c r="O117" s="4"/>
      <c r="P117" s="4"/>
      <c r="Q117" s="4"/>
    </row>
    <row r="118" spans="1:17" s="4" customFormat="1" ht="13.5" customHeight="1" x14ac:dyDescent="0.45">
      <c r="B118" s="37"/>
      <c r="C118" s="37"/>
      <c r="D118" s="37"/>
      <c r="E118" s="67"/>
      <c r="F118" s="40"/>
      <c r="G118" s="40"/>
      <c r="H118" s="40"/>
      <c r="I118" s="40"/>
      <c r="J118" s="40"/>
      <c r="L118" s="146"/>
    </row>
    <row r="119" spans="1:17" s="19" customFormat="1" ht="13.5" customHeight="1" x14ac:dyDescent="0.45">
      <c r="A119" s="4"/>
      <c r="B119" s="4"/>
      <c r="C119" s="4"/>
      <c r="D119" s="4"/>
      <c r="E119" s="62"/>
      <c r="L119" s="153"/>
      <c r="M119" s="4"/>
      <c r="N119" s="4"/>
      <c r="O119" s="4"/>
      <c r="P119" s="4"/>
      <c r="Q119" s="4"/>
    </row>
    <row r="120" spans="1:17" s="4" customFormat="1" ht="13.5" customHeight="1" x14ac:dyDescent="0.45">
      <c r="B120" s="8" t="s">
        <v>23</v>
      </c>
      <c r="C120" s="8"/>
      <c r="D120" s="8"/>
      <c r="E120" s="58">
        <v>0</v>
      </c>
      <c r="F120" s="31">
        <v>1</v>
      </c>
      <c r="G120" s="31">
        <f>F120+1</f>
        <v>2</v>
      </c>
      <c r="H120" s="31">
        <f>G120+1</f>
        <v>3</v>
      </c>
      <c r="I120" s="31">
        <f>H120+1</f>
        <v>4</v>
      </c>
      <c r="J120" s="31">
        <f>I120+1</f>
        <v>5</v>
      </c>
      <c r="L120" s="146"/>
    </row>
    <row r="121" spans="1:17" s="4" customFormat="1" ht="13.5" customHeight="1" x14ac:dyDescent="0.45">
      <c r="B121" s="4" t="s">
        <v>24</v>
      </c>
      <c r="E121" s="89"/>
      <c r="F121" s="54">
        <f>E124</f>
        <v>3</v>
      </c>
      <c r="G121" s="54">
        <f t="shared" ref="G121:J121" si="41">F124</f>
        <v>3.2529508031941119</v>
      </c>
      <c r="H121" s="54">
        <f t="shared" si="41"/>
        <v>3.5792045928838068</v>
      </c>
      <c r="I121" s="54">
        <f t="shared" si="41"/>
        <v>3.9911766015402645</v>
      </c>
      <c r="J121" s="54">
        <f t="shared" si="41"/>
        <v>4.5035574138732972</v>
      </c>
      <c r="L121" s="146"/>
      <c r="M121" s="11"/>
    </row>
    <row r="122" spans="1:17" s="4" customFormat="1" ht="13.5" customHeight="1" x14ac:dyDescent="0.45">
      <c r="B122" s="45" t="s">
        <v>61</v>
      </c>
      <c r="E122" s="62"/>
      <c r="F122" s="50">
        <f>F125*F50</f>
        <v>0.63237700798528018</v>
      </c>
      <c r="G122" s="50">
        <f>G125*G50</f>
        <v>0.81563447422423863</v>
      </c>
      <c r="H122" s="50">
        <f>H125*H50</f>
        <v>1.0299300216411442</v>
      </c>
      <c r="I122" s="50">
        <f>I125*I50</f>
        <v>1.2809520308325821</v>
      </c>
      <c r="J122" s="50">
        <f>J125*J50</f>
        <v>1.5754004774581036</v>
      </c>
      <c r="L122" s="146"/>
      <c r="M122" s="11"/>
    </row>
    <row r="123" spans="1:17" s="4" customFormat="1" ht="13.5" customHeight="1" x14ac:dyDescent="0.45">
      <c r="B123" s="45" t="s">
        <v>62</v>
      </c>
      <c r="E123" s="62"/>
      <c r="F123" s="50">
        <f>F81</f>
        <v>0.37942620479116812</v>
      </c>
      <c r="G123" s="50">
        <f>G81</f>
        <v>0.4893806845345432</v>
      </c>
      <c r="H123" s="50">
        <f>H81</f>
        <v>0.61795801298468656</v>
      </c>
      <c r="I123" s="50">
        <f>I81</f>
        <v>0.76857121849954924</v>
      </c>
      <c r="J123" s="50">
        <f>J81</f>
        <v>0.94524028647486225</v>
      </c>
      <c r="L123" s="146"/>
    </row>
    <row r="124" spans="1:17" s="4" customFormat="1" ht="13.5" customHeight="1" x14ac:dyDescent="0.45">
      <c r="B124" s="12" t="s">
        <v>25</v>
      </c>
      <c r="C124" s="12"/>
      <c r="D124" s="12"/>
      <c r="E124" s="86">
        <f>E99</f>
        <v>3</v>
      </c>
      <c r="F124" s="53">
        <f>F121+F122-F123</f>
        <v>3.2529508031941119</v>
      </c>
      <c r="G124" s="53">
        <f t="shared" ref="G124:J124" si="42">G121+G122-G123</f>
        <v>3.5792045928838068</v>
      </c>
      <c r="H124" s="53">
        <f t="shared" si="42"/>
        <v>3.9911766015402645</v>
      </c>
      <c r="I124" s="53">
        <f t="shared" si="42"/>
        <v>4.5035574138732972</v>
      </c>
      <c r="J124" s="53">
        <f t="shared" si="42"/>
        <v>5.1337176048565381</v>
      </c>
      <c r="L124" s="146"/>
    </row>
    <row r="125" spans="1:17" s="4" customFormat="1" ht="13.5" customHeight="1" x14ac:dyDescent="0.45">
      <c r="B125" s="33" t="s">
        <v>72</v>
      </c>
      <c r="E125" s="62"/>
      <c r="F125" s="75">
        <v>5.0000000000000001E-3</v>
      </c>
      <c r="G125" s="75">
        <v>5.0000000000000001E-3</v>
      </c>
      <c r="H125" s="75">
        <v>5.0000000000000001E-3</v>
      </c>
      <c r="I125" s="75">
        <v>5.0000000000000001E-3</v>
      </c>
      <c r="J125" s="75">
        <v>5.0000000000000001E-3</v>
      </c>
      <c r="L125" s="146"/>
      <c r="M125" s="11"/>
    </row>
    <row r="126" spans="1:17" s="4" customFormat="1" ht="13.5" customHeight="1" x14ac:dyDescent="0.45">
      <c r="B126" s="33" t="s">
        <v>73</v>
      </c>
      <c r="E126" s="62"/>
      <c r="F126" s="75">
        <v>3.0000000000000001E-3</v>
      </c>
      <c r="G126" s="75">
        <v>3.0000000000000001E-3</v>
      </c>
      <c r="H126" s="75">
        <v>3.0000000000000001E-3</v>
      </c>
      <c r="I126" s="75">
        <v>3.0000000000000001E-3</v>
      </c>
      <c r="J126" s="75">
        <v>3.0000000000000001E-3</v>
      </c>
      <c r="L126" s="146"/>
      <c r="M126" s="11"/>
    </row>
    <row r="127" spans="1:17" s="4" customFormat="1" ht="13.5" customHeight="1" x14ac:dyDescent="0.45">
      <c r="B127" s="16"/>
      <c r="C127" s="16"/>
      <c r="D127" s="16"/>
      <c r="E127" s="98"/>
      <c r="F127" s="90"/>
      <c r="G127" s="90"/>
      <c r="H127" s="90"/>
      <c r="I127" s="90"/>
      <c r="J127" s="90"/>
      <c r="L127" s="146"/>
    </row>
    <row r="128" spans="1:17" s="19" customFormat="1" ht="13.5" customHeight="1" x14ac:dyDescent="0.45">
      <c r="A128" s="4"/>
      <c r="B128" s="4" t="s">
        <v>41</v>
      </c>
      <c r="C128" s="4"/>
      <c r="D128" s="44" t="s">
        <v>74</v>
      </c>
      <c r="E128" s="103" t="s">
        <v>75</v>
      </c>
      <c r="F128" s="54">
        <f>E130</f>
        <v>0</v>
      </c>
      <c r="G128" s="54">
        <f t="shared" ref="G128:J128" si="43">F130</f>
        <v>0</v>
      </c>
      <c r="H128" s="54">
        <f t="shared" si="43"/>
        <v>0</v>
      </c>
      <c r="I128" s="54">
        <f t="shared" si="43"/>
        <v>0</v>
      </c>
      <c r="J128" s="54">
        <f t="shared" si="43"/>
        <v>0</v>
      </c>
      <c r="K128" s="4"/>
      <c r="L128" s="146"/>
      <c r="M128" s="4"/>
      <c r="N128" s="4"/>
      <c r="O128" s="4"/>
      <c r="P128" s="4"/>
      <c r="Q128" s="4"/>
    </row>
    <row r="129" spans="1:17" s="19" customFormat="1" ht="13.5" customHeight="1" x14ac:dyDescent="0.45">
      <c r="A129" s="4"/>
      <c r="B129" s="45" t="s">
        <v>63</v>
      </c>
      <c r="C129" s="4"/>
      <c r="D129" s="195">
        <v>5</v>
      </c>
      <c r="E129" s="196">
        <f>E130/D129</f>
        <v>0</v>
      </c>
      <c r="F129" s="104">
        <f>$E$129</f>
        <v>0</v>
      </c>
      <c r="G129" s="104">
        <f t="shared" ref="G129:J129" si="44">$E$129</f>
        <v>0</v>
      </c>
      <c r="H129" s="104">
        <f t="shared" si="44"/>
        <v>0</v>
      </c>
      <c r="I129" s="104">
        <f t="shared" si="44"/>
        <v>0</v>
      </c>
      <c r="J129" s="104">
        <f t="shared" si="44"/>
        <v>0</v>
      </c>
      <c r="K129" s="4"/>
      <c r="L129" s="146"/>
      <c r="M129" s="4"/>
      <c r="N129" s="4"/>
      <c r="O129" s="4"/>
      <c r="P129" s="4"/>
      <c r="Q129" s="4"/>
    </row>
    <row r="130" spans="1:17" s="19" customFormat="1" ht="13.5" customHeight="1" x14ac:dyDescent="0.45">
      <c r="A130" s="4"/>
      <c r="B130" s="12" t="s">
        <v>42</v>
      </c>
      <c r="C130" s="12"/>
      <c r="D130" s="12"/>
      <c r="E130" s="86">
        <f>E97</f>
        <v>0</v>
      </c>
      <c r="F130" s="53">
        <f>F128-F129</f>
        <v>0</v>
      </c>
      <c r="G130" s="53">
        <f t="shared" ref="G130:J130" si="45">G128-G129</f>
        <v>0</v>
      </c>
      <c r="H130" s="53">
        <f t="shared" si="45"/>
        <v>0</v>
      </c>
      <c r="I130" s="53">
        <f t="shared" si="45"/>
        <v>0</v>
      </c>
      <c r="J130" s="53">
        <f t="shared" si="45"/>
        <v>0</v>
      </c>
      <c r="K130" s="4"/>
      <c r="L130" s="146"/>
      <c r="M130" s="4"/>
      <c r="N130" s="4"/>
      <c r="O130" s="4"/>
      <c r="P130" s="4"/>
      <c r="Q130" s="4"/>
    </row>
    <row r="131" spans="1:17" s="19" customFormat="1" ht="13.5" customHeight="1" x14ac:dyDescent="0.45">
      <c r="A131" s="4"/>
      <c r="B131" s="4"/>
      <c r="C131" s="4"/>
      <c r="D131" s="4"/>
      <c r="E131" s="62"/>
      <c r="F131" s="4"/>
      <c r="G131" s="4"/>
      <c r="H131" s="4"/>
      <c r="I131" s="4"/>
      <c r="J131" s="4"/>
      <c r="K131" s="4"/>
      <c r="L131" s="146"/>
      <c r="M131" s="4"/>
      <c r="N131" s="4"/>
      <c r="O131" s="4"/>
      <c r="P131" s="4"/>
      <c r="Q131" s="4"/>
    </row>
    <row r="132" spans="1:17" s="4" customFormat="1" ht="13.5" customHeight="1" x14ac:dyDescent="0.45">
      <c r="B132" s="4" t="s">
        <v>165</v>
      </c>
      <c r="E132" s="62"/>
      <c r="F132" s="54">
        <f>E134</f>
        <v>0</v>
      </c>
      <c r="G132" s="54">
        <f t="shared" ref="G132:J132" ca="1" si="46">F134</f>
        <v>0</v>
      </c>
      <c r="H132" s="54">
        <f t="shared" ca="1" si="46"/>
        <v>0</v>
      </c>
      <c r="I132" s="54">
        <f t="shared" ca="1" si="46"/>
        <v>0</v>
      </c>
      <c r="J132" s="54">
        <f t="shared" ca="1" si="46"/>
        <v>0</v>
      </c>
      <c r="L132" s="146"/>
    </row>
    <row r="133" spans="1:17" s="4" customFormat="1" ht="13.5" customHeight="1" x14ac:dyDescent="0.45">
      <c r="B133" s="45" t="s">
        <v>64</v>
      </c>
      <c r="E133" s="62"/>
      <c r="F133" s="50">
        <f ca="1">-MIN(F132, F147+E95-F138)</f>
        <v>0</v>
      </c>
      <c r="G133" s="50">
        <f ca="1">-MIN(G132, G147+F95-G138)</f>
        <v>0</v>
      </c>
      <c r="H133" s="50">
        <f ca="1">-MIN(H132, H147+G95-H138)</f>
        <v>0</v>
      </c>
      <c r="I133" s="50">
        <f ca="1">-MIN(I132, I147+H95-I138)</f>
        <v>0</v>
      </c>
      <c r="J133" s="50">
        <f ca="1">-MIN(J132, J147+I95-J138)</f>
        <v>0</v>
      </c>
      <c r="L133" s="146"/>
    </row>
    <row r="134" spans="1:17" s="4" customFormat="1" ht="13.5" customHeight="1" x14ac:dyDescent="0.45">
      <c r="B134" s="12" t="s">
        <v>166</v>
      </c>
      <c r="C134" s="12"/>
      <c r="D134" s="12"/>
      <c r="E134" s="86">
        <f>E105</f>
        <v>0</v>
      </c>
      <c r="F134" s="53">
        <f ca="1">SUM(F132:F133)</f>
        <v>0</v>
      </c>
      <c r="G134" s="53">
        <f t="shared" ref="G134:J134" ca="1" si="47">SUM(G132:G133)</f>
        <v>0</v>
      </c>
      <c r="H134" s="53">
        <f t="shared" ca="1" si="47"/>
        <v>0</v>
      </c>
      <c r="I134" s="53">
        <f t="shared" ca="1" si="47"/>
        <v>0</v>
      </c>
      <c r="J134" s="53">
        <f t="shared" ca="1" si="47"/>
        <v>0</v>
      </c>
      <c r="L134" s="146"/>
    </row>
    <row r="135" spans="1:17" s="4" customFormat="1" ht="13.5" customHeight="1" x14ac:dyDescent="0.45">
      <c r="B135" s="45" t="s">
        <v>71</v>
      </c>
      <c r="E135" s="68"/>
      <c r="F135" s="43">
        <v>0.05</v>
      </c>
      <c r="G135" s="43">
        <v>0.05</v>
      </c>
      <c r="H135" s="43">
        <v>0.05</v>
      </c>
      <c r="I135" s="43">
        <v>0.05</v>
      </c>
      <c r="J135" s="43">
        <v>0.05</v>
      </c>
      <c r="L135" s="146"/>
    </row>
    <row r="136" spans="1:17" s="4" customFormat="1" ht="13.5" customHeight="1" x14ac:dyDescent="0.45">
      <c r="B136" s="12" t="s">
        <v>13</v>
      </c>
      <c r="C136" s="12"/>
      <c r="D136" s="12"/>
      <c r="E136" s="86"/>
      <c r="F136" s="53">
        <f ca="1">AVERAGE(E134:F134)*F135</f>
        <v>0</v>
      </c>
      <c r="G136" s="53">
        <f t="shared" ref="G136:J136" ca="1" si="48">AVERAGE(F134:G134)*G135</f>
        <v>0</v>
      </c>
      <c r="H136" s="53">
        <f t="shared" ca="1" si="48"/>
        <v>0</v>
      </c>
      <c r="I136" s="53">
        <f t="shared" ca="1" si="48"/>
        <v>0</v>
      </c>
      <c r="J136" s="53">
        <f t="shared" ca="1" si="48"/>
        <v>0</v>
      </c>
      <c r="L136" s="146"/>
    </row>
    <row r="137" spans="1:17" s="4" customFormat="1" ht="13.5" customHeight="1" x14ac:dyDescent="0.45">
      <c r="B137" s="16"/>
      <c r="C137" s="16"/>
      <c r="D137" s="16"/>
      <c r="E137" s="98"/>
      <c r="F137" s="90"/>
      <c r="G137" s="90"/>
      <c r="H137" s="90"/>
      <c r="I137" s="90"/>
      <c r="J137" s="90"/>
      <c r="L137" s="146"/>
    </row>
    <row r="138" spans="1:17" s="4" customFormat="1" ht="13.5" customHeight="1" x14ac:dyDescent="0.45">
      <c r="B138" s="95" t="s">
        <v>68</v>
      </c>
      <c r="E138" s="62"/>
      <c r="F138" s="111">
        <v>120</v>
      </c>
      <c r="G138" s="111">
        <v>120</v>
      </c>
      <c r="H138" s="111">
        <v>120</v>
      </c>
      <c r="I138" s="111">
        <v>120</v>
      </c>
      <c r="J138" s="111">
        <v>120</v>
      </c>
      <c r="L138" s="146"/>
    </row>
    <row r="139" spans="1:17" s="4" customFormat="1" ht="13.5" customHeight="1" x14ac:dyDescent="0.45">
      <c r="B139" s="45"/>
      <c r="E139" s="62"/>
      <c r="F139" s="173"/>
      <c r="G139" s="173"/>
      <c r="H139" s="173"/>
      <c r="I139" s="173"/>
      <c r="J139" s="173"/>
    </row>
    <row r="140" spans="1:17" s="4" customFormat="1" ht="13.5" customHeight="1" x14ac:dyDescent="0.45">
      <c r="E140" s="68"/>
      <c r="F140" s="41"/>
      <c r="G140" s="41"/>
      <c r="H140" s="41"/>
      <c r="I140" s="41"/>
      <c r="J140" s="41"/>
      <c r="L140" s="146"/>
    </row>
    <row r="141" spans="1:17" s="4" customFormat="1" ht="13.5" customHeight="1" x14ac:dyDescent="0.45">
      <c r="B141" s="8" t="s">
        <v>15</v>
      </c>
      <c r="C141" s="8"/>
      <c r="D141" s="8"/>
      <c r="E141" s="58"/>
      <c r="F141" s="31">
        <v>1</v>
      </c>
      <c r="G141" s="31">
        <f>F141+1</f>
        <v>2</v>
      </c>
      <c r="H141" s="31">
        <f>G141+1</f>
        <v>3</v>
      </c>
      <c r="I141" s="31">
        <f>H141+1</f>
        <v>4</v>
      </c>
      <c r="J141" s="31">
        <f>I141+1</f>
        <v>5</v>
      </c>
      <c r="L141" s="146"/>
    </row>
    <row r="142" spans="1:17" s="4" customFormat="1" ht="13.5" customHeight="1" x14ac:dyDescent="0.45">
      <c r="B142" s="4" t="s">
        <v>11</v>
      </c>
      <c r="E142" s="63"/>
      <c r="F142" s="54">
        <f ca="1">F90</f>
        <v>17.557743973711112</v>
      </c>
      <c r="G142" s="54">
        <f ca="1">G90</f>
        <v>24.114818393694357</v>
      </c>
      <c r="H142" s="54">
        <f ca="1">H90</f>
        <v>31.718631262805548</v>
      </c>
      <c r="I142" s="54">
        <f ca="1">I90</f>
        <v>40.54383785546483</v>
      </c>
      <c r="J142" s="54">
        <f ca="1">J90</f>
        <v>50.790535860664249</v>
      </c>
      <c r="L142" s="146"/>
    </row>
    <row r="143" spans="1:17" s="4" customFormat="1" ht="13.5" customHeight="1" x14ac:dyDescent="0.45">
      <c r="B143" s="45" t="s">
        <v>57</v>
      </c>
      <c r="E143" s="62"/>
      <c r="F143" s="50">
        <f>F81</f>
        <v>0.37942620479116812</v>
      </c>
      <c r="G143" s="50">
        <f>G81</f>
        <v>0.4893806845345432</v>
      </c>
      <c r="H143" s="50">
        <f>H81</f>
        <v>0.61795801298468656</v>
      </c>
      <c r="I143" s="50">
        <f>I81</f>
        <v>0.76857121849954924</v>
      </c>
      <c r="J143" s="50">
        <f>J81</f>
        <v>0.94524028647486225</v>
      </c>
      <c r="L143" s="146"/>
      <c r="M143" s="16"/>
    </row>
    <row r="144" spans="1:17" s="4" customFormat="1" ht="13.5" customHeight="1" x14ac:dyDescent="0.45">
      <c r="B144" s="45" t="s">
        <v>58</v>
      </c>
      <c r="E144" s="62"/>
      <c r="F144" s="50">
        <f>F129</f>
        <v>0</v>
      </c>
      <c r="G144" s="50">
        <f>G129</f>
        <v>0</v>
      </c>
      <c r="H144" s="50">
        <f>H129</f>
        <v>0</v>
      </c>
      <c r="I144" s="50">
        <f>I129</f>
        <v>0</v>
      </c>
      <c r="J144" s="50">
        <f>J129</f>
        <v>0</v>
      </c>
      <c r="L144" s="146"/>
      <c r="M144" s="16"/>
    </row>
    <row r="145" spans="1:17" s="4" customFormat="1" ht="13.5" customHeight="1" x14ac:dyDescent="0.45">
      <c r="B145" s="45" t="s">
        <v>59</v>
      </c>
      <c r="E145" s="62"/>
      <c r="F145" s="79">
        <f>F122</f>
        <v>0.63237700798528018</v>
      </c>
      <c r="G145" s="79">
        <f>G122</f>
        <v>0.81563447422423863</v>
      </c>
      <c r="H145" s="79">
        <f>H122</f>
        <v>1.0299300216411442</v>
      </c>
      <c r="I145" s="79">
        <f>I122</f>
        <v>1.2809520308325821</v>
      </c>
      <c r="J145" s="79">
        <f>J122</f>
        <v>1.5754004774581036</v>
      </c>
      <c r="L145" s="146"/>
    </row>
    <row r="146" spans="1:17" s="4" customFormat="1" ht="13.5" customHeight="1" x14ac:dyDescent="0.45">
      <c r="B146" s="45" t="s">
        <v>100</v>
      </c>
      <c r="E146" s="62"/>
      <c r="F146" s="79">
        <f>+F117-E117</f>
        <v>8.0329674234242709</v>
      </c>
      <c r="G146" s="79">
        <f>+G117-F117</f>
        <v>7.1674031240126084</v>
      </c>
      <c r="H146" s="79">
        <f>+H117-G117</f>
        <v>8.3813369656389938</v>
      </c>
      <c r="I146" s="79">
        <f>+I117-H117</f>
        <v>9.8177496928206835</v>
      </c>
      <c r="J146" s="79">
        <f>+J117-I117</f>
        <v>11.516205912464827</v>
      </c>
      <c r="L146" s="146"/>
    </row>
    <row r="147" spans="1:17" s="4" customFormat="1" ht="13.5" customHeight="1" x14ac:dyDescent="0.45">
      <c r="B147" s="12" t="s">
        <v>26</v>
      </c>
      <c r="C147" s="12"/>
      <c r="D147" s="12"/>
      <c r="E147" s="64"/>
      <c r="F147" s="53">
        <f ca="1">F142+F143+F144-F145-F146</f>
        <v>9.2718257470927306</v>
      </c>
      <c r="G147" s="53">
        <f t="shared" ref="G147:J147" ca="1" si="49">G142+G143+G144-G145-G146</f>
        <v>16.62116147999205</v>
      </c>
      <c r="H147" s="53">
        <f t="shared" ca="1" si="49"/>
        <v>22.925322288510095</v>
      </c>
      <c r="I147" s="53">
        <f t="shared" ca="1" si="49"/>
        <v>30.213707350311118</v>
      </c>
      <c r="J147" s="53">
        <f t="shared" ca="1" si="49"/>
        <v>38.644169757216183</v>
      </c>
      <c r="L147" s="146"/>
    </row>
    <row r="148" spans="1:17" s="4" customFormat="1" ht="13.5" customHeight="1" x14ac:dyDescent="0.45">
      <c r="E148" s="62"/>
      <c r="F148" s="54"/>
      <c r="G148" s="54"/>
      <c r="H148" s="54"/>
      <c r="I148" s="54"/>
      <c r="J148" s="54"/>
      <c r="L148" s="146"/>
    </row>
    <row r="149" spans="1:17" s="4" customFormat="1" ht="13.5" customHeight="1" x14ac:dyDescent="0.45">
      <c r="B149" s="45" t="s">
        <v>60</v>
      </c>
      <c r="E149" s="62"/>
      <c r="F149" s="54">
        <f ca="1">F133</f>
        <v>0</v>
      </c>
      <c r="G149" s="54">
        <f t="shared" ref="G149:J149" ca="1" si="50">G133</f>
        <v>0</v>
      </c>
      <c r="H149" s="54">
        <f t="shared" ca="1" si="50"/>
        <v>0</v>
      </c>
      <c r="I149" s="54">
        <f t="shared" ca="1" si="50"/>
        <v>0</v>
      </c>
      <c r="J149" s="54">
        <f t="shared" ca="1" si="50"/>
        <v>0</v>
      </c>
      <c r="L149" s="146"/>
    </row>
    <row r="150" spans="1:17" s="4" customFormat="1" ht="13.5" customHeight="1" x14ac:dyDescent="0.45">
      <c r="B150" s="45" t="s">
        <v>152</v>
      </c>
      <c r="E150" s="62"/>
      <c r="F150" s="79">
        <f ca="1">(E95+F149+F147-F138)</f>
        <v>0.17182574709273979</v>
      </c>
      <c r="G150" s="79">
        <f ca="1">(F95+G149+G147-G138)</f>
        <v>16.621161479992054</v>
      </c>
      <c r="H150" s="79">
        <f ca="1">(G95+H149+H147-H138)</f>
        <v>22.925322288510102</v>
      </c>
      <c r="I150" s="79">
        <f ca="1">(H95+I149+I147-I138)</f>
        <v>30.213707350311125</v>
      </c>
      <c r="J150" s="79">
        <f ca="1">(I95+J149+J147-J138)</f>
        <v>38.64416975721619</v>
      </c>
      <c r="L150" s="146"/>
    </row>
    <row r="151" spans="1:17" s="4" customFormat="1" ht="13.5" customHeight="1" x14ac:dyDescent="0.45">
      <c r="B151" s="12" t="s">
        <v>27</v>
      </c>
      <c r="C151" s="12"/>
      <c r="D151" s="12"/>
      <c r="E151" s="64"/>
      <c r="F151" s="53">
        <f ca="1">F149-F150</f>
        <v>-0.17182574709273979</v>
      </c>
      <c r="G151" s="53">
        <f t="shared" ref="G151:J151" ca="1" si="51">G149-G150</f>
        <v>-16.621161479992054</v>
      </c>
      <c r="H151" s="53">
        <f t="shared" ca="1" si="51"/>
        <v>-22.925322288510102</v>
      </c>
      <c r="I151" s="53">
        <f t="shared" ca="1" si="51"/>
        <v>-30.213707350311125</v>
      </c>
      <c r="J151" s="53">
        <f t="shared" ca="1" si="51"/>
        <v>-38.64416975721619</v>
      </c>
      <c r="L151" s="146"/>
    </row>
    <row r="152" spans="1:17" s="4" customFormat="1" ht="13.5" customHeight="1" x14ac:dyDescent="0.45">
      <c r="E152" s="62"/>
      <c r="F152" s="54"/>
      <c r="G152" s="54"/>
      <c r="H152" s="54"/>
      <c r="I152" s="54"/>
      <c r="J152" s="54"/>
      <c r="L152" s="146"/>
    </row>
    <row r="153" spans="1:17" s="4" customFormat="1" ht="13.5" customHeight="1" x14ac:dyDescent="0.45">
      <c r="B153" s="16" t="s">
        <v>28</v>
      </c>
      <c r="E153" s="62"/>
      <c r="F153" s="90">
        <f ca="1">F151+F147</f>
        <v>9.0999999999999908</v>
      </c>
      <c r="G153" s="90">
        <f t="shared" ref="G153:J153" ca="1" si="52">G151+G147</f>
        <v>0</v>
      </c>
      <c r="H153" s="90">
        <f t="shared" ca="1" si="52"/>
        <v>0</v>
      </c>
      <c r="I153" s="90">
        <f t="shared" ca="1" si="52"/>
        <v>0</v>
      </c>
      <c r="J153" s="90">
        <f t="shared" ca="1" si="52"/>
        <v>0</v>
      </c>
      <c r="L153" s="146"/>
    </row>
    <row r="154" spans="1:17" s="4" customFormat="1" ht="13.5" customHeight="1" x14ac:dyDescent="0.45">
      <c r="E154" s="62"/>
      <c r="F154" s="18"/>
      <c r="G154" s="18"/>
      <c r="H154" s="18"/>
      <c r="I154" s="18"/>
      <c r="J154" s="18"/>
      <c r="L154" s="146"/>
    </row>
    <row r="155" spans="1:17" s="46" customFormat="1" ht="13.5" customHeight="1" x14ac:dyDescent="0.45">
      <c r="A155" s="37"/>
      <c r="B155" s="37"/>
      <c r="C155" s="37"/>
      <c r="D155" s="37"/>
      <c r="E155" s="113"/>
      <c r="F155" s="37"/>
      <c r="G155" s="37"/>
      <c r="H155" s="37"/>
      <c r="I155" s="37"/>
      <c r="J155" s="37"/>
      <c r="K155" s="37"/>
      <c r="L155" s="150"/>
      <c r="M155" s="37"/>
      <c r="N155" s="37"/>
      <c r="O155" s="37"/>
      <c r="P155" s="37"/>
      <c r="Q155" s="37"/>
    </row>
    <row r="156" spans="1:17" s="37" customFormat="1" ht="13.5" customHeight="1" x14ac:dyDescent="0.45">
      <c r="B156" s="5" t="s">
        <v>30</v>
      </c>
      <c r="C156" s="47"/>
      <c r="D156" s="47"/>
      <c r="E156" s="114"/>
      <c r="F156" s="48"/>
      <c r="G156" s="48"/>
      <c r="H156" s="48"/>
      <c r="I156" s="48"/>
      <c r="J156" s="7" t="s">
        <v>31</v>
      </c>
      <c r="L156" s="150"/>
    </row>
    <row r="157" spans="1:17" s="19" customFormat="1" ht="13.5" customHeight="1" x14ac:dyDescent="0.45">
      <c r="A157" s="4"/>
      <c r="B157" s="8" t="s">
        <v>161</v>
      </c>
      <c r="C157" s="8"/>
      <c r="D157" s="8"/>
      <c r="E157" s="58">
        <v>0</v>
      </c>
      <c r="F157" s="31">
        <v>1</v>
      </c>
      <c r="G157" s="31">
        <f>F157+1</f>
        <v>2</v>
      </c>
      <c r="H157" s="31">
        <f>G157+1</f>
        <v>3</v>
      </c>
      <c r="I157" s="31">
        <f>H157+1</f>
        <v>4</v>
      </c>
      <c r="J157" s="31">
        <f>I157+1</f>
        <v>5</v>
      </c>
      <c r="K157" s="4"/>
      <c r="L157" s="146"/>
      <c r="M157" s="4"/>
      <c r="N157" s="4"/>
      <c r="O157" s="4"/>
      <c r="P157" s="4"/>
      <c r="Q157" s="4"/>
    </row>
    <row r="158" spans="1:17" s="19" customFormat="1" ht="13.5" customHeight="1" x14ac:dyDescent="0.45">
      <c r="A158" s="4"/>
      <c r="B158" s="4" t="s">
        <v>150</v>
      </c>
      <c r="C158" s="4"/>
      <c r="D158" s="4"/>
      <c r="E158" s="59"/>
      <c r="F158" s="32"/>
      <c r="G158" s="32"/>
      <c r="H158" s="51"/>
      <c r="I158" s="51"/>
      <c r="J158" s="51">
        <f>J78</f>
        <v>68.665954767360518</v>
      </c>
      <c r="K158" s="4"/>
      <c r="L158" s="146"/>
      <c r="M158" s="4"/>
      <c r="N158" s="4"/>
      <c r="O158" s="4"/>
      <c r="P158" s="4"/>
      <c r="Q158" s="4"/>
    </row>
    <row r="159" spans="1:17" s="19" customFormat="1" ht="13.5" customHeight="1" x14ac:dyDescent="0.4">
      <c r="A159" s="4"/>
      <c r="B159" s="4" t="s">
        <v>32</v>
      </c>
      <c r="C159" s="4"/>
      <c r="D159" s="4"/>
      <c r="E159" s="115"/>
      <c r="F159" s="10"/>
      <c r="G159" s="10"/>
      <c r="H159" s="10"/>
      <c r="I159" s="10"/>
      <c r="J159" s="97">
        <v>15</v>
      </c>
      <c r="K159" s="4"/>
      <c r="L159" s="145"/>
      <c r="M159" s="4"/>
      <c r="N159" s="4"/>
      <c r="O159" s="4"/>
      <c r="P159" s="4"/>
      <c r="Q159" s="4"/>
    </row>
    <row r="160" spans="1:17" s="19" customFormat="1" ht="13.5" customHeight="1" x14ac:dyDescent="0.45">
      <c r="A160" s="4"/>
      <c r="B160" s="12" t="s">
        <v>33</v>
      </c>
      <c r="C160" s="12"/>
      <c r="D160" s="12"/>
      <c r="E160" s="116"/>
      <c r="F160" s="13"/>
      <c r="G160" s="13"/>
      <c r="H160" s="53"/>
      <c r="I160" s="53"/>
      <c r="J160" s="53">
        <f>J159*J158</f>
        <v>1029.9893215104078</v>
      </c>
      <c r="K160" s="4"/>
      <c r="L160" s="146"/>
      <c r="M160" s="4"/>
      <c r="N160" s="4"/>
      <c r="O160" s="4"/>
      <c r="P160" s="4"/>
      <c r="Q160" s="4"/>
    </row>
    <row r="161" spans="1:17" s="19" customFormat="1" ht="13.5" customHeight="1" x14ac:dyDescent="0.45">
      <c r="A161" s="4"/>
      <c r="B161" s="45" t="s">
        <v>52</v>
      </c>
      <c r="C161" s="4"/>
      <c r="D161" s="4"/>
      <c r="E161" s="117"/>
      <c r="F161" s="15"/>
      <c r="G161" s="15"/>
      <c r="H161" s="50"/>
      <c r="I161" s="50"/>
      <c r="J161" s="50">
        <f ca="1">+J95</f>
        <v>120</v>
      </c>
      <c r="K161" s="4"/>
      <c r="L161" s="146"/>
      <c r="M161" s="4"/>
      <c r="N161" s="4"/>
      <c r="O161" s="4"/>
      <c r="P161" s="4"/>
      <c r="Q161" s="4"/>
    </row>
    <row r="162" spans="1:17" s="19" customFormat="1" ht="13.5" customHeight="1" x14ac:dyDescent="0.45">
      <c r="A162" s="4"/>
      <c r="B162" s="45" t="s">
        <v>51</v>
      </c>
      <c r="C162" s="4"/>
      <c r="D162" s="4"/>
      <c r="E162" s="117"/>
      <c r="F162" s="15"/>
      <c r="G162" s="15"/>
      <c r="H162" s="50"/>
      <c r="I162" s="50"/>
      <c r="J162" s="50">
        <f ca="1">+J105</f>
        <v>0</v>
      </c>
      <c r="K162" s="4"/>
      <c r="L162" s="146"/>
      <c r="M162" s="4"/>
      <c r="N162" s="4"/>
      <c r="O162" s="4"/>
      <c r="P162" s="4"/>
      <c r="Q162" s="4"/>
    </row>
    <row r="163" spans="1:17" s="19" customFormat="1" ht="13.5" customHeight="1" x14ac:dyDescent="0.45">
      <c r="A163" s="4"/>
      <c r="B163" s="12" t="s">
        <v>34</v>
      </c>
      <c r="C163" s="12"/>
      <c r="D163" s="12"/>
      <c r="E163" s="116"/>
      <c r="F163" s="13"/>
      <c r="G163" s="13"/>
      <c r="H163" s="53"/>
      <c r="I163" s="53"/>
      <c r="J163" s="53">
        <f ca="1">J160+J161-J162</f>
        <v>1149.9893215104078</v>
      </c>
      <c r="K163" s="4"/>
      <c r="L163" s="146"/>
      <c r="M163" s="4"/>
      <c r="N163" s="4"/>
      <c r="O163" s="4"/>
      <c r="P163" s="4"/>
      <c r="Q163" s="4"/>
    </row>
    <row r="164" spans="1:17" s="19" customFormat="1" ht="13.5" customHeight="1" x14ac:dyDescent="0.45">
      <c r="A164" s="4"/>
      <c r="B164" s="45" t="s">
        <v>85</v>
      </c>
      <c r="C164" s="16"/>
      <c r="D164" s="16"/>
      <c r="E164" s="118"/>
      <c r="F164" s="17"/>
      <c r="G164" s="17"/>
      <c r="H164" s="50"/>
      <c r="I164" s="50"/>
      <c r="J164" s="50">
        <f>+$H$41*$I$38/1000000</f>
        <v>18.215775248295159</v>
      </c>
      <c r="K164" s="4"/>
      <c r="L164" s="146"/>
      <c r="M164" s="4"/>
      <c r="N164" s="4"/>
      <c r="O164" s="4"/>
      <c r="P164" s="4"/>
      <c r="Q164" s="4"/>
    </row>
    <row r="165" spans="1:17" s="19" customFormat="1" ht="13.5" customHeight="1" x14ac:dyDescent="0.45">
      <c r="A165" s="4"/>
      <c r="B165" s="12" t="s">
        <v>86</v>
      </c>
      <c r="C165" s="12"/>
      <c r="D165" s="12"/>
      <c r="E165" s="116"/>
      <c r="F165" s="13"/>
      <c r="G165" s="13"/>
      <c r="H165" s="53"/>
      <c r="I165" s="53"/>
      <c r="J165" s="53">
        <f ca="1">+J164+J163</f>
        <v>1168.2050967587029</v>
      </c>
      <c r="K165" s="4"/>
      <c r="L165" s="146"/>
      <c r="M165" s="4"/>
      <c r="N165" s="4"/>
      <c r="O165" s="4"/>
      <c r="P165" s="4"/>
      <c r="Q165" s="4"/>
    </row>
    <row r="166" spans="1:17" s="19" customFormat="1" ht="13.5" customHeight="1" x14ac:dyDescent="0.45">
      <c r="A166" s="4"/>
      <c r="B166" s="16"/>
      <c r="C166" s="16"/>
      <c r="D166" s="16"/>
      <c r="E166" s="118"/>
      <c r="F166" s="17"/>
      <c r="G166" s="17"/>
      <c r="H166" s="90"/>
      <c r="I166" s="90"/>
      <c r="J166" s="90"/>
      <c r="K166" s="4"/>
      <c r="L166" s="146"/>
      <c r="M166" s="4"/>
      <c r="N166" s="4"/>
      <c r="O166" s="4"/>
      <c r="P166" s="4"/>
      <c r="Q166" s="4"/>
    </row>
    <row r="167" spans="1:17" s="19" customFormat="1" ht="13.5" customHeight="1" x14ac:dyDescent="0.45">
      <c r="A167" s="4"/>
      <c r="B167" s="16"/>
      <c r="C167" s="16"/>
      <c r="D167" s="16"/>
      <c r="E167" s="118"/>
      <c r="F167" s="17"/>
      <c r="G167" s="17"/>
      <c r="H167" s="90"/>
      <c r="I167" s="90"/>
      <c r="J167" s="90"/>
      <c r="K167" s="4"/>
      <c r="L167" s="146"/>
      <c r="M167" s="4"/>
      <c r="N167" s="4"/>
      <c r="O167" s="4"/>
      <c r="P167" s="4"/>
      <c r="Q167" s="4"/>
    </row>
    <row r="168" spans="1:17" s="19" customFormat="1" ht="13.5" customHeight="1" x14ac:dyDescent="0.45">
      <c r="A168" s="4"/>
      <c r="B168" s="8" t="s">
        <v>162</v>
      </c>
      <c r="C168" s="8"/>
      <c r="D168" s="8"/>
      <c r="E168" s="58">
        <v>0</v>
      </c>
      <c r="F168" s="31">
        <v>1</v>
      </c>
      <c r="G168" s="31">
        <f>F168+1</f>
        <v>2</v>
      </c>
      <c r="H168" s="31">
        <f>G168+1</f>
        <v>3</v>
      </c>
      <c r="I168" s="31">
        <f>H168+1</f>
        <v>4</v>
      </c>
      <c r="J168" s="31">
        <f>I168+1</f>
        <v>5</v>
      </c>
      <c r="K168" s="4"/>
      <c r="L168" s="146"/>
      <c r="M168" s="4"/>
      <c r="N168" s="4"/>
      <c r="O168" s="4"/>
      <c r="P168" s="4"/>
      <c r="Q168" s="4"/>
    </row>
    <row r="169" spans="1:17" s="19" customFormat="1" ht="13.5" customHeight="1" x14ac:dyDescent="0.45">
      <c r="A169" s="4"/>
      <c r="B169" s="4" t="s">
        <v>153</v>
      </c>
      <c r="C169" s="16"/>
      <c r="D169" s="16"/>
      <c r="E169" s="118"/>
      <c r="F169" s="17"/>
      <c r="G169" s="17"/>
      <c r="H169" s="41"/>
      <c r="I169" s="41"/>
      <c r="J169" s="111">
        <v>30</v>
      </c>
      <c r="K169" s="4"/>
      <c r="L169" s="146"/>
      <c r="M169" s="4"/>
      <c r="N169" s="4"/>
      <c r="O169" s="4"/>
      <c r="P169" s="4"/>
      <c r="Q169" s="4"/>
    </row>
    <row r="170" spans="1:17" s="19" customFormat="1" ht="13.5" customHeight="1" x14ac:dyDescent="0.45">
      <c r="A170" s="4"/>
      <c r="B170" s="4" t="s">
        <v>173</v>
      </c>
      <c r="C170" s="16"/>
      <c r="D170" s="16"/>
      <c r="E170" s="118"/>
      <c r="F170" s="17"/>
      <c r="G170" s="17"/>
      <c r="H170" s="41"/>
      <c r="I170" s="41"/>
      <c r="J170" s="169">
        <f>50%</f>
        <v>0.5</v>
      </c>
      <c r="K170" s="4"/>
      <c r="L170" s="146"/>
      <c r="M170" s="4"/>
      <c r="N170" s="4"/>
      <c r="O170" s="4"/>
      <c r="P170" s="4"/>
      <c r="Q170" s="4"/>
    </row>
    <row r="171" spans="1:17" s="19" customFormat="1" ht="13.5" customHeight="1" x14ac:dyDescent="0.45">
      <c r="A171" s="4"/>
      <c r="B171" s="4" t="s">
        <v>66</v>
      </c>
      <c r="C171" s="16"/>
      <c r="D171" s="16"/>
      <c r="E171" s="118"/>
      <c r="F171" s="17"/>
      <c r="G171" s="17"/>
      <c r="H171" s="119"/>
      <c r="I171" s="119"/>
      <c r="J171" s="97">
        <v>3</v>
      </c>
      <c r="K171" s="4"/>
      <c r="L171" s="146"/>
      <c r="M171" s="4"/>
      <c r="N171" s="4"/>
      <c r="O171" s="4"/>
      <c r="P171" s="4"/>
      <c r="Q171" s="4"/>
    </row>
    <row r="172" spans="1:17" ht="13.5" customHeight="1" x14ac:dyDescent="0.4">
      <c r="B172" s="12" t="s">
        <v>156</v>
      </c>
      <c r="C172" s="12"/>
      <c r="D172" s="12"/>
      <c r="E172" s="116"/>
      <c r="F172" s="13"/>
      <c r="G172" s="13"/>
      <c r="H172" s="53"/>
      <c r="I172" s="53"/>
      <c r="J172" s="53">
        <f>+J171*J170*J169</f>
        <v>45</v>
      </c>
    </row>
    <row r="173" spans="1:17" ht="13.5" customHeight="1" x14ac:dyDescent="0.4">
      <c r="B173" s="16"/>
      <c r="C173" s="16"/>
      <c r="D173" s="16"/>
      <c r="E173" s="118"/>
      <c r="F173" s="17"/>
      <c r="G173" s="17"/>
      <c r="H173" s="90"/>
      <c r="I173" s="90"/>
      <c r="J173" s="90"/>
    </row>
    <row r="174" spans="1:17" s="2" customFormat="1" ht="13.5" customHeight="1" x14ac:dyDescent="0.4">
      <c r="B174" s="4" t="str">
        <f>+B165</f>
        <v>Exit equity value (incl. options) - total available for distribution</v>
      </c>
      <c r="C174" s="16"/>
      <c r="D174" s="16"/>
      <c r="E174" s="118"/>
      <c r="F174" s="17"/>
      <c r="G174" s="17"/>
      <c r="H174" s="90"/>
      <c r="I174" s="90"/>
      <c r="J174" s="51">
        <f ca="1">+J165</f>
        <v>1168.2050967587029</v>
      </c>
      <c r="L174" s="145"/>
    </row>
    <row r="175" spans="1:17" s="2" customFormat="1" ht="13.5" customHeight="1" x14ac:dyDescent="0.4">
      <c r="B175" s="4" t="s">
        <v>154</v>
      </c>
      <c r="C175" s="1"/>
      <c r="D175" s="16"/>
      <c r="E175" s="118"/>
      <c r="F175" s="17"/>
      <c r="G175" s="120"/>
      <c r="H175" s="120"/>
      <c r="I175" s="120"/>
      <c r="J175" s="198">
        <f>+$J$34</f>
        <v>0.14622708039492247</v>
      </c>
      <c r="L175" s="145"/>
    </row>
    <row r="176" spans="1:17" s="2" customFormat="1" ht="13.5" customHeight="1" x14ac:dyDescent="0.4">
      <c r="B176" s="12" t="s">
        <v>155</v>
      </c>
      <c r="C176" s="12"/>
      <c r="D176" s="121"/>
      <c r="E176" s="122"/>
      <c r="F176" s="53"/>
      <c r="G176" s="53"/>
      <c r="H176" s="53"/>
      <c r="I176" s="53"/>
      <c r="J176" s="53">
        <f ca="1">+J175*J174</f>
        <v>170.82322060149303</v>
      </c>
      <c r="L176" s="145"/>
    </row>
    <row r="177" spans="2:13" s="2" customFormat="1" ht="13.5" customHeight="1" x14ac:dyDescent="0.4">
      <c r="B177" s="16"/>
      <c r="C177" s="16"/>
      <c r="D177" s="44"/>
      <c r="E177" s="103"/>
      <c r="F177" s="90"/>
      <c r="G177" s="90"/>
      <c r="H177" s="90"/>
      <c r="I177" s="90"/>
      <c r="J177" s="90"/>
      <c r="L177" s="145"/>
    </row>
    <row r="178" spans="2:13" s="2" customFormat="1" ht="13.5" customHeight="1" x14ac:dyDescent="0.4">
      <c r="B178" s="4" t="s">
        <v>157</v>
      </c>
      <c r="C178" s="16"/>
      <c r="D178" s="16"/>
      <c r="E178" s="200" t="s">
        <v>159</v>
      </c>
      <c r="F178" s="111">
        <v>0</v>
      </c>
      <c r="G178" s="111">
        <v>0</v>
      </c>
      <c r="H178" s="111">
        <v>0</v>
      </c>
      <c r="I178" s="111">
        <v>0</v>
      </c>
      <c r="J178" s="199">
        <f ca="1">MAX(J176,J172)</f>
        <v>170.82322060149303</v>
      </c>
      <c r="L178" s="145"/>
    </row>
    <row r="179" spans="2:13" s="2" customFormat="1" ht="13.5" customHeight="1" x14ac:dyDescent="0.4">
      <c r="B179" s="4" t="s">
        <v>158</v>
      </c>
      <c r="C179" s="1"/>
      <c r="D179" s="16"/>
      <c r="E179" s="222">
        <f>+J175</f>
        <v>0.14622708039492247</v>
      </c>
      <c r="F179" s="50">
        <f ca="1">+$E$179*F150</f>
        <v>2.5125577334047675E-2</v>
      </c>
      <c r="G179" s="50">
        <f t="shared" ref="G179:J179" ca="1" si="53">+$E$179*G150</f>
        <v>2.4304639159917865</v>
      </c>
      <c r="H179" s="50">
        <f t="shared" ca="1" si="53"/>
        <v>3.3523029453614748</v>
      </c>
      <c r="I179" s="50">
        <f t="shared" ca="1" si="53"/>
        <v>4.4180622137426049</v>
      </c>
      <c r="J179" s="50">
        <f t="shared" ca="1" si="53"/>
        <v>5.6508241178834835</v>
      </c>
      <c r="L179" s="154"/>
      <c r="M179" s="154"/>
    </row>
    <row r="180" spans="2:13" s="2" customFormat="1" ht="13.5" customHeight="1" x14ac:dyDescent="0.4">
      <c r="B180" s="12" t="s">
        <v>160</v>
      </c>
      <c r="C180" s="12"/>
      <c r="D180" s="121"/>
      <c r="E180" s="201">
        <f>-D20</f>
        <v>-63.417642238404369</v>
      </c>
      <c r="F180" s="53">
        <f ca="1">+F179+F178</f>
        <v>2.5125577334047675E-2</v>
      </c>
      <c r="G180" s="53">
        <f ca="1">+G179+G178</f>
        <v>2.4304639159917865</v>
      </c>
      <c r="H180" s="53">
        <f ca="1">+H179+H178</f>
        <v>3.3523029453614748</v>
      </c>
      <c r="I180" s="53">
        <f ca="1">+I179+I178</f>
        <v>4.4180622137426049</v>
      </c>
      <c r="J180" s="53">
        <f ca="1">+J179+J178</f>
        <v>176.47404471937651</v>
      </c>
    </row>
    <row r="181" spans="2:13" s="2" customFormat="1" ht="13.5" customHeight="1" x14ac:dyDescent="0.4">
      <c r="B181" s="16"/>
      <c r="C181" s="16"/>
      <c r="D181" s="44"/>
      <c r="E181" s="103"/>
      <c r="F181" s="90"/>
      <c r="G181" s="90"/>
      <c r="H181" s="90"/>
      <c r="I181" s="90"/>
      <c r="J181" s="90"/>
      <c r="L181" s="145"/>
    </row>
    <row r="182" spans="2:13" x14ac:dyDescent="0.4">
      <c r="B182" s="202" t="s">
        <v>35</v>
      </c>
      <c r="C182" s="203"/>
      <c r="D182" s="203"/>
      <c r="E182" s="210"/>
      <c r="F182" s="203"/>
      <c r="G182" s="204"/>
      <c r="H182" s="204"/>
      <c r="I182" s="204"/>
      <c r="J182" s="205">
        <f ca="1">IRR($E$180:J180)</f>
        <v>0.24800303803463875</v>
      </c>
    </row>
    <row r="183" spans="2:13" x14ac:dyDescent="0.4">
      <c r="B183" s="206" t="s">
        <v>163</v>
      </c>
      <c r="C183" s="207"/>
      <c r="D183" s="207"/>
      <c r="E183" s="211"/>
      <c r="F183" s="207"/>
      <c r="G183" s="208"/>
      <c r="H183" s="208"/>
      <c r="I183" s="208"/>
      <c r="J183" s="209">
        <f ca="1">+SUM(F180:J180)/(-$E$180)</f>
        <v>2.9439757263436213</v>
      </c>
    </row>
    <row r="184" spans="2:13" x14ac:dyDescent="0.4">
      <c r="E184" s="56"/>
    </row>
    <row r="185" spans="2:13" x14ac:dyDescent="0.4">
      <c r="E185" s="56"/>
    </row>
    <row r="186" spans="2:13" x14ac:dyDescent="0.4">
      <c r="E186" s="56"/>
    </row>
    <row r="187" spans="2:13" x14ac:dyDescent="0.4">
      <c r="E187" s="56"/>
    </row>
  </sheetData>
  <mergeCells count="1">
    <mergeCell ref="M71:N71"/>
  </mergeCells>
  <pageMargins left="0.7" right="0.7" top="0.75" bottom="0.75" header="0.3" footer="0.3"/>
  <pageSetup scale="68" orientation="portrait" r:id="rId1"/>
  <rowBreaks count="4" manualBreakCount="4">
    <brk id="43" max="10" man="1"/>
    <brk id="92" max="10" man="1"/>
    <brk id="139" max="10" man="1"/>
    <brk id="154" max="10" man="1"/>
  </rowBreaks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0858-C6DC-4260-9C59-4EB597B6CFD2}">
  <dimension ref="A1:Q72"/>
  <sheetViews>
    <sheetView showGridLines="0" view="pageBreakPreview" zoomScale="130" zoomScaleNormal="130" zoomScaleSheetLayoutView="130" workbookViewId="0"/>
  </sheetViews>
  <sheetFormatPr defaultColWidth="9.1328125" defaultRowHeight="13.15" x14ac:dyDescent="0.4"/>
  <cols>
    <col min="1" max="1" width="5.1328125" style="2" customWidth="1"/>
    <col min="2" max="2" width="33.53125" style="2" customWidth="1"/>
    <col min="3" max="10" width="11.265625" style="2" customWidth="1"/>
    <col min="11" max="11" width="4.53125" style="2" customWidth="1"/>
    <col min="12" max="12" width="9.1328125" style="145"/>
    <col min="13" max="17" width="9.1328125" style="2" customWidth="1"/>
    <col min="18" max="20" width="9.1328125" style="1" customWidth="1"/>
    <col min="21" max="16384" width="9.1328125" style="1"/>
  </cols>
  <sheetData>
    <row r="1" spans="1:17" s="19" customFormat="1" ht="13.5" customHeight="1" x14ac:dyDescent="0.45">
      <c r="A1" s="4"/>
      <c r="B1" s="4"/>
      <c r="C1" s="4"/>
      <c r="D1" s="4"/>
      <c r="E1" s="4"/>
      <c r="F1" s="4"/>
      <c r="G1" s="4"/>
      <c r="H1" s="55"/>
      <c r="I1" s="4"/>
      <c r="J1" s="4"/>
      <c r="K1" s="4"/>
      <c r="L1" s="146"/>
      <c r="M1" s="4"/>
      <c r="N1" s="4"/>
      <c r="O1" s="4"/>
      <c r="P1" s="4"/>
      <c r="Q1" s="4"/>
    </row>
    <row r="2" spans="1:17" s="4" customFormat="1" ht="13.5" customHeight="1" x14ac:dyDescent="0.45">
      <c r="B2" s="5" t="s">
        <v>104</v>
      </c>
      <c r="C2" s="5"/>
      <c r="D2" s="5"/>
      <c r="E2" s="57"/>
      <c r="F2" s="6"/>
      <c r="G2" s="6"/>
      <c r="H2" s="6"/>
      <c r="I2" s="6"/>
      <c r="J2" s="7" t="s">
        <v>31</v>
      </c>
      <c r="L2" s="146"/>
    </row>
    <row r="3" spans="1:17" s="4" customFormat="1" ht="13.5" customHeight="1" x14ac:dyDescent="0.45">
      <c r="B3" s="8" t="s">
        <v>124</v>
      </c>
      <c r="C3" s="30">
        <f>+D3-1</f>
        <v>-2</v>
      </c>
      <c r="D3" s="30">
        <f>+E3-1</f>
        <v>-1</v>
      </c>
      <c r="E3" s="69">
        <v>0</v>
      </c>
      <c r="F3" s="30">
        <v>1</v>
      </c>
      <c r="G3" s="30">
        <f>F3+1</f>
        <v>2</v>
      </c>
      <c r="H3" s="30">
        <f>G3+1</f>
        <v>3</v>
      </c>
      <c r="I3" s="30">
        <f>H3+1</f>
        <v>4</v>
      </c>
      <c r="J3" s="30">
        <f>I3+1</f>
        <v>5</v>
      </c>
      <c r="L3" s="146"/>
    </row>
    <row r="4" spans="1:17" s="4" customFormat="1" ht="13.5" customHeight="1" x14ac:dyDescent="0.45">
      <c r="B4" s="95" t="s">
        <v>106</v>
      </c>
      <c r="C4" s="137">
        <f>+C30</f>
        <v>3212127</v>
      </c>
      <c r="D4" s="137">
        <f t="shared" ref="D4:J4" si="0">+D30</f>
        <v>4304628.9085187893</v>
      </c>
      <c r="E4" s="155">
        <f t="shared" si="0"/>
        <v>5402115.180145137</v>
      </c>
      <c r="F4" s="137">
        <f t="shared" si="0"/>
        <v>6388042.1683719708</v>
      </c>
      <c r="G4" s="137">
        <f t="shared" si="0"/>
        <v>7356466.3697582958</v>
      </c>
      <c r="H4" s="137">
        <f t="shared" si="0"/>
        <v>8326512.9165248107</v>
      </c>
      <c r="I4" s="137">
        <f t="shared" si="0"/>
        <v>9314840.5731309075</v>
      </c>
      <c r="J4" s="137">
        <f t="shared" si="0"/>
        <v>10336253.154060224</v>
      </c>
      <c r="K4" s="35"/>
      <c r="L4" s="152"/>
    </row>
    <row r="5" spans="1:17" s="4" customFormat="1" ht="13.5" customHeight="1" x14ac:dyDescent="0.45">
      <c r="B5" s="95" t="s">
        <v>121</v>
      </c>
      <c r="C5" s="137">
        <f>+C53</f>
        <v>3505699</v>
      </c>
      <c r="D5" s="137">
        <f t="shared" ref="D5:J5" si="1">+D53</f>
        <v>5665304.5457586208</v>
      </c>
      <c r="E5" s="155">
        <f t="shared" si="1"/>
        <v>7162732.2592776446</v>
      </c>
      <c r="F5" s="137">
        <f t="shared" si="1"/>
        <v>8727222.8984872233</v>
      </c>
      <c r="G5" s="137">
        <f t="shared" si="1"/>
        <v>10120226.943679839</v>
      </c>
      <c r="H5" s="137">
        <f t="shared" si="1"/>
        <v>11366632.927193282</v>
      </c>
      <c r="I5" s="137">
        <f t="shared" si="1"/>
        <v>12487861.290711671</v>
      </c>
      <c r="J5" s="137">
        <f t="shared" si="1"/>
        <v>13502350.219880549</v>
      </c>
      <c r="K5" s="35"/>
      <c r="L5" s="152"/>
    </row>
    <row r="6" spans="1:17" s="4" customFormat="1" ht="13.5" customHeight="1" x14ac:dyDescent="0.45">
      <c r="B6" s="49" t="s">
        <v>126</v>
      </c>
      <c r="C6" s="171">
        <f t="shared" ref="C6:J6" si="2">+C4/C5</f>
        <v>0.91625864057353468</v>
      </c>
      <c r="D6" s="171">
        <f t="shared" si="2"/>
        <v>0.75982303753493485</v>
      </c>
      <c r="E6" s="178">
        <f t="shared" si="2"/>
        <v>0.7541975582219983</v>
      </c>
      <c r="F6" s="171">
        <f t="shared" si="2"/>
        <v>0.73196734432888999</v>
      </c>
      <c r="G6" s="171">
        <f t="shared" si="2"/>
        <v>0.7269072532362989</v>
      </c>
      <c r="H6" s="171">
        <f t="shared" si="2"/>
        <v>0.73253996762793705</v>
      </c>
      <c r="I6" s="171">
        <f t="shared" si="2"/>
        <v>0.74591159817407482</v>
      </c>
      <c r="J6" s="171">
        <f t="shared" si="2"/>
        <v>0.7655151129794695</v>
      </c>
      <c r="K6" s="35"/>
      <c r="L6" s="35"/>
    </row>
    <row r="7" spans="1:17" s="4" customFormat="1" ht="13.5" customHeight="1" x14ac:dyDescent="0.45">
      <c r="B7" s="16"/>
      <c r="C7" s="172"/>
      <c r="D7" s="172"/>
      <c r="E7" s="179"/>
      <c r="F7" s="172"/>
      <c r="G7" s="172"/>
      <c r="H7" s="172"/>
      <c r="I7" s="172"/>
      <c r="J7" s="172"/>
      <c r="K7" s="35"/>
      <c r="L7" s="35"/>
    </row>
    <row r="8" spans="1:17" s="4" customFormat="1" ht="13.5" customHeight="1" x14ac:dyDescent="0.45">
      <c r="B8" s="136" t="s">
        <v>125</v>
      </c>
      <c r="C8" s="172"/>
      <c r="D8" s="172"/>
      <c r="E8" s="179"/>
      <c r="F8" s="172"/>
      <c r="G8" s="172"/>
      <c r="H8" s="172"/>
      <c r="I8" s="172"/>
      <c r="J8" s="172"/>
      <c r="K8" s="35"/>
      <c r="L8" s="35"/>
    </row>
    <row r="9" spans="1:17" s="4" customFormat="1" ht="13.5" customHeight="1" x14ac:dyDescent="0.45">
      <c r="B9" s="45" t="s">
        <v>127</v>
      </c>
      <c r="C9" s="137">
        <f t="shared" ref="C9:J9" si="3">+MIN(C4,C5)</f>
        <v>3212127</v>
      </c>
      <c r="D9" s="137">
        <f t="shared" si="3"/>
        <v>4304628.9085187893</v>
      </c>
      <c r="E9" s="155">
        <f t="shared" si="3"/>
        <v>5402115.180145137</v>
      </c>
      <c r="F9" s="137">
        <f t="shared" si="3"/>
        <v>6388042.1683719708</v>
      </c>
      <c r="G9" s="137">
        <f t="shared" si="3"/>
        <v>7356466.3697582958</v>
      </c>
      <c r="H9" s="137">
        <f t="shared" si="3"/>
        <v>8326512.9165248107</v>
      </c>
      <c r="I9" s="137">
        <f t="shared" si="3"/>
        <v>9314840.5731309075</v>
      </c>
      <c r="J9" s="137">
        <f t="shared" si="3"/>
        <v>10336253.154060224</v>
      </c>
      <c r="K9" s="35"/>
      <c r="L9" s="35"/>
    </row>
    <row r="10" spans="1:17" s="4" customFormat="1" ht="13.5" customHeight="1" x14ac:dyDescent="0.45">
      <c r="B10" s="45" t="s">
        <v>130</v>
      </c>
      <c r="C10" s="169">
        <v>1</v>
      </c>
      <c r="D10" s="169">
        <v>1</v>
      </c>
      <c r="E10" s="180">
        <v>1</v>
      </c>
      <c r="F10" s="169">
        <v>1</v>
      </c>
      <c r="G10" s="169">
        <v>1</v>
      </c>
      <c r="H10" s="169">
        <v>1</v>
      </c>
      <c r="I10" s="169">
        <v>1</v>
      </c>
      <c r="J10" s="169">
        <v>1</v>
      </c>
      <c r="K10" s="35"/>
      <c r="L10" s="35"/>
    </row>
    <row r="11" spans="1:17" s="4" customFormat="1" ht="13.5" customHeight="1" x14ac:dyDescent="0.45">
      <c r="B11" s="12" t="s">
        <v>169</v>
      </c>
      <c r="C11" s="165">
        <f>+C10*C9</f>
        <v>3212127</v>
      </c>
      <c r="D11" s="165">
        <f t="shared" ref="D11:J11" si="4">+D10*D9</f>
        <v>4304628.9085187893</v>
      </c>
      <c r="E11" s="181">
        <f t="shared" si="4"/>
        <v>5402115.180145137</v>
      </c>
      <c r="F11" s="165">
        <f t="shared" si="4"/>
        <v>6388042.1683719708</v>
      </c>
      <c r="G11" s="165">
        <f t="shared" si="4"/>
        <v>7356466.3697582958</v>
      </c>
      <c r="H11" s="165">
        <f t="shared" si="4"/>
        <v>8326512.9165248107</v>
      </c>
      <c r="I11" s="165">
        <f t="shared" si="4"/>
        <v>9314840.5731309075</v>
      </c>
      <c r="J11" s="165">
        <f t="shared" si="4"/>
        <v>10336253.154060224</v>
      </c>
      <c r="K11" s="35"/>
    </row>
    <row r="12" spans="1:17" s="4" customFormat="1" ht="13.5" customHeight="1" x14ac:dyDescent="0.45">
      <c r="B12" s="16"/>
      <c r="C12" s="172"/>
      <c r="D12" s="172"/>
      <c r="E12" s="179"/>
      <c r="F12" s="172"/>
      <c r="G12" s="172"/>
      <c r="H12" s="172"/>
      <c r="I12" s="172"/>
      <c r="J12" s="172"/>
      <c r="K12" s="35"/>
      <c r="L12" s="35"/>
    </row>
    <row r="13" spans="1:17" s="4" customFormat="1" ht="13.5" customHeight="1" x14ac:dyDescent="0.45">
      <c r="B13" s="4" t="s">
        <v>172</v>
      </c>
      <c r="C13" s="159">
        <v>152.22999999999999</v>
      </c>
      <c r="D13" s="159">
        <v>144.19999999999999</v>
      </c>
      <c r="E13" s="182">
        <v>147.88999999999999</v>
      </c>
      <c r="F13" s="157">
        <f>+E13*(1+F14)</f>
        <v>155.28449999999998</v>
      </c>
      <c r="G13" s="157">
        <f t="shared" ref="G13" si="5">+F13*(1+G14)</f>
        <v>163.04872499999999</v>
      </c>
      <c r="H13" s="157">
        <f t="shared" ref="H13" si="6">+G13*(1+H14)</f>
        <v>171.20116124999998</v>
      </c>
      <c r="I13" s="157">
        <f t="shared" ref="I13" si="7">+H13*(1+I14)</f>
        <v>179.7612193125</v>
      </c>
      <c r="J13" s="157">
        <f t="shared" ref="J13" si="8">+I13*(1+J14)</f>
        <v>188.74928027812501</v>
      </c>
      <c r="K13" s="35"/>
      <c r="L13" s="152"/>
    </row>
    <row r="14" spans="1:17" s="4" customFormat="1" ht="13.5" customHeight="1" x14ac:dyDescent="0.45">
      <c r="B14" s="37" t="s">
        <v>108</v>
      </c>
      <c r="C14" s="137"/>
      <c r="D14" s="174">
        <f>+D13/C13-1</f>
        <v>-5.2749129606516454E-2</v>
      </c>
      <c r="E14" s="183">
        <f>+E13/D13-1</f>
        <v>2.5589459084604638E-2</v>
      </c>
      <c r="F14" s="175">
        <v>0.05</v>
      </c>
      <c r="G14" s="175">
        <v>0.05</v>
      </c>
      <c r="H14" s="175">
        <v>0.05</v>
      </c>
      <c r="I14" s="175">
        <v>0.05</v>
      </c>
      <c r="J14" s="175">
        <v>0.05</v>
      </c>
      <c r="K14" s="35"/>
      <c r="L14" s="152"/>
    </row>
    <row r="15" spans="1:17" s="4" customFormat="1" ht="13.5" customHeight="1" x14ac:dyDescent="0.45">
      <c r="B15" s="37"/>
      <c r="C15" s="137"/>
      <c r="D15" s="167"/>
      <c r="E15" s="74"/>
      <c r="F15" s="173"/>
      <c r="G15" s="173"/>
      <c r="H15" s="173"/>
      <c r="I15" s="173"/>
      <c r="J15" s="173"/>
      <c r="K15" s="35"/>
      <c r="L15" s="35"/>
    </row>
    <row r="16" spans="1:17" s="4" customFormat="1" ht="13.5" customHeight="1" x14ac:dyDescent="0.45">
      <c r="B16" s="4" t="s">
        <v>128</v>
      </c>
      <c r="C16" s="168">
        <f>+C13*C11/1000000</f>
        <v>488.98209320999996</v>
      </c>
      <c r="D16" s="168">
        <f t="shared" ref="D16" si="9">+D13*D11/1000000</f>
        <v>620.72748860840943</v>
      </c>
      <c r="E16" s="184">
        <f t="shared" ref="E16:J16" si="10">+E13*E11/1000000</f>
        <v>798.91881399166425</v>
      </c>
      <c r="F16" s="168">
        <f t="shared" si="10"/>
        <v>991.9639340945572</v>
      </c>
      <c r="G16" s="168">
        <f t="shared" si="10"/>
        <v>1199.4624620944685</v>
      </c>
      <c r="H16" s="168">
        <f t="shared" si="10"/>
        <v>1425.5086804721718</v>
      </c>
      <c r="I16" s="168">
        <f t="shared" si="10"/>
        <v>1674.4470991275582</v>
      </c>
      <c r="J16" s="168">
        <f t="shared" si="10"/>
        <v>1950.960343601367</v>
      </c>
      <c r="K16" s="35"/>
      <c r="L16" s="152"/>
    </row>
    <row r="17" spans="2:12" s="4" customFormat="1" ht="13.5" customHeight="1" x14ac:dyDescent="0.45">
      <c r="B17" s="37" t="s">
        <v>108</v>
      </c>
      <c r="C17" s="137"/>
      <c r="D17" s="174">
        <f>+D16/C16-1</f>
        <v>0.26942785273290082</v>
      </c>
      <c r="E17" s="183">
        <f t="shared" ref="E17:J17" si="11">+E16/D16-1</f>
        <v>0.28706852629120183</v>
      </c>
      <c r="F17" s="174">
        <f t="shared" si="11"/>
        <v>0.24163296285185143</v>
      </c>
      <c r="G17" s="174">
        <f t="shared" si="11"/>
        <v>0.20917950831479715</v>
      </c>
      <c r="H17" s="174">
        <f t="shared" si="11"/>
        <v>0.18845626730409526</v>
      </c>
      <c r="I17" s="174">
        <f t="shared" si="11"/>
        <v>0.1746312892131463</v>
      </c>
      <c r="J17" s="174">
        <f t="shared" si="11"/>
        <v>0.16513704411317698</v>
      </c>
      <c r="K17" s="35"/>
      <c r="L17" s="152"/>
    </row>
    <row r="18" spans="2:12" s="4" customFormat="1" ht="13.5" customHeight="1" x14ac:dyDescent="0.45">
      <c r="B18" s="37"/>
      <c r="C18" s="137"/>
      <c r="D18" s="167"/>
      <c r="E18" s="74"/>
      <c r="F18" s="173"/>
      <c r="G18" s="173"/>
      <c r="H18" s="173"/>
      <c r="I18" s="173"/>
      <c r="J18" s="173"/>
      <c r="K18" s="35"/>
      <c r="L18" s="35"/>
    </row>
    <row r="19" spans="2:12" s="4" customFormat="1" ht="13.5" customHeight="1" x14ac:dyDescent="0.45">
      <c r="B19" s="4" t="s">
        <v>129</v>
      </c>
      <c r="C19" s="176">
        <v>0.151</v>
      </c>
      <c r="D19" s="176">
        <v>0.14899999999999999</v>
      </c>
      <c r="E19" s="185">
        <v>0.15</v>
      </c>
      <c r="F19" s="176">
        <v>0.15</v>
      </c>
      <c r="G19" s="176">
        <v>0.16</v>
      </c>
      <c r="H19" s="176">
        <v>0.17</v>
      </c>
      <c r="I19" s="176">
        <v>0.18</v>
      </c>
      <c r="J19" s="176">
        <v>0.19</v>
      </c>
      <c r="K19" s="35"/>
      <c r="L19" s="152"/>
    </row>
    <row r="20" spans="2:12" s="4" customFormat="1" ht="13.5" customHeight="1" x14ac:dyDescent="0.45">
      <c r="B20" s="37"/>
      <c r="C20" s="137"/>
      <c r="D20" s="167"/>
      <c r="E20" s="74"/>
      <c r="F20" s="173"/>
      <c r="G20" s="173"/>
      <c r="H20" s="173"/>
      <c r="I20" s="173"/>
      <c r="J20" s="173"/>
      <c r="K20" s="35"/>
      <c r="L20" s="35"/>
    </row>
    <row r="21" spans="2:12" s="4" customFormat="1" ht="13.5" customHeight="1" x14ac:dyDescent="0.45">
      <c r="B21" s="16" t="s">
        <v>90</v>
      </c>
      <c r="C21" s="177">
        <f>+C19*C16</f>
        <v>73.836296074709992</v>
      </c>
      <c r="D21" s="177">
        <f t="shared" ref="D21:J21" si="12">+D19*D16</f>
        <v>92.488395802653002</v>
      </c>
      <c r="E21" s="186">
        <f t="shared" si="12"/>
        <v>119.83782209874963</v>
      </c>
      <c r="F21" s="177">
        <f t="shared" si="12"/>
        <v>148.79459011418356</v>
      </c>
      <c r="G21" s="177">
        <f t="shared" si="12"/>
        <v>191.91399393511497</v>
      </c>
      <c r="H21" s="177">
        <f t="shared" si="12"/>
        <v>242.33647568026922</v>
      </c>
      <c r="I21" s="177">
        <f t="shared" si="12"/>
        <v>301.40047784296047</v>
      </c>
      <c r="J21" s="177">
        <f t="shared" si="12"/>
        <v>370.68246528425971</v>
      </c>
      <c r="K21" s="35"/>
      <c r="L21" s="152"/>
    </row>
    <row r="22" spans="2:12" s="4" customFormat="1" ht="13.5" customHeight="1" x14ac:dyDescent="0.45">
      <c r="B22" s="37" t="s">
        <v>108</v>
      </c>
      <c r="C22" s="137"/>
      <c r="D22" s="174">
        <f>+D21/C21-1</f>
        <v>0.2526142387894188</v>
      </c>
      <c r="E22" s="183">
        <f t="shared" ref="E22" si="13">+E21/D21-1</f>
        <v>0.29570657009181378</v>
      </c>
      <c r="F22" s="174">
        <f t="shared" ref="F22" si="14">+F21/E21-1</f>
        <v>0.24163296285185143</v>
      </c>
      <c r="G22" s="174">
        <f t="shared" ref="G22" si="15">+G21/F21-1</f>
        <v>0.28979147553578377</v>
      </c>
      <c r="H22" s="174">
        <f t="shared" ref="H22" si="16">+H21/G21-1</f>
        <v>0.26273478401060113</v>
      </c>
      <c r="I22" s="174">
        <f t="shared" ref="I22" si="17">+I21/H21-1</f>
        <v>0.24372724740215479</v>
      </c>
      <c r="J22" s="174">
        <f t="shared" ref="J22" si="18">+J21/I21-1</f>
        <v>0.2298668798972423</v>
      </c>
      <c r="K22" s="35"/>
      <c r="L22" s="152"/>
    </row>
    <row r="23" spans="2:12" s="4" customFormat="1" ht="13.5" customHeight="1" x14ac:dyDescent="0.45">
      <c r="B23" s="37"/>
      <c r="C23" s="137"/>
      <c r="D23" s="167"/>
      <c r="E23" s="74"/>
      <c r="F23" s="167"/>
      <c r="G23" s="167"/>
      <c r="H23" s="167"/>
      <c r="I23" s="167"/>
      <c r="J23" s="167"/>
      <c r="K23" s="35"/>
      <c r="L23" s="152"/>
    </row>
    <row r="24" spans="2:12" x14ac:dyDescent="0.4">
      <c r="E24" s="56"/>
    </row>
    <row r="25" spans="2:12" s="4" customFormat="1" ht="13.5" customHeight="1" x14ac:dyDescent="0.45">
      <c r="B25" s="8" t="s">
        <v>105</v>
      </c>
      <c r="C25" s="30">
        <f>+D25-1</f>
        <v>-2</v>
      </c>
      <c r="D25" s="30">
        <f>+E25-1</f>
        <v>-1</v>
      </c>
      <c r="E25" s="69">
        <v>0</v>
      </c>
      <c r="F25" s="30">
        <v>1</v>
      </c>
      <c r="G25" s="30">
        <f>F25+1</f>
        <v>2</v>
      </c>
      <c r="H25" s="30">
        <f>G25+1</f>
        <v>3</v>
      </c>
      <c r="I25" s="30">
        <f>H25+1</f>
        <v>4</v>
      </c>
      <c r="J25" s="30">
        <f>I25+1</f>
        <v>5</v>
      </c>
      <c r="L25" s="146"/>
    </row>
    <row r="26" spans="2:12" s="4" customFormat="1" ht="13.5" customHeight="1" x14ac:dyDescent="0.45">
      <c r="B26" s="136" t="s">
        <v>111</v>
      </c>
      <c r="C26" s="138"/>
      <c r="D26" s="137"/>
      <c r="E26" s="155"/>
      <c r="F26" s="137"/>
      <c r="G26" s="137"/>
      <c r="H26" s="137"/>
      <c r="I26" s="137"/>
      <c r="J26" s="137"/>
      <c r="K26" s="35"/>
      <c r="L26" s="152"/>
    </row>
    <row r="27" spans="2:12" s="4" customFormat="1" ht="13.5" customHeight="1" x14ac:dyDescent="0.45">
      <c r="B27" s="45" t="s">
        <v>112</v>
      </c>
      <c r="C27" s="138"/>
      <c r="D27" s="137">
        <f>+C30</f>
        <v>3212127</v>
      </c>
      <c r="E27" s="155">
        <f t="shared" ref="E27:J27" si="19">+D30</f>
        <v>4304628.9085187893</v>
      </c>
      <c r="F27" s="137">
        <f t="shared" si="19"/>
        <v>5402115.180145137</v>
      </c>
      <c r="G27" s="137">
        <f t="shared" si="19"/>
        <v>6388042.1683719708</v>
      </c>
      <c r="H27" s="137">
        <f t="shared" si="19"/>
        <v>7356466.3697582958</v>
      </c>
      <c r="I27" s="137">
        <f t="shared" si="19"/>
        <v>8326512.9165248107</v>
      </c>
      <c r="J27" s="137">
        <f t="shared" si="19"/>
        <v>9314840.5731309075</v>
      </c>
      <c r="K27" s="35"/>
      <c r="L27" s="152"/>
    </row>
    <row r="28" spans="2:12" s="4" customFormat="1" ht="13.5" customHeight="1" x14ac:dyDescent="0.45">
      <c r="B28" s="45" t="s">
        <v>113</v>
      </c>
      <c r="C28" s="138"/>
      <c r="D28" s="137">
        <f>+D43</f>
        <v>1628927.1175187889</v>
      </c>
      <c r="E28" s="155">
        <f t="shared" ref="E28:J28" si="20">+E43</f>
        <v>1911061.1353363986</v>
      </c>
      <c r="F28" s="137">
        <f t="shared" si="20"/>
        <v>2066350.0242558615</v>
      </c>
      <c r="G28" s="137">
        <f t="shared" si="20"/>
        <v>2246032.6350607192</v>
      </c>
      <c r="H28" s="137">
        <f t="shared" si="20"/>
        <v>2441339.8207181734</v>
      </c>
      <c r="I28" s="137">
        <f t="shared" si="20"/>
        <v>2653630.239911058</v>
      </c>
      <c r="J28" s="137">
        <f t="shared" si="20"/>
        <v>2884380.6955554984</v>
      </c>
      <c r="K28" s="35"/>
      <c r="L28" s="152"/>
    </row>
    <row r="29" spans="2:12" s="4" customFormat="1" ht="13.5" customHeight="1" x14ac:dyDescent="0.45">
      <c r="B29" s="45" t="s">
        <v>114</v>
      </c>
      <c r="C29" s="138"/>
      <c r="D29" s="137">
        <f t="shared" ref="D29:J29" si="21">D27*D45</f>
        <v>536425.20900000003</v>
      </c>
      <c r="E29" s="155">
        <f t="shared" si="21"/>
        <v>813574.86371005117</v>
      </c>
      <c r="F29" s="137">
        <f t="shared" si="21"/>
        <v>1080423.0360290275</v>
      </c>
      <c r="G29" s="137">
        <f t="shared" si="21"/>
        <v>1277608.4336743942</v>
      </c>
      <c r="H29" s="137">
        <f t="shared" si="21"/>
        <v>1471293.2739516592</v>
      </c>
      <c r="I29" s="137">
        <f t="shared" si="21"/>
        <v>1665302.5833049621</v>
      </c>
      <c r="J29" s="137">
        <f t="shared" si="21"/>
        <v>1862968.1146261815</v>
      </c>
      <c r="K29" s="35"/>
      <c r="L29" s="152"/>
    </row>
    <row r="30" spans="2:12" s="4" customFormat="1" ht="13.5" customHeight="1" x14ac:dyDescent="0.45">
      <c r="B30" s="12" t="s">
        <v>115</v>
      </c>
      <c r="C30" s="164">
        <v>3212127</v>
      </c>
      <c r="D30" s="165">
        <f>D27+D28-D29</f>
        <v>4304628.9085187893</v>
      </c>
      <c r="E30" s="181">
        <f t="shared" ref="E30:J30" si="22">E27+E28-E29</f>
        <v>5402115.180145137</v>
      </c>
      <c r="F30" s="165">
        <f t="shared" si="22"/>
        <v>6388042.1683719708</v>
      </c>
      <c r="G30" s="165">
        <f t="shared" si="22"/>
        <v>7356466.3697582958</v>
      </c>
      <c r="H30" s="165">
        <f t="shared" si="22"/>
        <v>8326512.9165248107</v>
      </c>
      <c r="I30" s="165">
        <f t="shared" si="22"/>
        <v>9314840.5731309075</v>
      </c>
      <c r="J30" s="165">
        <f t="shared" si="22"/>
        <v>10336253.154060224</v>
      </c>
      <c r="K30" s="35"/>
      <c r="L30" s="152"/>
    </row>
    <row r="31" spans="2:12" s="4" customFormat="1" ht="13.5" customHeight="1" x14ac:dyDescent="0.45">
      <c r="B31" s="37" t="s">
        <v>108</v>
      </c>
      <c r="C31" s="137"/>
      <c r="D31" s="174">
        <f>+D30/C30-1</f>
        <v>0.34011790583584944</v>
      </c>
      <c r="E31" s="183">
        <f t="shared" ref="E31:J31" si="23">+E30/D30-1</f>
        <v>0.25495490899446427</v>
      </c>
      <c r="F31" s="174">
        <f t="shared" si="23"/>
        <v>0.18250758366842978</v>
      </c>
      <c r="G31" s="174">
        <f t="shared" si="23"/>
        <v>0.15159953172837826</v>
      </c>
      <c r="H31" s="174">
        <f t="shared" si="23"/>
        <v>0.13186311171818588</v>
      </c>
      <c r="I31" s="174">
        <f t="shared" si="23"/>
        <v>0.11869646591728222</v>
      </c>
      <c r="J31" s="174">
        <f t="shared" si="23"/>
        <v>0.10965432772683514</v>
      </c>
      <c r="K31" s="35"/>
      <c r="L31" s="152"/>
    </row>
    <row r="32" spans="2:12" s="4" customFormat="1" ht="13.5" customHeight="1" x14ac:dyDescent="0.45">
      <c r="C32" s="137"/>
      <c r="D32" s="137"/>
      <c r="E32" s="155"/>
      <c r="F32" s="137"/>
      <c r="G32" s="137"/>
      <c r="H32" s="137"/>
      <c r="I32" s="137"/>
      <c r="J32" s="137"/>
      <c r="K32" s="35"/>
      <c r="L32" s="152"/>
    </row>
    <row r="33" spans="2:12" s="4" customFormat="1" ht="13.5" customHeight="1" x14ac:dyDescent="0.45">
      <c r="B33" s="4" t="s">
        <v>107</v>
      </c>
      <c r="C33" s="166">
        <v>3.2</v>
      </c>
      <c r="D33" s="166">
        <v>4.5</v>
      </c>
      <c r="E33" s="187">
        <v>5.8</v>
      </c>
      <c r="F33" s="168">
        <f>+E33*(1+F34)</f>
        <v>7.25</v>
      </c>
      <c r="G33" s="168">
        <f t="shared" ref="G33:J33" si="24">+F33*(1+G34)</f>
        <v>9.0625</v>
      </c>
      <c r="H33" s="168">
        <f t="shared" si="24"/>
        <v>11.328125</v>
      </c>
      <c r="I33" s="168">
        <f t="shared" si="24"/>
        <v>14.16015625</v>
      </c>
      <c r="J33" s="168">
        <f t="shared" si="24"/>
        <v>17.7001953125</v>
      </c>
      <c r="K33" s="35"/>
      <c r="L33" s="152"/>
    </row>
    <row r="34" spans="2:12" s="4" customFormat="1" ht="13.5" customHeight="1" x14ac:dyDescent="0.45">
      <c r="B34" s="37" t="s">
        <v>108</v>
      </c>
      <c r="C34" s="137"/>
      <c r="D34" s="167">
        <f>+D33/C33-1</f>
        <v>0.40625</v>
      </c>
      <c r="E34" s="74">
        <f>+E33/D33-1</f>
        <v>0.28888888888888875</v>
      </c>
      <c r="F34" s="156">
        <v>0.25</v>
      </c>
      <c r="G34" s="156">
        <v>0.25</v>
      </c>
      <c r="H34" s="156">
        <v>0.25</v>
      </c>
      <c r="I34" s="156">
        <v>0.25</v>
      </c>
      <c r="J34" s="156">
        <v>0.25</v>
      </c>
      <c r="K34" s="35"/>
      <c r="L34" s="152"/>
    </row>
    <row r="35" spans="2:12" s="4" customFormat="1" ht="13.5" customHeight="1" x14ac:dyDescent="0.45">
      <c r="C35" s="137"/>
      <c r="D35" s="137"/>
      <c r="E35" s="155"/>
      <c r="F35" s="137"/>
      <c r="G35" s="137"/>
      <c r="H35" s="137"/>
      <c r="I35" s="137"/>
      <c r="J35" s="137"/>
      <c r="K35" s="35"/>
      <c r="L35" s="152"/>
    </row>
    <row r="36" spans="2:12" s="4" customFormat="1" ht="13.5" customHeight="1" x14ac:dyDescent="0.45">
      <c r="B36" s="4" t="s">
        <v>120</v>
      </c>
      <c r="C36" s="159">
        <v>543.26</v>
      </c>
      <c r="D36" s="159">
        <v>621.02</v>
      </c>
      <c r="E36" s="182">
        <v>732.23</v>
      </c>
      <c r="F36" s="157">
        <f>+E36*(1+F37)</f>
        <v>842.06449999999995</v>
      </c>
      <c r="G36" s="157">
        <f t="shared" ref="G36:J36" si="25">+F36*(1+G37)</f>
        <v>968.37417499999992</v>
      </c>
      <c r="H36" s="157">
        <f t="shared" si="25"/>
        <v>1113.6303012499998</v>
      </c>
      <c r="I36" s="157">
        <f t="shared" si="25"/>
        <v>1280.6748464374996</v>
      </c>
      <c r="J36" s="157">
        <f t="shared" si="25"/>
        <v>1472.7760734031244</v>
      </c>
      <c r="K36" s="35"/>
      <c r="L36" s="152"/>
    </row>
    <row r="37" spans="2:12" s="4" customFormat="1" ht="13.5" customHeight="1" x14ac:dyDescent="0.45">
      <c r="B37" s="37" t="s">
        <v>108</v>
      </c>
      <c r="C37" s="137"/>
      <c r="D37" s="167">
        <f>+D36/C36-1</f>
        <v>0.14313588337076166</v>
      </c>
      <c r="E37" s="74">
        <f>+E36/D36-1</f>
        <v>0.17907635824933177</v>
      </c>
      <c r="F37" s="156">
        <v>0.15</v>
      </c>
      <c r="G37" s="156">
        <v>0.15</v>
      </c>
      <c r="H37" s="156">
        <v>0.15</v>
      </c>
      <c r="I37" s="156">
        <v>0.15</v>
      </c>
      <c r="J37" s="156">
        <v>0.15</v>
      </c>
      <c r="K37" s="35"/>
      <c r="L37" s="152"/>
    </row>
    <row r="38" spans="2:12" s="4" customFormat="1" ht="13.5" customHeight="1" x14ac:dyDescent="0.45">
      <c r="C38" s="137"/>
      <c r="D38" s="137"/>
      <c r="E38" s="155"/>
      <c r="F38" s="137"/>
      <c r="G38" s="137"/>
      <c r="H38" s="137"/>
      <c r="I38" s="137"/>
      <c r="J38" s="137"/>
      <c r="K38" s="35"/>
      <c r="L38" s="152"/>
    </row>
    <row r="39" spans="2:12" s="4" customFormat="1" ht="13.5" customHeight="1" x14ac:dyDescent="0.45">
      <c r="B39" s="4" t="s">
        <v>109</v>
      </c>
      <c r="C39" s="137">
        <f>+C33*1000000/C36</f>
        <v>5890.3655708132383</v>
      </c>
      <c r="D39" s="137">
        <f t="shared" ref="D39:J39" si="26">+D33*1000000/D36</f>
        <v>7246.1434414350588</v>
      </c>
      <c r="E39" s="155">
        <f t="shared" si="26"/>
        <v>7921.0084263141362</v>
      </c>
      <c r="F39" s="137">
        <f t="shared" si="26"/>
        <v>8609.7917677327569</v>
      </c>
      <c r="G39" s="137">
        <f t="shared" si="26"/>
        <v>9358.4693127529972</v>
      </c>
      <c r="H39" s="137">
        <f t="shared" si="26"/>
        <v>10172.249252992389</v>
      </c>
      <c r="I39" s="137">
        <f t="shared" si="26"/>
        <v>11056.792666296076</v>
      </c>
      <c r="J39" s="137">
        <f t="shared" si="26"/>
        <v>12018.25289814791</v>
      </c>
      <c r="K39" s="35"/>
      <c r="L39" s="152"/>
    </row>
    <row r="40" spans="2:12" s="4" customFormat="1" ht="13.5" customHeight="1" x14ac:dyDescent="0.45">
      <c r="C40" s="137"/>
      <c r="D40" s="137"/>
      <c r="E40" s="155"/>
      <c r="F40" s="137"/>
      <c r="G40" s="137"/>
      <c r="H40" s="137"/>
      <c r="I40" s="137"/>
      <c r="J40" s="137"/>
      <c r="K40" s="35"/>
      <c r="L40" s="152"/>
    </row>
    <row r="41" spans="2:12" s="4" customFormat="1" ht="13.5" customHeight="1" x14ac:dyDescent="0.45">
      <c r="B41" s="4" t="s">
        <v>170</v>
      </c>
      <c r="C41" s="162">
        <v>250</v>
      </c>
      <c r="D41" s="162">
        <v>248</v>
      </c>
      <c r="E41" s="163">
        <v>252</v>
      </c>
      <c r="F41" s="162">
        <v>250</v>
      </c>
      <c r="G41" s="162">
        <v>250</v>
      </c>
      <c r="H41" s="162">
        <v>250</v>
      </c>
      <c r="I41" s="162">
        <v>250</v>
      </c>
      <c r="J41" s="162">
        <v>250</v>
      </c>
      <c r="K41" s="35"/>
      <c r="L41" s="152"/>
    </row>
    <row r="42" spans="2:12" s="4" customFormat="1" ht="13.5" customHeight="1" x14ac:dyDescent="0.45">
      <c r="C42" s="137"/>
      <c r="D42" s="137"/>
      <c r="E42" s="155"/>
      <c r="F42" s="137"/>
      <c r="G42" s="137"/>
      <c r="H42" s="137"/>
      <c r="I42" s="137"/>
      <c r="J42" s="137"/>
      <c r="K42" s="35"/>
      <c r="L42" s="152"/>
    </row>
    <row r="43" spans="2:12" s="4" customFormat="1" ht="13.5" customHeight="1" x14ac:dyDescent="0.45">
      <c r="B43" s="4" t="s">
        <v>110</v>
      </c>
      <c r="C43" s="137">
        <f>+C41*AVERAGE(C39)</f>
        <v>1472591.3927033097</v>
      </c>
      <c r="D43" s="137">
        <f t="shared" ref="D43:J43" si="27">+D41*AVERAGE(C39:D39)</f>
        <v>1628927.1175187889</v>
      </c>
      <c r="E43" s="155">
        <f t="shared" si="27"/>
        <v>1911061.1353363986</v>
      </c>
      <c r="F43" s="137">
        <f t="shared" si="27"/>
        <v>2066350.0242558615</v>
      </c>
      <c r="G43" s="137">
        <f t="shared" si="27"/>
        <v>2246032.6350607192</v>
      </c>
      <c r="H43" s="137">
        <f t="shared" si="27"/>
        <v>2441339.8207181734</v>
      </c>
      <c r="I43" s="137">
        <f t="shared" si="27"/>
        <v>2653630.239911058</v>
      </c>
      <c r="J43" s="137">
        <f t="shared" si="27"/>
        <v>2884380.6955554984</v>
      </c>
      <c r="K43" s="35"/>
      <c r="L43" s="152"/>
    </row>
    <row r="44" spans="2:12" s="4" customFormat="1" ht="13.5" customHeight="1" x14ac:dyDescent="0.45">
      <c r="C44" s="137"/>
      <c r="D44" s="137"/>
      <c r="E44" s="155"/>
      <c r="F44" s="137"/>
      <c r="G44" s="137"/>
      <c r="H44" s="137"/>
      <c r="I44" s="137"/>
      <c r="J44" s="137"/>
      <c r="K44" s="35"/>
      <c r="L44" s="152"/>
    </row>
    <row r="45" spans="2:12" s="4" customFormat="1" ht="13.5" customHeight="1" x14ac:dyDescent="0.45">
      <c r="B45" s="4" t="s">
        <v>116</v>
      </c>
      <c r="C45" s="197"/>
      <c r="D45" s="169">
        <v>0.16700000000000001</v>
      </c>
      <c r="E45" s="180">
        <v>0.189</v>
      </c>
      <c r="F45" s="169">
        <v>0.2</v>
      </c>
      <c r="G45" s="169">
        <v>0.2</v>
      </c>
      <c r="H45" s="169">
        <v>0.2</v>
      </c>
      <c r="I45" s="169">
        <v>0.2</v>
      </c>
      <c r="J45" s="169">
        <v>0.2</v>
      </c>
      <c r="K45" s="35"/>
      <c r="L45" s="152"/>
    </row>
    <row r="46" spans="2:12" s="4" customFormat="1" ht="13.5" customHeight="1" x14ac:dyDescent="0.45">
      <c r="C46" s="137"/>
      <c r="D46" s="137"/>
      <c r="E46" s="155"/>
      <c r="F46" s="137"/>
      <c r="G46" s="137"/>
      <c r="H46" s="137"/>
      <c r="I46" s="137"/>
      <c r="J46" s="137"/>
      <c r="K46" s="35"/>
      <c r="L46" s="152"/>
    </row>
    <row r="47" spans="2:12" s="4" customFormat="1" ht="13.5" customHeight="1" x14ac:dyDescent="0.45">
      <c r="C47" s="137"/>
      <c r="D47" s="137"/>
      <c r="E47" s="155"/>
      <c r="F47" s="137"/>
      <c r="G47" s="137"/>
      <c r="H47" s="137"/>
      <c r="I47" s="137"/>
      <c r="J47" s="137"/>
      <c r="K47" s="35"/>
      <c r="L47" s="152"/>
    </row>
    <row r="48" spans="2:12" s="4" customFormat="1" ht="13.5" customHeight="1" x14ac:dyDescent="0.45">
      <c r="B48" s="8" t="s">
        <v>117</v>
      </c>
      <c r="C48" s="30">
        <f>+D48-1</f>
        <v>-2</v>
      </c>
      <c r="D48" s="30">
        <f>+E48-1</f>
        <v>-1</v>
      </c>
      <c r="E48" s="69">
        <v>0</v>
      </c>
      <c r="F48" s="30">
        <v>1</v>
      </c>
      <c r="G48" s="30">
        <f>F48+1</f>
        <v>2</v>
      </c>
      <c r="H48" s="30">
        <f>G48+1</f>
        <v>3</v>
      </c>
      <c r="I48" s="30">
        <f>H48+1</f>
        <v>4</v>
      </c>
      <c r="J48" s="30">
        <f>I48+1</f>
        <v>5</v>
      </c>
      <c r="L48" s="146"/>
    </row>
    <row r="49" spans="2:12" s="4" customFormat="1" ht="13.5" customHeight="1" x14ac:dyDescent="0.45">
      <c r="B49" s="136" t="s">
        <v>121</v>
      </c>
      <c r="C49" s="138"/>
      <c r="D49" s="137"/>
      <c r="E49" s="155"/>
      <c r="F49" s="137"/>
      <c r="G49" s="137"/>
      <c r="H49" s="137"/>
      <c r="I49" s="137"/>
      <c r="J49" s="137"/>
      <c r="K49" s="35"/>
      <c r="L49" s="152"/>
    </row>
    <row r="50" spans="2:12" s="4" customFormat="1" ht="13.5" customHeight="1" x14ac:dyDescent="0.45">
      <c r="B50" s="45" t="s">
        <v>112</v>
      </c>
      <c r="C50" s="138"/>
      <c r="D50" s="137">
        <f>+C53</f>
        <v>3505699</v>
      </c>
      <c r="E50" s="155">
        <f t="shared" ref="E50:J50" si="28">+D53</f>
        <v>5665304.5457586208</v>
      </c>
      <c r="F50" s="137">
        <f t="shared" si="28"/>
        <v>7162732.2592776446</v>
      </c>
      <c r="G50" s="137">
        <f t="shared" si="28"/>
        <v>8727222.8984872233</v>
      </c>
      <c r="H50" s="137">
        <f t="shared" si="28"/>
        <v>10120226.943679839</v>
      </c>
      <c r="I50" s="137">
        <f t="shared" si="28"/>
        <v>11366632.927193282</v>
      </c>
      <c r="J50" s="137">
        <f t="shared" si="28"/>
        <v>12487861.290711671</v>
      </c>
      <c r="K50" s="35"/>
      <c r="L50" s="152"/>
    </row>
    <row r="51" spans="2:12" s="4" customFormat="1" ht="13.5" customHeight="1" x14ac:dyDescent="0.45">
      <c r="B51" s="45" t="s">
        <v>113</v>
      </c>
      <c r="C51" s="138"/>
      <c r="D51" s="137">
        <f>+D66</f>
        <v>2731034.4827586208</v>
      </c>
      <c r="E51" s="155">
        <f t="shared" ref="E51:J51" si="29">+E66</f>
        <v>2471860.0953895068</v>
      </c>
      <c r="F51" s="137">
        <f t="shared" si="29"/>
        <v>2567273.1555084493</v>
      </c>
      <c r="G51" s="137">
        <f t="shared" si="29"/>
        <v>2614815.250980828</v>
      </c>
      <c r="H51" s="137">
        <f t="shared" si="29"/>
        <v>2663237.7556286212</v>
      </c>
      <c r="I51" s="137">
        <f t="shared" si="29"/>
        <v>2712556.9733254481</v>
      </c>
      <c r="J51" s="137">
        <f t="shared" si="29"/>
        <v>2762789.5098685119</v>
      </c>
      <c r="K51" s="35"/>
      <c r="L51" s="152"/>
    </row>
    <row r="52" spans="2:12" s="4" customFormat="1" ht="13.5" customHeight="1" x14ac:dyDescent="0.45">
      <c r="B52" s="45" t="s">
        <v>114</v>
      </c>
      <c r="C52" s="138"/>
      <c r="D52" s="137">
        <f t="shared" ref="D52:J52" si="30">D50*D68</f>
        <v>571428.93700000003</v>
      </c>
      <c r="E52" s="155">
        <f t="shared" si="30"/>
        <v>974432.3818704827</v>
      </c>
      <c r="F52" s="137">
        <f t="shared" si="30"/>
        <v>1002782.5162988703</v>
      </c>
      <c r="G52" s="137">
        <f t="shared" si="30"/>
        <v>1221811.2057882114</v>
      </c>
      <c r="H52" s="137">
        <f t="shared" si="30"/>
        <v>1416831.7721151777</v>
      </c>
      <c r="I52" s="137">
        <f t="shared" si="30"/>
        <v>1591328.6098070596</v>
      </c>
      <c r="J52" s="137">
        <f t="shared" si="30"/>
        <v>1748300.580699634</v>
      </c>
      <c r="K52" s="35"/>
      <c r="L52" s="152"/>
    </row>
    <row r="53" spans="2:12" s="4" customFormat="1" ht="13.5" customHeight="1" x14ac:dyDescent="0.45">
      <c r="B53" s="12" t="s">
        <v>115</v>
      </c>
      <c r="C53" s="164">
        <v>3505699</v>
      </c>
      <c r="D53" s="165">
        <f>D50+D51-D52</f>
        <v>5665304.5457586208</v>
      </c>
      <c r="E53" s="181">
        <f t="shared" ref="E53" si="31">E50+E51-E52</f>
        <v>7162732.2592776446</v>
      </c>
      <c r="F53" s="165">
        <f t="shared" ref="F53" si="32">F50+F51-F52</f>
        <v>8727222.8984872233</v>
      </c>
      <c r="G53" s="165">
        <f t="shared" ref="G53" si="33">G50+G51-G52</f>
        <v>10120226.943679839</v>
      </c>
      <c r="H53" s="165">
        <f t="shared" ref="H53" si="34">H50+H51-H52</f>
        <v>11366632.927193282</v>
      </c>
      <c r="I53" s="165">
        <f t="shared" ref="I53" si="35">I50+I51-I52</f>
        <v>12487861.290711671</v>
      </c>
      <c r="J53" s="165">
        <f t="shared" ref="J53" si="36">J50+J51-J52</f>
        <v>13502350.219880549</v>
      </c>
      <c r="K53" s="35"/>
      <c r="L53" s="152"/>
    </row>
    <row r="54" spans="2:12" s="4" customFormat="1" ht="13.5" customHeight="1" x14ac:dyDescent="0.45">
      <c r="B54" s="37" t="s">
        <v>108</v>
      </c>
      <c r="C54" s="137"/>
      <c r="D54" s="174">
        <f>+D53/C53-1</f>
        <v>0.61602708782431725</v>
      </c>
      <c r="E54" s="183">
        <f t="shared" ref="E54" si="37">+E53/D53-1</f>
        <v>0.26431548408815653</v>
      </c>
      <c r="F54" s="174">
        <f t="shared" ref="F54" si="38">+F53/E53-1</f>
        <v>0.2184209296924573</v>
      </c>
      <c r="G54" s="174">
        <f t="shared" ref="G54" si="39">+G53/F53-1</f>
        <v>0.15961595818001606</v>
      </c>
      <c r="H54" s="174">
        <f t="shared" ref="H54" si="40">+H53/G53-1</f>
        <v>0.12315988469920947</v>
      </c>
      <c r="I54" s="174">
        <f t="shared" ref="I54" si="41">+I53/H53-1</f>
        <v>9.8642084309416456E-2</v>
      </c>
      <c r="J54" s="174">
        <f t="shared" ref="J54" si="42">+J53/I53-1</f>
        <v>8.1238004294894139E-2</v>
      </c>
      <c r="K54" s="35"/>
      <c r="L54" s="152"/>
    </row>
    <row r="55" spans="2:12" s="4" customFormat="1" ht="13.5" customHeight="1" x14ac:dyDescent="0.45">
      <c r="C55" s="137"/>
      <c r="D55" s="137"/>
      <c r="E55" s="155"/>
      <c r="F55" s="137"/>
      <c r="G55" s="137"/>
      <c r="H55" s="137"/>
      <c r="I55" s="137"/>
      <c r="J55" s="137"/>
      <c r="K55" s="35"/>
      <c r="L55" s="152"/>
    </row>
    <row r="56" spans="2:12" s="4" customFormat="1" ht="13.5" customHeight="1" x14ac:dyDescent="0.45">
      <c r="B56" s="4" t="s">
        <v>118</v>
      </c>
      <c r="C56" s="166">
        <v>5.2</v>
      </c>
      <c r="D56" s="166">
        <v>6.9</v>
      </c>
      <c r="E56" s="187">
        <v>8</v>
      </c>
      <c r="F56" s="168">
        <f t="shared" ref="F56:G56" si="43">+E56*(1+F57)</f>
        <v>8.8000000000000007</v>
      </c>
      <c r="G56" s="168">
        <f t="shared" si="43"/>
        <v>9.6800000000000015</v>
      </c>
      <c r="H56" s="168">
        <f t="shared" ref="H56" si="44">+G56*(1+H57)</f>
        <v>10.648000000000003</v>
      </c>
      <c r="I56" s="168">
        <f t="shared" ref="I56" si="45">+H56*(1+I57)</f>
        <v>11.712800000000005</v>
      </c>
      <c r="J56" s="168">
        <f t="shared" ref="J56" si="46">+I56*(1+J57)</f>
        <v>12.884080000000006</v>
      </c>
      <c r="K56" s="35"/>
      <c r="L56" s="152"/>
    </row>
    <row r="57" spans="2:12" s="4" customFormat="1" ht="13.5" customHeight="1" x14ac:dyDescent="0.45">
      <c r="B57" s="37" t="s">
        <v>108</v>
      </c>
      <c r="C57" s="137"/>
      <c r="D57" s="167">
        <f>+D56/C56-1</f>
        <v>0.32692307692307687</v>
      </c>
      <c r="E57" s="74">
        <f>+E56/D56-1</f>
        <v>0.15942028985507251</v>
      </c>
      <c r="F57" s="156">
        <v>0.1</v>
      </c>
      <c r="G57" s="156">
        <v>0.1</v>
      </c>
      <c r="H57" s="156">
        <v>0.1</v>
      </c>
      <c r="I57" s="156">
        <v>0.1</v>
      </c>
      <c r="J57" s="156">
        <v>0.1</v>
      </c>
      <c r="K57" s="35"/>
      <c r="L57" s="152"/>
    </row>
    <row r="58" spans="2:12" s="4" customFormat="1" ht="13.5" customHeight="1" x14ac:dyDescent="0.45">
      <c r="C58" s="137"/>
      <c r="D58" s="137"/>
      <c r="E58" s="155"/>
      <c r="F58" s="137"/>
      <c r="G58" s="137"/>
      <c r="H58" s="137"/>
      <c r="I58" s="137"/>
      <c r="J58" s="137"/>
      <c r="K58" s="35"/>
      <c r="L58" s="152"/>
    </row>
    <row r="59" spans="2:12" s="4" customFormat="1" ht="13.5" customHeight="1" x14ac:dyDescent="0.45">
      <c r="B59" s="4" t="s">
        <v>119</v>
      </c>
      <c r="C59" s="159">
        <v>14.5</v>
      </c>
      <c r="D59" s="159">
        <v>17.25</v>
      </c>
      <c r="E59" s="182">
        <v>18.87</v>
      </c>
      <c r="F59" s="157">
        <f>+E59*(1+F60)</f>
        <v>20.379600000000003</v>
      </c>
      <c r="G59" s="157">
        <f t="shared" ref="G59" si="47">+F59*(1+G60)</f>
        <v>22.009968000000004</v>
      </c>
      <c r="H59" s="157">
        <f t="shared" ref="H59" si="48">+G59*(1+H60)</f>
        <v>23.770765440000005</v>
      </c>
      <c r="I59" s="157">
        <f t="shared" ref="I59" si="49">+H59*(1+I60)</f>
        <v>25.672426675200008</v>
      </c>
      <c r="J59" s="157">
        <f t="shared" ref="J59" si="50">+I59*(1+J60)</f>
        <v>27.726220809216009</v>
      </c>
      <c r="K59" s="35"/>
      <c r="L59" s="152"/>
    </row>
    <row r="60" spans="2:12" s="4" customFormat="1" ht="13.5" customHeight="1" x14ac:dyDescent="0.45">
      <c r="B60" s="37" t="s">
        <v>108</v>
      </c>
      <c r="C60" s="137"/>
      <c r="D60" s="167">
        <f>+D59/C59-1</f>
        <v>0.18965517241379315</v>
      </c>
      <c r="E60" s="74">
        <f>+E59/D59-1</f>
        <v>9.3913043478260905E-2</v>
      </c>
      <c r="F60" s="156">
        <v>0.08</v>
      </c>
      <c r="G60" s="156">
        <v>0.08</v>
      </c>
      <c r="H60" s="156">
        <v>0.08</v>
      </c>
      <c r="I60" s="156">
        <v>0.08</v>
      </c>
      <c r="J60" s="156">
        <v>0.08</v>
      </c>
      <c r="K60" s="35"/>
      <c r="L60" s="152"/>
    </row>
    <row r="61" spans="2:12" s="4" customFormat="1" ht="13.5" customHeight="1" x14ac:dyDescent="0.45">
      <c r="C61" s="137"/>
      <c r="D61" s="137"/>
      <c r="E61" s="155"/>
      <c r="F61" s="137"/>
      <c r="G61" s="137"/>
      <c r="H61" s="137"/>
      <c r="I61" s="137"/>
      <c r="J61" s="137"/>
      <c r="K61" s="35"/>
      <c r="L61" s="152"/>
    </row>
    <row r="62" spans="2:12" s="4" customFormat="1" ht="13.5" customHeight="1" x14ac:dyDescent="0.45">
      <c r="B62" s="4" t="s">
        <v>122</v>
      </c>
      <c r="C62" s="137">
        <f>+C56*1000000/C59</f>
        <v>358620.68965517241</v>
      </c>
      <c r="D62" s="137">
        <f t="shared" ref="D62:J62" si="51">+D56*1000000/D59</f>
        <v>400000</v>
      </c>
      <c r="E62" s="155">
        <f t="shared" si="51"/>
        <v>423953.36512983567</v>
      </c>
      <c r="F62" s="137">
        <f t="shared" si="51"/>
        <v>431804.35337298072</v>
      </c>
      <c r="G62" s="137">
        <f t="shared" si="51"/>
        <v>439800.7302872953</v>
      </c>
      <c r="H62" s="137">
        <f t="shared" si="51"/>
        <v>447945.18825557857</v>
      </c>
      <c r="I62" s="137">
        <f t="shared" si="51"/>
        <v>456240.46951957082</v>
      </c>
      <c r="J62" s="137">
        <f t="shared" si="51"/>
        <v>464689.36710326653</v>
      </c>
      <c r="K62" s="35"/>
      <c r="L62" s="152"/>
    </row>
    <row r="63" spans="2:12" s="4" customFormat="1" ht="13.5" customHeight="1" x14ac:dyDescent="0.45">
      <c r="C63" s="137"/>
      <c r="D63" s="137"/>
      <c r="E63" s="155"/>
      <c r="F63" s="137"/>
      <c r="G63" s="137"/>
      <c r="H63" s="137"/>
      <c r="I63" s="137"/>
      <c r="J63" s="137"/>
      <c r="K63" s="35"/>
      <c r="L63" s="152"/>
    </row>
    <row r="64" spans="2:12" s="4" customFormat="1" ht="13.5" customHeight="1" x14ac:dyDescent="0.45">
      <c r="B64" s="4" t="s">
        <v>171</v>
      </c>
      <c r="C64" s="96">
        <v>8</v>
      </c>
      <c r="D64" s="96">
        <v>7.2</v>
      </c>
      <c r="E64" s="161">
        <v>6</v>
      </c>
      <c r="F64" s="96">
        <v>6</v>
      </c>
      <c r="G64" s="96">
        <v>6</v>
      </c>
      <c r="H64" s="96">
        <v>6</v>
      </c>
      <c r="I64" s="96">
        <v>6</v>
      </c>
      <c r="J64" s="96">
        <v>6</v>
      </c>
      <c r="K64" s="35"/>
      <c r="L64" s="152"/>
    </row>
    <row r="65" spans="2:12" s="4" customFormat="1" ht="13.5" customHeight="1" x14ac:dyDescent="0.45">
      <c r="C65" s="137"/>
      <c r="D65" s="137"/>
      <c r="E65" s="155"/>
      <c r="F65" s="137"/>
      <c r="G65" s="137"/>
      <c r="H65" s="137"/>
      <c r="I65" s="137"/>
      <c r="J65" s="137"/>
      <c r="K65" s="35"/>
      <c r="L65" s="152"/>
    </row>
    <row r="66" spans="2:12" s="4" customFormat="1" ht="13.5" customHeight="1" x14ac:dyDescent="0.45">
      <c r="B66" s="4" t="s">
        <v>123</v>
      </c>
      <c r="C66" s="137">
        <f>+C64*AVERAGE(C62)</f>
        <v>2868965.5172413792</v>
      </c>
      <c r="D66" s="137">
        <f t="shared" ref="D66:J66" si="52">+D64*AVERAGE(C62:D62)</f>
        <v>2731034.4827586208</v>
      </c>
      <c r="E66" s="155">
        <f t="shared" si="52"/>
        <v>2471860.0953895068</v>
      </c>
      <c r="F66" s="137">
        <f t="shared" si="52"/>
        <v>2567273.1555084493</v>
      </c>
      <c r="G66" s="137">
        <f t="shared" si="52"/>
        <v>2614815.250980828</v>
      </c>
      <c r="H66" s="137">
        <f t="shared" si="52"/>
        <v>2663237.7556286212</v>
      </c>
      <c r="I66" s="137">
        <f t="shared" si="52"/>
        <v>2712556.9733254481</v>
      </c>
      <c r="J66" s="137">
        <f t="shared" si="52"/>
        <v>2762789.5098685119</v>
      </c>
      <c r="K66" s="35"/>
      <c r="L66" s="152"/>
    </row>
    <row r="67" spans="2:12" s="4" customFormat="1" ht="13.5" customHeight="1" x14ac:dyDescent="0.45">
      <c r="C67" s="137"/>
      <c r="D67" s="137"/>
      <c r="E67" s="155"/>
      <c r="F67" s="137"/>
      <c r="G67" s="137"/>
      <c r="H67" s="137"/>
      <c r="I67" s="137"/>
      <c r="J67" s="137"/>
      <c r="K67" s="35"/>
      <c r="L67" s="152"/>
    </row>
    <row r="68" spans="2:12" s="4" customFormat="1" ht="13.5" customHeight="1" x14ac:dyDescent="0.45">
      <c r="B68" s="4" t="s">
        <v>116</v>
      </c>
      <c r="C68" s="197"/>
      <c r="D68" s="169">
        <v>0.16300000000000001</v>
      </c>
      <c r="E68" s="180">
        <v>0.17199999999999999</v>
      </c>
      <c r="F68" s="169">
        <v>0.14000000000000001</v>
      </c>
      <c r="G68" s="169">
        <v>0.14000000000000001</v>
      </c>
      <c r="H68" s="169">
        <v>0.14000000000000001</v>
      </c>
      <c r="I68" s="169">
        <v>0.14000000000000001</v>
      </c>
      <c r="J68" s="169">
        <v>0.14000000000000001</v>
      </c>
      <c r="K68" s="35"/>
      <c r="L68" s="152"/>
    </row>
    <row r="69" spans="2:12" s="4" customFormat="1" ht="13.5" customHeight="1" x14ac:dyDescent="0.45">
      <c r="C69" s="137"/>
      <c r="D69" s="137"/>
      <c r="E69" s="155"/>
      <c r="F69" s="137"/>
      <c r="G69" s="137"/>
      <c r="H69" s="137"/>
      <c r="I69" s="137"/>
      <c r="J69" s="137"/>
      <c r="K69" s="35"/>
      <c r="L69" s="152"/>
    </row>
    <row r="70" spans="2:12" x14ac:dyDescent="0.4">
      <c r="E70" s="56"/>
    </row>
    <row r="71" spans="2:12" x14ac:dyDescent="0.4">
      <c r="E71" s="56"/>
    </row>
    <row r="72" spans="2:12" x14ac:dyDescent="0.4">
      <c r="E72" s="56"/>
    </row>
  </sheetData>
  <pageMargins left="0.7" right="0.7" top="0.75" bottom="0.75" header="0.3" footer="0.3"/>
  <pageSetup scale="63"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Start -&gt;</vt:lpstr>
      <vt:lpstr>Model - Start</vt:lpstr>
      <vt:lpstr>Revenue Build - Start</vt:lpstr>
      <vt:lpstr>End -&gt;</vt:lpstr>
      <vt:lpstr>Model - End</vt:lpstr>
      <vt:lpstr>Revenue Build - End</vt:lpstr>
      <vt:lpstr>'Model - End'!Print_Area</vt:lpstr>
      <vt:lpstr>'Model - Start'!Print_Area</vt:lpstr>
      <vt:lpstr>'Revenue Build - End'!Print_Area</vt:lpstr>
      <vt:lpstr>'Revenue Build - Start'!Print_Area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mhinckley</dc:creator>
  <cp:lastModifiedBy>Mike Hinckley</cp:lastModifiedBy>
  <dcterms:created xsi:type="dcterms:W3CDTF">2021-01-06T16:29:03Z</dcterms:created>
  <dcterms:modified xsi:type="dcterms:W3CDTF">2024-04-07T17:27:49Z</dcterms:modified>
</cp:coreProperties>
</file>