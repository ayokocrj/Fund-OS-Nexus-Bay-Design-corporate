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8CC51DC9-E05E-4C38-8316-D249D32B61F1}" xr6:coauthVersionLast="47" xr6:coauthVersionMax="47" xr10:uidLastSave="{00000000-0000-0000-0000-000000000000}"/>
  <bookViews>
    <workbookView xWindow="0" yWindow="0" windowWidth="22845" windowHeight="14243" xr2:uid="{149DA278-98FA-47F8-A916-DD05CF127C47}"/>
  </bookViews>
  <sheets>
    <sheet name="Resources" sheetId="51" r:id="rId1"/>
    <sheet name="Start -&gt;" sheetId="44" r:id="rId2"/>
    <sheet name="Model (Start - Video)" sheetId="50" r:id="rId3"/>
    <sheet name="Model (Start - Blank)" sheetId="49" r:id="rId4"/>
    <sheet name="Cohorts (Start)" sheetId="46" r:id="rId5"/>
    <sheet name="Sensitivities (Start)" sheetId="47" r:id="rId6"/>
    <sheet name="Valuation (Start)" sheetId="48" r:id="rId7"/>
    <sheet name="End -&gt;" sheetId="43" r:id="rId8"/>
    <sheet name="Model (End)" sheetId="39" r:id="rId9"/>
    <sheet name="Model (Pre-Money Options)" sheetId="53" r:id="rId10"/>
    <sheet name="Cohorts (End)" sheetId="32" r:id="rId11"/>
    <sheet name="Sensitivities (End)" sheetId="14" r:id="rId12"/>
    <sheet name="Valuation (End)" sheetId="42" r:id="rId13"/>
  </sheets>
  <definedNames>
    <definedName name="_xlnm.Print_Area" localSheetId="10">'Cohorts (End)'!$A$1:$N$45</definedName>
    <definedName name="_xlnm.Print_Area" localSheetId="4">'Cohorts (Start)'!$A$1:$N$45</definedName>
    <definedName name="_xlnm.Print_Area" localSheetId="8">'Model (End)'!$A$1:$K$262</definedName>
    <definedName name="_xlnm.Print_Area" localSheetId="9">'Model (Pre-Money Options)'!$A$1:$K$262</definedName>
    <definedName name="_xlnm.Print_Area" localSheetId="3">'Model (Start - Blank)'!$A$1:$K$143</definedName>
    <definedName name="_xlnm.Print_Area" localSheetId="2">'Model (Start - Video)'!$A$1:$K$145</definedName>
    <definedName name="_xlnm.Print_Area" localSheetId="11">'Sensitivities (End)'!$A$1:$K$21</definedName>
    <definedName name="_xlnm.Print_Area" localSheetId="5">'Sensitivities (Start)'!$A$1:$K$21</definedName>
    <definedName name="_xlnm.Print_Area" localSheetId="12">'Valuation (End)'!$A$1:$N$17</definedName>
    <definedName name="_xlnm.Print_Area" localSheetId="6">'Valuation (Start)'!$A$1:$N$17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3" i="32" l="1"/>
  <c r="M82" i="32"/>
  <c r="L82" i="32"/>
  <c r="M81" i="32"/>
  <c r="L81" i="32"/>
  <c r="K81" i="32"/>
  <c r="M80" i="32"/>
  <c r="L80" i="32"/>
  <c r="K80" i="32"/>
  <c r="J80" i="32"/>
  <c r="M79" i="32"/>
  <c r="L79" i="32"/>
  <c r="K79" i="32"/>
  <c r="J79" i="32"/>
  <c r="I79" i="32"/>
  <c r="M78" i="32"/>
  <c r="L78" i="32"/>
  <c r="K78" i="32"/>
  <c r="J78" i="32"/>
  <c r="I78" i="32"/>
  <c r="H78" i="32"/>
  <c r="M77" i="32"/>
  <c r="L77" i="32"/>
  <c r="K77" i="32"/>
  <c r="J77" i="32"/>
  <c r="I77" i="32"/>
  <c r="H77" i="32"/>
  <c r="G77" i="32"/>
  <c r="M76" i="32"/>
  <c r="L76" i="32"/>
  <c r="K76" i="32"/>
  <c r="J76" i="32"/>
  <c r="I76" i="32"/>
  <c r="H76" i="32"/>
  <c r="G76" i="32"/>
  <c r="F76" i="32"/>
  <c r="I33" i="53"/>
  <c r="J19" i="53"/>
  <c r="D35" i="53"/>
  <c r="G260" i="53"/>
  <c r="H260" i="53" s="1"/>
  <c r="I260" i="53" s="1"/>
  <c r="J260" i="53" s="1"/>
  <c r="J233" i="53"/>
  <c r="I233" i="53"/>
  <c r="H233" i="53"/>
  <c r="G233" i="53"/>
  <c r="F233" i="53"/>
  <c r="G218" i="53"/>
  <c r="H218" i="53" s="1"/>
  <c r="I218" i="53" s="1"/>
  <c r="J218" i="53" s="1"/>
  <c r="J214" i="53"/>
  <c r="G204" i="53"/>
  <c r="H204" i="53" s="1"/>
  <c r="I204" i="53" s="1"/>
  <c r="J204" i="53" s="1"/>
  <c r="G190" i="53"/>
  <c r="H190" i="53" s="1"/>
  <c r="I190" i="53" s="1"/>
  <c r="J190" i="53" s="1"/>
  <c r="H164" i="53"/>
  <c r="H161" i="53"/>
  <c r="J145" i="53"/>
  <c r="I145" i="53"/>
  <c r="H145" i="53"/>
  <c r="G145" i="53"/>
  <c r="F145" i="53"/>
  <c r="J140" i="53"/>
  <c r="G140" i="53"/>
  <c r="H140" i="53" s="1"/>
  <c r="I140" i="53" s="1"/>
  <c r="F130" i="53"/>
  <c r="J104" i="53"/>
  <c r="I104" i="53"/>
  <c r="H104" i="53"/>
  <c r="G104" i="53"/>
  <c r="F104" i="53"/>
  <c r="E102" i="53"/>
  <c r="F99" i="53" s="1"/>
  <c r="E97" i="53"/>
  <c r="F95" i="53"/>
  <c r="F97" i="53" s="1"/>
  <c r="F45" i="53" s="1"/>
  <c r="H94" i="53"/>
  <c r="I94" i="53" s="1"/>
  <c r="J94" i="53" s="1"/>
  <c r="G94" i="53"/>
  <c r="J88" i="53"/>
  <c r="I88" i="53"/>
  <c r="H88" i="53"/>
  <c r="G88" i="53"/>
  <c r="F88" i="53"/>
  <c r="C74" i="53"/>
  <c r="E73" i="53"/>
  <c r="E74" i="53" s="1"/>
  <c r="D73" i="53"/>
  <c r="D74" i="53" s="1"/>
  <c r="C73" i="53"/>
  <c r="E71" i="53"/>
  <c r="D71" i="53"/>
  <c r="C71" i="53"/>
  <c r="E68" i="53"/>
  <c r="D68" i="53"/>
  <c r="C68" i="53"/>
  <c r="E65" i="53"/>
  <c r="D65" i="53"/>
  <c r="C65" i="53"/>
  <c r="E62" i="53"/>
  <c r="D62" i="53"/>
  <c r="G60" i="53"/>
  <c r="H60" i="53" s="1"/>
  <c r="I60" i="53" s="1"/>
  <c r="J60" i="53" s="1"/>
  <c r="D60" i="53"/>
  <c r="C60" i="53"/>
  <c r="C55" i="53"/>
  <c r="E53" i="53"/>
  <c r="E118" i="53" s="1"/>
  <c r="D53" i="53"/>
  <c r="E52" i="53"/>
  <c r="C50" i="53"/>
  <c r="C56" i="53" s="1"/>
  <c r="E49" i="53"/>
  <c r="E48" i="53"/>
  <c r="E47" i="53"/>
  <c r="F47" i="53" s="1"/>
  <c r="G47" i="53" s="1"/>
  <c r="H47" i="53" s="1"/>
  <c r="I47" i="53" s="1"/>
  <c r="J47" i="53" s="1"/>
  <c r="D46" i="53"/>
  <c r="E46" i="53" s="1"/>
  <c r="E108" i="53" s="1"/>
  <c r="E45" i="53"/>
  <c r="E44" i="53"/>
  <c r="D44" i="53" s="1"/>
  <c r="G43" i="53"/>
  <c r="H43" i="53" s="1"/>
  <c r="I43" i="53" s="1"/>
  <c r="J43" i="53" s="1"/>
  <c r="E37" i="53"/>
  <c r="F37" i="53" s="1"/>
  <c r="E34" i="53"/>
  <c r="E36" i="53" s="1"/>
  <c r="D34" i="53"/>
  <c r="J23" i="53"/>
  <c r="J20" i="53"/>
  <c r="H35" i="53" s="1"/>
  <c r="I35" i="53" s="1"/>
  <c r="H33" i="53" s="1"/>
  <c r="D19" i="53"/>
  <c r="D13" i="53"/>
  <c r="C10" i="53"/>
  <c r="J21" i="53" s="1"/>
  <c r="C9" i="53"/>
  <c r="G8" i="53"/>
  <c r="D8" i="53"/>
  <c r="C8" i="53"/>
  <c r="C5" i="53"/>
  <c r="C7" i="53" s="1"/>
  <c r="B13" i="51"/>
  <c r="D20" i="53" l="1"/>
  <c r="D7" i="53"/>
  <c r="C11" i="53"/>
  <c r="F116" i="53"/>
  <c r="F106" i="53"/>
  <c r="E107" i="53"/>
  <c r="F34" i="53"/>
  <c r="I36" i="53"/>
  <c r="F36" i="53"/>
  <c r="F35" i="53"/>
  <c r="F33" i="53"/>
  <c r="E112" i="53"/>
  <c r="G95" i="53"/>
  <c r="G97" i="53" s="1"/>
  <c r="F32" i="53"/>
  <c r="E50" i="53"/>
  <c r="C23" i="46"/>
  <c r="C24" i="46"/>
  <c r="C25" i="46"/>
  <c r="C26" i="46"/>
  <c r="E144" i="50"/>
  <c r="J137" i="50"/>
  <c r="J135" i="50"/>
  <c r="J116" i="50"/>
  <c r="I116" i="50"/>
  <c r="H116" i="50"/>
  <c r="G116" i="50"/>
  <c r="F116" i="50"/>
  <c r="F42" i="50"/>
  <c r="F83" i="50" s="1"/>
  <c r="F115" i="50" s="1"/>
  <c r="J107" i="53" l="1"/>
  <c r="I107" i="53"/>
  <c r="H107" i="53"/>
  <c r="G107" i="53"/>
  <c r="F107" i="53"/>
  <c r="G45" i="53"/>
  <c r="H95" i="53"/>
  <c r="H97" i="53" s="1"/>
  <c r="F110" i="53"/>
  <c r="F112" i="53" s="1"/>
  <c r="F114" i="53"/>
  <c r="D39" i="53"/>
  <c r="H39" i="53" s="1"/>
  <c r="D37" i="53"/>
  <c r="D12" i="53"/>
  <c r="J22" i="53" s="1"/>
  <c r="H32" i="53" s="1"/>
  <c r="D11" i="53"/>
  <c r="F59" i="50"/>
  <c r="F84" i="50" s="1"/>
  <c r="F113" i="50" s="1"/>
  <c r="G42" i="50"/>
  <c r="H42" i="50" s="1"/>
  <c r="F46" i="50"/>
  <c r="F49" i="50"/>
  <c r="G49" i="50"/>
  <c r="H59" i="50"/>
  <c r="H84" i="50" s="1"/>
  <c r="H113" i="50" s="1"/>
  <c r="G59" i="50"/>
  <c r="G84" i="50" s="1"/>
  <c r="G113" i="50" s="1"/>
  <c r="F53" i="50"/>
  <c r="F56" i="50" s="1"/>
  <c r="F57" i="50" s="1"/>
  <c r="G83" i="50"/>
  <c r="G115" i="50" s="1"/>
  <c r="H83" i="50"/>
  <c r="H115" i="50" s="1"/>
  <c r="H46" i="50"/>
  <c r="G53" i="50"/>
  <c r="H53" i="50"/>
  <c r="E34" i="50"/>
  <c r="E102" i="50" s="1"/>
  <c r="F100" i="50" s="1"/>
  <c r="E33" i="50"/>
  <c r="E96" i="50" s="1"/>
  <c r="E30" i="50"/>
  <c r="E85" i="50" s="1"/>
  <c r="F82" i="50" s="1"/>
  <c r="F85" i="50" s="1"/>
  <c r="E29" i="50"/>
  <c r="F29" i="50" s="1"/>
  <c r="G29" i="50" s="1"/>
  <c r="H29" i="50" s="1"/>
  <c r="I29" i="50" s="1"/>
  <c r="J29" i="50" s="1"/>
  <c r="E26" i="50"/>
  <c r="E80" i="50" s="1"/>
  <c r="F78" i="50" s="1"/>
  <c r="F80" i="50" s="1"/>
  <c r="E25" i="50"/>
  <c r="J17" i="50"/>
  <c r="E91" i="50" s="1"/>
  <c r="C8" i="50"/>
  <c r="C7" i="50"/>
  <c r="C4" i="50"/>
  <c r="C6" i="50" s="1"/>
  <c r="J16" i="50" s="1"/>
  <c r="G143" i="50"/>
  <c r="H143" i="50" s="1"/>
  <c r="I143" i="50" s="1"/>
  <c r="J143" i="50" s="1"/>
  <c r="G134" i="50"/>
  <c r="H134" i="50" s="1"/>
  <c r="I134" i="50" s="1"/>
  <c r="J134" i="50" s="1"/>
  <c r="G111" i="50"/>
  <c r="H111" i="50" s="1"/>
  <c r="I111" i="50" s="1"/>
  <c r="J111" i="50" s="1"/>
  <c r="J87" i="50"/>
  <c r="I87" i="50"/>
  <c r="H87" i="50"/>
  <c r="G87" i="50"/>
  <c r="F87" i="50"/>
  <c r="G77" i="50"/>
  <c r="H77" i="50" s="1"/>
  <c r="I77" i="50" s="1"/>
  <c r="J77" i="50" s="1"/>
  <c r="E56" i="50"/>
  <c r="E57" i="50" s="1"/>
  <c r="D56" i="50"/>
  <c r="D57" i="50" s="1"/>
  <c r="C56" i="50"/>
  <c r="C57" i="50" s="1"/>
  <c r="E54" i="50"/>
  <c r="D54" i="50"/>
  <c r="C54" i="50"/>
  <c r="E50" i="50"/>
  <c r="D50" i="50"/>
  <c r="C50" i="50"/>
  <c r="E47" i="50"/>
  <c r="D47" i="50"/>
  <c r="C47" i="50"/>
  <c r="E43" i="50"/>
  <c r="D43" i="50"/>
  <c r="G41" i="50"/>
  <c r="H41" i="50" s="1"/>
  <c r="I41" i="50" s="1"/>
  <c r="J41" i="50" s="1"/>
  <c r="D41" i="50"/>
  <c r="C41" i="50" s="1"/>
  <c r="C36" i="50"/>
  <c r="C31" i="50"/>
  <c r="G24" i="50"/>
  <c r="H24" i="50" s="1"/>
  <c r="I24" i="50" s="1"/>
  <c r="J24" i="50" s="1"/>
  <c r="I141" i="49"/>
  <c r="J141" i="49" s="1"/>
  <c r="H141" i="49"/>
  <c r="G141" i="49"/>
  <c r="G132" i="49"/>
  <c r="H132" i="49" s="1"/>
  <c r="I132" i="49" s="1"/>
  <c r="J132" i="49" s="1"/>
  <c r="I109" i="49"/>
  <c r="J109" i="49" s="1"/>
  <c r="H109" i="49"/>
  <c r="G109" i="49"/>
  <c r="J87" i="49"/>
  <c r="I87" i="49"/>
  <c r="H87" i="49"/>
  <c r="G87" i="49"/>
  <c r="F87" i="49"/>
  <c r="G77" i="49"/>
  <c r="H77" i="49" s="1"/>
  <c r="I77" i="49" s="1"/>
  <c r="J77" i="49" s="1"/>
  <c r="E57" i="49"/>
  <c r="D57" i="49"/>
  <c r="C57" i="49"/>
  <c r="E56" i="49"/>
  <c r="D56" i="49"/>
  <c r="C56" i="49"/>
  <c r="E54" i="49"/>
  <c r="D54" i="49"/>
  <c r="C54" i="49"/>
  <c r="E50" i="49"/>
  <c r="D50" i="49"/>
  <c r="C50" i="49"/>
  <c r="E47" i="49"/>
  <c r="D47" i="49"/>
  <c r="C47" i="49"/>
  <c r="E43" i="49"/>
  <c r="D43" i="49"/>
  <c r="G41" i="49"/>
  <c r="H41" i="49" s="1"/>
  <c r="I41" i="49" s="1"/>
  <c r="J41" i="49" s="1"/>
  <c r="D41" i="49"/>
  <c r="C41" i="49" s="1"/>
  <c r="C36" i="49"/>
  <c r="C31" i="49"/>
  <c r="C37" i="49" s="1"/>
  <c r="H24" i="49"/>
  <c r="I24" i="49" s="1"/>
  <c r="J24" i="49" s="1"/>
  <c r="G24" i="49"/>
  <c r="C75" i="48"/>
  <c r="C70" i="48"/>
  <c r="C71" i="48" s="1"/>
  <c r="U33" i="48"/>
  <c r="N33" i="48"/>
  <c r="F33" i="48" s="1"/>
  <c r="I33" i="48"/>
  <c r="E33" i="48"/>
  <c r="E40" i="48" s="1"/>
  <c r="U32" i="48"/>
  <c r="I32" i="48" s="1"/>
  <c r="N32" i="48"/>
  <c r="V32" i="48" s="1"/>
  <c r="J32" i="48" s="1"/>
  <c r="F32" i="48"/>
  <c r="E32" i="48"/>
  <c r="U31" i="48"/>
  <c r="I31" i="48" s="1"/>
  <c r="N31" i="48"/>
  <c r="V31" i="48" s="1"/>
  <c r="J31" i="48" s="1"/>
  <c r="E31" i="48"/>
  <c r="V30" i="48"/>
  <c r="J30" i="48" s="1"/>
  <c r="U30" i="48"/>
  <c r="I30" i="48" s="1"/>
  <c r="O30" i="48"/>
  <c r="G30" i="48" s="1"/>
  <c r="N30" i="48"/>
  <c r="F30" i="48" s="1"/>
  <c r="E30" i="48"/>
  <c r="U29" i="48"/>
  <c r="I29" i="48" s="1"/>
  <c r="N29" i="48"/>
  <c r="F29" i="48" s="1"/>
  <c r="E29" i="48"/>
  <c r="U14" i="48"/>
  <c r="I14" i="48" s="1"/>
  <c r="N14" i="48"/>
  <c r="V14" i="48" s="1"/>
  <c r="J14" i="48" s="1"/>
  <c r="E14" i="48"/>
  <c r="U13" i="48"/>
  <c r="N13" i="48"/>
  <c r="F13" i="48" s="1"/>
  <c r="I13" i="48"/>
  <c r="E13" i="48"/>
  <c r="U12" i="48"/>
  <c r="I12" i="48" s="1"/>
  <c r="N12" i="48"/>
  <c r="O12" i="48" s="1"/>
  <c r="F12" i="48"/>
  <c r="E12" i="48"/>
  <c r="U11" i="48"/>
  <c r="I11" i="48" s="1"/>
  <c r="N11" i="48"/>
  <c r="V11" i="48" s="1"/>
  <c r="J11" i="48" s="1"/>
  <c r="E11" i="48"/>
  <c r="V10" i="48"/>
  <c r="J10" i="48" s="1"/>
  <c r="U10" i="48"/>
  <c r="I10" i="48" s="1"/>
  <c r="N10" i="48"/>
  <c r="O10" i="48" s="1"/>
  <c r="F10" i="48"/>
  <c r="E10" i="48"/>
  <c r="U9" i="48"/>
  <c r="I9" i="48" s="1"/>
  <c r="N9" i="48"/>
  <c r="V9" i="48" s="1"/>
  <c r="J9" i="48" s="1"/>
  <c r="E9" i="48"/>
  <c r="U8" i="48"/>
  <c r="I8" i="48" s="1"/>
  <c r="N8" i="48"/>
  <c r="V8" i="48" s="1"/>
  <c r="J8" i="48" s="1"/>
  <c r="E8" i="48"/>
  <c r="U7" i="48"/>
  <c r="I7" i="48" s="1"/>
  <c r="N7" i="48"/>
  <c r="O7" i="48" s="1"/>
  <c r="E7" i="48"/>
  <c r="B19" i="47"/>
  <c r="B18" i="47"/>
  <c r="B15" i="47"/>
  <c r="B14" i="47"/>
  <c r="B10" i="47"/>
  <c r="B9" i="47"/>
  <c r="B6" i="47"/>
  <c r="B5" i="47"/>
  <c r="G3" i="47"/>
  <c r="H3" i="47" s="1"/>
  <c r="I3" i="47" s="1"/>
  <c r="J3" i="47" s="1"/>
  <c r="H152" i="46"/>
  <c r="G152" i="46"/>
  <c r="F152" i="46"/>
  <c r="H149" i="46"/>
  <c r="G149" i="46"/>
  <c r="F149" i="46"/>
  <c r="H131" i="46"/>
  <c r="G131" i="46"/>
  <c r="F131" i="46"/>
  <c r="H130" i="46"/>
  <c r="G130" i="46"/>
  <c r="F130" i="46"/>
  <c r="H129" i="46"/>
  <c r="H132" i="46" s="1"/>
  <c r="H133" i="46" s="1"/>
  <c r="G129" i="46"/>
  <c r="G132" i="46" s="1"/>
  <c r="G133" i="46" s="1"/>
  <c r="F129" i="46"/>
  <c r="F132" i="46" s="1"/>
  <c r="F133" i="46" s="1"/>
  <c r="I128" i="46"/>
  <c r="H128" i="46"/>
  <c r="G128" i="46"/>
  <c r="F128" i="46"/>
  <c r="H120" i="46"/>
  <c r="G120" i="46"/>
  <c r="C20" i="46" s="1"/>
  <c r="G20" i="46" s="1"/>
  <c r="F120" i="46"/>
  <c r="C19" i="46" s="1"/>
  <c r="F19" i="46" s="1"/>
  <c r="B110" i="46"/>
  <c r="J101" i="46"/>
  <c r="I101" i="46"/>
  <c r="H101" i="46"/>
  <c r="G101" i="46"/>
  <c r="F101" i="46"/>
  <c r="B96" i="46"/>
  <c r="I92" i="46"/>
  <c r="B92" i="46"/>
  <c r="H91" i="46"/>
  <c r="B91" i="46"/>
  <c r="H90" i="46"/>
  <c r="G90" i="46"/>
  <c r="B90" i="46"/>
  <c r="H89" i="46"/>
  <c r="H98" i="46" s="1"/>
  <c r="G89" i="46"/>
  <c r="F89" i="46"/>
  <c r="F98" i="46" s="1"/>
  <c r="I88" i="46"/>
  <c r="H88" i="46"/>
  <c r="G88" i="46"/>
  <c r="F88" i="46"/>
  <c r="I75" i="46"/>
  <c r="H75" i="46"/>
  <c r="G75" i="46"/>
  <c r="F75" i="46"/>
  <c r="B71" i="46"/>
  <c r="B70" i="46"/>
  <c r="B109" i="46" s="1"/>
  <c r="B63" i="46"/>
  <c r="B102" i="46" s="1"/>
  <c r="I62" i="46"/>
  <c r="H62" i="46"/>
  <c r="G62" i="46"/>
  <c r="F62" i="46"/>
  <c r="F56" i="46"/>
  <c r="B55" i="46"/>
  <c r="B84" i="46" s="1"/>
  <c r="B54" i="46"/>
  <c r="B83" i="46" s="1"/>
  <c r="B52" i="46"/>
  <c r="H48" i="46"/>
  <c r="H47" i="46"/>
  <c r="G47" i="46"/>
  <c r="I46" i="46"/>
  <c r="H46" i="46"/>
  <c r="G46" i="46"/>
  <c r="F46" i="46"/>
  <c r="B42" i="46"/>
  <c r="B97" i="46" s="1"/>
  <c r="B41" i="46"/>
  <c r="B40" i="46"/>
  <c r="B95" i="46" s="1"/>
  <c r="B39" i="46"/>
  <c r="B94" i="46" s="1"/>
  <c r="B38" i="46"/>
  <c r="B37" i="46"/>
  <c r="B50" i="46" s="1"/>
  <c r="B36" i="46"/>
  <c r="B49" i="46" s="1"/>
  <c r="B35" i="46"/>
  <c r="B48" i="46" s="1"/>
  <c r="B34" i="46"/>
  <c r="B47" i="46" s="1"/>
  <c r="B76" i="46" s="1"/>
  <c r="I33" i="46"/>
  <c r="H33" i="46"/>
  <c r="G33" i="46"/>
  <c r="F33" i="46"/>
  <c r="H27" i="46"/>
  <c r="J93" i="46"/>
  <c r="C22" i="46"/>
  <c r="H21" i="46"/>
  <c r="C21" i="46"/>
  <c r="I90" i="46"/>
  <c r="I16" i="46"/>
  <c r="H16" i="46"/>
  <c r="G16" i="46"/>
  <c r="F16" i="46"/>
  <c r="J3" i="46"/>
  <c r="J46" i="46" s="1"/>
  <c r="G147" i="32"/>
  <c r="H89" i="32"/>
  <c r="G89" i="32"/>
  <c r="D54" i="53" l="1"/>
  <c r="E54" i="53" s="1"/>
  <c r="I32" i="53"/>
  <c r="J211" i="53"/>
  <c r="I211" i="53"/>
  <c r="H211" i="53"/>
  <c r="J225" i="53"/>
  <c r="J25" i="53"/>
  <c r="D21" i="53" s="1"/>
  <c r="F81" i="53"/>
  <c r="F143" i="53"/>
  <c r="G81" i="53"/>
  <c r="G143" i="53"/>
  <c r="G110" i="53"/>
  <c r="G112" i="53" s="1"/>
  <c r="F52" i="53"/>
  <c r="H81" i="53"/>
  <c r="H143" i="53"/>
  <c r="D14" i="53"/>
  <c r="H45" i="53"/>
  <c r="I95" i="53"/>
  <c r="I97" i="53" s="1"/>
  <c r="I81" i="53"/>
  <c r="I143" i="53"/>
  <c r="J143" i="53"/>
  <c r="J81" i="53"/>
  <c r="F108" i="53"/>
  <c r="J197" i="53"/>
  <c r="O29" i="48"/>
  <c r="V29" i="48"/>
  <c r="J29" i="48" s="1"/>
  <c r="W30" i="48"/>
  <c r="K30" i="48" s="1"/>
  <c r="I40" i="48"/>
  <c r="F40" i="48"/>
  <c r="V7" i="48"/>
  <c r="J7" i="48" s="1"/>
  <c r="W10" i="48"/>
  <c r="K10" i="48" s="1"/>
  <c r="G10" i="48"/>
  <c r="E36" i="48"/>
  <c r="V13" i="48"/>
  <c r="J13" i="48" s="1"/>
  <c r="E18" i="48"/>
  <c r="O32" i="48"/>
  <c r="F7" i="48"/>
  <c r="V12" i="48"/>
  <c r="J12" i="48" s="1"/>
  <c r="J21" i="48" s="1"/>
  <c r="E37" i="48"/>
  <c r="E21" i="48"/>
  <c r="D25" i="50"/>
  <c r="F106" i="50"/>
  <c r="F108" i="50" s="1"/>
  <c r="I42" i="50"/>
  <c r="H49" i="50"/>
  <c r="H56" i="50" s="1"/>
  <c r="H57" i="50" s="1"/>
  <c r="G46" i="50"/>
  <c r="G56" i="50" s="1"/>
  <c r="G57" i="50" s="1"/>
  <c r="E90" i="50"/>
  <c r="F89" i="50"/>
  <c r="D27" i="50"/>
  <c r="E27" i="50" s="1"/>
  <c r="F94" i="50"/>
  <c r="F96" i="50" s="1"/>
  <c r="F98" i="50" s="1"/>
  <c r="G78" i="50"/>
  <c r="G80" i="50" s="1"/>
  <c r="F26" i="50"/>
  <c r="J14" i="50"/>
  <c r="J19" i="50" s="1"/>
  <c r="D15" i="50" s="1"/>
  <c r="C9" i="50"/>
  <c r="D28" i="50" s="1"/>
  <c r="E28" i="50" s="1"/>
  <c r="F28" i="50" s="1"/>
  <c r="G28" i="50" s="1"/>
  <c r="H28" i="50" s="1"/>
  <c r="I28" i="50" s="1"/>
  <c r="J28" i="50" s="1"/>
  <c r="C37" i="50"/>
  <c r="F30" i="50"/>
  <c r="G82" i="50"/>
  <c r="G85" i="50" s="1"/>
  <c r="W7" i="48"/>
  <c r="K7" i="48" s="1"/>
  <c r="G7" i="48"/>
  <c r="I17" i="48"/>
  <c r="I18" i="48"/>
  <c r="I36" i="48"/>
  <c r="I37" i="48"/>
  <c r="J17" i="48"/>
  <c r="I21" i="48"/>
  <c r="V33" i="48"/>
  <c r="J33" i="48" s="1"/>
  <c r="J40" i="48" s="1"/>
  <c r="O9" i="48"/>
  <c r="O14" i="48"/>
  <c r="F9" i="48"/>
  <c r="O11" i="48"/>
  <c r="G12" i="48"/>
  <c r="O31" i="48"/>
  <c r="O8" i="48"/>
  <c r="W12" i="48"/>
  <c r="K12" i="48" s="1"/>
  <c r="F14" i="48"/>
  <c r="G29" i="48"/>
  <c r="F11" i="48"/>
  <c r="F21" i="48" s="1"/>
  <c r="O13" i="48"/>
  <c r="W29" i="48"/>
  <c r="K29" i="48" s="1"/>
  <c r="F31" i="48"/>
  <c r="F36" i="48" s="1"/>
  <c r="O33" i="48"/>
  <c r="J37" i="48"/>
  <c r="E17" i="48"/>
  <c r="F8" i="48"/>
  <c r="G48" i="46"/>
  <c r="F27" i="46"/>
  <c r="L95" i="46"/>
  <c r="B66" i="46"/>
  <c r="B105" i="46" s="1"/>
  <c r="B79" i="46"/>
  <c r="H49" i="46"/>
  <c r="I91" i="46"/>
  <c r="H150" i="46"/>
  <c r="B68" i="46"/>
  <c r="B107" i="46" s="1"/>
  <c r="B81" i="46"/>
  <c r="B51" i="46"/>
  <c r="B93" i="46"/>
  <c r="B89" i="46"/>
  <c r="B78" i="46"/>
  <c r="B65" i="46"/>
  <c r="B104" i="46" s="1"/>
  <c r="I89" i="46"/>
  <c r="B64" i="46"/>
  <c r="B103" i="46" s="1"/>
  <c r="B77" i="46"/>
  <c r="J75" i="46"/>
  <c r="J128" i="46"/>
  <c r="J62" i="46"/>
  <c r="J16" i="46"/>
  <c r="J88" i="46"/>
  <c r="J33" i="46"/>
  <c r="K3" i="46"/>
  <c r="G27" i="46"/>
  <c r="H56" i="46"/>
  <c r="H147" i="46" s="1"/>
  <c r="H148" i="46" s="1"/>
  <c r="G98" i="46"/>
  <c r="B53" i="46"/>
  <c r="J233" i="39"/>
  <c r="I233" i="39"/>
  <c r="H233" i="39"/>
  <c r="G233" i="39"/>
  <c r="F233" i="39"/>
  <c r="G218" i="39"/>
  <c r="H218" i="39" s="1"/>
  <c r="I218" i="39" s="1"/>
  <c r="J218" i="39" s="1"/>
  <c r="C75" i="42"/>
  <c r="C70" i="42"/>
  <c r="C71" i="42" s="1"/>
  <c r="AC33" i="42"/>
  <c r="AC32" i="42"/>
  <c r="AC31" i="42"/>
  <c r="AC30" i="42"/>
  <c r="AC29" i="42"/>
  <c r="AC14" i="42"/>
  <c r="AC13" i="42"/>
  <c r="AC12" i="42"/>
  <c r="AC11" i="42"/>
  <c r="AC10" i="42"/>
  <c r="AC9" i="42"/>
  <c r="AC8" i="42"/>
  <c r="AC7" i="42"/>
  <c r="J214" i="39"/>
  <c r="G204" i="39"/>
  <c r="H204" i="39" s="1"/>
  <c r="I204" i="39" s="1"/>
  <c r="J204" i="39" s="1"/>
  <c r="H164" i="39"/>
  <c r="H161" i="39"/>
  <c r="G8" i="39"/>
  <c r="H144" i="32"/>
  <c r="G144" i="32"/>
  <c r="H142" i="32"/>
  <c r="G142" i="32"/>
  <c r="M152" i="32"/>
  <c r="L152" i="32"/>
  <c r="K152" i="32"/>
  <c r="J152" i="32"/>
  <c r="I152" i="32"/>
  <c r="M151" i="32"/>
  <c r="L151" i="32"/>
  <c r="K151" i="32"/>
  <c r="J151" i="32"/>
  <c r="I151" i="32"/>
  <c r="F149" i="32"/>
  <c r="M131" i="32"/>
  <c r="L131" i="32"/>
  <c r="K131" i="32"/>
  <c r="J131" i="32"/>
  <c r="I131" i="32"/>
  <c r="M130" i="32"/>
  <c r="L130" i="32"/>
  <c r="K130" i="32"/>
  <c r="J130" i="32"/>
  <c r="I130" i="32"/>
  <c r="M129" i="32"/>
  <c r="L129" i="32"/>
  <c r="K129" i="32"/>
  <c r="K132" i="32" s="1"/>
  <c r="J129" i="32"/>
  <c r="J132" i="32" s="1"/>
  <c r="G15" i="14" s="1"/>
  <c r="G13" i="14" s="1"/>
  <c r="I129" i="32"/>
  <c r="H104" i="32"/>
  <c r="H103" i="32"/>
  <c r="G103" i="32"/>
  <c r="H102" i="32"/>
  <c r="G102" i="32"/>
  <c r="F102" i="32"/>
  <c r="H91" i="32"/>
  <c r="H90" i="32"/>
  <c r="G90" i="32"/>
  <c r="F89" i="32"/>
  <c r="F98" i="32" s="1"/>
  <c r="F7" i="32" s="1"/>
  <c r="F85" i="32"/>
  <c r="F6" i="32" s="1"/>
  <c r="J48" i="32"/>
  <c r="M120" i="32"/>
  <c r="C26" i="32" s="1"/>
  <c r="M26" i="32" s="1"/>
  <c r="M110" i="32" s="1"/>
  <c r="M112" i="32" s="1"/>
  <c r="M5" i="32" s="1"/>
  <c r="L120" i="32"/>
  <c r="C25" i="32" s="1"/>
  <c r="L25" i="32" s="1"/>
  <c r="M25" i="32" s="1"/>
  <c r="M96" i="32" s="1"/>
  <c r="K120" i="32"/>
  <c r="K149" i="32" s="1"/>
  <c r="J120" i="32"/>
  <c r="C23" i="32" s="1"/>
  <c r="J23" i="32" s="1"/>
  <c r="K23" i="32" s="1"/>
  <c r="L23" i="32" s="1"/>
  <c r="M23" i="32" s="1"/>
  <c r="M107" i="32" s="1"/>
  <c r="I120" i="32"/>
  <c r="C22" i="32" s="1"/>
  <c r="I22" i="32" s="1"/>
  <c r="I106" i="32" s="1"/>
  <c r="I112" i="32" s="1"/>
  <c r="I5" i="32" s="1"/>
  <c r="I20" i="32"/>
  <c r="J20" i="32" s="1"/>
  <c r="K20" i="32" s="1"/>
  <c r="L20" i="32" s="1"/>
  <c r="M20" i="32" s="1"/>
  <c r="M104" i="32" s="1"/>
  <c r="I19" i="32"/>
  <c r="J19" i="32" s="1"/>
  <c r="K19" i="32" s="1"/>
  <c r="L19" i="32" s="1"/>
  <c r="M19" i="32" s="1"/>
  <c r="M103" i="32" s="1"/>
  <c r="I18" i="32"/>
  <c r="I102" i="32" s="1"/>
  <c r="H35" i="32"/>
  <c r="H34" i="32"/>
  <c r="G34" i="32"/>
  <c r="E13" i="14"/>
  <c r="E14" i="14" s="1"/>
  <c r="D18" i="14" s="1"/>
  <c r="J18" i="14"/>
  <c r="I18" i="14"/>
  <c r="H18" i="14"/>
  <c r="G18" i="14"/>
  <c r="F18" i="14"/>
  <c r="B19" i="14"/>
  <c r="B18" i="14"/>
  <c r="B15" i="14"/>
  <c r="B14" i="14"/>
  <c r="E4" i="14"/>
  <c r="J88" i="39"/>
  <c r="I88" i="39"/>
  <c r="H88" i="39"/>
  <c r="G88" i="39"/>
  <c r="F88" i="39"/>
  <c r="F130" i="39"/>
  <c r="J20" i="39"/>
  <c r="H35" i="39" s="1"/>
  <c r="E34" i="39"/>
  <c r="E37" i="39" s="1"/>
  <c r="F36" i="39" s="1"/>
  <c r="G43" i="39"/>
  <c r="H43" i="39" s="1"/>
  <c r="I43" i="39" s="1"/>
  <c r="J43" i="39" s="1"/>
  <c r="E44" i="39"/>
  <c r="D44" i="39" s="1"/>
  <c r="E45" i="39"/>
  <c r="E97" i="39" s="1"/>
  <c r="F95" i="39" s="1"/>
  <c r="F97" i="39" s="1"/>
  <c r="F45" i="39" s="1"/>
  <c r="D8" i="39"/>
  <c r="C9" i="39"/>
  <c r="C5" i="39"/>
  <c r="C7" i="39" s="1"/>
  <c r="D7" i="39" s="1"/>
  <c r="D12" i="39" s="1"/>
  <c r="J22" i="39" s="1"/>
  <c r="C8" i="39"/>
  <c r="C10" i="39"/>
  <c r="J21" i="39" s="1"/>
  <c r="H152" i="32"/>
  <c r="G152" i="32"/>
  <c r="F152" i="32"/>
  <c r="H48" i="32"/>
  <c r="H47" i="32"/>
  <c r="G47" i="32"/>
  <c r="V33" i="42"/>
  <c r="I33" i="42" s="1"/>
  <c r="N33" i="42"/>
  <c r="O33" i="42" s="1"/>
  <c r="T33" i="42" s="1"/>
  <c r="E33" i="42"/>
  <c r="V32" i="42"/>
  <c r="I32" i="42" s="1"/>
  <c r="N32" i="42"/>
  <c r="O32" i="42" s="1"/>
  <c r="X32" i="42" s="1"/>
  <c r="K32" i="42" s="1"/>
  <c r="E32" i="42"/>
  <c r="V31" i="42"/>
  <c r="I31" i="42" s="1"/>
  <c r="N31" i="42"/>
  <c r="W31" i="42" s="1"/>
  <c r="J31" i="42" s="1"/>
  <c r="E31" i="42"/>
  <c r="V30" i="42"/>
  <c r="I30" i="42" s="1"/>
  <c r="I40" i="42" s="1"/>
  <c r="N30" i="42"/>
  <c r="O30" i="42" s="1"/>
  <c r="T30" i="42" s="1"/>
  <c r="E30" i="42"/>
  <c r="V29" i="42"/>
  <c r="I29" i="42" s="1"/>
  <c r="N29" i="42"/>
  <c r="O29" i="42" s="1"/>
  <c r="T29" i="42" s="1"/>
  <c r="E29" i="42"/>
  <c r="N14" i="42"/>
  <c r="O14" i="42" s="1"/>
  <c r="T14" i="42" s="1"/>
  <c r="N13" i="42"/>
  <c r="W13" i="42" s="1"/>
  <c r="J13" i="42" s="1"/>
  <c r="N12" i="42"/>
  <c r="O12" i="42" s="1"/>
  <c r="T12" i="42" s="1"/>
  <c r="N11" i="42"/>
  <c r="F11" i="42" s="1"/>
  <c r="N10" i="42"/>
  <c r="O10" i="42" s="1"/>
  <c r="T10" i="42" s="1"/>
  <c r="N9" i="42"/>
  <c r="W9" i="42" s="1"/>
  <c r="J9" i="42" s="1"/>
  <c r="N8" i="42"/>
  <c r="O8" i="42" s="1"/>
  <c r="T8" i="42" s="1"/>
  <c r="N7" i="42"/>
  <c r="O7" i="42" s="1"/>
  <c r="X7" i="42" s="1"/>
  <c r="K7" i="42" s="1"/>
  <c r="V14" i="42"/>
  <c r="I14" i="42" s="1"/>
  <c r="V13" i="42"/>
  <c r="I13" i="42" s="1"/>
  <c r="V12" i="42"/>
  <c r="I12" i="42" s="1"/>
  <c r="V11" i="42"/>
  <c r="I11" i="42" s="1"/>
  <c r="V10" i="42"/>
  <c r="I10" i="42" s="1"/>
  <c r="V9" i="42"/>
  <c r="I9" i="42" s="1"/>
  <c r="V7" i="42"/>
  <c r="I7" i="42" s="1"/>
  <c r="V8" i="42"/>
  <c r="I8" i="42" s="1"/>
  <c r="E14" i="42"/>
  <c r="E13" i="42"/>
  <c r="E12" i="42"/>
  <c r="E11" i="42"/>
  <c r="E21" i="42" s="1"/>
  <c r="E10" i="42"/>
  <c r="E9" i="42"/>
  <c r="E8" i="42"/>
  <c r="E7" i="42"/>
  <c r="G260" i="39"/>
  <c r="H260" i="39" s="1"/>
  <c r="I260" i="39" s="1"/>
  <c r="J260" i="39" s="1"/>
  <c r="G190" i="39"/>
  <c r="H190" i="39" s="1"/>
  <c r="I190" i="39" s="1"/>
  <c r="J190" i="39" s="1"/>
  <c r="J145" i="39"/>
  <c r="I145" i="39"/>
  <c r="H145" i="39"/>
  <c r="G145" i="39"/>
  <c r="F145" i="39"/>
  <c r="G140" i="39"/>
  <c r="H140" i="39" s="1"/>
  <c r="I140" i="39" s="1"/>
  <c r="J140" i="39" s="1"/>
  <c r="J104" i="39"/>
  <c r="I104" i="39"/>
  <c r="H104" i="39"/>
  <c r="G104" i="39"/>
  <c r="F104" i="39"/>
  <c r="G94" i="39"/>
  <c r="H94" i="39" s="1"/>
  <c r="I94" i="39" s="1"/>
  <c r="J94" i="39" s="1"/>
  <c r="E73" i="39"/>
  <c r="E74" i="39" s="1"/>
  <c r="D73" i="39"/>
  <c r="D74" i="39" s="1"/>
  <c r="C73" i="39"/>
  <c r="C74" i="39" s="1"/>
  <c r="E71" i="39"/>
  <c r="D71" i="39"/>
  <c r="C71" i="39"/>
  <c r="E68" i="39"/>
  <c r="D68" i="39"/>
  <c r="C68" i="39"/>
  <c r="E65" i="39"/>
  <c r="D65" i="39"/>
  <c r="G151" i="46" s="1"/>
  <c r="C65" i="39"/>
  <c r="F151" i="46" s="1"/>
  <c r="E62" i="39"/>
  <c r="D62" i="39"/>
  <c r="G60" i="39"/>
  <c r="H60" i="39" s="1"/>
  <c r="I60" i="39" s="1"/>
  <c r="J60" i="39" s="1"/>
  <c r="D60" i="39"/>
  <c r="C60" i="39" s="1"/>
  <c r="C55" i="39"/>
  <c r="E52" i="39"/>
  <c r="E112" i="39" s="1"/>
  <c r="F110" i="39" s="1"/>
  <c r="F112" i="39" s="1"/>
  <c r="C50" i="39"/>
  <c r="E49" i="39"/>
  <c r="E102" i="39" s="1"/>
  <c r="F99" i="39" s="1"/>
  <c r="E48" i="39"/>
  <c r="G130" i="32"/>
  <c r="F130" i="32"/>
  <c r="H130" i="32"/>
  <c r="H131" i="32"/>
  <c r="H129" i="32"/>
  <c r="G131" i="32"/>
  <c r="G129" i="32"/>
  <c r="F131" i="32"/>
  <c r="F129" i="32"/>
  <c r="H120" i="32"/>
  <c r="C21" i="32" s="1"/>
  <c r="G120" i="32"/>
  <c r="C20" i="32" s="1"/>
  <c r="F120" i="32"/>
  <c r="C19" i="32" s="1"/>
  <c r="F19" i="32" s="1"/>
  <c r="I128" i="32"/>
  <c r="H128" i="32"/>
  <c r="G128" i="32"/>
  <c r="F128" i="32"/>
  <c r="I101" i="32"/>
  <c r="H101" i="32"/>
  <c r="G101" i="32"/>
  <c r="F101" i="32"/>
  <c r="I88" i="32"/>
  <c r="H88" i="32"/>
  <c r="G88" i="32"/>
  <c r="F88" i="32"/>
  <c r="I75" i="32"/>
  <c r="H75" i="32"/>
  <c r="G75" i="32"/>
  <c r="F75" i="32"/>
  <c r="I62" i="32"/>
  <c r="H62" i="32"/>
  <c r="G62" i="32"/>
  <c r="F62" i="32"/>
  <c r="F56" i="32"/>
  <c r="I46" i="32"/>
  <c r="H46" i="32"/>
  <c r="G46" i="32"/>
  <c r="F46" i="32"/>
  <c r="B42" i="32"/>
  <c r="B97" i="32" s="1"/>
  <c r="B41" i="32"/>
  <c r="B54" i="32" s="1"/>
  <c r="B83" i="32" s="1"/>
  <c r="B40" i="32"/>
  <c r="B95" i="32" s="1"/>
  <c r="B39" i="32"/>
  <c r="B38" i="32"/>
  <c r="B93" i="32" s="1"/>
  <c r="B37" i="32"/>
  <c r="B92" i="32" s="1"/>
  <c r="B36" i="32"/>
  <c r="B91" i="32" s="1"/>
  <c r="B35" i="32"/>
  <c r="B90" i="32" s="1"/>
  <c r="B34" i="32"/>
  <c r="B89" i="32" s="1"/>
  <c r="I33" i="32"/>
  <c r="H33" i="32"/>
  <c r="G33" i="32"/>
  <c r="F33" i="32"/>
  <c r="I16" i="32"/>
  <c r="H16" i="32"/>
  <c r="G16" i="32"/>
  <c r="F16" i="32"/>
  <c r="J3" i="32"/>
  <c r="J62" i="32" s="1"/>
  <c r="G52" i="53" l="1"/>
  <c r="H110" i="53"/>
  <c r="H112" i="53" s="1"/>
  <c r="G106" i="53"/>
  <c r="G108" i="53" s="1"/>
  <c r="F46" i="53"/>
  <c r="I45" i="53"/>
  <c r="J95" i="53"/>
  <c r="J97" i="53" s="1"/>
  <c r="J45" i="53" s="1"/>
  <c r="G67" i="53"/>
  <c r="G114" i="53"/>
  <c r="E261" i="53"/>
  <c r="J228" i="53"/>
  <c r="E262" i="53"/>
  <c r="D25" i="53"/>
  <c r="E55" i="53"/>
  <c r="E56" i="53" s="1"/>
  <c r="H151" i="32"/>
  <c r="H151" i="46"/>
  <c r="J18" i="48"/>
  <c r="F17" i="48"/>
  <c r="W32" i="48"/>
  <c r="K32" i="48" s="1"/>
  <c r="G32" i="48"/>
  <c r="I98" i="46"/>
  <c r="J42" i="50"/>
  <c r="I53" i="50"/>
  <c r="I83" i="50"/>
  <c r="I115" i="50" s="1"/>
  <c r="I46" i="50"/>
  <c r="I59" i="50"/>
  <c r="I84" i="50" s="1"/>
  <c r="I113" i="50" s="1"/>
  <c r="I49" i="50"/>
  <c r="E31" i="50"/>
  <c r="E37" i="50" s="1"/>
  <c r="D19" i="50"/>
  <c r="D35" i="50"/>
  <c r="E35" i="50" s="1"/>
  <c r="E36" i="50" s="1"/>
  <c r="H78" i="50"/>
  <c r="H80" i="50" s="1"/>
  <c r="G26" i="50"/>
  <c r="H82" i="50"/>
  <c r="H85" i="50" s="1"/>
  <c r="G30" i="50"/>
  <c r="F91" i="50"/>
  <c r="G98" i="50"/>
  <c r="G94" i="50"/>
  <c r="G96" i="50" s="1"/>
  <c r="F33" i="50"/>
  <c r="G90" i="50"/>
  <c r="F90" i="50"/>
  <c r="H90" i="50"/>
  <c r="J90" i="50"/>
  <c r="I90" i="50"/>
  <c r="W9" i="48"/>
  <c r="K9" i="48" s="1"/>
  <c r="G9" i="48"/>
  <c r="W33" i="48"/>
  <c r="K33" i="48" s="1"/>
  <c r="K40" i="48" s="1"/>
  <c r="G33" i="48"/>
  <c r="G40" i="48" s="1"/>
  <c r="G8" i="48"/>
  <c r="W8" i="48"/>
  <c r="K8" i="48" s="1"/>
  <c r="W31" i="48"/>
  <c r="K31" i="48" s="1"/>
  <c r="G31" i="48"/>
  <c r="F37" i="48"/>
  <c r="J36" i="48"/>
  <c r="F18" i="48"/>
  <c r="W13" i="48"/>
  <c r="K13" i="48" s="1"/>
  <c r="G13" i="48"/>
  <c r="G17" i="48" s="1"/>
  <c r="W11" i="48"/>
  <c r="K11" i="48" s="1"/>
  <c r="K21" i="48" s="1"/>
  <c r="G11" i="48"/>
  <c r="G21" i="48" s="1"/>
  <c r="W14" i="48"/>
  <c r="K14" i="48" s="1"/>
  <c r="G14" i="48"/>
  <c r="F72" i="46"/>
  <c r="K93" i="46"/>
  <c r="J91" i="46"/>
  <c r="M95" i="46"/>
  <c r="K94" i="46"/>
  <c r="B67" i="46"/>
  <c r="B106" i="46" s="1"/>
  <c r="B80" i="46"/>
  <c r="G150" i="46"/>
  <c r="H72" i="46"/>
  <c r="J92" i="46"/>
  <c r="G56" i="46"/>
  <c r="G147" i="46" s="1"/>
  <c r="G148" i="46" s="1"/>
  <c r="J90" i="46"/>
  <c r="B69" i="46"/>
  <c r="B108" i="46" s="1"/>
  <c r="B82" i="46"/>
  <c r="K128" i="46"/>
  <c r="K62" i="46"/>
  <c r="K16" i="46"/>
  <c r="K88" i="46"/>
  <c r="K33" i="46"/>
  <c r="K46" i="46"/>
  <c r="K75" i="46"/>
  <c r="L3" i="46"/>
  <c r="K101" i="46"/>
  <c r="J89" i="46"/>
  <c r="G67" i="39"/>
  <c r="E40" i="42"/>
  <c r="I21" i="42"/>
  <c r="T32" i="42"/>
  <c r="T7" i="42"/>
  <c r="F8" i="42"/>
  <c r="W14" i="42"/>
  <c r="J14" i="42" s="1"/>
  <c r="C24" i="32"/>
  <c r="K24" i="32" s="1"/>
  <c r="L24" i="32" s="1"/>
  <c r="M24" i="32" s="1"/>
  <c r="M95" i="32" s="1"/>
  <c r="K133" i="32"/>
  <c r="K137" i="32" s="1"/>
  <c r="L149" i="32"/>
  <c r="M149" i="32"/>
  <c r="M150" i="32"/>
  <c r="G149" i="32"/>
  <c r="H149" i="32"/>
  <c r="I149" i="32"/>
  <c r="I150" i="32"/>
  <c r="J149" i="32"/>
  <c r="L132" i="32"/>
  <c r="I15" i="14" s="1"/>
  <c r="I13" i="14" s="1"/>
  <c r="I132" i="32"/>
  <c r="J133" i="32"/>
  <c r="H15" i="14"/>
  <c r="H13" i="14" s="1"/>
  <c r="M132" i="32"/>
  <c r="M52" i="32"/>
  <c r="K90" i="32"/>
  <c r="I91" i="32"/>
  <c r="M91" i="32"/>
  <c r="M94" i="32"/>
  <c r="F103" i="32"/>
  <c r="F112" i="32" s="1"/>
  <c r="J103" i="32"/>
  <c r="K104" i="32"/>
  <c r="L107" i="32"/>
  <c r="L90" i="32"/>
  <c r="J91" i="32"/>
  <c r="K103" i="32"/>
  <c r="L104" i="32"/>
  <c r="L109" i="32"/>
  <c r="L112" i="32" s="1"/>
  <c r="K48" i="32"/>
  <c r="I90" i="32"/>
  <c r="M90" i="32"/>
  <c r="K91" i="32"/>
  <c r="K94" i="32"/>
  <c r="L103" i="32"/>
  <c r="I104" i="32"/>
  <c r="J107" i="32"/>
  <c r="J112" i="32" s="1"/>
  <c r="M109" i="32"/>
  <c r="J49" i="32"/>
  <c r="I89" i="32"/>
  <c r="J90" i="32"/>
  <c r="L91" i="32"/>
  <c r="L94" i="32"/>
  <c r="I103" i="32"/>
  <c r="J104" i="32"/>
  <c r="K107" i="32"/>
  <c r="J22" i="32"/>
  <c r="G35" i="32"/>
  <c r="J18" i="32"/>
  <c r="I47" i="32"/>
  <c r="L48" i="32"/>
  <c r="K49" i="32"/>
  <c r="K52" i="32"/>
  <c r="I48" i="32"/>
  <c r="M48" i="32"/>
  <c r="L49" i="32"/>
  <c r="L52" i="32"/>
  <c r="M54" i="32"/>
  <c r="I49" i="32"/>
  <c r="M49" i="32"/>
  <c r="E15" i="14"/>
  <c r="D20" i="39"/>
  <c r="F37" i="39"/>
  <c r="F32" i="39"/>
  <c r="F33" i="39"/>
  <c r="F34" i="39"/>
  <c r="F35" i="39"/>
  <c r="C11" i="39"/>
  <c r="C56" i="39"/>
  <c r="F151" i="32"/>
  <c r="G151" i="32"/>
  <c r="G139" i="32" s="1"/>
  <c r="F7" i="42"/>
  <c r="W32" i="42"/>
  <c r="J32" i="42" s="1"/>
  <c r="G48" i="32"/>
  <c r="G85" i="32" s="1"/>
  <c r="G6" i="32" s="1"/>
  <c r="F9" i="42"/>
  <c r="F12" i="42"/>
  <c r="F21" i="42" s="1"/>
  <c r="W8" i="42"/>
  <c r="J8" i="42" s="1"/>
  <c r="W12" i="42"/>
  <c r="J12" i="42" s="1"/>
  <c r="F30" i="42"/>
  <c r="W30" i="42"/>
  <c r="J30" i="42" s="1"/>
  <c r="F32" i="42"/>
  <c r="F13" i="42"/>
  <c r="W7" i="42"/>
  <c r="J7" i="42" s="1"/>
  <c r="W10" i="42"/>
  <c r="J10" i="42" s="1"/>
  <c r="E37" i="42"/>
  <c r="F29" i="42"/>
  <c r="W29" i="42"/>
  <c r="J29" i="42" s="1"/>
  <c r="F33" i="42"/>
  <c r="W33" i="42"/>
  <c r="J33" i="42" s="1"/>
  <c r="I36" i="42"/>
  <c r="I37" i="42"/>
  <c r="X30" i="42"/>
  <c r="K30" i="42" s="1"/>
  <c r="G30" i="42"/>
  <c r="X29" i="42"/>
  <c r="K29" i="42" s="1"/>
  <c r="G29" i="42"/>
  <c r="X33" i="42"/>
  <c r="K33" i="42" s="1"/>
  <c r="G33" i="42"/>
  <c r="E36" i="42"/>
  <c r="O31" i="42"/>
  <c r="T31" i="42" s="1"/>
  <c r="F31" i="42"/>
  <c r="G32" i="42"/>
  <c r="E17" i="42"/>
  <c r="G8" i="42"/>
  <c r="X8" i="42"/>
  <c r="K8" i="42" s="1"/>
  <c r="G12" i="42"/>
  <c r="X12" i="42"/>
  <c r="K12" i="42" s="1"/>
  <c r="X10" i="42"/>
  <c r="K10" i="42" s="1"/>
  <c r="G10" i="42"/>
  <c r="X14" i="42"/>
  <c r="K14" i="42" s="1"/>
  <c r="G14" i="42"/>
  <c r="W11" i="42"/>
  <c r="J11" i="42" s="1"/>
  <c r="O9" i="42"/>
  <c r="T9" i="42" s="1"/>
  <c r="O11" i="42"/>
  <c r="T11" i="42" s="1"/>
  <c r="O13" i="42"/>
  <c r="T13" i="42" s="1"/>
  <c r="G7" i="42"/>
  <c r="F10" i="42"/>
  <c r="F14" i="42"/>
  <c r="E18" i="42"/>
  <c r="I17" i="42"/>
  <c r="I18" i="42"/>
  <c r="G110" i="39"/>
  <c r="G112" i="39" s="1"/>
  <c r="G114" i="39" s="1"/>
  <c r="F52" i="39"/>
  <c r="G95" i="39"/>
  <c r="G97" i="39" s="1"/>
  <c r="G45" i="39" s="1"/>
  <c r="F114" i="39"/>
  <c r="H132" i="32"/>
  <c r="H133" i="32" s="1"/>
  <c r="G132" i="32"/>
  <c r="G133" i="32" s="1"/>
  <c r="F132" i="32"/>
  <c r="F133" i="32" s="1"/>
  <c r="B96" i="32"/>
  <c r="B47" i="32"/>
  <c r="B76" i="32" s="1"/>
  <c r="B51" i="32"/>
  <c r="B48" i="32"/>
  <c r="B64" i="32" s="1"/>
  <c r="B103" i="32" s="1"/>
  <c r="K3" i="32"/>
  <c r="G98" i="32"/>
  <c r="G7" i="32" s="1"/>
  <c r="F27" i="32"/>
  <c r="H21" i="32"/>
  <c r="H105" i="32" s="1"/>
  <c r="H112" i="32" s="1"/>
  <c r="J16" i="32"/>
  <c r="J128" i="32"/>
  <c r="J101" i="32"/>
  <c r="J88" i="32"/>
  <c r="J33" i="32"/>
  <c r="J75" i="32"/>
  <c r="B52" i="32"/>
  <c r="B94" i="32"/>
  <c r="J46" i="32"/>
  <c r="B49" i="32"/>
  <c r="B53" i="32"/>
  <c r="B50" i="32"/>
  <c r="B55" i="32"/>
  <c r="B70" i="32"/>
  <c r="B109" i="32" s="1"/>
  <c r="I67" i="53" l="1"/>
  <c r="E263" i="53"/>
  <c r="I114" i="53"/>
  <c r="H52" i="53"/>
  <c r="I110" i="53"/>
  <c r="I112" i="53" s="1"/>
  <c r="J246" i="53"/>
  <c r="J230" i="53"/>
  <c r="J239" i="53" s="1"/>
  <c r="H114" i="53"/>
  <c r="H67" i="53"/>
  <c r="H34" i="53"/>
  <c r="H106" i="53"/>
  <c r="H108" i="53" s="1"/>
  <c r="G46" i="53"/>
  <c r="K17" i="48"/>
  <c r="G18" i="48"/>
  <c r="J98" i="46"/>
  <c r="I56" i="50"/>
  <c r="I57" i="50" s="1"/>
  <c r="J46" i="50"/>
  <c r="J49" i="50"/>
  <c r="J59" i="50"/>
  <c r="J84" i="50" s="1"/>
  <c r="J113" i="50" s="1"/>
  <c r="J83" i="50"/>
  <c r="J115" i="50" s="1"/>
  <c r="J53" i="50"/>
  <c r="I114" i="50"/>
  <c r="I64" i="50"/>
  <c r="I65" i="50" s="1"/>
  <c r="G89" i="50"/>
  <c r="G91" i="50" s="1"/>
  <c r="F27" i="50"/>
  <c r="J114" i="50"/>
  <c r="J64" i="50"/>
  <c r="J65" i="50" s="1"/>
  <c r="I82" i="50"/>
  <c r="I85" i="50" s="1"/>
  <c r="H30" i="50"/>
  <c r="F64" i="50"/>
  <c r="F65" i="50" s="1"/>
  <c r="F114" i="50"/>
  <c r="G64" i="50"/>
  <c r="G65" i="50" s="1"/>
  <c r="G114" i="50"/>
  <c r="I78" i="50"/>
  <c r="I80" i="50" s="1"/>
  <c r="H26" i="50"/>
  <c r="H114" i="50"/>
  <c r="H64" i="50"/>
  <c r="H65" i="50" s="1"/>
  <c r="H94" i="50"/>
  <c r="H96" i="50" s="1"/>
  <c r="H98" i="50" s="1"/>
  <c r="G33" i="50"/>
  <c r="K18" i="48"/>
  <c r="K36" i="48"/>
  <c r="K37" i="48"/>
  <c r="G37" i="48"/>
  <c r="G36" i="48"/>
  <c r="K91" i="46"/>
  <c r="L101" i="46"/>
  <c r="L88" i="46"/>
  <c r="L33" i="46"/>
  <c r="M3" i="46"/>
  <c r="L46" i="46"/>
  <c r="L62" i="46"/>
  <c r="L128" i="46"/>
  <c r="L75" i="46"/>
  <c r="L16" i="46"/>
  <c r="F8" i="46"/>
  <c r="F150" i="46"/>
  <c r="K90" i="46"/>
  <c r="K92" i="46"/>
  <c r="M96" i="46"/>
  <c r="G72" i="46"/>
  <c r="L93" i="46"/>
  <c r="K89" i="46"/>
  <c r="L94" i="46"/>
  <c r="I67" i="39"/>
  <c r="H67" i="39"/>
  <c r="J40" i="42"/>
  <c r="J21" i="42"/>
  <c r="G40" i="42"/>
  <c r="K40" i="42"/>
  <c r="F40" i="42"/>
  <c r="I144" i="32"/>
  <c r="K108" i="32"/>
  <c r="K112" i="32" s="1"/>
  <c r="K5" i="32" s="1"/>
  <c r="L53" i="32"/>
  <c r="L95" i="32"/>
  <c r="L133" i="32"/>
  <c r="L139" i="32" s="1"/>
  <c r="M53" i="32"/>
  <c r="L108" i="32"/>
  <c r="M108" i="32"/>
  <c r="M144" i="32"/>
  <c r="K139" i="32"/>
  <c r="J5" i="32"/>
  <c r="J150" i="32"/>
  <c r="J144" i="32" s="1"/>
  <c r="H137" i="32"/>
  <c r="H139" i="32"/>
  <c r="F5" i="32"/>
  <c r="F150" i="32"/>
  <c r="K150" i="32"/>
  <c r="K144" i="32" s="1"/>
  <c r="H5" i="32"/>
  <c r="H150" i="32"/>
  <c r="L5" i="32"/>
  <c r="L150" i="32"/>
  <c r="L144" i="32" s="1"/>
  <c r="G137" i="32"/>
  <c r="J137" i="32"/>
  <c r="J139" i="32"/>
  <c r="M133" i="32"/>
  <c r="J15" i="14"/>
  <c r="D19" i="14" s="1"/>
  <c r="F15" i="14"/>
  <c r="F13" i="14" s="1"/>
  <c r="I133" i="32"/>
  <c r="J47" i="32"/>
  <c r="J102" i="32"/>
  <c r="J89" i="32"/>
  <c r="J106" i="32"/>
  <c r="J93" i="32"/>
  <c r="J51" i="32"/>
  <c r="K18" i="32"/>
  <c r="K22" i="32"/>
  <c r="I21" i="32"/>
  <c r="J19" i="39"/>
  <c r="D35" i="39"/>
  <c r="E47" i="39"/>
  <c r="J18" i="42"/>
  <c r="F37" i="42"/>
  <c r="J36" i="42"/>
  <c r="F36" i="42"/>
  <c r="J37" i="42"/>
  <c r="J17" i="42"/>
  <c r="X31" i="42"/>
  <c r="K31" i="42" s="1"/>
  <c r="K37" i="42" s="1"/>
  <c r="G31" i="42"/>
  <c r="G36" i="42" s="1"/>
  <c r="G37" i="42"/>
  <c r="F17" i="42"/>
  <c r="F18" i="42"/>
  <c r="G13" i="42"/>
  <c r="X13" i="42"/>
  <c r="K13" i="42" s="1"/>
  <c r="G11" i="42"/>
  <c r="G21" i="42" s="1"/>
  <c r="X11" i="42"/>
  <c r="K11" i="42" s="1"/>
  <c r="K21" i="42" s="1"/>
  <c r="G9" i="42"/>
  <c r="X9" i="42"/>
  <c r="K9" i="42" s="1"/>
  <c r="H95" i="39"/>
  <c r="H97" i="39" s="1"/>
  <c r="H45" i="39" s="1"/>
  <c r="G52" i="39"/>
  <c r="H110" i="39"/>
  <c r="H112" i="39" s="1"/>
  <c r="F111" i="32"/>
  <c r="G20" i="32"/>
  <c r="G104" i="32" s="1"/>
  <c r="G112" i="32" s="1"/>
  <c r="B63" i="32"/>
  <c r="B102" i="32" s="1"/>
  <c r="B77" i="32"/>
  <c r="G56" i="32"/>
  <c r="G148" i="32" s="1"/>
  <c r="G136" i="32" s="1"/>
  <c r="G138" i="32" s="1"/>
  <c r="B80" i="32"/>
  <c r="B67" i="32"/>
  <c r="B106" i="32" s="1"/>
  <c r="B65" i="32"/>
  <c r="B104" i="32" s="1"/>
  <c r="B78" i="32"/>
  <c r="B81" i="32"/>
  <c r="B68" i="32"/>
  <c r="B107" i="32" s="1"/>
  <c r="F8" i="32"/>
  <c r="G4" i="32" s="1"/>
  <c r="K88" i="32"/>
  <c r="K33" i="32"/>
  <c r="K128" i="32"/>
  <c r="K101" i="32"/>
  <c r="K75" i="32"/>
  <c r="K16" i="32"/>
  <c r="K62" i="32"/>
  <c r="K46" i="32"/>
  <c r="L3" i="32"/>
  <c r="B84" i="32"/>
  <c r="B71" i="32"/>
  <c r="B110" i="32" s="1"/>
  <c r="B82" i="32"/>
  <c r="B69" i="32"/>
  <c r="B108" i="32" s="1"/>
  <c r="B79" i="32"/>
  <c r="B66" i="32"/>
  <c r="B105" i="32" s="1"/>
  <c r="H27" i="32"/>
  <c r="J114" i="53" l="1"/>
  <c r="I52" i="53"/>
  <c r="J110" i="53"/>
  <c r="J112" i="53" s="1"/>
  <c r="J52" i="53" s="1"/>
  <c r="I34" i="53"/>
  <c r="H37" i="53"/>
  <c r="H46" i="53"/>
  <c r="I106" i="53"/>
  <c r="I108" i="53" s="1"/>
  <c r="F67" i="53"/>
  <c r="K98" i="46"/>
  <c r="J56" i="50"/>
  <c r="J57" i="50" s="1"/>
  <c r="J82" i="50"/>
  <c r="J85" i="50" s="1"/>
  <c r="J30" i="50" s="1"/>
  <c r="I30" i="50"/>
  <c r="J78" i="50"/>
  <c r="J80" i="50" s="1"/>
  <c r="J26" i="50" s="1"/>
  <c r="I26" i="50"/>
  <c r="H89" i="50"/>
  <c r="H91" i="50" s="1"/>
  <c r="G27" i="50"/>
  <c r="I94" i="50"/>
  <c r="I96" i="50" s="1"/>
  <c r="H33" i="50"/>
  <c r="M88" i="46"/>
  <c r="M33" i="46"/>
  <c r="M46" i="46"/>
  <c r="M101" i="46"/>
  <c r="M62" i="46"/>
  <c r="M16" i="46"/>
  <c r="M128" i="46"/>
  <c r="M75" i="46"/>
  <c r="M94" i="46"/>
  <c r="L90" i="46"/>
  <c r="M93" i="46"/>
  <c r="L91" i="46"/>
  <c r="F11" i="46"/>
  <c r="G8" i="46"/>
  <c r="L92" i="46"/>
  <c r="L89" i="46"/>
  <c r="F67" i="39"/>
  <c r="L137" i="32"/>
  <c r="I137" i="32"/>
  <c r="I139" i="32"/>
  <c r="G5" i="32"/>
  <c r="G8" i="32" s="1"/>
  <c r="G150" i="32"/>
  <c r="M139" i="32"/>
  <c r="M137" i="32"/>
  <c r="J13" i="14"/>
  <c r="I92" i="32"/>
  <c r="I98" i="32" s="1"/>
  <c r="I7" i="32" s="1"/>
  <c r="I105" i="32"/>
  <c r="I111" i="32" s="1"/>
  <c r="I142" i="32" s="1"/>
  <c r="K106" i="32"/>
  <c r="K93" i="32"/>
  <c r="K47" i="32"/>
  <c r="K102" i="32"/>
  <c r="K89" i="32"/>
  <c r="H49" i="32"/>
  <c r="H85" i="32" s="1"/>
  <c r="H6" i="32" s="1"/>
  <c r="H36" i="32"/>
  <c r="L22" i="32"/>
  <c r="L51" i="32"/>
  <c r="J21" i="32"/>
  <c r="L18" i="32"/>
  <c r="L47" i="32" s="1"/>
  <c r="K51" i="32"/>
  <c r="I50" i="32"/>
  <c r="I85" i="32" s="1"/>
  <c r="I6" i="32" s="1"/>
  <c r="F47" i="39"/>
  <c r="G47" i="39" s="1"/>
  <c r="H47" i="39" s="1"/>
  <c r="I47" i="39" s="1"/>
  <c r="J47" i="39" s="1"/>
  <c r="K36" i="42"/>
  <c r="K18" i="42"/>
  <c r="G17" i="42"/>
  <c r="K17" i="42"/>
  <c r="G18" i="42"/>
  <c r="I110" i="39"/>
  <c r="I112" i="39" s="1"/>
  <c r="I114" i="39" s="1"/>
  <c r="H52" i="39"/>
  <c r="H114" i="39"/>
  <c r="I95" i="39"/>
  <c r="I97" i="39" s="1"/>
  <c r="I45" i="39" s="1"/>
  <c r="F72" i="32"/>
  <c r="H98" i="32"/>
  <c r="H7" i="32" s="1"/>
  <c r="G27" i="32"/>
  <c r="F11" i="32"/>
  <c r="H111" i="32"/>
  <c r="I27" i="32"/>
  <c r="I56" i="32"/>
  <c r="I147" i="32" s="1"/>
  <c r="I148" i="32" s="1"/>
  <c r="I136" i="32" s="1"/>
  <c r="I138" i="32" s="1"/>
  <c r="L75" i="32"/>
  <c r="L128" i="32"/>
  <c r="L101" i="32"/>
  <c r="L88" i="32"/>
  <c r="L16" i="32"/>
  <c r="L62" i="32"/>
  <c r="L46" i="32"/>
  <c r="M3" i="32"/>
  <c r="L33" i="32"/>
  <c r="I37" i="53" l="1"/>
  <c r="J34" i="53" s="1"/>
  <c r="I46" i="53"/>
  <c r="J106" i="53"/>
  <c r="J108" i="53" s="1"/>
  <c r="J46" i="53" s="1"/>
  <c r="J67" i="53"/>
  <c r="J94" i="50"/>
  <c r="J96" i="50" s="1"/>
  <c r="J33" i="50" s="1"/>
  <c r="I33" i="50"/>
  <c r="I89" i="50"/>
  <c r="I91" i="50" s="1"/>
  <c r="H27" i="50"/>
  <c r="I98" i="50"/>
  <c r="M92" i="46"/>
  <c r="H8" i="46"/>
  <c r="G11" i="46"/>
  <c r="M91" i="46"/>
  <c r="M89" i="46"/>
  <c r="L98" i="46"/>
  <c r="M90" i="46"/>
  <c r="J67" i="39"/>
  <c r="G11" i="32"/>
  <c r="G143" i="32" s="1"/>
  <c r="H4" i="32"/>
  <c r="H8" i="32" s="1"/>
  <c r="G12" i="32"/>
  <c r="G141" i="32" s="1"/>
  <c r="L106" i="32"/>
  <c r="L93" i="32"/>
  <c r="L102" i="32"/>
  <c r="L89" i="32"/>
  <c r="J50" i="32"/>
  <c r="J85" i="32" s="1"/>
  <c r="J6" i="32" s="1"/>
  <c r="J92" i="32"/>
  <c r="J98" i="32" s="1"/>
  <c r="J7" i="32" s="1"/>
  <c r="J105" i="32"/>
  <c r="J111" i="32" s="1"/>
  <c r="J142" i="32" s="1"/>
  <c r="J56" i="32"/>
  <c r="J147" i="32" s="1"/>
  <c r="J148" i="32" s="1"/>
  <c r="J136" i="32" s="1"/>
  <c r="J138" i="32" s="1"/>
  <c r="M18" i="32"/>
  <c r="M47" i="32" s="1"/>
  <c r="M22" i="32"/>
  <c r="M51" i="32" s="1"/>
  <c r="K21" i="32"/>
  <c r="K50" i="32"/>
  <c r="J95" i="39"/>
  <c r="J97" i="39" s="1"/>
  <c r="J45" i="39" s="1"/>
  <c r="J110" i="39"/>
  <c r="J112" i="39" s="1"/>
  <c r="J52" i="39" s="1"/>
  <c r="I52" i="39"/>
  <c r="I72" i="32"/>
  <c r="H72" i="32"/>
  <c r="G111" i="32"/>
  <c r="H56" i="32"/>
  <c r="H147" i="32" s="1"/>
  <c r="H148" i="32" s="1"/>
  <c r="H136" i="32" s="1"/>
  <c r="H138" i="32" s="1"/>
  <c r="M75" i="32"/>
  <c r="M128" i="32"/>
  <c r="M101" i="32"/>
  <c r="M62" i="32"/>
  <c r="M46" i="32"/>
  <c r="M33" i="32"/>
  <c r="M16" i="32"/>
  <c r="M88" i="32"/>
  <c r="J27" i="32"/>
  <c r="I4" i="32" l="1"/>
  <c r="I8" i="32" s="1"/>
  <c r="J4" i="32" s="1"/>
  <c r="J8" i="32" s="1"/>
  <c r="H11" i="32"/>
  <c r="H12" i="32"/>
  <c r="H141" i="32" s="1"/>
  <c r="H143" i="32"/>
  <c r="J37" i="53"/>
  <c r="J36" i="53"/>
  <c r="J32" i="53"/>
  <c r="J35" i="53"/>
  <c r="J33" i="53"/>
  <c r="J213" i="53"/>
  <c r="E253" i="53"/>
  <c r="I213" i="53"/>
  <c r="E242" i="53"/>
  <c r="H213" i="53"/>
  <c r="J199" i="53"/>
  <c r="M98" i="46"/>
  <c r="J98" i="50"/>
  <c r="J89" i="50"/>
  <c r="J91" i="50" s="1"/>
  <c r="J27" i="50" s="1"/>
  <c r="I27" i="50"/>
  <c r="G12" i="46"/>
  <c r="H11" i="46"/>
  <c r="I11" i="32"/>
  <c r="I143" i="32" s="1"/>
  <c r="M106" i="32"/>
  <c r="M93" i="32"/>
  <c r="K92" i="32"/>
  <c r="K98" i="32" s="1"/>
  <c r="K7" i="32" s="1"/>
  <c r="K105" i="32"/>
  <c r="K111" i="32" s="1"/>
  <c r="K142" i="32" s="1"/>
  <c r="M102" i="32"/>
  <c r="M89" i="32"/>
  <c r="L21" i="32"/>
  <c r="L50" i="32" s="1"/>
  <c r="J114" i="39"/>
  <c r="J72" i="32"/>
  <c r="G72" i="32"/>
  <c r="K56" i="32"/>
  <c r="K147" i="32" s="1"/>
  <c r="K148" i="32" s="1"/>
  <c r="K136" i="32" s="1"/>
  <c r="K138" i="32" s="1"/>
  <c r="K27" i="32"/>
  <c r="K85" i="32"/>
  <c r="K6" i="32" s="1"/>
  <c r="H12" i="46" l="1"/>
  <c r="F6" i="14"/>
  <c r="F19" i="14" s="1"/>
  <c r="I12" i="32"/>
  <c r="K4" i="32"/>
  <c r="K8" i="32" s="1"/>
  <c r="J11" i="32"/>
  <c r="J143" i="32" s="1"/>
  <c r="L105" i="32"/>
  <c r="L111" i="32" s="1"/>
  <c r="L142" i="32" s="1"/>
  <c r="L92" i="32"/>
  <c r="L98" i="32" s="1"/>
  <c r="L7" i="32" s="1"/>
  <c r="M21" i="32"/>
  <c r="M50" i="32" s="1"/>
  <c r="K72" i="32"/>
  <c r="L27" i="32"/>
  <c r="G6" i="14" l="1"/>
  <c r="J12" i="32"/>
  <c r="L4" i="32"/>
  <c r="K11" i="32"/>
  <c r="K143" i="32" s="1"/>
  <c r="M92" i="32"/>
  <c r="M98" i="32" s="1"/>
  <c r="M7" i="32" s="1"/>
  <c r="M105" i="32"/>
  <c r="L72" i="32"/>
  <c r="L85" i="32"/>
  <c r="L6" i="32" s="1"/>
  <c r="L56" i="32"/>
  <c r="L147" i="32" s="1"/>
  <c r="L148" i="32" s="1"/>
  <c r="L136" i="32" s="1"/>
  <c r="L138" i="32" s="1"/>
  <c r="M111" i="32"/>
  <c r="M142" i="32" s="1"/>
  <c r="M27" i="32"/>
  <c r="H6" i="14" l="1"/>
  <c r="K12" i="32"/>
  <c r="L8" i="32"/>
  <c r="G19" i="14"/>
  <c r="G10" i="14"/>
  <c r="M72" i="32"/>
  <c r="M85" i="32"/>
  <c r="M6" i="32" s="1"/>
  <c r="M56" i="32"/>
  <c r="M147" i="32" s="1"/>
  <c r="M148" i="32" s="1"/>
  <c r="M136" i="32" s="1"/>
  <c r="M138" i="32" s="1"/>
  <c r="M4" i="32" l="1"/>
  <c r="M8" i="32" s="1"/>
  <c r="M11" i="32" s="1"/>
  <c r="L11" i="32"/>
  <c r="L143" i="32" s="1"/>
  <c r="H10" i="14"/>
  <c r="H19" i="14"/>
  <c r="M143" i="32" l="1"/>
  <c r="M12" i="32"/>
  <c r="J6" i="14"/>
  <c r="L12" i="32"/>
  <c r="I6" i="14"/>
  <c r="J10" i="14" l="1"/>
  <c r="J19" i="14"/>
  <c r="I10" i="14"/>
  <c r="I19" i="14"/>
  <c r="B10" i="14" l="1"/>
  <c r="B9" i="14"/>
  <c r="B6" i="14"/>
  <c r="B5" i="14"/>
  <c r="G3" i="14"/>
  <c r="H3" i="14" s="1"/>
  <c r="I3" i="14" s="1"/>
  <c r="J3" i="14" s="1"/>
  <c r="F4" i="14" l="1"/>
  <c r="G4" i="14"/>
  <c r="G61" i="53" l="1"/>
  <c r="F61" i="53"/>
  <c r="F61" i="39"/>
  <c r="F62" i="39" s="1"/>
  <c r="G61" i="39"/>
  <c r="G68" i="39" s="1"/>
  <c r="G9" i="14"/>
  <c r="H4" i="14"/>
  <c r="F64" i="53" l="1"/>
  <c r="F70" i="53"/>
  <c r="F62" i="53"/>
  <c r="F76" i="53"/>
  <c r="F100" i="53"/>
  <c r="F82" i="53"/>
  <c r="F68" i="53"/>
  <c r="H61" i="53"/>
  <c r="G64" i="53"/>
  <c r="G76" i="53"/>
  <c r="G70" i="53"/>
  <c r="G62" i="53"/>
  <c r="G100" i="53"/>
  <c r="G144" i="53" s="1"/>
  <c r="G82" i="53"/>
  <c r="G68" i="53"/>
  <c r="F68" i="39"/>
  <c r="G62" i="39"/>
  <c r="H61" i="39"/>
  <c r="H205" i="39" s="1"/>
  <c r="H207" i="39" s="1"/>
  <c r="H9" i="14"/>
  <c r="I4" i="14"/>
  <c r="F73" i="53" l="1"/>
  <c r="F74" i="53" s="1"/>
  <c r="G142" i="53"/>
  <c r="G101" i="53"/>
  <c r="G73" i="53"/>
  <c r="H64" i="53"/>
  <c r="H205" i="53"/>
  <c r="H207" i="53" s="1"/>
  <c r="H160" i="53"/>
  <c r="H162" i="53" s="1"/>
  <c r="H76" i="53"/>
  <c r="H70" i="53"/>
  <c r="H100" i="53"/>
  <c r="H144" i="53" s="1"/>
  <c r="H62" i="53"/>
  <c r="H82" i="53"/>
  <c r="H68" i="53"/>
  <c r="F144" i="53"/>
  <c r="F142" i="53"/>
  <c r="F101" i="53"/>
  <c r="F102" i="53" s="1"/>
  <c r="I61" i="53"/>
  <c r="H62" i="39"/>
  <c r="H160" i="39"/>
  <c r="H162" i="39" s="1"/>
  <c r="I61" i="39"/>
  <c r="I68" i="39" s="1"/>
  <c r="H68" i="39"/>
  <c r="I9" i="14"/>
  <c r="J4" i="14"/>
  <c r="H73" i="53" l="1"/>
  <c r="H74" i="53" s="1"/>
  <c r="I205" i="53"/>
  <c r="I207" i="53" s="1"/>
  <c r="I76" i="53"/>
  <c r="I70" i="53"/>
  <c r="I62" i="53"/>
  <c r="I100" i="53"/>
  <c r="I144" i="53" s="1"/>
  <c r="I64" i="53"/>
  <c r="I82" i="53"/>
  <c r="I68" i="53"/>
  <c r="G74" i="53"/>
  <c r="J61" i="53"/>
  <c r="F49" i="53"/>
  <c r="G99" i="53"/>
  <c r="G102" i="53" s="1"/>
  <c r="H101" i="53"/>
  <c r="H142" i="53"/>
  <c r="I62" i="39"/>
  <c r="I205" i="39"/>
  <c r="I207" i="39" s="1"/>
  <c r="J61" i="39"/>
  <c r="J62" i="39" s="1"/>
  <c r="J9" i="14"/>
  <c r="I73" i="53" l="1"/>
  <c r="I74" i="53" s="1"/>
  <c r="H99" i="53"/>
  <c r="H102" i="53" s="1"/>
  <c r="G49" i="53"/>
  <c r="I101" i="53"/>
  <c r="I142" i="53"/>
  <c r="J219" i="53"/>
  <c r="J221" i="53" s="1"/>
  <c r="J76" i="53"/>
  <c r="J70" i="53"/>
  <c r="J100" i="53"/>
  <c r="J144" i="53" s="1"/>
  <c r="J62" i="53"/>
  <c r="J64" i="53"/>
  <c r="J191" i="53"/>
  <c r="J193" i="53" s="1"/>
  <c r="J205" i="53"/>
  <c r="J207" i="53" s="1"/>
  <c r="J82" i="53"/>
  <c r="J68" i="53"/>
  <c r="J68" i="39"/>
  <c r="J219" i="39"/>
  <c r="J221" i="39" s="1"/>
  <c r="J205" i="39"/>
  <c r="J207" i="39" s="1"/>
  <c r="J73" i="53" l="1"/>
  <c r="H49" i="53"/>
  <c r="I99" i="53"/>
  <c r="I102" i="53" s="1"/>
  <c r="J142" i="53"/>
  <c r="J101" i="53"/>
  <c r="D11" i="39"/>
  <c r="D13" i="39"/>
  <c r="J23" i="39" s="1"/>
  <c r="D19" i="39"/>
  <c r="D53" i="39"/>
  <c r="E53" i="39" s="1"/>
  <c r="J99" i="53" l="1"/>
  <c r="J102" i="53" s="1"/>
  <c r="J49" i="53" s="1"/>
  <c r="I49" i="53"/>
  <c r="J74" i="53"/>
  <c r="J25" i="39"/>
  <c r="D21" i="39" s="1"/>
  <c r="J228" i="39" s="1"/>
  <c r="J246" i="39" s="1"/>
  <c r="H32" i="39"/>
  <c r="D54" i="39" s="1"/>
  <c r="D46" i="39"/>
  <c r="E46" i="39" s="1"/>
  <c r="E50" i="39" s="1"/>
  <c r="D14" i="39"/>
  <c r="E118" i="39"/>
  <c r="J230" i="39" l="1"/>
  <c r="J239" i="39" s="1"/>
  <c r="E262" i="39"/>
  <c r="E263" i="39" s="1"/>
  <c r="E261" i="39"/>
  <c r="H33" i="39"/>
  <c r="H34" i="39" s="1"/>
  <c r="H37" i="39" s="1"/>
  <c r="D25" i="39"/>
  <c r="E54" i="39"/>
  <c r="E55" i="39" s="1"/>
  <c r="E56" i="39" s="1"/>
  <c r="E108" i="39"/>
  <c r="F106" i="39" s="1"/>
  <c r="F116" i="39"/>
  <c r="E107" i="39" l="1"/>
  <c r="H107" i="39" s="1"/>
  <c r="F107" i="39" l="1"/>
  <c r="F108" i="39" s="1"/>
  <c r="F46" i="39" s="1"/>
  <c r="G107" i="39"/>
  <c r="G143" i="39" s="1"/>
  <c r="I107" i="39"/>
  <c r="I143" i="39" s="1"/>
  <c r="J107" i="39"/>
  <c r="J143" i="39" s="1"/>
  <c r="H143" i="39"/>
  <c r="H81" i="39"/>
  <c r="G106" i="39" l="1"/>
  <c r="G108" i="39" s="1"/>
  <c r="G46" i="39" s="1"/>
  <c r="I81" i="39"/>
  <c r="J81" i="39"/>
  <c r="F81" i="39"/>
  <c r="F143" i="39"/>
  <c r="G81" i="39"/>
  <c r="H106" i="39" l="1"/>
  <c r="H108" i="39" s="1"/>
  <c r="H46" i="39" s="1"/>
  <c r="I106" i="39" l="1"/>
  <c r="I108" i="39" s="1"/>
  <c r="J106" i="39" s="1"/>
  <c r="J108" i="39" s="1"/>
  <c r="J46" i="39" s="1"/>
  <c r="I46" i="39" l="1"/>
  <c r="E5" i="14"/>
  <c r="E6" i="14" s="1"/>
  <c r="F10" i="14" s="1"/>
  <c r="D9" i="14" l="1"/>
  <c r="F9" i="14"/>
  <c r="D10" i="14"/>
  <c r="F64" i="39" l="1"/>
  <c r="F70" i="39"/>
  <c r="F76" i="39"/>
  <c r="F101" i="39" s="1"/>
  <c r="F82" i="39"/>
  <c r="F100" i="39"/>
  <c r="F144" i="39" s="1"/>
  <c r="F142" i="39" l="1"/>
  <c r="F73" i="39"/>
  <c r="F74" i="39" s="1"/>
  <c r="F102" i="39"/>
  <c r="F49" i="39" s="1"/>
  <c r="G64" i="39"/>
  <c r="H64" i="39"/>
  <c r="I64" i="39"/>
  <c r="J64" i="39"/>
  <c r="G70" i="39"/>
  <c r="H70" i="39"/>
  <c r="I70" i="39"/>
  <c r="J70" i="39"/>
  <c r="G76" i="39"/>
  <c r="H76" i="39"/>
  <c r="H101" i="39" s="1"/>
  <c r="I76" i="39"/>
  <c r="I101" i="39" s="1"/>
  <c r="J76" i="39"/>
  <c r="J101" i="39" s="1"/>
  <c r="G82" i="39"/>
  <c r="H82" i="39"/>
  <c r="I82" i="39"/>
  <c r="J82" i="39"/>
  <c r="G100" i="39"/>
  <c r="G144" i="39" s="1"/>
  <c r="H100" i="39"/>
  <c r="H144" i="39" s="1"/>
  <c r="I100" i="39"/>
  <c r="I144" i="39" s="1"/>
  <c r="J100" i="39"/>
  <c r="J144" i="39" s="1"/>
  <c r="J191" i="39"/>
  <c r="J193" i="39" s="1"/>
  <c r="I141" i="32" l="1"/>
  <c r="J142" i="39"/>
  <c r="H142" i="39"/>
  <c r="I142" i="39"/>
  <c r="H73" i="39"/>
  <c r="H74" i="39" s="1"/>
  <c r="G73" i="39"/>
  <c r="G74" i="39" s="1"/>
  <c r="G142" i="39"/>
  <c r="G101" i="39"/>
  <c r="J73" i="39"/>
  <c r="I73" i="39"/>
  <c r="G99" i="39"/>
  <c r="J141" i="32" l="1"/>
  <c r="K141" i="32"/>
  <c r="G102" i="39"/>
  <c r="G49" i="39" s="1"/>
  <c r="J74" i="39"/>
  <c r="I74" i="39"/>
  <c r="L141" i="32" l="1"/>
  <c r="M141" i="32"/>
  <c r="H99" i="39"/>
  <c r="H102" i="39" s="1"/>
  <c r="H49" i="39" s="1"/>
  <c r="I99" i="39" l="1"/>
  <c r="I102" i="39" s="1"/>
  <c r="I49" i="39" s="1"/>
  <c r="J99" i="39" l="1"/>
  <c r="J102" i="39" s="1"/>
  <c r="J49" i="39" s="1"/>
  <c r="D32" i="39" l="1"/>
  <c r="I32" i="39"/>
  <c r="J32" i="39"/>
  <c r="D33" i="39"/>
  <c r="I33" i="39"/>
  <c r="J33" i="39"/>
  <c r="D34" i="39"/>
  <c r="I34" i="39"/>
  <c r="J34" i="39"/>
  <c r="I35" i="39"/>
  <c r="J35" i="39"/>
  <c r="D36" i="39"/>
  <c r="I36" i="39"/>
  <c r="J36" i="39"/>
  <c r="D37" i="39"/>
  <c r="I37" i="39"/>
  <c r="J37" i="39"/>
  <c r="D39" i="39"/>
  <c r="H39" i="39"/>
  <c r="F44" i="39"/>
  <c r="G44" i="39"/>
  <c r="H44" i="39"/>
  <c r="I44" i="39"/>
  <c r="J44" i="39"/>
  <c r="F48" i="39"/>
  <c r="G48" i="39"/>
  <c r="H48" i="39"/>
  <c r="I48" i="39"/>
  <c r="J48" i="39"/>
  <c r="F50" i="39"/>
  <c r="G50" i="39"/>
  <c r="H50" i="39"/>
  <c r="I50" i="39"/>
  <c r="J50" i="39"/>
  <c r="F53" i="39"/>
  <c r="G53" i="39"/>
  <c r="H53" i="39"/>
  <c r="I53" i="39"/>
  <c r="J53" i="39"/>
  <c r="F54" i="39"/>
  <c r="G54" i="39"/>
  <c r="H54" i="39"/>
  <c r="I54" i="39"/>
  <c r="J54" i="39"/>
  <c r="F55" i="39"/>
  <c r="G55" i="39"/>
  <c r="H55" i="39"/>
  <c r="I55" i="39"/>
  <c r="J55" i="39"/>
  <c r="F56" i="39"/>
  <c r="G56" i="39"/>
  <c r="H56" i="39"/>
  <c r="I56" i="39"/>
  <c r="J56" i="39"/>
  <c r="F79" i="39"/>
  <c r="G79" i="39"/>
  <c r="H79" i="39"/>
  <c r="I79" i="39"/>
  <c r="J79" i="39"/>
  <c r="F84" i="39"/>
  <c r="G84" i="39"/>
  <c r="H84" i="39"/>
  <c r="I84" i="39"/>
  <c r="J84" i="39"/>
  <c r="F85" i="39"/>
  <c r="G85" i="39"/>
  <c r="H85" i="39"/>
  <c r="I85" i="39"/>
  <c r="J85" i="39"/>
  <c r="F87" i="39"/>
  <c r="G87" i="39"/>
  <c r="H87" i="39"/>
  <c r="I87" i="39"/>
  <c r="J87" i="39"/>
  <c r="F90" i="39"/>
  <c r="G90" i="39"/>
  <c r="H90" i="39"/>
  <c r="I90" i="39"/>
  <c r="J90" i="39"/>
  <c r="F91" i="39"/>
  <c r="G91" i="39"/>
  <c r="H91" i="39"/>
  <c r="I91" i="39"/>
  <c r="J91" i="39"/>
  <c r="G116" i="39"/>
  <c r="H116" i="39"/>
  <c r="I116" i="39"/>
  <c r="J116" i="39"/>
  <c r="F117" i="39"/>
  <c r="G117" i="39"/>
  <c r="H117" i="39"/>
  <c r="I117" i="39"/>
  <c r="J117" i="39"/>
  <c r="F118" i="39"/>
  <c r="G118" i="39"/>
  <c r="H118" i="39"/>
  <c r="I118" i="39"/>
  <c r="J118" i="39"/>
  <c r="F120" i="39"/>
  <c r="G120" i="39"/>
  <c r="H120" i="39"/>
  <c r="I120" i="39"/>
  <c r="J120" i="39"/>
  <c r="F125" i="39"/>
  <c r="G125" i="39"/>
  <c r="H125" i="39"/>
  <c r="I125" i="39"/>
  <c r="J125" i="39"/>
  <c r="F126" i="39"/>
  <c r="G126" i="39"/>
  <c r="H126" i="39"/>
  <c r="I126" i="39"/>
  <c r="J126" i="39"/>
  <c r="F127" i="39"/>
  <c r="G127" i="39"/>
  <c r="H127" i="39"/>
  <c r="I127" i="39"/>
  <c r="J127" i="39"/>
  <c r="F128" i="39"/>
  <c r="G128" i="39"/>
  <c r="H128" i="39"/>
  <c r="I128" i="39"/>
  <c r="J128" i="39"/>
  <c r="G130" i="39"/>
  <c r="H130" i="39"/>
  <c r="I130" i="39"/>
  <c r="J130" i="39"/>
  <c r="F131" i="39"/>
  <c r="G131" i="39"/>
  <c r="H131" i="39"/>
  <c r="I131" i="39"/>
  <c r="J131" i="39"/>
  <c r="F132" i="39"/>
  <c r="G132" i="39"/>
  <c r="H132" i="39"/>
  <c r="I132" i="39"/>
  <c r="J132" i="39"/>
  <c r="F133" i="39"/>
  <c r="G133" i="39"/>
  <c r="H133" i="39"/>
  <c r="I133" i="39"/>
  <c r="J133" i="39"/>
  <c r="F135" i="39"/>
  <c r="G135" i="39"/>
  <c r="H135" i="39"/>
  <c r="I135" i="39"/>
  <c r="J135" i="39"/>
  <c r="F136" i="39"/>
  <c r="G136" i="39"/>
  <c r="H136" i="39"/>
  <c r="I136" i="39"/>
  <c r="J136" i="39"/>
  <c r="F141" i="39"/>
  <c r="G141" i="39"/>
  <c r="H141" i="39"/>
  <c r="I141" i="39"/>
  <c r="J141" i="39"/>
  <c r="F146" i="39"/>
  <c r="G146" i="39"/>
  <c r="H146" i="39"/>
  <c r="I146" i="39"/>
  <c r="J146" i="39"/>
  <c r="F147" i="39"/>
  <c r="G147" i="39"/>
  <c r="H147" i="39"/>
  <c r="I147" i="39"/>
  <c r="J147" i="39"/>
  <c r="F149" i="39"/>
  <c r="G149" i="39"/>
  <c r="H149" i="39"/>
  <c r="I149" i="39"/>
  <c r="J149" i="39"/>
  <c r="F150" i="39"/>
  <c r="G150" i="39"/>
  <c r="H150" i="39"/>
  <c r="I150" i="39"/>
  <c r="J150" i="39"/>
  <c r="F152" i="39"/>
  <c r="G152" i="39"/>
  <c r="H152" i="39"/>
  <c r="I152" i="39"/>
  <c r="J152" i="39"/>
  <c r="H157" i="39"/>
  <c r="H158" i="39"/>
  <c r="H163" i="39"/>
  <c r="H165" i="39"/>
  <c r="H167" i="39"/>
  <c r="D176" i="39"/>
  <c r="D177" i="39"/>
  <c r="D178" i="39"/>
  <c r="D181" i="39"/>
  <c r="D182" i="39"/>
  <c r="D183" i="39"/>
  <c r="D186" i="39"/>
  <c r="D187" i="39"/>
  <c r="D188" i="39"/>
  <c r="J194" i="39"/>
  <c r="J195" i="39"/>
  <c r="J196" i="39"/>
  <c r="J197" i="39"/>
  <c r="J198" i="39"/>
  <c r="J199" i="39"/>
  <c r="J201" i="39"/>
  <c r="H208" i="39"/>
  <c r="I208" i="39"/>
  <c r="J208" i="39"/>
  <c r="H209" i="39"/>
  <c r="I209" i="39"/>
  <c r="J209" i="39"/>
  <c r="H210" i="39"/>
  <c r="I210" i="39"/>
  <c r="J210" i="39"/>
  <c r="H211" i="39"/>
  <c r="I211" i="39"/>
  <c r="J211" i="39"/>
  <c r="H212" i="39"/>
  <c r="I212" i="39"/>
  <c r="J212" i="39"/>
  <c r="H213" i="39"/>
  <c r="I213" i="39"/>
  <c r="J213" i="39"/>
  <c r="H215" i="39"/>
  <c r="I215" i="39"/>
  <c r="J215" i="39"/>
  <c r="J222" i="39"/>
  <c r="J223" i="39"/>
  <c r="J224" i="39"/>
  <c r="J225" i="39"/>
  <c r="J226" i="39"/>
  <c r="F232" i="39"/>
  <c r="G232" i="39"/>
  <c r="H232" i="39"/>
  <c r="I232" i="39"/>
  <c r="J232" i="39"/>
  <c r="F234" i="39"/>
  <c r="G234" i="39"/>
  <c r="H234" i="39"/>
  <c r="I234" i="39"/>
  <c r="J234" i="39"/>
  <c r="J235" i="39"/>
  <c r="J238" i="39"/>
  <c r="J240" i="39"/>
  <c r="J241" i="39"/>
  <c r="E242" i="39"/>
  <c r="J242" i="39"/>
  <c r="J243" i="39"/>
  <c r="J245" i="39"/>
  <c r="J247" i="39"/>
  <c r="J250" i="39"/>
  <c r="J251" i="39"/>
  <c r="J252" i="39"/>
  <c r="E253" i="39"/>
  <c r="J253" i="39"/>
  <c r="J254" i="39"/>
  <c r="J255" i="39"/>
  <c r="J257" i="39"/>
  <c r="J261" i="39"/>
  <c r="L261" i="39"/>
  <c r="H262" i="39"/>
  <c r="I262" i="39"/>
  <c r="J262" i="39"/>
  <c r="L262" i="39"/>
  <c r="J263" i="39"/>
  <c r="L263" i="39"/>
  <c r="F44" i="53"/>
  <c r="G44" i="53"/>
  <c r="H44" i="53"/>
  <c r="I44" i="53"/>
  <c r="J44" i="53"/>
  <c r="F48" i="53"/>
  <c r="G48" i="53"/>
  <c r="H48" i="53"/>
  <c r="I48" i="53"/>
  <c r="J48" i="53"/>
  <c r="F50" i="53"/>
  <c r="G50" i="53"/>
  <c r="H50" i="53"/>
  <c r="I50" i="53"/>
  <c r="J50" i="53"/>
  <c r="F53" i="53"/>
  <c r="G53" i="53"/>
  <c r="H53" i="53"/>
  <c r="I53" i="53"/>
  <c r="J53" i="53"/>
  <c r="F54" i="53"/>
  <c r="G54" i="53"/>
  <c r="H54" i="53"/>
  <c r="I54" i="53"/>
  <c r="J54" i="53"/>
  <c r="F55" i="53"/>
  <c r="G55" i="53"/>
  <c r="H55" i="53"/>
  <c r="I55" i="53"/>
  <c r="J55" i="53"/>
  <c r="F56" i="53"/>
  <c r="G56" i="53"/>
  <c r="H56" i="53"/>
  <c r="I56" i="53"/>
  <c r="J56" i="53"/>
  <c r="F79" i="53"/>
  <c r="G79" i="53"/>
  <c r="H79" i="53"/>
  <c r="I79" i="53"/>
  <c r="J79" i="53"/>
  <c r="F84" i="53"/>
  <c r="G84" i="53"/>
  <c r="H84" i="53"/>
  <c r="I84" i="53"/>
  <c r="J84" i="53"/>
  <c r="F85" i="53"/>
  <c r="G85" i="53"/>
  <c r="H85" i="53"/>
  <c r="I85" i="53"/>
  <c r="J85" i="53"/>
  <c r="F87" i="53"/>
  <c r="G87" i="53"/>
  <c r="H87" i="53"/>
  <c r="I87" i="53"/>
  <c r="J87" i="53"/>
  <c r="F90" i="53"/>
  <c r="G90" i="53"/>
  <c r="H90" i="53"/>
  <c r="I90" i="53"/>
  <c r="J90" i="53"/>
  <c r="F91" i="53"/>
  <c r="G91" i="53"/>
  <c r="H91" i="53"/>
  <c r="I91" i="53"/>
  <c r="J91" i="53"/>
  <c r="G116" i="53"/>
  <c r="H116" i="53"/>
  <c r="I116" i="53"/>
  <c r="J116" i="53"/>
  <c r="F117" i="53"/>
  <c r="G117" i="53"/>
  <c r="H117" i="53"/>
  <c r="I117" i="53"/>
  <c r="J117" i="53"/>
  <c r="F118" i="53"/>
  <c r="G118" i="53"/>
  <c r="H118" i="53"/>
  <c r="I118" i="53"/>
  <c r="J118" i="53"/>
  <c r="F120" i="53"/>
  <c r="G120" i="53"/>
  <c r="H120" i="53"/>
  <c r="I120" i="53"/>
  <c r="J120" i="53"/>
  <c r="F125" i="53"/>
  <c r="G125" i="53"/>
  <c r="H125" i="53"/>
  <c r="I125" i="53"/>
  <c r="J125" i="53"/>
  <c r="F126" i="53"/>
  <c r="G126" i="53"/>
  <c r="H126" i="53"/>
  <c r="I126" i="53"/>
  <c r="J126" i="53"/>
  <c r="F127" i="53"/>
  <c r="G127" i="53"/>
  <c r="H127" i="53"/>
  <c r="I127" i="53"/>
  <c r="J127" i="53"/>
  <c r="F128" i="53"/>
  <c r="G128" i="53"/>
  <c r="H128" i="53"/>
  <c r="I128" i="53"/>
  <c r="J128" i="53"/>
  <c r="G130" i="53"/>
  <c r="H130" i="53"/>
  <c r="I130" i="53"/>
  <c r="J130" i="53"/>
  <c r="F131" i="53"/>
  <c r="G131" i="53"/>
  <c r="H131" i="53"/>
  <c r="I131" i="53"/>
  <c r="J131" i="53"/>
  <c r="F132" i="53"/>
  <c r="G132" i="53"/>
  <c r="H132" i="53"/>
  <c r="I132" i="53"/>
  <c r="J132" i="53"/>
  <c r="F133" i="53"/>
  <c r="G133" i="53"/>
  <c r="H133" i="53"/>
  <c r="I133" i="53"/>
  <c r="J133" i="53"/>
  <c r="F135" i="53"/>
  <c r="G135" i="53"/>
  <c r="H135" i="53"/>
  <c r="I135" i="53"/>
  <c r="J135" i="53"/>
  <c r="F136" i="53"/>
  <c r="G136" i="53"/>
  <c r="H136" i="53"/>
  <c r="I136" i="53"/>
  <c r="J136" i="53"/>
  <c r="F141" i="53"/>
  <c r="G141" i="53"/>
  <c r="H141" i="53"/>
  <c r="I141" i="53"/>
  <c r="J141" i="53"/>
  <c r="F146" i="53"/>
  <c r="G146" i="53"/>
  <c r="H146" i="53"/>
  <c r="I146" i="53"/>
  <c r="J146" i="53"/>
  <c r="F147" i="53"/>
  <c r="G147" i="53"/>
  <c r="H147" i="53"/>
  <c r="I147" i="53"/>
  <c r="J147" i="53"/>
  <c r="F149" i="53"/>
  <c r="G149" i="53"/>
  <c r="H149" i="53"/>
  <c r="I149" i="53"/>
  <c r="J149" i="53"/>
  <c r="F150" i="53"/>
  <c r="G150" i="53"/>
  <c r="H150" i="53"/>
  <c r="I150" i="53"/>
  <c r="J150" i="53"/>
  <c r="F152" i="53"/>
  <c r="G152" i="53"/>
  <c r="H152" i="53"/>
  <c r="I152" i="53"/>
  <c r="J152" i="53"/>
  <c r="H157" i="53"/>
  <c r="H158" i="53"/>
  <c r="H163" i="53"/>
  <c r="H165" i="53"/>
  <c r="H167" i="53"/>
  <c r="D176" i="53"/>
  <c r="D177" i="53"/>
  <c r="D178" i="53"/>
  <c r="D181" i="53"/>
  <c r="D182" i="53"/>
  <c r="D183" i="53"/>
  <c r="D186" i="53"/>
  <c r="D187" i="53"/>
  <c r="D188" i="53"/>
  <c r="J194" i="53"/>
  <c r="J195" i="53"/>
  <c r="J196" i="53"/>
  <c r="J198" i="53"/>
  <c r="J201" i="53"/>
  <c r="H208" i="53"/>
  <c r="I208" i="53"/>
  <c r="J208" i="53"/>
  <c r="H209" i="53"/>
  <c r="I209" i="53"/>
  <c r="J209" i="53"/>
  <c r="H210" i="53"/>
  <c r="I210" i="53"/>
  <c r="J210" i="53"/>
  <c r="H212" i="53"/>
  <c r="I212" i="53"/>
  <c r="J212" i="53"/>
  <c r="H215" i="53"/>
  <c r="I215" i="53"/>
  <c r="J215" i="53"/>
  <c r="J222" i="53"/>
  <c r="J223" i="53"/>
  <c r="J224" i="53"/>
  <c r="J226" i="53"/>
  <c r="F232" i="53"/>
  <c r="G232" i="53"/>
  <c r="H232" i="53"/>
  <c r="I232" i="53"/>
  <c r="J232" i="53"/>
  <c r="F234" i="53"/>
  <c r="G234" i="53"/>
  <c r="H234" i="53"/>
  <c r="I234" i="53"/>
  <c r="J234" i="53"/>
  <c r="J235" i="53"/>
  <c r="J238" i="53"/>
  <c r="J240" i="53"/>
  <c r="J241" i="53"/>
  <c r="J242" i="53"/>
  <c r="J243" i="53"/>
  <c r="J245" i="53"/>
  <c r="J247" i="53"/>
  <c r="J250" i="53"/>
  <c r="J251" i="53"/>
  <c r="J252" i="53"/>
  <c r="J253" i="53"/>
  <c r="J254" i="53"/>
  <c r="J255" i="53"/>
  <c r="J257" i="53"/>
  <c r="J261" i="53"/>
  <c r="L261" i="53"/>
  <c r="H262" i="53"/>
  <c r="I262" i="53"/>
  <c r="J262" i="53"/>
  <c r="L262" i="53"/>
  <c r="J263" i="53"/>
  <c r="L263" i="53"/>
  <c r="F25" i="50"/>
  <c r="G25" i="50"/>
  <c r="H25" i="50"/>
  <c r="I25" i="50"/>
  <c r="J25" i="50"/>
  <c r="F31" i="50"/>
  <c r="G31" i="50"/>
  <c r="H31" i="50"/>
  <c r="I31" i="50"/>
  <c r="J31" i="50"/>
  <c r="F34" i="50"/>
  <c r="G34" i="50"/>
  <c r="H34" i="50"/>
  <c r="I34" i="50"/>
  <c r="J34" i="50"/>
  <c r="F35" i="50"/>
  <c r="G35" i="50"/>
  <c r="H35" i="50"/>
  <c r="I35" i="50"/>
  <c r="J35" i="50"/>
  <c r="F36" i="50"/>
  <c r="G36" i="50"/>
  <c r="H36" i="50"/>
  <c r="I36" i="50"/>
  <c r="J36" i="50"/>
  <c r="F37" i="50"/>
  <c r="G37" i="50"/>
  <c r="H37" i="50"/>
  <c r="I37" i="50"/>
  <c r="J37" i="50"/>
  <c r="F62" i="50"/>
  <c r="G62" i="50"/>
  <c r="H62" i="50"/>
  <c r="I62" i="50"/>
  <c r="J62" i="50"/>
  <c r="F67" i="50"/>
  <c r="G67" i="50"/>
  <c r="H67" i="50"/>
  <c r="I67" i="50"/>
  <c r="J67" i="50"/>
  <c r="F68" i="50"/>
  <c r="G68" i="50"/>
  <c r="H68" i="50"/>
  <c r="I68" i="50"/>
  <c r="J68" i="50"/>
  <c r="F70" i="50"/>
  <c r="G70" i="50"/>
  <c r="H70" i="50"/>
  <c r="I70" i="50"/>
  <c r="J70" i="50"/>
  <c r="F73" i="50"/>
  <c r="G73" i="50"/>
  <c r="H73" i="50"/>
  <c r="I73" i="50"/>
  <c r="J73" i="50"/>
  <c r="F74" i="50"/>
  <c r="G74" i="50"/>
  <c r="H74" i="50"/>
  <c r="I74" i="50"/>
  <c r="J74" i="50"/>
  <c r="G100" i="50"/>
  <c r="H100" i="50"/>
  <c r="I100" i="50"/>
  <c r="J100" i="50"/>
  <c r="F101" i="50"/>
  <c r="G101" i="50"/>
  <c r="H101" i="50"/>
  <c r="I101" i="50"/>
  <c r="J101" i="50"/>
  <c r="F102" i="50"/>
  <c r="G102" i="50"/>
  <c r="H102" i="50"/>
  <c r="I102" i="50"/>
  <c r="J102" i="50"/>
  <c r="F104" i="50"/>
  <c r="G104" i="50"/>
  <c r="H104" i="50"/>
  <c r="I104" i="50"/>
  <c r="J104" i="50"/>
  <c r="G106" i="50"/>
  <c r="H106" i="50"/>
  <c r="I106" i="50"/>
  <c r="J106" i="50"/>
  <c r="G108" i="50"/>
  <c r="H108" i="50"/>
  <c r="I108" i="50"/>
  <c r="J108" i="50"/>
  <c r="F112" i="50"/>
  <c r="G112" i="50"/>
  <c r="H112" i="50"/>
  <c r="I112" i="50"/>
  <c r="J112" i="50"/>
  <c r="F117" i="50"/>
  <c r="G117" i="50"/>
  <c r="H117" i="50"/>
  <c r="I117" i="50"/>
  <c r="J117" i="50"/>
  <c r="F119" i="50"/>
  <c r="G119" i="50"/>
  <c r="H119" i="50"/>
  <c r="I119" i="50"/>
  <c r="J119" i="50"/>
  <c r="F120" i="50"/>
  <c r="G120" i="50"/>
  <c r="H120" i="50"/>
  <c r="I120" i="50"/>
  <c r="J120" i="50"/>
  <c r="F122" i="50"/>
  <c r="G122" i="50"/>
  <c r="H122" i="50"/>
  <c r="I122" i="50"/>
  <c r="J122" i="50"/>
  <c r="D129" i="50"/>
  <c r="D130" i="50"/>
  <c r="D131" i="50"/>
  <c r="J138" i="50"/>
  <c r="J139" i="50"/>
  <c r="J140" i="50"/>
  <c r="J144" i="50"/>
  <c r="L144" i="50"/>
</calcChain>
</file>

<file path=xl/sharedStrings.xml><?xml version="1.0" encoding="utf-8"?>
<sst xmlns="http://schemas.openxmlformats.org/spreadsheetml/2006/main" count="1111" uniqueCount="326">
  <si>
    <t>Assumptions</t>
  </si>
  <si>
    <t>Entry multiple</t>
  </si>
  <si>
    <t>LTM revenue</t>
  </si>
  <si>
    <t>Model</t>
  </si>
  <si>
    <t>Sources &amp; uses</t>
  </si>
  <si>
    <t>Sources</t>
  </si>
  <si>
    <t>Uses</t>
  </si>
  <si>
    <t>Total sources</t>
  </si>
  <si>
    <t>Total uses</t>
  </si>
  <si>
    <t>Income statement</t>
  </si>
  <si>
    <t>Revenue</t>
  </si>
  <si>
    <t>EBITDA</t>
  </si>
  <si>
    <t>% growth</t>
  </si>
  <si>
    <t>D&amp;A</t>
  </si>
  <si>
    <t>Net income</t>
  </si>
  <si>
    <t>Earnings before taxes</t>
  </si>
  <si>
    <t>Interest expense</t>
  </si>
  <si>
    <t>% tax rate</t>
  </si>
  <si>
    <t>Cash flow statement</t>
  </si>
  <si>
    <t>Balance sheet</t>
  </si>
  <si>
    <t>Cash</t>
  </si>
  <si>
    <t>Net working capital</t>
  </si>
  <si>
    <t>Total assets</t>
  </si>
  <si>
    <t>Net PP&amp;E</t>
  </si>
  <si>
    <t>Shareholder equity</t>
  </si>
  <si>
    <t>Total liabilities &amp; equity</t>
  </si>
  <si>
    <t>Supporting schedules</t>
  </si>
  <si>
    <t>PP&amp;E, beginning</t>
  </si>
  <si>
    <t>PP&amp;E, ending</t>
  </si>
  <si>
    <t>% of revenue</t>
  </si>
  <si>
    <t>Cash from operations &amp; investing</t>
  </si>
  <si>
    <t>Cash from financing</t>
  </si>
  <si>
    <t>Net change in cash</t>
  </si>
  <si>
    <t>Net working capital, beginning</t>
  </si>
  <si>
    <t>Net working capital, ending</t>
  </si>
  <si>
    <t>Check</t>
  </si>
  <si>
    <t>Returns analysis</t>
  </si>
  <si>
    <t>$ millions</t>
  </si>
  <si>
    <t>Exit multiple</t>
  </si>
  <si>
    <t>Exit enterprise value</t>
  </si>
  <si>
    <t>Exit equity value</t>
  </si>
  <si>
    <t>Multiple of money</t>
  </si>
  <si>
    <t>IRR</t>
  </si>
  <si>
    <t>Pro forma</t>
  </si>
  <si>
    <t>Adjust.</t>
  </si>
  <si>
    <t>Capitalized financing fees</t>
  </si>
  <si>
    <t>Goodwill</t>
  </si>
  <si>
    <t>Financing fees</t>
  </si>
  <si>
    <t>Capitalized financing fees, beginning</t>
  </si>
  <si>
    <t>Capitalized financing fees, ending</t>
  </si>
  <si>
    <t>Fee amortization expense</t>
  </si>
  <si>
    <t>Sensitivities</t>
  </si>
  <si>
    <t>Base case</t>
  </si>
  <si>
    <t>EBITDA margin</t>
  </si>
  <si>
    <t xml:space="preserve">Revenue </t>
  </si>
  <si>
    <t>YoY growth</t>
  </si>
  <si>
    <t>CAGR</t>
  </si>
  <si>
    <t>Total</t>
  </si>
  <si>
    <t>Sponsor equity</t>
  </si>
  <si>
    <t>Existing debt</t>
  </si>
  <si>
    <t>New debt</t>
  </si>
  <si>
    <t>Rollover equity</t>
  </si>
  <si>
    <t>Shares</t>
  </si>
  <si>
    <t>Existing owners</t>
  </si>
  <si>
    <t>Pre-Money</t>
  </si>
  <si>
    <t>Post-Money</t>
  </si>
  <si>
    <t>Equity value</t>
  </si>
  <si>
    <t>Enterprise value</t>
  </si>
  <si>
    <t>(-) Debt</t>
  </si>
  <si>
    <t>(+) Cash</t>
  </si>
  <si>
    <t>Capitalization table</t>
  </si>
  <si>
    <t>(-) Existing debt</t>
  </si>
  <si>
    <t>(+) Financing fees</t>
  </si>
  <si>
    <t>(-) New debt</t>
  </si>
  <si>
    <t>$ Amount</t>
  </si>
  <si>
    <t>FD Own %</t>
  </si>
  <si>
    <t>IRR cash flows</t>
  </si>
  <si>
    <t>Net gain</t>
  </si>
  <si>
    <t>IPO</t>
  </si>
  <si>
    <t>M&amp;A</t>
  </si>
  <si>
    <t>Sponsor cash flows - M&amp;A</t>
  </si>
  <si>
    <t>Sponsor cash flows - IPO</t>
  </si>
  <si>
    <t>(+) D&amp;A</t>
  </si>
  <si>
    <t>(+) Fee amortization expense</t>
  </si>
  <si>
    <t>(-) Capex</t>
  </si>
  <si>
    <t>(-) Change in WC</t>
  </si>
  <si>
    <t>(+) Debt issuance / (paydown)</t>
  </si>
  <si>
    <t>(+) Capex</t>
  </si>
  <si>
    <t>(-) D&amp;A</t>
  </si>
  <si>
    <t>(-) Fee amortization expense</t>
  </si>
  <si>
    <t>(-) Net issuance / (paydown)</t>
  </si>
  <si>
    <t>Net operating losses, beginning</t>
  </si>
  <si>
    <t>Net operating losses, ending</t>
  </si>
  <si>
    <t>(+) Increase / (decrease)</t>
  </si>
  <si>
    <t>Income tax rate</t>
  </si>
  <si>
    <t>Deferred tax asset</t>
  </si>
  <si>
    <t>Adjusted taxable income</t>
  </si>
  <si>
    <t>Tax provision</t>
  </si>
  <si>
    <t>Retention %</t>
  </si>
  <si>
    <t>n/a</t>
  </si>
  <si>
    <t>Customers by cohort</t>
  </si>
  <si>
    <t>Average revenue per customer ("ARPU")</t>
  </si>
  <si>
    <t>ARR, beginning</t>
  </si>
  <si>
    <t>(+) New bookings</t>
  </si>
  <si>
    <t>Annual recurring revenue</t>
  </si>
  <si>
    <t>Average total</t>
  </si>
  <si>
    <t>(-) Logo churn</t>
  </si>
  <si>
    <t>(+) Net upsell/(downsell)</t>
  </si>
  <si>
    <t>Churn by cohort - $</t>
  </si>
  <si>
    <t>ARR, ending</t>
  </si>
  <si>
    <t>CAC</t>
  </si>
  <si>
    <t>Rule of 40</t>
  </si>
  <si>
    <t>Note: LTV is "mathmatical" does not assume any cutoff; need to do cohorts for more exact</t>
  </si>
  <si>
    <t>Liquidation preference multiple</t>
  </si>
  <si>
    <t>Returns scenarios</t>
  </si>
  <si>
    <t>Selling expenses</t>
  </si>
  <si>
    <t>Marketing expenses</t>
  </si>
  <si>
    <t>Churned customers</t>
  </si>
  <si>
    <t>Net upsell/(downsell) - $</t>
  </si>
  <si>
    <t>Implementation expenses</t>
  </si>
  <si>
    <t>CAC payback (months)</t>
  </si>
  <si>
    <t>Total ARR by cohort</t>
  </si>
  <si>
    <t>Recognized revenue</t>
  </si>
  <si>
    <t>Total ARR</t>
  </si>
  <si>
    <t>SaaS magic number</t>
  </si>
  <si>
    <t>Gross profit</t>
  </si>
  <si>
    <t>Net dollar retention %</t>
  </si>
  <si>
    <t>New customer wins</t>
  </si>
  <si>
    <t>Average customer life (years)</t>
  </si>
  <si>
    <t>Before Year -2</t>
  </si>
  <si>
    <t>ARR Waterfall Summary</t>
  </si>
  <si>
    <t>ARR Build</t>
  </si>
  <si>
    <t>% GAAP recognition</t>
  </si>
  <si>
    <t>Gross margin %</t>
  </si>
  <si>
    <t>Supporting metrics</t>
  </si>
  <si>
    <t>Key metrics</t>
  </si>
  <si>
    <t>SaaS metrics</t>
  </si>
  <si>
    <t>Minimum cash balance</t>
  </si>
  <si>
    <t>Sales efficiency</t>
  </si>
  <si>
    <t>Total sales &amp; marketing expenses</t>
  </si>
  <si>
    <t>Unit economics &amp; SaaS metrics</t>
  </si>
  <si>
    <t>Exit proceeds</t>
  </si>
  <si>
    <t>Selling and marketing expenses</t>
  </si>
  <si>
    <t>Overhead expenses</t>
  </si>
  <si>
    <t>Transaction fees</t>
  </si>
  <si>
    <t>Implementation comp per employee</t>
  </si>
  <si>
    <t>Implementation employees</t>
  </si>
  <si>
    <t>Compensation per sales employee</t>
  </si>
  <si>
    <t>Marketing employees</t>
  </si>
  <si>
    <t>Compensation per marketing employee</t>
  </si>
  <si>
    <t>Non-comp marketing spend as % of comp spend</t>
  </si>
  <si>
    <t>Sales employees</t>
  </si>
  <si>
    <t>New sales wins per sales employee</t>
  </si>
  <si>
    <t>Acquisition cost per new customer (CAC)</t>
  </si>
  <si>
    <t>+1 Year</t>
  </si>
  <si>
    <t>+3 Years</t>
  </si>
  <si>
    <t>+2 Years</t>
  </si>
  <si>
    <t>Year 0</t>
  </si>
  <si>
    <t>Use this retention curve unless given otherwise --&gt;</t>
  </si>
  <si>
    <t>Beyond</t>
  </si>
  <si>
    <t>Customer retention %</t>
  </si>
  <si>
    <t>Entry assumptions</t>
  </si>
  <si>
    <t>New debt, beginning</t>
  </si>
  <si>
    <t>New debt, ending</t>
  </si>
  <si>
    <t>% Interest rate</t>
  </si>
  <si>
    <t>Existing debt, beginning</t>
  </si>
  <si>
    <t>Existing debt, ending</t>
  </si>
  <si>
    <t>Capex - % of revenue</t>
  </si>
  <si>
    <t>D&amp;A - % of revenue</t>
  </si>
  <si>
    <t>Amort. years?</t>
  </si>
  <si>
    <t>Yearly exp.</t>
  </si>
  <si>
    <t>Secondary</t>
  </si>
  <si>
    <t>Total company</t>
  </si>
  <si>
    <t>Primary (incl. fees)</t>
  </si>
  <si>
    <t>Equity value (incl. fees)</t>
  </si>
  <si>
    <t>Proceeds to selling shareholders</t>
  </si>
  <si>
    <t>Exit equity value (incl. options)</t>
  </si>
  <si>
    <t>Drivers &amp; assumptions</t>
  </si>
  <si>
    <t>Use this pricing curve unless given otherwise --&gt;</t>
  </si>
  <si>
    <t>Pricing</t>
  </si>
  <si>
    <t>Public trading comparables</t>
  </si>
  <si>
    <t>LTM</t>
  </si>
  <si>
    <t>NTM</t>
  </si>
  <si>
    <t>EV/Revenue</t>
  </si>
  <si>
    <t>Average</t>
  </si>
  <si>
    <t>Median</t>
  </si>
  <si>
    <t>EV/EBITDA</t>
  </si>
  <si>
    <t>Enterprise</t>
  </si>
  <si>
    <t>Value</t>
  </si>
  <si>
    <t>Revenue Growth</t>
  </si>
  <si>
    <t>Valuation metrics</t>
  </si>
  <si>
    <t>Operating metrics</t>
  </si>
  <si>
    <t>Precedent transaction comparables</t>
  </si>
  <si>
    <t>Company E</t>
  </si>
  <si>
    <t>Company D</t>
  </si>
  <si>
    <t>Company C</t>
  </si>
  <si>
    <t>Company B</t>
  </si>
  <si>
    <t>Company A</t>
  </si>
  <si>
    <t>Company 8</t>
  </si>
  <si>
    <t>Company 7</t>
  </si>
  <si>
    <t>Company 6</t>
  </si>
  <si>
    <t>Company 5</t>
  </si>
  <si>
    <t>Company 4</t>
  </si>
  <si>
    <t>Company 3</t>
  </si>
  <si>
    <t>Company 2</t>
  </si>
  <si>
    <t>Company 1</t>
  </si>
  <si>
    <t>Historical trading comparables - Software index</t>
  </si>
  <si>
    <t>Current quarter</t>
  </si>
  <si>
    <t>20 quarters ago</t>
  </si>
  <si>
    <t>19 quarters ago</t>
  </si>
  <si>
    <t>18 quarters ago</t>
  </si>
  <si>
    <t>17 quarters ago</t>
  </si>
  <si>
    <t>16 quarters ago</t>
  </si>
  <si>
    <t>15 quarters ago</t>
  </si>
  <si>
    <t>14 quarters ago</t>
  </si>
  <si>
    <t>13 quarters ago</t>
  </si>
  <si>
    <t>12 quarters ago</t>
  </si>
  <si>
    <t>11 quarters ago</t>
  </si>
  <si>
    <t>10 quarters ago</t>
  </si>
  <si>
    <t>9 quarters ago</t>
  </si>
  <si>
    <t>8 quarters ago</t>
  </si>
  <si>
    <t>7 quarters ago</t>
  </si>
  <si>
    <t>6 quarters ago</t>
  </si>
  <si>
    <t>5 quarters ago</t>
  </si>
  <si>
    <t>4 quarters ago</t>
  </si>
  <si>
    <t>3 quarters ago</t>
  </si>
  <si>
    <t>2 quarters ago</t>
  </si>
  <si>
    <t>1 quarters ago</t>
  </si>
  <si>
    <t>EV/LTM Rev</t>
  </si>
  <si>
    <t>Acquisition</t>
  </si>
  <si>
    <t>Blended LTV</t>
  </si>
  <si>
    <t>Blended average customer churn</t>
  </si>
  <si>
    <t>New logos</t>
  </si>
  <si>
    <t>New customer wins - logos</t>
  </si>
  <si>
    <t>New customer wins - ARR</t>
  </si>
  <si>
    <t>Blended LTV/CAC</t>
  </si>
  <si>
    <t>(+) Transaction fees</t>
  </si>
  <si>
    <t>Cash added to B/S</t>
  </si>
  <si>
    <t>Share price</t>
  </si>
  <si>
    <t>Total new sponsor</t>
  </si>
  <si>
    <t>Ownership stake %</t>
  </si>
  <si>
    <t>Amount of stake sold %</t>
  </si>
  <si>
    <t>Other assumptions</t>
  </si>
  <si>
    <t>Management option pool</t>
  </si>
  <si>
    <t>Management options</t>
  </si>
  <si>
    <t>(+) Cash from options proceeds</t>
  </si>
  <si>
    <t>(-) NOLs used</t>
  </si>
  <si>
    <t>Memo: Maximum allowable NOL used</t>
  </si>
  <si>
    <t>(+) Net operating losses, created</t>
  </si>
  <si>
    <t>(-) Net operating losses, used</t>
  </si>
  <si>
    <t>(+) Use of deferred tax assets</t>
  </si>
  <si>
    <t>Management case</t>
  </si>
  <si>
    <t>Selling &amp; marketing expenses</t>
  </si>
  <si>
    <t>ARR from new customers</t>
  </si>
  <si>
    <t xml:space="preserve">ARPU of new wins </t>
  </si>
  <si>
    <t>Cash shortfall</t>
  </si>
  <si>
    <t>Required cash</t>
  </si>
  <si>
    <t>LTM multiple</t>
  </si>
  <si>
    <t>Implied ownership sold</t>
  </si>
  <si>
    <t>(+) Post-money cash</t>
  </si>
  <si>
    <t>(-) Post-money debt</t>
  </si>
  <si>
    <t>Post-money equity</t>
  </si>
  <si>
    <t>(-) Cash on balance sheet</t>
  </si>
  <si>
    <t>Dilution analysis*</t>
  </si>
  <si>
    <t>*Hypothetical only; does not impact model returns</t>
  </si>
  <si>
    <t>Exit proceeds - M&amp;A</t>
  </si>
  <si>
    <t>Exit proceeds - IPO</t>
  </si>
  <si>
    <t>Exit LTM revenue</t>
  </si>
  <si>
    <t>Initial ownership stake %</t>
  </si>
  <si>
    <t>NTM+1</t>
  </si>
  <si>
    <t>Selected comps</t>
  </si>
  <si>
    <t>Entire comp set</t>
  </si>
  <si>
    <t>Ratio</t>
  </si>
  <si>
    <t>Adjusted valuation</t>
  </si>
  <si>
    <t>Proposed valuation</t>
  </si>
  <si>
    <t>Exit proceeds - Preferred shares w/ Liquidation Preference</t>
  </si>
  <si>
    <t>Exit equity value (incl. options) - total available for distribution</t>
  </si>
  <si>
    <t>Preferred dividend rate</t>
  </si>
  <si>
    <t xml:space="preserve">Initial investment </t>
  </si>
  <si>
    <t>Initial investment</t>
  </si>
  <si>
    <t>Liquidation preference</t>
  </si>
  <si>
    <t>Preferred dividend</t>
  </si>
  <si>
    <t>Cumulative dividends in arrears at exit</t>
  </si>
  <si>
    <t>On/off?</t>
  </si>
  <si>
    <t>Rate</t>
  </si>
  <si>
    <t>Ownership</t>
  </si>
  <si>
    <t>(-) Liquidation preference</t>
  </si>
  <si>
    <t>(-) Preferred dividends</t>
  </si>
  <si>
    <t>Proceeds available for distribution</t>
  </si>
  <si>
    <t>Proceeds available for common</t>
  </si>
  <si>
    <t>(-) Participation proceeds</t>
  </si>
  <si>
    <t>Proceeds available before participation</t>
  </si>
  <si>
    <t>Returns waterfall (as preferred)</t>
  </si>
  <si>
    <t>Returns waterfall (as converted to common)</t>
  </si>
  <si>
    <t>Remaining proceeds for other shareholders</t>
  </si>
  <si>
    <t>(-) Sponsor stake converted to common</t>
  </si>
  <si>
    <t>Total sponsor proceeds</t>
  </si>
  <si>
    <t>Actual sponsor proceeds</t>
  </si>
  <si>
    <t>Total sponsor proceeds before cap</t>
  </si>
  <si>
    <t>Maxmium cap</t>
  </si>
  <si>
    <t>Cap</t>
  </si>
  <si>
    <t>Total sponsor proceeds after cap</t>
  </si>
  <si>
    <t>Sponsor cash flows - Preferred shares</t>
  </si>
  <si>
    <t>Preferred shares (M&amp;A)</t>
  </si>
  <si>
    <t>Transaction assumptions</t>
  </si>
  <si>
    <t>Taxes</t>
  </si>
  <si>
    <t>Exit LTM Revenue</t>
  </si>
  <si>
    <t>Sponsor cash flows</t>
  </si>
  <si>
    <t>Purchase TEV</t>
  </si>
  <si>
    <t>Ending cash balance</t>
  </si>
  <si>
    <t>^ Assumptions to be replaced by your bottom's up revenue &amp; sales forecast ("Cohorts" tab)</t>
  </si>
  <si>
    <t>Expense?</t>
  </si>
  <si>
    <t>Cash balance before paydown</t>
  </si>
  <si>
    <t>Excess cash available for debt paydown</t>
  </si>
  <si>
    <t>(-) Minimum cash balance</t>
  </si>
  <si>
    <t>^ Assumptions to be replaced by your bottom's up revenue &amp; sales forecast ("Cohort" tab)</t>
  </si>
  <si>
    <t>You got this!  :-)</t>
  </si>
  <si>
    <t xml:space="preserve">This template is part of a comprehensive course for growth stage investing interviews &amp; roles. </t>
  </si>
  <si>
    <t>For more video courses and tutorials:</t>
  </si>
  <si>
    <t>All rights reserved. Growth Equity Interview Guide.</t>
  </si>
  <si>
    <t>GO, GO, GO!</t>
  </si>
  <si>
    <t>Practice really does make perfect!</t>
  </si>
  <si>
    <t>Decrease/(increase) to DTA</t>
  </si>
  <si>
    <t>Capitalization table (options issued pre-money)</t>
  </si>
  <si>
    <t>Pre-Money (Post-options)</t>
  </si>
  <si>
    <t>FD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</si>
</sst>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0.0\x"/>
    <numFmt numFmtId="165" formatCode="0.0%"/>
    <numFmt numFmtId="166" formatCode="&quot;Year &quot;0"/>
    <numFmt numFmtId="167" formatCode="&quot;Year &quot;0;\ &quot;Year -&quot;0"/>
    <numFmt numFmtId="168" formatCode="&quot;$&quot;#,##0.0_);\(&quot;$&quot;#,##0.0\)"/>
    <numFmt numFmtId="169" formatCode="#,##0.0_);\(#,##0.0\)"/>
    <numFmt numFmtId="170" formatCode="#,##0.0_);\(#,##0.0\);&quot;-&quot;_)"/>
    <numFmt numFmtId="171" formatCode="0.000"/>
    <numFmt numFmtId="172" formatCode="#,##0.000_);\(#,##0.000\)"/>
    <numFmt numFmtId="173" formatCode="0%;\(0%\);0%"/>
    <numFmt numFmtId="174" formatCode="0.0%;\(0.0%\);0.0%"/>
    <numFmt numFmtId="175" formatCode="&quot;$&quot;#,##0.000_);\(&quot;$&quot;#,##0.000\)"/>
    <numFmt numFmtId="176" formatCode="&quot;Year &quot;0;&quot;Year &quot;\-0"/>
    <numFmt numFmtId="177" formatCode="0.0%;\ \(0.0%\)"/>
    <numFmt numFmtId="178" formatCode="#,##0.0_);[Red]\(#,##0.0\)"/>
    <numFmt numFmtId="179" formatCode="&quot;$&quot;#,##0.0"/>
    <numFmt numFmtId="180" formatCode="0.0\x_);\(0.0\x\)"/>
    <numFmt numFmtId="181" formatCode="0.0%;\(0%\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0000FF"/>
      <name val="Garamond"/>
      <family val="1"/>
    </font>
    <font>
      <u/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theme="0"/>
      <name val="Garamond"/>
      <family val="1"/>
    </font>
    <font>
      <i/>
      <sz val="10"/>
      <color rgb="FF0000FF"/>
      <name val="Garamond"/>
      <family val="1"/>
    </font>
    <font>
      <i/>
      <u/>
      <sz val="10"/>
      <color theme="1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u val="singleAccounting"/>
      <sz val="10"/>
      <color theme="1"/>
      <name val="Garamond"/>
      <family val="1"/>
    </font>
    <font>
      <b/>
      <sz val="10"/>
      <name val="Garamond"/>
      <family val="1"/>
    </font>
    <font>
      <i/>
      <sz val="10"/>
      <color theme="1"/>
      <name val="Arial"/>
      <family val="2"/>
    </font>
    <font>
      <b/>
      <i/>
      <sz val="10"/>
      <color theme="0"/>
      <name val="Garamond"/>
      <family val="1"/>
    </font>
    <font>
      <sz val="10"/>
      <color rgb="FF00B050"/>
      <name val="Garamond"/>
      <family val="1"/>
    </font>
    <font>
      <b/>
      <u val="singleAccounting"/>
      <sz val="10"/>
      <color theme="1"/>
      <name val="Garamond"/>
      <family val="1"/>
    </font>
    <font>
      <b/>
      <u/>
      <sz val="10"/>
      <color theme="1"/>
      <name val="Garamond"/>
      <family val="1"/>
    </font>
    <font>
      <i/>
      <sz val="10"/>
      <color rgb="FFFF0000"/>
      <name val="Garamond"/>
      <family val="1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</cellStyleXfs>
  <cellXfs count="39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3" fillId="3" borderId="0" xfId="0" applyFont="1" applyFill="1"/>
    <xf numFmtId="0" fontId="7" fillId="0" borderId="0" xfId="0" applyFont="1"/>
    <xf numFmtId="0" fontId="3" fillId="0" borderId="1" xfId="0" applyFont="1" applyBorder="1"/>
    <xf numFmtId="0" fontId="9" fillId="0" borderId="0" xfId="0" applyFont="1"/>
    <xf numFmtId="37" fontId="3" fillId="0" borderId="0" xfId="0" applyNumberFormat="1" applyFont="1"/>
    <xf numFmtId="166" fontId="3" fillId="3" borderId="0" xfId="0" applyNumberFormat="1" applyFont="1" applyFill="1"/>
    <xf numFmtId="0" fontId="11" fillId="0" borderId="0" xfId="0" applyFont="1" applyAlignment="1">
      <alignment horizontal="left" indent="1"/>
    </xf>
    <xf numFmtId="9" fontId="3" fillId="0" borderId="0" xfId="0" applyNumberFormat="1" applyFont="1"/>
    <xf numFmtId="5" fontId="6" fillId="0" borderId="0" xfId="0" applyNumberFormat="1" applyFont="1"/>
    <xf numFmtId="37" fontId="6" fillId="0" borderId="0" xfId="0" applyNumberFormat="1" applyFont="1"/>
    <xf numFmtId="0" fontId="11" fillId="0" borderId="0" xfId="0" applyFont="1"/>
    <xf numFmtId="37" fontId="8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right"/>
    </xf>
    <xf numFmtId="0" fontId="13" fillId="2" borderId="0" xfId="0" applyFont="1" applyFill="1" applyAlignment="1">
      <alignment horizontal="right"/>
    </xf>
    <xf numFmtId="0" fontId="3" fillId="4" borderId="0" xfId="0" applyFont="1" applyFill="1"/>
    <xf numFmtId="0" fontId="3" fillId="0" borderId="0" xfId="0" applyFont="1" applyAlignment="1">
      <alignment horizontal="left" indent="1"/>
    </xf>
    <xf numFmtId="0" fontId="11" fillId="4" borderId="0" xfId="0" applyFont="1" applyFill="1" applyAlignment="1">
      <alignment horizontal="center"/>
    </xf>
    <xf numFmtId="5" fontId="14" fillId="0" borderId="0" xfId="0" applyNumberFormat="1" applyFont="1" applyAlignment="1">
      <alignment horizontal="center"/>
    </xf>
    <xf numFmtId="165" fontId="6" fillId="0" borderId="0" xfId="1" applyNumberFormat="1" applyFont="1" applyBorder="1"/>
    <xf numFmtId="165" fontId="14" fillId="0" borderId="0" xfId="1" applyNumberFormat="1" applyFont="1" applyBorder="1"/>
    <xf numFmtId="168" fontId="8" fillId="4" borderId="0" xfId="0" applyNumberFormat="1" applyFont="1" applyFill="1"/>
    <xf numFmtId="169" fontId="6" fillId="0" borderId="0" xfId="0" applyNumberFormat="1" applyFont="1"/>
    <xf numFmtId="0" fontId="15" fillId="0" borderId="0" xfId="0" applyFont="1" applyAlignment="1">
      <alignment horizontal="left" indent="1"/>
    </xf>
    <xf numFmtId="5" fontId="6" fillId="0" borderId="0" xfId="0" applyNumberFormat="1" applyFont="1" applyAlignment="1">
      <alignment horizontal="center"/>
    </xf>
    <xf numFmtId="168" fontId="12" fillId="0" borderId="0" xfId="0" applyNumberFormat="1" applyFont="1"/>
    <xf numFmtId="165" fontId="12" fillId="0" borderId="0" xfId="1" applyNumberFormat="1" applyFont="1" applyBorder="1"/>
    <xf numFmtId="9" fontId="12" fillId="0" borderId="3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16" fillId="4" borderId="2" xfId="0" applyFont="1" applyFill="1" applyBorder="1"/>
    <xf numFmtId="166" fontId="3" fillId="0" borderId="0" xfId="0" applyNumberFormat="1" applyFont="1"/>
    <xf numFmtId="169" fontId="8" fillId="0" borderId="0" xfId="0" applyNumberFormat="1" applyFont="1"/>
    <xf numFmtId="169" fontId="8" fillId="0" borderId="1" xfId="0" applyNumberFormat="1" applyFont="1" applyBorder="1"/>
    <xf numFmtId="170" fontId="6" fillId="0" borderId="0" xfId="0" applyNumberFormat="1" applyFont="1"/>
    <xf numFmtId="170" fontId="8" fillId="0" borderId="0" xfId="0" applyNumberFormat="1" applyFont="1"/>
    <xf numFmtId="165" fontId="3" fillId="0" borderId="0" xfId="1" applyNumberFormat="1" applyFont="1" applyAlignment="1">
      <alignment horizontal="right"/>
    </xf>
    <xf numFmtId="9" fontId="3" fillId="0" borderId="0" xfId="1" applyFont="1"/>
    <xf numFmtId="165" fontId="3" fillId="0" borderId="0" xfId="1" applyNumberFormat="1" applyFont="1"/>
    <xf numFmtId="0" fontId="9" fillId="0" borderId="1" xfId="0" applyFont="1" applyBorder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43" fontId="18" fillId="0" borderId="0" xfId="2" applyNumberFormat="1" applyFont="1" applyAlignment="1">
      <alignment horizontal="center" vertical="center"/>
    </xf>
    <xf numFmtId="5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9" fillId="0" borderId="1" xfId="0" applyFont="1" applyBorder="1" applyAlignment="1">
      <alignment vertical="center"/>
    </xf>
    <xf numFmtId="5" fontId="9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5" fontId="9" fillId="0" borderId="0" xfId="0" applyNumberFormat="1" applyFont="1" applyAlignment="1">
      <alignment vertical="center"/>
    </xf>
    <xf numFmtId="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1" fillId="0" borderId="0" xfId="2" applyFont="1" applyAlignment="1">
      <alignment vertical="center"/>
    </xf>
    <xf numFmtId="43" fontId="18" fillId="0" borderId="0" xfId="2" applyNumberFormat="1" applyFont="1" applyAlignment="1">
      <alignment horizontal="centerContinuous" vertical="center"/>
    </xf>
    <xf numFmtId="172" fontId="7" fillId="0" borderId="0" xfId="2" applyNumberFormat="1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37" fontId="3" fillId="0" borderId="0" xfId="2" applyNumberFormat="1" applyFont="1" applyAlignment="1">
      <alignment vertical="center"/>
    </xf>
    <xf numFmtId="0" fontId="9" fillId="0" borderId="1" xfId="2" applyFont="1" applyBorder="1" applyAlignment="1">
      <alignment vertical="center"/>
    </xf>
    <xf numFmtId="5" fontId="9" fillId="0" borderId="1" xfId="2" applyNumberFormat="1" applyFont="1" applyBorder="1" applyAlignment="1">
      <alignment vertical="center"/>
    </xf>
    <xf numFmtId="37" fontId="9" fillId="0" borderId="1" xfId="2" applyNumberFormat="1" applyFont="1" applyBorder="1" applyAlignment="1">
      <alignment vertical="center"/>
    </xf>
    <xf numFmtId="10" fontId="9" fillId="0" borderId="0" xfId="1" applyNumberFormat="1" applyFont="1" applyBorder="1" applyAlignment="1">
      <alignment vertical="center"/>
    </xf>
    <xf numFmtId="167" fontId="3" fillId="3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5" fontId="8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9" fontId="12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166" fontId="3" fillId="3" borderId="4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71" fontId="11" fillId="0" borderId="0" xfId="0" applyNumberFormat="1" applyFont="1" applyAlignment="1">
      <alignment vertical="center"/>
    </xf>
    <xf numFmtId="171" fontId="11" fillId="0" borderId="7" xfId="0" applyNumberFormat="1" applyFont="1" applyBorder="1" applyAlignment="1">
      <alignment vertical="center"/>
    </xf>
    <xf numFmtId="5" fontId="11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0" fontId="6" fillId="4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66" fontId="9" fillId="0" borderId="1" xfId="0" applyNumberFormat="1" applyFont="1" applyBorder="1"/>
    <xf numFmtId="166" fontId="3" fillId="3" borderId="12" xfId="0" applyNumberFormat="1" applyFont="1" applyFill="1" applyBorder="1"/>
    <xf numFmtId="37" fontId="6" fillId="0" borderId="12" xfId="0" applyNumberFormat="1" applyFont="1" applyBorder="1"/>
    <xf numFmtId="166" fontId="3" fillId="0" borderId="12" xfId="0" applyNumberFormat="1" applyFont="1" applyBorder="1"/>
    <xf numFmtId="175" fontId="6" fillId="0" borderId="0" xfId="0" applyNumberFormat="1" applyFont="1"/>
    <xf numFmtId="175" fontId="6" fillId="0" borderId="12" xfId="0" applyNumberFormat="1" applyFont="1" applyBorder="1"/>
    <xf numFmtId="168" fontId="8" fillId="0" borderId="0" xfId="0" applyNumberFormat="1" applyFont="1"/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 indent="1"/>
    </xf>
    <xf numFmtId="169" fontId="6" fillId="0" borderId="2" xfId="0" applyNumberFormat="1" applyFont="1" applyBorder="1" applyAlignment="1">
      <alignment horizontal="center" vertical="center"/>
    </xf>
    <xf numFmtId="169" fontId="3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0" fontId="3" fillId="0" borderId="0" xfId="2" applyFont="1" applyAlignment="1">
      <alignment horizontal="left" vertical="center" indent="1"/>
    </xf>
    <xf numFmtId="168" fontId="9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7" fontId="3" fillId="0" borderId="0" xfId="0" applyNumberFormat="1" applyFont="1" applyAlignment="1">
      <alignment vertical="center"/>
    </xf>
    <xf numFmtId="176" fontId="3" fillId="3" borderId="0" xfId="0" applyNumberFormat="1" applyFont="1" applyFill="1"/>
    <xf numFmtId="37" fontId="8" fillId="0" borderId="12" xfId="0" applyNumberFormat="1" applyFont="1" applyBorder="1"/>
    <xf numFmtId="168" fontId="3" fillId="0" borderId="12" xfId="0" applyNumberFormat="1" applyFont="1" applyBorder="1"/>
    <xf numFmtId="169" fontId="8" fillId="0" borderId="13" xfId="0" applyNumberFormat="1" applyFont="1" applyBorder="1"/>
    <xf numFmtId="0" fontId="3" fillId="0" borderId="12" xfId="0" applyFont="1" applyBorder="1"/>
    <xf numFmtId="176" fontId="3" fillId="0" borderId="0" xfId="0" applyNumberFormat="1" applyFont="1" applyAlignment="1">
      <alignment horizontal="left"/>
    </xf>
    <xf numFmtId="169" fontId="6" fillId="0" borderId="12" xfId="0" applyNumberFormat="1" applyFont="1" applyBorder="1"/>
    <xf numFmtId="169" fontId="8" fillId="0" borderId="12" xfId="0" applyNumberFormat="1" applyFont="1" applyBorder="1"/>
    <xf numFmtId="176" fontId="3" fillId="0" borderId="0" xfId="0" applyNumberFormat="1" applyFont="1"/>
    <xf numFmtId="166" fontId="7" fillId="0" borderId="0" xfId="0" applyNumberFormat="1" applyFont="1" applyAlignment="1">
      <alignment horizontal="center"/>
    </xf>
    <xf numFmtId="0" fontId="6" fillId="0" borderId="0" xfId="0" applyFont="1"/>
    <xf numFmtId="177" fontId="3" fillId="0" borderId="0" xfId="1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170" fontId="6" fillId="0" borderId="12" xfId="0" applyNumberFormat="1" applyFont="1" applyBorder="1" applyAlignment="1">
      <alignment horizontal="right"/>
    </xf>
    <xf numFmtId="177" fontId="6" fillId="0" borderId="0" xfId="1" applyNumberFormat="1" applyFont="1" applyAlignment="1">
      <alignment horizontal="right"/>
    </xf>
    <xf numFmtId="177" fontId="3" fillId="0" borderId="12" xfId="1" applyNumberFormat="1" applyFont="1" applyBorder="1" applyAlignment="1">
      <alignment horizontal="right"/>
    </xf>
    <xf numFmtId="177" fontId="11" fillId="0" borderId="0" xfId="1" applyNumberFormat="1" applyFont="1" applyAlignment="1">
      <alignment horizontal="center"/>
    </xf>
    <xf numFmtId="168" fontId="8" fillId="0" borderId="12" xfId="0" applyNumberFormat="1" applyFont="1" applyBorder="1"/>
    <xf numFmtId="0" fontId="5" fillId="2" borderId="12" xfId="0" applyFont="1" applyFill="1" applyBorder="1"/>
    <xf numFmtId="168" fontId="3" fillId="0" borderId="0" xfId="0" applyNumberFormat="1" applyFont="1"/>
    <xf numFmtId="0" fontId="17" fillId="0" borderId="0" xfId="0" applyFont="1"/>
    <xf numFmtId="168" fontId="19" fillId="0" borderId="1" xfId="0" applyNumberFormat="1" applyFont="1" applyBorder="1"/>
    <xf numFmtId="168" fontId="19" fillId="0" borderId="13" xfId="0" applyNumberFormat="1" applyFont="1" applyBorder="1"/>
    <xf numFmtId="168" fontId="9" fillId="0" borderId="1" xfId="0" applyNumberFormat="1" applyFont="1" applyBorder="1"/>
    <xf numFmtId="168" fontId="9" fillId="0" borderId="13" xfId="0" applyNumberFormat="1" applyFont="1" applyBorder="1"/>
    <xf numFmtId="168" fontId="19" fillId="0" borderId="0" xfId="0" applyNumberFormat="1" applyFont="1"/>
    <xf numFmtId="168" fontId="19" fillId="0" borderId="12" xfId="0" applyNumberFormat="1" applyFont="1" applyBorder="1"/>
    <xf numFmtId="9" fontId="3" fillId="0" borderId="12" xfId="1" applyFont="1" applyBorder="1"/>
    <xf numFmtId="165" fontId="3" fillId="0" borderId="12" xfId="1" applyNumberFormat="1" applyFont="1" applyBorder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9" fontId="19" fillId="0" borderId="0" xfId="0" applyNumberFormat="1" applyFont="1"/>
    <xf numFmtId="37" fontId="10" fillId="0" borderId="0" xfId="0" applyNumberFormat="1" applyFont="1"/>
    <xf numFmtId="37" fontId="19" fillId="0" borderId="1" xfId="0" applyNumberFormat="1" applyFont="1" applyBorder="1"/>
    <xf numFmtId="37" fontId="19" fillId="0" borderId="13" xfId="0" applyNumberFormat="1" applyFont="1" applyBorder="1"/>
    <xf numFmtId="37" fontId="8" fillId="0" borderId="0" xfId="0" applyNumberFormat="1" applyFont="1" applyAlignment="1">
      <alignment horizontal="center"/>
    </xf>
    <xf numFmtId="175" fontId="8" fillId="0" borderId="12" xfId="0" applyNumberFormat="1" applyFont="1" applyBorder="1"/>
    <xf numFmtId="175" fontId="8" fillId="0" borderId="0" xfId="0" applyNumberFormat="1" applyFont="1"/>
    <xf numFmtId="172" fontId="6" fillId="0" borderId="0" xfId="0" applyNumberFormat="1" applyFont="1"/>
    <xf numFmtId="172" fontId="6" fillId="0" borderId="12" xfId="0" applyNumberFormat="1" applyFont="1" applyBorder="1"/>
    <xf numFmtId="172" fontId="8" fillId="0" borderId="0" xfId="0" applyNumberFormat="1" applyFont="1"/>
    <xf numFmtId="172" fontId="8" fillId="0" borderId="12" xfId="0" applyNumberFormat="1" applyFont="1" applyBorder="1"/>
    <xf numFmtId="175" fontId="3" fillId="0" borderId="0" xfId="0" applyNumberFormat="1" applyFont="1"/>
    <xf numFmtId="175" fontId="3" fillId="0" borderId="12" xfId="0" applyNumberFormat="1" applyFont="1" applyBorder="1"/>
    <xf numFmtId="166" fontId="3" fillId="0" borderId="0" xfId="0" quotePrefix="1" applyNumberFormat="1" applyFont="1" applyAlignment="1">
      <alignment horizontal="center"/>
    </xf>
    <xf numFmtId="175" fontId="12" fillId="0" borderId="0" xfId="0" applyNumberFormat="1" applyFont="1"/>
    <xf numFmtId="0" fontId="5" fillId="2" borderId="12" xfId="0" applyFont="1" applyFill="1" applyBorder="1" applyAlignment="1">
      <alignment vertical="center"/>
    </xf>
    <xf numFmtId="166" fontId="3" fillId="3" borderId="12" xfId="0" applyNumberFormat="1" applyFont="1" applyFill="1" applyBorder="1" applyAlignment="1">
      <alignment vertical="center"/>
    </xf>
    <xf numFmtId="5" fontId="8" fillId="0" borderId="12" xfId="0" applyNumberFormat="1" applyFont="1" applyBorder="1" applyAlignment="1">
      <alignment vertical="center"/>
    </xf>
    <xf numFmtId="9" fontId="12" fillId="0" borderId="12" xfId="1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5" fontId="3" fillId="0" borderId="12" xfId="0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166" fontId="8" fillId="3" borderId="12" xfId="0" applyNumberFormat="1" applyFont="1" applyFill="1" applyBorder="1" applyAlignment="1">
      <alignment horizontal="right" vertical="center"/>
    </xf>
    <xf numFmtId="171" fontId="11" fillId="0" borderId="12" xfId="0" applyNumberFormat="1" applyFont="1" applyBorder="1" applyAlignment="1">
      <alignment vertical="center"/>
    </xf>
    <xf numFmtId="5" fontId="11" fillId="0" borderId="12" xfId="0" applyNumberFormat="1" applyFont="1" applyBorder="1" applyAlignment="1">
      <alignment vertical="center"/>
    </xf>
    <xf numFmtId="165" fontId="10" fillId="0" borderId="12" xfId="0" applyNumberFormat="1" applyFont="1" applyBorder="1" applyAlignment="1">
      <alignment vertical="center"/>
    </xf>
    <xf numFmtId="165" fontId="12" fillId="0" borderId="0" xfId="0" applyNumberFormat="1" applyFont="1"/>
    <xf numFmtId="169" fontId="19" fillId="0" borderId="12" xfId="0" applyNumberFormat="1" applyFont="1" applyBorder="1"/>
    <xf numFmtId="175" fontId="12" fillId="0" borderId="12" xfId="0" applyNumberFormat="1" applyFont="1" applyBorder="1"/>
    <xf numFmtId="164" fontId="3" fillId="0" borderId="0" xfId="0" applyNumberFormat="1" applyFont="1"/>
    <xf numFmtId="9" fontId="3" fillId="0" borderId="0" xfId="1" quotePrefix="1" applyFont="1" applyAlignment="1">
      <alignment horizontal="right"/>
    </xf>
    <xf numFmtId="0" fontId="11" fillId="0" borderId="0" xfId="0" applyFont="1" applyAlignment="1">
      <alignment horizontal="left"/>
    </xf>
    <xf numFmtId="172" fontId="12" fillId="0" borderId="0" xfId="0" applyNumberFormat="1" applyFont="1"/>
    <xf numFmtId="172" fontId="12" fillId="0" borderId="12" xfId="0" applyNumberFormat="1" applyFont="1" applyBorder="1"/>
    <xf numFmtId="165" fontId="22" fillId="0" borderId="0" xfId="0" applyNumberFormat="1" applyFont="1"/>
    <xf numFmtId="165" fontId="22" fillId="0" borderId="12" xfId="0" applyNumberFormat="1" applyFont="1" applyBorder="1"/>
    <xf numFmtId="37" fontId="10" fillId="0" borderId="12" xfId="0" applyNumberFormat="1" applyFont="1" applyBorder="1"/>
    <xf numFmtId="164" fontId="3" fillId="0" borderId="12" xfId="0" applyNumberFormat="1" applyFont="1" applyBorder="1"/>
    <xf numFmtId="167" fontId="3" fillId="3" borderId="12" xfId="0" applyNumberFormat="1" applyFont="1" applyFill="1" applyBorder="1" applyAlignment="1">
      <alignment vertical="center"/>
    </xf>
    <xf numFmtId="174" fontId="12" fillId="0" borderId="0" xfId="1" applyNumberFormat="1" applyFont="1" applyFill="1" applyBorder="1" applyAlignment="1">
      <alignment vertical="center"/>
    </xf>
    <xf numFmtId="174" fontId="12" fillId="0" borderId="12" xfId="1" applyNumberFormat="1" applyFont="1" applyFill="1" applyBorder="1" applyAlignment="1">
      <alignment vertical="center"/>
    </xf>
    <xf numFmtId="174" fontId="12" fillId="0" borderId="0" xfId="0" applyNumberFormat="1" applyFont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165" fontId="12" fillId="0" borderId="12" xfId="1" applyNumberFormat="1" applyFont="1" applyFill="1" applyBorder="1" applyAlignment="1">
      <alignment vertical="center"/>
    </xf>
    <xf numFmtId="165" fontId="14" fillId="4" borderId="0" xfId="0" applyNumberFormat="1" applyFont="1" applyFill="1" applyAlignment="1">
      <alignment vertical="center"/>
    </xf>
    <xf numFmtId="168" fontId="22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12" xfId="0" applyNumberFormat="1" applyFont="1" applyBorder="1" applyAlignment="1">
      <alignment vertical="center"/>
    </xf>
    <xf numFmtId="168" fontId="8" fillId="0" borderId="12" xfId="0" applyNumberFormat="1" applyFont="1" applyBorder="1" applyAlignment="1">
      <alignment vertical="center"/>
    </xf>
    <xf numFmtId="169" fontId="8" fillId="0" borderId="0" xfId="0" applyNumberFormat="1" applyFont="1" applyAlignment="1">
      <alignment vertical="center"/>
    </xf>
    <xf numFmtId="168" fontId="8" fillId="0" borderId="5" xfId="0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169" fontId="8" fillId="0" borderId="5" xfId="0" applyNumberFormat="1" applyFont="1" applyBorder="1" applyAlignment="1">
      <alignment vertical="center"/>
    </xf>
    <xf numFmtId="169" fontId="8" fillId="0" borderId="12" xfId="0" applyNumberFormat="1" applyFont="1" applyBorder="1" applyAlignment="1">
      <alignment vertical="center"/>
    </xf>
    <xf numFmtId="169" fontId="3" fillId="0" borderId="5" xfId="0" applyNumberFormat="1" applyFont="1" applyBorder="1" applyAlignment="1">
      <alignment vertical="center"/>
    </xf>
    <xf numFmtId="168" fontId="9" fillId="0" borderId="6" xfId="0" applyNumberFormat="1" applyFont="1" applyBorder="1" applyAlignment="1">
      <alignment vertical="center"/>
    </xf>
    <xf numFmtId="168" fontId="19" fillId="0" borderId="13" xfId="0" applyNumberFormat="1" applyFont="1" applyBorder="1" applyAlignment="1">
      <alignment vertical="center"/>
    </xf>
    <xf numFmtId="168" fontId="3" fillId="0" borderId="5" xfId="0" applyNumberFormat="1" applyFont="1" applyBorder="1" applyAlignment="1">
      <alignment vertical="center"/>
    </xf>
    <xf numFmtId="168" fontId="9" fillId="0" borderId="13" xfId="0" applyNumberFormat="1" applyFont="1" applyBorder="1" applyAlignment="1">
      <alignment vertical="center"/>
    </xf>
    <xf numFmtId="168" fontId="3" fillId="0" borderId="12" xfId="0" applyNumberFormat="1" applyFont="1" applyBorder="1" applyAlignment="1">
      <alignment vertical="center"/>
    </xf>
    <xf numFmtId="168" fontId="11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9" fontId="3" fillId="0" borderId="0" xfId="2" applyNumberFormat="1" applyFont="1" applyAlignment="1">
      <alignment vertical="center"/>
    </xf>
    <xf numFmtId="168" fontId="9" fillId="0" borderId="1" xfId="2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65" fontId="9" fillId="0" borderId="1" xfId="1" applyNumberFormat="1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9" fontId="6" fillId="4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8" fontId="16" fillId="4" borderId="13" xfId="0" applyNumberFormat="1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vertical="center"/>
    </xf>
    <xf numFmtId="166" fontId="3" fillId="3" borderId="17" xfId="0" applyNumberFormat="1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164" fontId="8" fillId="0" borderId="19" xfId="0" applyNumberFormat="1" applyFont="1" applyBorder="1" applyAlignment="1">
      <alignment vertical="center"/>
    </xf>
    <xf numFmtId="174" fontId="3" fillId="0" borderId="19" xfId="0" applyNumberFormat="1" applyFont="1" applyBorder="1" applyAlignment="1">
      <alignment vertical="center"/>
    </xf>
    <xf numFmtId="168" fontId="3" fillId="0" borderId="19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68" fontId="3" fillId="0" borderId="22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4" fontId="11" fillId="0" borderId="2" xfId="0" applyNumberFormat="1" applyFont="1" applyBorder="1" applyAlignment="1">
      <alignment horizontal="center" vertical="center"/>
    </xf>
    <xf numFmtId="168" fontId="19" fillId="0" borderId="12" xfId="0" applyNumberFormat="1" applyFont="1" applyBorder="1" applyAlignment="1">
      <alignment vertical="center"/>
    </xf>
    <xf numFmtId="169" fontId="6" fillId="4" borderId="0" xfId="0" applyNumberFormat="1" applyFont="1" applyFill="1"/>
    <xf numFmtId="169" fontId="6" fillId="4" borderId="12" xfId="0" applyNumberFormat="1" applyFont="1" applyFill="1" applyBorder="1"/>
    <xf numFmtId="39" fontId="6" fillId="4" borderId="0" xfId="0" applyNumberFormat="1" applyFont="1" applyFill="1"/>
    <xf numFmtId="39" fontId="6" fillId="4" borderId="12" xfId="0" applyNumberFormat="1" applyFont="1" applyFill="1" applyBorder="1"/>
    <xf numFmtId="9" fontId="6" fillId="4" borderId="0" xfId="0" applyNumberFormat="1" applyFont="1" applyFill="1"/>
    <xf numFmtId="9" fontId="6" fillId="4" borderId="12" xfId="0" applyNumberFormat="1" applyFont="1" applyFill="1" applyBorder="1"/>
    <xf numFmtId="175" fontId="6" fillId="4" borderId="0" xfId="0" applyNumberFormat="1" applyFont="1" applyFill="1"/>
    <xf numFmtId="172" fontId="6" fillId="4" borderId="0" xfId="0" applyNumberFormat="1" applyFont="1" applyFill="1"/>
    <xf numFmtId="177" fontId="6" fillId="4" borderId="0" xfId="1" applyNumberFormat="1" applyFont="1" applyFill="1" applyAlignment="1">
      <alignment horizontal="right"/>
    </xf>
    <xf numFmtId="5" fontId="6" fillId="4" borderId="0" xfId="0" applyNumberFormat="1" applyFont="1" applyFill="1" applyAlignment="1">
      <alignment horizontal="right"/>
    </xf>
    <xf numFmtId="5" fontId="6" fillId="4" borderId="12" xfId="0" applyNumberFormat="1" applyFont="1" applyFill="1" applyBorder="1" applyAlignment="1">
      <alignment horizontal="right"/>
    </xf>
    <xf numFmtId="165" fontId="6" fillId="4" borderId="0" xfId="0" applyNumberFormat="1" applyFont="1" applyFill="1" applyAlignment="1">
      <alignment horizontal="right"/>
    </xf>
    <xf numFmtId="165" fontId="6" fillId="4" borderId="12" xfId="0" applyNumberFormat="1" applyFont="1" applyFill="1" applyBorder="1" applyAlignment="1">
      <alignment horizontal="right"/>
    </xf>
    <xf numFmtId="175" fontId="19" fillId="0" borderId="1" xfId="0" applyNumberFormat="1" applyFont="1" applyBorder="1" applyAlignment="1">
      <alignment horizontal="right"/>
    </xf>
    <xf numFmtId="175" fontId="19" fillId="0" borderId="13" xfId="0" applyNumberFormat="1" applyFont="1" applyBorder="1" applyAlignment="1">
      <alignment horizontal="right"/>
    </xf>
    <xf numFmtId="166" fontId="11" fillId="0" borderId="0" xfId="0" quotePrefix="1" applyNumberFormat="1" applyFont="1" applyAlignment="1">
      <alignment horizontal="center"/>
    </xf>
    <xf numFmtId="168" fontId="6" fillId="4" borderId="0" xfId="0" applyNumberFormat="1" applyFont="1" applyFill="1"/>
    <xf numFmtId="0" fontId="3" fillId="0" borderId="25" xfId="0" applyFont="1" applyBorder="1"/>
    <xf numFmtId="0" fontId="3" fillId="0" borderId="14" xfId="0" applyFont="1" applyBorder="1"/>
    <xf numFmtId="177" fontId="6" fillId="0" borderId="14" xfId="1" applyNumberFormat="1" applyFont="1" applyBorder="1" applyAlignment="1">
      <alignment horizontal="right"/>
    </xf>
    <xf numFmtId="177" fontId="6" fillId="0" borderId="26" xfId="1" applyNumberFormat="1" applyFont="1" applyBorder="1" applyAlignment="1">
      <alignment horizontal="right"/>
    </xf>
    <xf numFmtId="168" fontId="8" fillId="0" borderId="0" xfId="2" applyNumberFormat="1" applyFont="1" applyAlignment="1">
      <alignment vertical="center"/>
    </xf>
    <xf numFmtId="169" fontId="8" fillId="0" borderId="0" xfId="2" applyNumberFormat="1" applyFont="1" applyAlignment="1">
      <alignment vertical="center"/>
    </xf>
    <xf numFmtId="37" fontId="6" fillId="4" borderId="0" xfId="2" applyNumberFormat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169" fontId="6" fillId="0" borderId="27" xfId="0" applyNumberFormat="1" applyFont="1" applyBorder="1" applyAlignment="1">
      <alignment horizontal="center" vertical="center"/>
    </xf>
    <xf numFmtId="169" fontId="10" fillId="0" borderId="0" xfId="0" applyNumberFormat="1" applyFont="1" applyAlignment="1">
      <alignment vertical="center"/>
    </xf>
    <xf numFmtId="179" fontId="6" fillId="4" borderId="0" xfId="0" applyNumberFormat="1" applyFont="1" applyFill="1" applyAlignment="1">
      <alignment vertical="center"/>
    </xf>
    <xf numFmtId="0" fontId="17" fillId="0" borderId="1" xfId="0" applyFont="1" applyBorder="1" applyAlignment="1">
      <alignment vertical="center"/>
    </xf>
    <xf numFmtId="169" fontId="6" fillId="4" borderId="0" xfId="2" applyNumberFormat="1" applyFont="1" applyFill="1" applyAlignment="1">
      <alignment vertical="center"/>
    </xf>
    <xf numFmtId="37" fontId="9" fillId="0" borderId="0" xfId="0" applyNumberFormat="1" applyFont="1"/>
    <xf numFmtId="37" fontId="17" fillId="0" borderId="0" xfId="0" applyNumberFormat="1" applyFont="1"/>
    <xf numFmtId="37" fontId="2" fillId="0" borderId="0" xfId="0" applyNumberFormat="1" applyFont="1"/>
    <xf numFmtId="175" fontId="6" fillId="0" borderId="14" xfId="0" applyNumberFormat="1" applyFont="1" applyBorder="1"/>
    <xf numFmtId="175" fontId="6" fillId="0" borderId="26" xfId="0" applyNumberFormat="1" applyFont="1" applyBorder="1"/>
    <xf numFmtId="37" fontId="19" fillId="0" borderId="0" xfId="0" applyNumberFormat="1" applyFont="1"/>
    <xf numFmtId="37" fontId="19" fillId="0" borderId="12" xfId="0" applyNumberFormat="1" applyFont="1" applyBorder="1"/>
    <xf numFmtId="0" fontId="23" fillId="0" borderId="0" xfId="0" applyFont="1" applyAlignment="1">
      <alignment horizontal="centerContinuous" vertical="center"/>
    </xf>
    <xf numFmtId="0" fontId="9" fillId="0" borderId="14" xfId="0" applyFont="1" applyBorder="1" applyAlignment="1">
      <alignment vertical="center"/>
    </xf>
    <xf numFmtId="168" fontId="8" fillId="0" borderId="0" xfId="0" applyNumberFormat="1" applyFont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168" fontId="19" fillId="0" borderId="21" xfId="0" applyNumberFormat="1" applyFont="1" applyBorder="1" applyAlignment="1">
      <alignment horizontal="right" vertical="center"/>
    </xf>
    <xf numFmtId="0" fontId="9" fillId="0" borderId="23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73" fontId="6" fillId="0" borderId="0" xfId="0" applyNumberFormat="1" applyFont="1" applyAlignment="1">
      <alignment vertical="center"/>
    </xf>
    <xf numFmtId="180" fontId="8" fillId="0" borderId="0" xfId="0" applyNumberFormat="1" applyFont="1" applyAlignment="1">
      <alignment vertical="center"/>
    </xf>
    <xf numFmtId="180" fontId="3" fillId="0" borderId="0" xfId="0" applyNumberFormat="1" applyFont="1" applyAlignment="1">
      <alignment vertical="center"/>
    </xf>
    <xf numFmtId="180" fontId="19" fillId="0" borderId="1" xfId="0" applyNumberFormat="1" applyFont="1" applyBorder="1" applyAlignment="1">
      <alignment vertical="center"/>
    </xf>
    <xf numFmtId="180" fontId="19" fillId="0" borderId="24" xfId="0" applyNumberFormat="1" applyFont="1" applyBorder="1" applyAlignment="1">
      <alignment vertical="center"/>
    </xf>
    <xf numFmtId="180" fontId="19" fillId="0" borderId="14" xfId="0" applyNumberFormat="1" applyFont="1" applyBorder="1" applyAlignment="1">
      <alignment vertical="center"/>
    </xf>
    <xf numFmtId="180" fontId="9" fillId="0" borderId="14" xfId="0" applyNumberFormat="1" applyFont="1" applyBorder="1"/>
    <xf numFmtId="180" fontId="19" fillId="0" borderId="26" xfId="0" applyNumberFormat="1" applyFont="1" applyBorder="1" applyAlignment="1">
      <alignment vertical="center"/>
    </xf>
    <xf numFmtId="180" fontId="6" fillId="0" borderId="0" xfId="0" applyNumberFormat="1" applyFont="1" applyAlignment="1">
      <alignment vertical="center"/>
    </xf>
    <xf numFmtId="180" fontId="3" fillId="0" borderId="0" xfId="0" applyNumberFormat="1" applyFont="1"/>
    <xf numFmtId="165" fontId="8" fillId="0" borderId="0" xfId="0" applyNumberFormat="1" applyFont="1"/>
    <xf numFmtId="165" fontId="8" fillId="0" borderId="12" xfId="0" applyNumberFormat="1" applyFont="1" applyBorder="1"/>
    <xf numFmtId="0" fontId="9" fillId="3" borderId="9" xfId="0" applyFont="1" applyFill="1" applyBorder="1" applyAlignment="1">
      <alignment horizontal="centerContinuous" vertical="center"/>
    </xf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169" fontId="8" fillId="3" borderId="23" xfId="0" applyNumberFormat="1" applyFont="1" applyFill="1" applyBorder="1" applyAlignment="1">
      <alignment horizontal="left"/>
    </xf>
    <xf numFmtId="169" fontId="8" fillId="3" borderId="1" xfId="0" applyNumberFormat="1" applyFont="1" applyFill="1" applyBorder="1" applyAlignment="1">
      <alignment horizontal="right"/>
    </xf>
    <xf numFmtId="169" fontId="8" fillId="3" borderId="1" xfId="0" quotePrefix="1" applyNumberFormat="1" applyFont="1" applyFill="1" applyBorder="1" applyAlignment="1">
      <alignment horizontal="right"/>
    </xf>
    <xf numFmtId="169" fontId="8" fillId="3" borderId="24" xfId="0" quotePrefix="1" applyNumberFormat="1" applyFont="1" applyFill="1" applyBorder="1" applyAlignment="1">
      <alignment horizontal="right"/>
    </xf>
    <xf numFmtId="0" fontId="9" fillId="0" borderId="0" xfId="2" applyFont="1" applyAlignment="1">
      <alignment vertical="center"/>
    </xf>
    <xf numFmtId="5" fontId="9" fillId="0" borderId="0" xfId="2" applyNumberFormat="1" applyFont="1" applyAlignment="1">
      <alignment vertical="center"/>
    </xf>
    <xf numFmtId="37" fontId="9" fillId="0" borderId="0" xfId="2" applyNumberFormat="1" applyFont="1" applyAlignment="1">
      <alignment vertical="center"/>
    </xf>
    <xf numFmtId="7" fontId="8" fillId="0" borderId="0" xfId="0" applyNumberFormat="1" applyFont="1" applyAlignment="1">
      <alignment vertical="center"/>
    </xf>
    <xf numFmtId="9" fontId="6" fillId="4" borderId="0" xfId="0" applyNumberFormat="1" applyFont="1" applyFill="1" applyAlignment="1">
      <alignment vertical="center"/>
    </xf>
    <xf numFmtId="168" fontId="6" fillId="4" borderId="0" xfId="0" applyNumberFormat="1" applyFont="1" applyFill="1" applyAlignment="1">
      <alignment vertical="center"/>
    </xf>
    <xf numFmtId="169" fontId="11" fillId="0" borderId="0" xfId="0" applyNumberFormat="1" applyFont="1" applyAlignment="1">
      <alignment vertical="center"/>
    </xf>
    <xf numFmtId="165" fontId="14" fillId="0" borderId="12" xfId="1" applyNumberFormat="1" applyFont="1" applyBorder="1"/>
    <xf numFmtId="165" fontId="6" fillId="0" borderId="12" xfId="1" applyNumberFormat="1" applyFont="1" applyBorder="1"/>
    <xf numFmtId="168" fontId="12" fillId="0" borderId="12" xfId="0" applyNumberFormat="1" applyFont="1" applyBorder="1"/>
    <xf numFmtId="168" fontId="22" fillId="4" borderId="12" xfId="0" applyNumberFormat="1" applyFont="1" applyFill="1" applyBorder="1"/>
    <xf numFmtId="181" fontId="12" fillId="0" borderId="0" xfId="0" applyNumberFormat="1" applyFont="1"/>
    <xf numFmtId="181" fontId="12" fillId="0" borderId="12" xfId="0" applyNumberFormat="1" applyFont="1" applyBorder="1" applyAlignment="1">
      <alignment horizontal="right"/>
    </xf>
    <xf numFmtId="181" fontId="12" fillId="0" borderId="0" xfId="0" applyNumberFormat="1" applyFont="1" applyAlignment="1">
      <alignment horizontal="right"/>
    </xf>
    <xf numFmtId="169" fontId="22" fillId="0" borderId="0" xfId="0" applyNumberFormat="1" applyFont="1"/>
    <xf numFmtId="0" fontId="3" fillId="0" borderId="23" xfId="0" applyFont="1" applyBorder="1"/>
    <xf numFmtId="0" fontId="3" fillId="0" borderId="24" xfId="0" applyFont="1" applyBorder="1"/>
    <xf numFmtId="0" fontId="19" fillId="0" borderId="9" xfId="0" applyFont="1" applyBorder="1"/>
    <xf numFmtId="0" fontId="16" fillId="0" borderId="10" xfId="0" applyFont="1" applyBorder="1"/>
    <xf numFmtId="0" fontId="3" fillId="0" borderId="28" xfId="0" applyFont="1" applyBorder="1"/>
    <xf numFmtId="0" fontId="3" fillId="0" borderId="29" xfId="0" applyFont="1" applyBorder="1"/>
    <xf numFmtId="9" fontId="12" fillId="0" borderId="0" xfId="1" applyFont="1" applyBorder="1" applyAlignment="1">
      <alignment horizontal="center"/>
    </xf>
    <xf numFmtId="0" fontId="9" fillId="0" borderId="12" xfId="0" applyFont="1" applyBorder="1" applyAlignment="1">
      <alignment vertical="center"/>
    </xf>
    <xf numFmtId="174" fontId="3" fillId="0" borderId="0" xfId="0" applyNumberFormat="1" applyFont="1" applyAlignment="1">
      <alignment vertical="center"/>
    </xf>
    <xf numFmtId="168" fontId="6" fillId="0" borderId="0" xfId="0" applyNumberFormat="1" applyFont="1" applyAlignment="1">
      <alignment horizontal="right" vertical="center"/>
    </xf>
    <xf numFmtId="175" fontId="3" fillId="0" borderId="0" xfId="0" applyNumberFormat="1" applyFont="1" applyAlignment="1">
      <alignment vertical="center"/>
    </xf>
    <xf numFmtId="0" fontId="11" fillId="0" borderId="0" xfId="0" quotePrefix="1" applyFont="1" applyAlignment="1">
      <alignment vertical="center"/>
    </xf>
    <xf numFmtId="9" fontId="8" fillId="0" borderId="0" xfId="0" applyNumberFormat="1" applyFont="1" applyAlignment="1">
      <alignment vertical="center"/>
    </xf>
    <xf numFmtId="166" fontId="3" fillId="0" borderId="19" xfId="0" applyNumberFormat="1" applyFont="1" applyBorder="1" applyAlignment="1">
      <alignment vertical="center"/>
    </xf>
    <xf numFmtId="173" fontId="3" fillId="0" borderId="0" xfId="0" applyNumberFormat="1" applyFont="1" applyAlignment="1">
      <alignment vertical="center"/>
    </xf>
    <xf numFmtId="173" fontId="8" fillId="0" borderId="0" xfId="0" applyNumberFormat="1" applyFont="1" applyAlignment="1">
      <alignment vertical="center"/>
    </xf>
    <xf numFmtId="173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5" fontId="6" fillId="5" borderId="0" xfId="0" applyNumberFormat="1" applyFont="1" applyFill="1" applyAlignment="1">
      <alignment vertical="center"/>
    </xf>
    <xf numFmtId="4" fontId="3" fillId="5" borderId="0" xfId="0" applyNumberFormat="1" applyFont="1" applyFill="1" applyAlignment="1">
      <alignment vertical="center"/>
    </xf>
    <xf numFmtId="180" fontId="8" fillId="5" borderId="0" xfId="0" applyNumberFormat="1" applyFont="1" applyFill="1" applyAlignment="1">
      <alignment vertical="center"/>
    </xf>
    <xf numFmtId="5" fontId="8" fillId="5" borderId="0" xfId="0" applyNumberFormat="1" applyFont="1" applyFill="1" applyAlignment="1">
      <alignment vertical="center"/>
    </xf>
    <xf numFmtId="173" fontId="6" fillId="5" borderId="0" xfId="0" applyNumberFormat="1" applyFont="1" applyFill="1" applyAlignment="1">
      <alignment vertical="center"/>
    </xf>
    <xf numFmtId="173" fontId="8" fillId="5" borderId="0" xfId="0" applyNumberFormat="1" applyFont="1" applyFill="1" applyAlignment="1">
      <alignment vertical="center"/>
    </xf>
    <xf numFmtId="180" fontId="19" fillId="0" borderId="0" xfId="0" applyNumberFormat="1" applyFont="1" applyAlignment="1">
      <alignment vertical="center"/>
    </xf>
    <xf numFmtId="180" fontId="9" fillId="0" borderId="0" xfId="0" applyNumberFormat="1" applyFont="1"/>
    <xf numFmtId="0" fontId="9" fillId="0" borderId="10" xfId="0" applyFont="1" applyBorder="1" applyAlignment="1">
      <alignment vertical="center"/>
    </xf>
    <xf numFmtId="180" fontId="19" fillId="0" borderId="10" xfId="0" applyNumberFormat="1" applyFont="1" applyBorder="1" applyAlignment="1">
      <alignment vertical="center"/>
    </xf>
    <xf numFmtId="180" fontId="9" fillId="0" borderId="10" xfId="0" applyNumberFormat="1" applyFont="1" applyBorder="1"/>
    <xf numFmtId="180" fontId="19" fillId="0" borderId="11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9" xfId="0" applyFont="1" applyBorder="1"/>
    <xf numFmtId="0" fontId="3" fillId="0" borderId="10" xfId="0" applyFont="1" applyBorder="1"/>
    <xf numFmtId="180" fontId="9" fillId="0" borderId="11" xfId="0" applyNumberFormat="1" applyFont="1" applyBorder="1"/>
    <xf numFmtId="0" fontId="3" fillId="5" borderId="23" xfId="0" applyFont="1" applyFill="1" applyBorder="1"/>
    <xf numFmtId="180" fontId="3" fillId="5" borderId="24" xfId="0" applyNumberFormat="1" applyFont="1" applyFill="1" applyBorder="1"/>
    <xf numFmtId="0" fontId="3" fillId="5" borderId="25" xfId="0" applyFont="1" applyFill="1" applyBorder="1"/>
    <xf numFmtId="180" fontId="3" fillId="5" borderId="26" xfId="0" applyNumberFormat="1" applyFont="1" applyFill="1" applyBorder="1"/>
    <xf numFmtId="0" fontId="11" fillId="0" borderId="12" xfId="0" applyFont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164" fontId="6" fillId="0" borderId="12" xfId="0" applyNumberFormat="1" applyFont="1" applyBorder="1" applyAlignment="1">
      <alignment vertical="center"/>
    </xf>
    <xf numFmtId="5" fontId="9" fillId="0" borderId="13" xfId="0" applyNumberFormat="1" applyFont="1" applyBorder="1" applyAlignment="1">
      <alignment vertical="center"/>
    </xf>
    <xf numFmtId="37" fontId="3" fillId="0" borderId="12" xfId="0" applyNumberFormat="1" applyFont="1" applyBorder="1" applyAlignment="1">
      <alignment vertical="center"/>
    </xf>
    <xf numFmtId="5" fontId="9" fillId="0" borderId="12" xfId="0" applyNumberFormat="1" applyFont="1" applyBorder="1" applyAlignment="1">
      <alignment vertical="center"/>
    </xf>
    <xf numFmtId="9" fontId="6" fillId="0" borderId="0" xfId="0" applyNumberFormat="1" applyFont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10" fontId="8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" fillId="0" borderId="31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165" fontId="14" fillId="0" borderId="0" xfId="0" applyNumberFormat="1" applyFont="1" applyAlignment="1">
      <alignment vertical="center"/>
    </xf>
    <xf numFmtId="169" fontId="3" fillId="0" borderId="12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25" fillId="6" borderId="0" xfId="0" applyFont="1" applyFill="1" applyAlignment="1">
      <alignment horizontal="left" vertical="center" indent="1"/>
    </xf>
    <xf numFmtId="174" fontId="12" fillId="6" borderId="0" xfId="1" applyNumberFormat="1" applyFont="1" applyFill="1" applyBorder="1" applyAlignment="1">
      <alignment vertical="center"/>
    </xf>
    <xf numFmtId="174" fontId="12" fillId="6" borderId="12" xfId="1" applyNumberFormat="1" applyFont="1" applyFill="1" applyBorder="1" applyAlignment="1">
      <alignment vertical="center"/>
    </xf>
    <xf numFmtId="165" fontId="14" fillId="6" borderId="0" xfId="0" applyNumberFormat="1" applyFont="1" applyFill="1" applyAlignment="1">
      <alignment vertical="center"/>
    </xf>
    <xf numFmtId="169" fontId="3" fillId="0" borderId="2" xfId="0" applyNumberFormat="1" applyFont="1" applyBorder="1" applyAlignment="1">
      <alignment vertical="center"/>
    </xf>
    <xf numFmtId="165" fontId="10" fillId="0" borderId="13" xfId="0" applyNumberFormat="1" applyFont="1" applyBorder="1" applyAlignment="1">
      <alignment vertical="center"/>
    </xf>
    <xf numFmtId="0" fontId="26" fillId="2" borderId="0" xfId="0" applyFont="1" applyFill="1"/>
    <xf numFmtId="0" fontId="0" fillId="2" borderId="0" xfId="0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2" fillId="2" borderId="0" xfId="3" applyFont="1" applyFill="1"/>
    <xf numFmtId="0" fontId="33" fillId="2" borderId="0" xfId="3" applyFont="1" applyFill="1"/>
    <xf numFmtId="0" fontId="34" fillId="2" borderId="0" xfId="0" applyFont="1" applyFill="1"/>
    <xf numFmtId="168" fontId="6" fillId="4" borderId="0" xfId="2" applyNumberFormat="1" applyFont="1" applyFill="1" applyAlignment="1">
      <alignment vertical="center"/>
    </xf>
    <xf numFmtId="37" fontId="10" fillId="0" borderId="0" xfId="2" applyNumberFormat="1" applyFont="1" applyAlignment="1">
      <alignment vertical="center"/>
    </xf>
  </cellXfs>
  <cellStyles count="4">
    <cellStyle name="Hyperlink" xfId="3" builtinId="8"/>
    <cellStyle name="Normal" xfId="0" builtinId="0"/>
    <cellStyle name="Normal 2" xfId="2" xr:uid="{FE34F453-BE46-4638-A718-6F04F1594BE6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Median EV/LTM Revenue - Software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(Start)'!$B$47:$B$67</c:f>
              <c:strCache>
                <c:ptCount val="21"/>
                <c:pt idx="0">
                  <c:v>20 quarters ago</c:v>
                </c:pt>
                <c:pt idx="1">
                  <c:v>19 quarters ago</c:v>
                </c:pt>
                <c:pt idx="2">
                  <c:v>18 quarters ago</c:v>
                </c:pt>
                <c:pt idx="3">
                  <c:v>17 quarters ago</c:v>
                </c:pt>
                <c:pt idx="4">
                  <c:v>16 quarters ago</c:v>
                </c:pt>
                <c:pt idx="5">
                  <c:v>15 quarters ago</c:v>
                </c:pt>
                <c:pt idx="6">
                  <c:v>14 quarters ago</c:v>
                </c:pt>
                <c:pt idx="7">
                  <c:v>13 quarters ago</c:v>
                </c:pt>
                <c:pt idx="8">
                  <c:v>12 quarters ago</c:v>
                </c:pt>
                <c:pt idx="9">
                  <c:v>11 quarters ago</c:v>
                </c:pt>
                <c:pt idx="10">
                  <c:v>10 quarters ago</c:v>
                </c:pt>
                <c:pt idx="11">
                  <c:v>9 quarters ago</c:v>
                </c:pt>
                <c:pt idx="12">
                  <c:v>8 quarters ago</c:v>
                </c:pt>
                <c:pt idx="13">
                  <c:v>7 quarters ago</c:v>
                </c:pt>
                <c:pt idx="14">
                  <c:v>6 quarters ago</c:v>
                </c:pt>
                <c:pt idx="15">
                  <c:v>5 quarters ago</c:v>
                </c:pt>
                <c:pt idx="16">
                  <c:v>4 quarters ago</c:v>
                </c:pt>
                <c:pt idx="17">
                  <c:v>3 quarters ago</c:v>
                </c:pt>
                <c:pt idx="18">
                  <c:v>2 quarters ago</c:v>
                </c:pt>
                <c:pt idx="19">
                  <c:v>1 quarters ago</c:v>
                </c:pt>
                <c:pt idx="20">
                  <c:v>Current quarter</c:v>
                </c:pt>
              </c:strCache>
            </c:strRef>
          </c:cat>
          <c:val>
            <c:numRef>
              <c:f>'Valuation (Start)'!$C$47:$C$67</c:f>
              <c:numCache>
                <c:formatCode>0.0\x_);\(0.0\x\)</c:formatCode>
                <c:ptCount val="21"/>
                <c:pt idx="0">
                  <c:v>5.2</c:v>
                </c:pt>
                <c:pt idx="1">
                  <c:v>5.9</c:v>
                </c:pt>
                <c:pt idx="2">
                  <c:v>6.2</c:v>
                </c:pt>
                <c:pt idx="3">
                  <c:v>6.5</c:v>
                </c:pt>
                <c:pt idx="4">
                  <c:v>7.2</c:v>
                </c:pt>
                <c:pt idx="5">
                  <c:v>6.9</c:v>
                </c:pt>
                <c:pt idx="6">
                  <c:v>6.7</c:v>
                </c:pt>
                <c:pt idx="7">
                  <c:v>6.4</c:v>
                </c:pt>
                <c:pt idx="8">
                  <c:v>7.4</c:v>
                </c:pt>
                <c:pt idx="9">
                  <c:v>7.7</c:v>
                </c:pt>
                <c:pt idx="10">
                  <c:v>8.4</c:v>
                </c:pt>
                <c:pt idx="11">
                  <c:v>8.6</c:v>
                </c:pt>
                <c:pt idx="12">
                  <c:v>8.9</c:v>
                </c:pt>
                <c:pt idx="13">
                  <c:v>9.8000000000000007</c:v>
                </c:pt>
                <c:pt idx="14">
                  <c:v>10.299999999999999</c:v>
                </c:pt>
                <c:pt idx="15">
                  <c:v>12.5</c:v>
                </c:pt>
                <c:pt idx="16">
                  <c:v>13.8</c:v>
                </c:pt>
                <c:pt idx="17">
                  <c:v>13.5</c:v>
                </c:pt>
                <c:pt idx="18">
                  <c:v>13.4</c:v>
                </c:pt>
                <c:pt idx="19">
                  <c:v>13.5</c:v>
                </c:pt>
                <c:pt idx="20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E-4352-949C-E61F94F71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510576"/>
        <c:axId val="2030514320"/>
      </c:barChart>
      <c:catAx>
        <c:axId val="20305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30514320"/>
        <c:crosses val="autoZero"/>
        <c:auto val="1"/>
        <c:lblAlgn val="ctr"/>
        <c:lblOffset val="100"/>
        <c:noMultiLvlLbl val="0"/>
      </c:catAx>
      <c:valAx>
        <c:axId val="20305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_);\(0.0\x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305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Median EV/LTM Revenue - Software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(End)'!$B$47:$B$67</c:f>
              <c:strCache>
                <c:ptCount val="21"/>
                <c:pt idx="0">
                  <c:v>20 quarters ago</c:v>
                </c:pt>
                <c:pt idx="1">
                  <c:v>19 quarters ago</c:v>
                </c:pt>
                <c:pt idx="2">
                  <c:v>18 quarters ago</c:v>
                </c:pt>
                <c:pt idx="3">
                  <c:v>17 quarters ago</c:v>
                </c:pt>
                <c:pt idx="4">
                  <c:v>16 quarters ago</c:v>
                </c:pt>
                <c:pt idx="5">
                  <c:v>15 quarters ago</c:v>
                </c:pt>
                <c:pt idx="6">
                  <c:v>14 quarters ago</c:v>
                </c:pt>
                <c:pt idx="7">
                  <c:v>13 quarters ago</c:v>
                </c:pt>
                <c:pt idx="8">
                  <c:v>12 quarters ago</c:v>
                </c:pt>
                <c:pt idx="9">
                  <c:v>11 quarters ago</c:v>
                </c:pt>
                <c:pt idx="10">
                  <c:v>10 quarters ago</c:v>
                </c:pt>
                <c:pt idx="11">
                  <c:v>9 quarters ago</c:v>
                </c:pt>
                <c:pt idx="12">
                  <c:v>8 quarters ago</c:v>
                </c:pt>
                <c:pt idx="13">
                  <c:v>7 quarters ago</c:v>
                </c:pt>
                <c:pt idx="14">
                  <c:v>6 quarters ago</c:v>
                </c:pt>
                <c:pt idx="15">
                  <c:v>5 quarters ago</c:v>
                </c:pt>
                <c:pt idx="16">
                  <c:v>4 quarters ago</c:v>
                </c:pt>
                <c:pt idx="17">
                  <c:v>3 quarters ago</c:v>
                </c:pt>
                <c:pt idx="18">
                  <c:v>2 quarters ago</c:v>
                </c:pt>
                <c:pt idx="19">
                  <c:v>1 quarters ago</c:v>
                </c:pt>
                <c:pt idx="20">
                  <c:v>Current quarter</c:v>
                </c:pt>
              </c:strCache>
            </c:strRef>
          </c:cat>
          <c:val>
            <c:numRef>
              <c:f>'Valuation (End)'!$C$47:$C$67</c:f>
              <c:numCache>
                <c:formatCode>0.0\x_);\(0.0\x\)</c:formatCode>
                <c:ptCount val="21"/>
                <c:pt idx="0">
                  <c:v>5.2</c:v>
                </c:pt>
                <c:pt idx="1">
                  <c:v>5.9</c:v>
                </c:pt>
                <c:pt idx="2">
                  <c:v>6.2</c:v>
                </c:pt>
                <c:pt idx="3">
                  <c:v>6.5</c:v>
                </c:pt>
                <c:pt idx="4">
                  <c:v>7.2</c:v>
                </c:pt>
                <c:pt idx="5">
                  <c:v>6.9</c:v>
                </c:pt>
                <c:pt idx="6">
                  <c:v>6.7</c:v>
                </c:pt>
                <c:pt idx="7">
                  <c:v>6.4</c:v>
                </c:pt>
                <c:pt idx="8">
                  <c:v>7.4</c:v>
                </c:pt>
                <c:pt idx="9">
                  <c:v>7.7</c:v>
                </c:pt>
                <c:pt idx="10">
                  <c:v>8.4</c:v>
                </c:pt>
                <c:pt idx="11">
                  <c:v>8.6</c:v>
                </c:pt>
                <c:pt idx="12">
                  <c:v>8.9</c:v>
                </c:pt>
                <c:pt idx="13">
                  <c:v>9.8000000000000007</c:v>
                </c:pt>
                <c:pt idx="14">
                  <c:v>10.299999999999999</c:v>
                </c:pt>
                <c:pt idx="15">
                  <c:v>12.5</c:v>
                </c:pt>
                <c:pt idx="16">
                  <c:v>13.8</c:v>
                </c:pt>
                <c:pt idx="17">
                  <c:v>13.5</c:v>
                </c:pt>
                <c:pt idx="18">
                  <c:v>13.4</c:v>
                </c:pt>
                <c:pt idx="19">
                  <c:v>13.5</c:v>
                </c:pt>
                <c:pt idx="20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E-4BE1-BD67-B02955FB4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510576"/>
        <c:axId val="2030514320"/>
      </c:barChart>
      <c:catAx>
        <c:axId val="20305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30514320"/>
        <c:crosses val="autoZero"/>
        <c:auto val="1"/>
        <c:lblAlgn val="ctr"/>
        <c:lblOffset val="100"/>
        <c:noMultiLvlLbl val="0"/>
      </c:catAx>
      <c:valAx>
        <c:axId val="20305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_);\(0.0\x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305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46</xdr:row>
      <xdr:rowOff>47625</xdr:rowOff>
    </xdr:from>
    <xdr:to>
      <xdr:col>17</xdr:col>
      <xdr:colOff>158750</xdr:colOff>
      <xdr:row>62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99287-4C4B-4840-91DD-24373E266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46</xdr:row>
      <xdr:rowOff>47625</xdr:rowOff>
    </xdr:from>
    <xdr:to>
      <xdr:col>17</xdr:col>
      <xdr:colOff>158750</xdr:colOff>
      <xdr:row>62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2327A-DB63-359E-6549-4609E9308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82DB-B50B-465F-9093-D0548D6F8F9D}">
  <sheetPr>
    <tabColor theme="0" tint="-0.14999847407452621"/>
  </sheetPr>
  <dimension ref="A1:AJ269"/>
  <sheetViews>
    <sheetView tabSelected="1" workbookViewId="0"/>
  </sheetViews>
  <sheetFormatPr defaultRowHeight="14.25"/>
  <sheetData>
    <row r="1" spans="1:36">
      <c r="A1" s="380"/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>
      <c r="A2" s="380"/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</row>
    <row r="3" spans="1:36">
      <c r="A3" s="380"/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1"/>
      <c r="U3" s="381"/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  <c r="AG3" s="381"/>
      <c r="AH3" s="381"/>
      <c r="AI3" s="381"/>
      <c r="AJ3" s="381"/>
    </row>
    <row r="4" spans="1:36" ht="13.15" customHeight="1">
      <c r="A4" s="380"/>
      <c r="B4" s="382" t="s">
        <v>320</v>
      </c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1"/>
      <c r="U4" s="381"/>
      <c r="V4" s="381"/>
      <c r="W4" s="381"/>
      <c r="X4" s="381"/>
      <c r="Y4" s="381"/>
      <c r="Z4" s="381"/>
      <c r="AA4" s="381"/>
      <c r="AB4" s="381"/>
      <c r="AC4" s="381"/>
      <c r="AD4" s="381"/>
      <c r="AE4" s="381"/>
      <c r="AF4" s="381"/>
      <c r="AG4" s="381"/>
      <c r="AH4" s="381"/>
      <c r="AI4" s="381"/>
      <c r="AJ4" s="381"/>
    </row>
    <row r="5" spans="1:36" ht="37.15" customHeight="1">
      <c r="A5" s="380"/>
      <c r="B5" s="383" t="s">
        <v>321</v>
      </c>
      <c r="C5" s="384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0"/>
      <c r="S5" s="380"/>
      <c r="T5" s="381"/>
      <c r="U5" s="381"/>
      <c r="V5" s="381"/>
      <c r="W5" s="381"/>
      <c r="X5" s="381"/>
      <c r="Y5" s="381"/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</row>
    <row r="6" spans="1:36" ht="27.4">
      <c r="A6" s="380"/>
      <c r="B6" s="383" t="s">
        <v>316</v>
      </c>
      <c r="C6" s="384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1"/>
      <c r="U6" s="381"/>
      <c r="V6" s="381"/>
      <c r="W6" s="381"/>
      <c r="X6" s="381"/>
      <c r="Y6" s="381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</row>
    <row r="7" spans="1:36">
      <c r="A7" s="380"/>
      <c r="B7" s="384"/>
      <c r="C7" s="384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</row>
    <row r="8" spans="1:36">
      <c r="A8" s="380"/>
      <c r="B8" s="385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</row>
    <row r="9" spans="1:36">
      <c r="A9" s="380"/>
      <c r="B9" s="385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1"/>
      <c r="U9" s="381"/>
      <c r="V9" s="381"/>
      <c r="W9" s="381"/>
      <c r="X9" s="381"/>
      <c r="Y9" s="381"/>
      <c r="Z9" s="381"/>
      <c r="AA9" s="381"/>
      <c r="AB9" s="381"/>
      <c r="AC9" s="381"/>
      <c r="AD9" s="381"/>
      <c r="AE9" s="381"/>
      <c r="AF9" s="381"/>
      <c r="AG9" s="381"/>
      <c r="AH9" s="381"/>
      <c r="AI9" s="381"/>
      <c r="AJ9" s="381"/>
    </row>
    <row r="10" spans="1:36">
      <c r="A10" s="380"/>
      <c r="B10" s="385" t="s">
        <v>317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1"/>
      <c r="U10" s="381"/>
      <c r="V10" s="381"/>
      <c r="W10" s="381"/>
      <c r="X10" s="381"/>
      <c r="Y10" s="381"/>
      <c r="Z10" s="381"/>
      <c r="AA10" s="381"/>
      <c r="AB10" s="381"/>
      <c r="AC10" s="381"/>
      <c r="AD10" s="381"/>
      <c r="AE10" s="381"/>
      <c r="AF10" s="381"/>
      <c r="AG10" s="381"/>
      <c r="AH10" s="381"/>
      <c r="AI10" s="381"/>
      <c r="AJ10" s="381"/>
    </row>
    <row r="11" spans="1:36">
      <c r="A11" s="380"/>
      <c r="B11" s="385" t="s">
        <v>318</v>
      </c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</row>
    <row r="12" spans="1:36" ht="8.75" customHeight="1">
      <c r="A12" s="380"/>
      <c r="B12" s="385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1"/>
      <c r="AF12" s="381"/>
      <c r="AG12" s="381"/>
      <c r="AH12" s="381"/>
      <c r="AI12" s="381"/>
      <c r="AJ12" s="381"/>
    </row>
    <row r="13" spans="1:36">
      <c r="A13" s="380"/>
      <c r="B13" s="386" t="str">
        <f>HYPERLINK("https://GrowthEquityInterviewGuide.com", "GrowthEquityInterviewGuide.com")</f>
        <v>GrowthEquityInterviewGuide.com</v>
      </c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1"/>
      <c r="U13" s="381"/>
      <c r="V13" s="381"/>
      <c r="W13" s="381"/>
      <c r="X13" s="381"/>
      <c r="Y13" s="381"/>
      <c r="Z13" s="381"/>
      <c r="AA13" s="381"/>
      <c r="AB13" s="381"/>
      <c r="AC13" s="381"/>
      <c r="AD13" s="381"/>
      <c r="AE13" s="381"/>
      <c r="AF13" s="381"/>
      <c r="AG13" s="381"/>
      <c r="AH13" s="381"/>
      <c r="AI13" s="381"/>
      <c r="AJ13" s="381"/>
    </row>
    <row r="14" spans="1:36" ht="4.9000000000000004" customHeight="1">
      <c r="A14" s="380"/>
      <c r="B14" s="387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  <c r="T14" s="381"/>
      <c r="U14" s="381"/>
      <c r="V14" s="381"/>
      <c r="W14" s="381"/>
      <c r="X14" s="381"/>
      <c r="Y14" s="381"/>
      <c r="Z14" s="381"/>
      <c r="AA14" s="381"/>
      <c r="AB14" s="381"/>
      <c r="AC14" s="381"/>
      <c r="AD14" s="381"/>
      <c r="AE14" s="381"/>
      <c r="AF14" s="381"/>
      <c r="AG14" s="381"/>
      <c r="AH14" s="381"/>
      <c r="AI14" s="381"/>
      <c r="AJ14" s="381"/>
    </row>
    <row r="15" spans="1:36" ht="14.65" customHeight="1">
      <c r="A15" s="380"/>
      <c r="B15" s="388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1"/>
      <c r="U15" s="381"/>
      <c r="V15" s="381"/>
      <c r="W15" s="381"/>
      <c r="X15" s="381"/>
      <c r="Y15" s="381"/>
      <c r="Z15" s="381"/>
      <c r="AA15" s="381"/>
      <c r="AB15" s="381"/>
      <c r="AC15" s="381"/>
      <c r="AD15" s="381"/>
      <c r="AE15" s="381"/>
      <c r="AF15" s="381"/>
      <c r="AG15" s="381"/>
      <c r="AH15" s="381"/>
      <c r="AI15" s="381"/>
      <c r="AJ15" s="381"/>
    </row>
    <row r="16" spans="1:36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1"/>
      <c r="U16" s="381"/>
      <c r="V16" s="381"/>
      <c r="W16" s="381"/>
      <c r="X16" s="381"/>
      <c r="Y16" s="381"/>
      <c r="Z16" s="381"/>
      <c r="AA16" s="381"/>
      <c r="AB16" s="381"/>
      <c r="AC16" s="381"/>
      <c r="AD16" s="381"/>
      <c r="AE16" s="381"/>
      <c r="AF16" s="381"/>
      <c r="AG16" s="381"/>
      <c r="AH16" s="381"/>
      <c r="AI16" s="381"/>
      <c r="AJ16" s="381"/>
    </row>
    <row r="17" spans="1:36">
      <c r="A17" s="380"/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1"/>
      <c r="U17" s="381"/>
      <c r="V17" s="381"/>
      <c r="W17" s="381"/>
      <c r="X17" s="381"/>
      <c r="Y17" s="381"/>
      <c r="Z17" s="381"/>
      <c r="AA17" s="381"/>
      <c r="AB17" s="381"/>
      <c r="AC17" s="381"/>
      <c r="AD17" s="381"/>
      <c r="AE17" s="381"/>
      <c r="AF17" s="381"/>
      <c r="AG17" s="381"/>
      <c r="AH17" s="381"/>
      <c r="AI17" s="381"/>
      <c r="AJ17" s="381"/>
    </row>
    <row r="18" spans="1:36">
      <c r="A18" s="380"/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</row>
    <row r="19" spans="1:36">
      <c r="A19" s="380"/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</row>
    <row r="20" spans="1:36">
      <c r="A20" s="380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</row>
    <row r="21" spans="1:36">
      <c r="A21" s="380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1"/>
      <c r="U21" s="381"/>
      <c r="V21" s="381"/>
      <c r="W21" s="381"/>
      <c r="X21" s="381"/>
      <c r="Y21" s="381"/>
      <c r="Z21" s="381"/>
      <c r="AA21" s="381"/>
      <c r="AB21" s="381"/>
      <c r="AC21" s="381"/>
      <c r="AD21" s="381"/>
      <c r="AE21" s="381"/>
      <c r="AF21" s="381"/>
      <c r="AG21" s="381"/>
      <c r="AH21" s="381"/>
      <c r="AI21" s="381"/>
      <c r="AJ21" s="381"/>
    </row>
    <row r="22" spans="1:36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1"/>
      <c r="U22" s="381"/>
      <c r="V22" s="381"/>
      <c r="W22" s="381"/>
      <c r="X22" s="381"/>
      <c r="Y22" s="381"/>
      <c r="Z22" s="381"/>
      <c r="AA22" s="381"/>
      <c r="AB22" s="381"/>
      <c r="AC22" s="381"/>
      <c r="AD22" s="381"/>
      <c r="AE22" s="381"/>
      <c r="AF22" s="381"/>
      <c r="AG22" s="381"/>
      <c r="AH22" s="381"/>
      <c r="AI22" s="381"/>
      <c r="AJ22" s="381"/>
    </row>
    <row r="23" spans="1:36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1"/>
      <c r="U23" s="381"/>
      <c r="V23" s="381"/>
      <c r="W23" s="381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</row>
    <row r="24" spans="1:36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1"/>
      <c r="U24" s="381"/>
      <c r="V24" s="381"/>
      <c r="W24" s="381"/>
      <c r="X24" s="381"/>
      <c r="Y24" s="381"/>
      <c r="Z24" s="381"/>
      <c r="AA24" s="381"/>
      <c r="AB24" s="381"/>
      <c r="AC24" s="381"/>
      <c r="AD24" s="381"/>
      <c r="AE24" s="381"/>
      <c r="AF24" s="381"/>
      <c r="AG24" s="381"/>
      <c r="AH24" s="381"/>
      <c r="AI24" s="381"/>
      <c r="AJ24" s="381"/>
    </row>
    <row r="25" spans="1:36">
      <c r="A25" s="380"/>
      <c r="B25" s="388" t="s">
        <v>319</v>
      </c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</row>
    <row r="26" spans="1:36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</row>
    <row r="27" spans="1:36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1"/>
      <c r="U27" s="381"/>
      <c r="V27" s="381"/>
      <c r="W27" s="381"/>
      <c r="X27" s="381"/>
      <c r="Y27" s="381"/>
      <c r="Z27" s="381"/>
      <c r="AA27" s="381"/>
      <c r="AB27" s="381"/>
      <c r="AC27" s="381"/>
      <c r="AD27" s="381"/>
      <c r="AE27" s="381"/>
      <c r="AF27" s="381"/>
      <c r="AG27" s="381"/>
      <c r="AH27" s="381"/>
      <c r="AI27" s="381"/>
      <c r="AJ27" s="381"/>
    </row>
    <row r="28" spans="1:36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1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</row>
    <row r="29" spans="1:36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1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81"/>
      <c r="AF29" s="381"/>
      <c r="AG29" s="381"/>
      <c r="AH29" s="381"/>
      <c r="AI29" s="381"/>
      <c r="AJ29" s="381"/>
    </row>
    <row r="30" spans="1:36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</row>
    <row r="31" spans="1:36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</row>
    <row r="32" spans="1:36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</row>
    <row r="33" spans="1:36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  <c r="AA33" s="381"/>
      <c r="AB33" s="381"/>
      <c r="AC33" s="381"/>
      <c r="AD33" s="381"/>
      <c r="AE33" s="381"/>
      <c r="AF33" s="381"/>
      <c r="AG33" s="381"/>
      <c r="AH33" s="381"/>
      <c r="AI33" s="381"/>
      <c r="AJ33" s="381"/>
    </row>
    <row r="34" spans="1:36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</row>
    <row r="35" spans="1:36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  <c r="AA35" s="381"/>
      <c r="AB35" s="381"/>
      <c r="AC35" s="381"/>
      <c r="AD35" s="381"/>
      <c r="AE35" s="381"/>
      <c r="AF35" s="381"/>
      <c r="AG35" s="381"/>
      <c r="AH35" s="381"/>
      <c r="AI35" s="381"/>
      <c r="AJ35" s="381"/>
    </row>
    <row r="36" spans="1:36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</row>
    <row r="37" spans="1:36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</row>
    <row r="38" spans="1:36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  <c r="AA38" s="381"/>
      <c r="AB38" s="381"/>
      <c r="AC38" s="381"/>
      <c r="AD38" s="381"/>
      <c r="AE38" s="381"/>
      <c r="AF38" s="381"/>
      <c r="AG38" s="381"/>
      <c r="AH38" s="381"/>
      <c r="AI38" s="381"/>
      <c r="AJ38" s="381"/>
    </row>
    <row r="39" spans="1:36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</row>
    <row r="40" spans="1:36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381"/>
      <c r="AE40" s="381"/>
      <c r="AF40" s="381"/>
      <c r="AG40" s="381"/>
      <c r="AH40" s="381"/>
      <c r="AI40" s="381"/>
      <c r="AJ40" s="381"/>
    </row>
    <row r="41" spans="1:36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</row>
    <row r="42" spans="1:36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</row>
    <row r="43" spans="1:36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</row>
    <row r="44" spans="1:36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</row>
    <row r="45" spans="1:36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  <c r="AA45" s="381"/>
      <c r="AB45" s="381"/>
      <c r="AC45" s="381"/>
      <c r="AD45" s="381"/>
      <c r="AE45" s="381"/>
      <c r="AF45" s="381"/>
      <c r="AG45" s="381"/>
      <c r="AH45" s="381"/>
      <c r="AI45" s="381"/>
      <c r="AJ45" s="381"/>
    </row>
    <row r="46" spans="1:36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</row>
    <row r="47" spans="1:36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  <c r="AA47" s="381"/>
      <c r="AB47" s="381"/>
      <c r="AC47" s="381"/>
      <c r="AD47" s="381"/>
      <c r="AE47" s="381"/>
      <c r="AF47" s="381"/>
      <c r="AG47" s="381"/>
      <c r="AH47" s="381"/>
      <c r="AI47" s="381"/>
      <c r="AJ47" s="381"/>
    </row>
    <row r="48" spans="1:36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  <c r="AA48" s="381"/>
      <c r="AB48" s="381"/>
      <c r="AC48" s="381"/>
      <c r="AD48" s="381"/>
      <c r="AE48" s="381"/>
      <c r="AF48" s="381"/>
      <c r="AG48" s="381"/>
      <c r="AH48" s="381"/>
      <c r="AI48" s="381"/>
      <c r="AJ48" s="381"/>
    </row>
    <row r="49" spans="1:36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381"/>
      <c r="AH49" s="381"/>
      <c r="AI49" s="381"/>
      <c r="AJ49" s="381"/>
    </row>
    <row r="50" spans="1:36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</row>
    <row r="51" spans="1:36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  <c r="AB51" s="381"/>
      <c r="AC51" s="381"/>
      <c r="AD51" s="381"/>
      <c r="AE51" s="381"/>
      <c r="AF51" s="381"/>
      <c r="AG51" s="381"/>
      <c r="AH51" s="381"/>
      <c r="AI51" s="381"/>
      <c r="AJ51" s="381"/>
    </row>
    <row r="52" spans="1:36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381"/>
      <c r="AF52" s="381"/>
      <c r="AG52" s="381"/>
      <c r="AH52" s="381"/>
      <c r="AI52" s="381"/>
      <c r="AJ52" s="381"/>
    </row>
    <row r="53" spans="1:36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  <c r="AA53" s="381"/>
      <c r="AB53" s="381"/>
      <c r="AC53" s="381"/>
      <c r="AD53" s="381"/>
      <c r="AE53" s="381"/>
      <c r="AF53" s="381"/>
      <c r="AG53" s="381"/>
      <c r="AH53" s="381"/>
      <c r="AI53" s="381"/>
      <c r="AJ53" s="381"/>
    </row>
    <row r="54" spans="1:36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  <c r="AA54" s="381"/>
      <c r="AB54" s="381"/>
      <c r="AC54" s="381"/>
      <c r="AD54" s="381"/>
      <c r="AE54" s="381"/>
      <c r="AF54" s="381"/>
      <c r="AG54" s="381"/>
      <c r="AH54" s="381"/>
      <c r="AI54" s="381"/>
      <c r="AJ54" s="381"/>
    </row>
    <row r="55" spans="1:36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381"/>
      <c r="AG55" s="381"/>
      <c r="AH55" s="381"/>
      <c r="AI55" s="381"/>
      <c r="AJ55" s="381"/>
    </row>
    <row r="56" spans="1:36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  <c r="AA56" s="381"/>
      <c r="AB56" s="381"/>
      <c r="AC56" s="381"/>
      <c r="AD56" s="381"/>
      <c r="AE56" s="381"/>
      <c r="AF56" s="381"/>
      <c r="AG56" s="381"/>
      <c r="AH56" s="381"/>
      <c r="AI56" s="381"/>
      <c r="AJ56" s="381"/>
    </row>
    <row r="57" spans="1:36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  <c r="AA57" s="381"/>
      <c r="AB57" s="381"/>
      <c r="AC57" s="381"/>
      <c r="AD57" s="381"/>
      <c r="AE57" s="381"/>
      <c r="AF57" s="381"/>
      <c r="AG57" s="381"/>
      <c r="AH57" s="381"/>
      <c r="AI57" s="381"/>
      <c r="AJ57" s="381"/>
    </row>
    <row r="58" spans="1:36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  <c r="AB58" s="381"/>
      <c r="AC58" s="381"/>
      <c r="AD58" s="381"/>
      <c r="AE58" s="381"/>
      <c r="AF58" s="381"/>
      <c r="AG58" s="381"/>
      <c r="AH58" s="381"/>
      <c r="AI58" s="381"/>
      <c r="AJ58" s="381"/>
    </row>
    <row r="59" spans="1:36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  <c r="AA59" s="381"/>
      <c r="AB59" s="381"/>
      <c r="AC59" s="381"/>
      <c r="AD59" s="381"/>
      <c r="AE59" s="381"/>
      <c r="AF59" s="381"/>
      <c r="AG59" s="381"/>
      <c r="AH59" s="381"/>
      <c r="AI59" s="381"/>
      <c r="AJ59" s="381"/>
    </row>
    <row r="60" spans="1:36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  <c r="AB60" s="381"/>
      <c r="AC60" s="381"/>
      <c r="AD60" s="381"/>
      <c r="AE60" s="381"/>
      <c r="AF60" s="381"/>
      <c r="AG60" s="381"/>
      <c r="AH60" s="381"/>
      <c r="AI60" s="381"/>
      <c r="AJ60" s="381"/>
    </row>
    <row r="61" spans="1:36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  <c r="AB61" s="381"/>
      <c r="AC61" s="381"/>
      <c r="AD61" s="381"/>
      <c r="AE61" s="381"/>
      <c r="AF61" s="381"/>
      <c r="AG61" s="381"/>
      <c r="AH61" s="381"/>
      <c r="AI61" s="381"/>
      <c r="AJ61" s="381"/>
    </row>
    <row r="62" spans="1:36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81"/>
      <c r="AF62" s="381"/>
      <c r="AG62" s="381"/>
      <c r="AH62" s="381"/>
      <c r="AI62" s="381"/>
      <c r="AJ62" s="381"/>
    </row>
    <row r="63" spans="1:36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  <c r="AA63" s="381"/>
      <c r="AB63" s="381"/>
      <c r="AC63" s="381"/>
      <c r="AD63" s="381"/>
      <c r="AE63" s="381"/>
      <c r="AF63" s="381"/>
      <c r="AG63" s="381"/>
      <c r="AH63" s="381"/>
      <c r="AI63" s="381"/>
      <c r="AJ63" s="381"/>
    </row>
    <row r="64" spans="1:36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  <c r="AA64" s="381"/>
      <c r="AB64" s="381"/>
      <c r="AC64" s="381"/>
      <c r="AD64" s="381"/>
      <c r="AE64" s="381"/>
      <c r="AF64" s="381"/>
      <c r="AG64" s="381"/>
      <c r="AH64" s="381"/>
      <c r="AI64" s="381"/>
      <c r="AJ64" s="381"/>
    </row>
    <row r="65" spans="1:36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81"/>
      <c r="AF65" s="381"/>
      <c r="AG65" s="381"/>
      <c r="AH65" s="381"/>
      <c r="AI65" s="381"/>
      <c r="AJ65" s="381"/>
    </row>
    <row r="66" spans="1:36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</row>
    <row r="67" spans="1:36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  <c r="AA67" s="381"/>
      <c r="AB67" s="381"/>
      <c r="AC67" s="381"/>
      <c r="AD67" s="381"/>
      <c r="AE67" s="381"/>
      <c r="AF67" s="381"/>
      <c r="AG67" s="381"/>
      <c r="AH67" s="381"/>
      <c r="AI67" s="381"/>
      <c r="AJ67" s="381"/>
    </row>
    <row r="68" spans="1:36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  <c r="AA68" s="381"/>
      <c r="AB68" s="381"/>
      <c r="AC68" s="381"/>
      <c r="AD68" s="381"/>
      <c r="AE68" s="381"/>
      <c r="AF68" s="381"/>
      <c r="AG68" s="381"/>
      <c r="AH68" s="381"/>
      <c r="AI68" s="381"/>
      <c r="AJ68" s="381"/>
    </row>
    <row r="69" spans="1:36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  <c r="AA69" s="381"/>
      <c r="AB69" s="381"/>
      <c r="AC69" s="381"/>
      <c r="AD69" s="381"/>
      <c r="AE69" s="381"/>
      <c r="AF69" s="381"/>
      <c r="AG69" s="381"/>
      <c r="AH69" s="381"/>
      <c r="AI69" s="381"/>
      <c r="AJ69" s="381"/>
    </row>
    <row r="70" spans="1:36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  <c r="AA70" s="381"/>
      <c r="AB70" s="381"/>
      <c r="AC70" s="381"/>
      <c r="AD70" s="381"/>
      <c r="AE70" s="381"/>
      <c r="AF70" s="381"/>
      <c r="AG70" s="381"/>
      <c r="AH70" s="381"/>
      <c r="AI70" s="381"/>
      <c r="AJ70" s="381"/>
    </row>
    <row r="71" spans="1:36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  <c r="AA71" s="381"/>
      <c r="AB71" s="381"/>
      <c r="AC71" s="381"/>
      <c r="AD71" s="381"/>
      <c r="AE71" s="381"/>
      <c r="AF71" s="381"/>
      <c r="AG71" s="381"/>
      <c r="AH71" s="381"/>
      <c r="AI71" s="381"/>
      <c r="AJ71" s="381"/>
    </row>
    <row r="72" spans="1:36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  <c r="AA72" s="381"/>
      <c r="AB72" s="381"/>
      <c r="AC72" s="381"/>
      <c r="AD72" s="381"/>
      <c r="AE72" s="381"/>
      <c r="AF72" s="381"/>
      <c r="AG72" s="381"/>
      <c r="AH72" s="381"/>
      <c r="AI72" s="381"/>
      <c r="AJ72" s="381"/>
    </row>
    <row r="73" spans="1:36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F73" s="381"/>
      <c r="AG73" s="381"/>
      <c r="AH73" s="381"/>
      <c r="AI73" s="381"/>
      <c r="AJ73" s="381"/>
    </row>
    <row r="74" spans="1:36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  <c r="AA74" s="381"/>
      <c r="AB74" s="381"/>
      <c r="AC74" s="381"/>
      <c r="AD74" s="381"/>
      <c r="AE74" s="381"/>
      <c r="AF74" s="381"/>
      <c r="AG74" s="381"/>
      <c r="AH74" s="381"/>
      <c r="AI74" s="381"/>
      <c r="AJ74" s="381"/>
    </row>
    <row r="75" spans="1:36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  <c r="AA75" s="381"/>
      <c r="AB75" s="381"/>
      <c r="AC75" s="381"/>
      <c r="AD75" s="381"/>
      <c r="AE75" s="381"/>
      <c r="AF75" s="381"/>
      <c r="AG75" s="381"/>
      <c r="AH75" s="381"/>
      <c r="AI75" s="381"/>
      <c r="AJ75" s="381"/>
    </row>
    <row r="76" spans="1:36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  <c r="AA76" s="381"/>
      <c r="AB76" s="381"/>
      <c r="AC76" s="381"/>
      <c r="AD76" s="381"/>
      <c r="AE76" s="381"/>
      <c r="AF76" s="381"/>
      <c r="AG76" s="381"/>
      <c r="AH76" s="381"/>
      <c r="AI76" s="381"/>
      <c r="AJ76" s="381"/>
    </row>
    <row r="77" spans="1:36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81"/>
      <c r="AF77" s="381"/>
      <c r="AG77" s="381"/>
      <c r="AH77" s="381"/>
      <c r="AI77" s="381"/>
      <c r="AJ77" s="381"/>
    </row>
    <row r="78" spans="1:36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  <c r="AA78" s="381"/>
      <c r="AB78" s="381"/>
      <c r="AC78" s="381"/>
      <c r="AD78" s="381"/>
      <c r="AE78" s="381"/>
      <c r="AF78" s="381"/>
      <c r="AG78" s="381"/>
      <c r="AH78" s="381"/>
      <c r="AI78" s="381"/>
      <c r="AJ78" s="381"/>
    </row>
    <row r="79" spans="1:36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  <c r="AA79" s="381"/>
      <c r="AB79" s="381"/>
      <c r="AC79" s="381"/>
      <c r="AD79" s="381"/>
      <c r="AE79" s="381"/>
      <c r="AF79" s="381"/>
      <c r="AG79" s="381"/>
      <c r="AH79" s="381"/>
      <c r="AI79" s="381"/>
      <c r="AJ79" s="381"/>
    </row>
    <row r="80" spans="1:36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  <c r="AA80" s="381"/>
      <c r="AB80" s="381"/>
      <c r="AC80" s="381"/>
      <c r="AD80" s="381"/>
      <c r="AE80" s="381"/>
      <c r="AF80" s="381"/>
      <c r="AG80" s="381"/>
      <c r="AH80" s="381"/>
      <c r="AI80" s="381"/>
      <c r="AJ80" s="381"/>
    </row>
    <row r="81" spans="1:36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  <c r="AA81" s="381"/>
      <c r="AB81" s="381"/>
      <c r="AC81" s="381"/>
      <c r="AD81" s="381"/>
      <c r="AE81" s="381"/>
      <c r="AF81" s="381"/>
      <c r="AG81" s="381"/>
      <c r="AH81" s="381"/>
      <c r="AI81" s="381"/>
      <c r="AJ81" s="381"/>
    </row>
    <row r="82" spans="1:36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  <c r="AA82" s="381"/>
      <c r="AB82" s="381"/>
      <c r="AC82" s="381"/>
      <c r="AD82" s="381"/>
      <c r="AE82" s="381"/>
      <c r="AF82" s="381"/>
      <c r="AG82" s="381"/>
      <c r="AH82" s="381"/>
      <c r="AI82" s="381"/>
      <c r="AJ82" s="381"/>
    </row>
    <row r="83" spans="1:36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  <c r="AA83" s="381"/>
      <c r="AB83" s="381"/>
      <c r="AC83" s="381"/>
      <c r="AD83" s="381"/>
      <c r="AE83" s="381"/>
      <c r="AF83" s="381"/>
      <c r="AG83" s="381"/>
      <c r="AH83" s="381"/>
      <c r="AI83" s="381"/>
      <c r="AJ83" s="381"/>
    </row>
    <row r="84" spans="1:36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  <c r="AA84" s="381"/>
      <c r="AB84" s="381"/>
      <c r="AC84" s="381"/>
      <c r="AD84" s="381"/>
      <c r="AE84" s="381"/>
      <c r="AF84" s="381"/>
      <c r="AG84" s="381"/>
      <c r="AH84" s="381"/>
      <c r="AI84" s="381"/>
      <c r="AJ84" s="381"/>
    </row>
    <row r="85" spans="1:36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  <c r="AA85" s="381"/>
      <c r="AB85" s="381"/>
      <c r="AC85" s="381"/>
      <c r="AD85" s="381"/>
      <c r="AE85" s="381"/>
      <c r="AF85" s="381"/>
      <c r="AG85" s="381"/>
      <c r="AH85" s="381"/>
      <c r="AI85" s="381"/>
      <c r="AJ85" s="381"/>
    </row>
    <row r="86" spans="1:36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/>
      <c r="AF86" s="381"/>
      <c r="AG86" s="381"/>
      <c r="AH86" s="381"/>
      <c r="AI86" s="381"/>
      <c r="AJ86" s="381"/>
    </row>
    <row r="87" spans="1:36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  <c r="AA87" s="381"/>
      <c r="AB87" s="381"/>
      <c r="AC87" s="381"/>
      <c r="AD87" s="381"/>
      <c r="AE87" s="381"/>
      <c r="AF87" s="381"/>
      <c r="AG87" s="381"/>
      <c r="AH87" s="381"/>
      <c r="AI87" s="381"/>
      <c r="AJ87" s="381"/>
    </row>
    <row r="88" spans="1:36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  <c r="AA88" s="381"/>
      <c r="AB88" s="381"/>
      <c r="AC88" s="381"/>
      <c r="AD88" s="381"/>
      <c r="AE88" s="381"/>
      <c r="AF88" s="381"/>
      <c r="AG88" s="381"/>
      <c r="AH88" s="381"/>
      <c r="AI88" s="381"/>
      <c r="AJ88" s="381"/>
    </row>
    <row r="89" spans="1:36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81"/>
      <c r="AF89" s="381"/>
      <c r="AG89" s="381"/>
      <c r="AH89" s="381"/>
      <c r="AI89" s="381"/>
      <c r="AJ89" s="381"/>
    </row>
    <row r="90" spans="1:36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  <c r="AA90" s="381"/>
      <c r="AB90" s="381"/>
      <c r="AC90" s="381"/>
      <c r="AD90" s="381"/>
      <c r="AE90" s="381"/>
      <c r="AF90" s="381"/>
      <c r="AG90" s="381"/>
      <c r="AH90" s="381"/>
      <c r="AI90" s="381"/>
      <c r="AJ90" s="381"/>
    </row>
    <row r="91" spans="1:36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  <c r="AA91" s="381"/>
      <c r="AB91" s="381"/>
      <c r="AC91" s="381"/>
      <c r="AD91" s="381"/>
      <c r="AE91" s="381"/>
      <c r="AF91" s="381"/>
      <c r="AG91" s="381"/>
      <c r="AH91" s="381"/>
      <c r="AI91" s="381"/>
      <c r="AJ91" s="381"/>
    </row>
    <row r="92" spans="1:36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  <c r="AE92" s="381"/>
      <c r="AF92" s="381"/>
      <c r="AG92" s="381"/>
      <c r="AH92" s="381"/>
      <c r="AI92" s="381"/>
      <c r="AJ92" s="381"/>
    </row>
    <row r="93" spans="1:36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  <c r="AA93" s="381"/>
      <c r="AB93" s="381"/>
      <c r="AC93" s="381"/>
      <c r="AD93" s="381"/>
      <c r="AE93" s="381"/>
      <c r="AF93" s="381"/>
      <c r="AG93" s="381"/>
      <c r="AH93" s="381"/>
      <c r="AI93" s="381"/>
      <c r="AJ93" s="381"/>
    </row>
    <row r="94" spans="1:36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  <c r="AA94" s="381"/>
      <c r="AB94" s="381"/>
      <c r="AC94" s="381"/>
      <c r="AD94" s="381"/>
      <c r="AE94" s="381"/>
      <c r="AF94" s="381"/>
      <c r="AG94" s="381"/>
      <c r="AH94" s="381"/>
      <c r="AI94" s="381"/>
      <c r="AJ94" s="381"/>
    </row>
    <row r="95" spans="1:36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  <c r="AA95" s="381"/>
      <c r="AB95" s="381"/>
      <c r="AC95" s="381"/>
      <c r="AD95" s="381"/>
      <c r="AE95" s="381"/>
      <c r="AF95" s="381"/>
      <c r="AG95" s="381"/>
      <c r="AH95" s="381"/>
      <c r="AI95" s="381"/>
      <c r="AJ95" s="381"/>
    </row>
    <row r="96" spans="1:36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  <c r="AA96" s="381"/>
      <c r="AB96" s="381"/>
      <c r="AC96" s="381"/>
      <c r="AD96" s="381"/>
      <c r="AE96" s="381"/>
      <c r="AF96" s="381"/>
      <c r="AG96" s="381"/>
      <c r="AH96" s="381"/>
      <c r="AI96" s="381"/>
      <c r="AJ96" s="381"/>
    </row>
    <row r="97" spans="1:36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  <c r="AA97" s="381"/>
      <c r="AB97" s="381"/>
      <c r="AC97" s="381"/>
      <c r="AD97" s="381"/>
      <c r="AE97" s="381"/>
      <c r="AF97" s="381"/>
      <c r="AG97" s="381"/>
      <c r="AH97" s="381"/>
      <c r="AI97" s="381"/>
      <c r="AJ97" s="381"/>
    </row>
    <row r="98" spans="1:36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  <c r="AA98" s="381"/>
      <c r="AB98" s="381"/>
      <c r="AC98" s="381"/>
      <c r="AD98" s="381"/>
      <c r="AE98" s="381"/>
      <c r="AF98" s="381"/>
      <c r="AG98" s="381"/>
      <c r="AH98" s="381"/>
      <c r="AI98" s="381"/>
      <c r="AJ98" s="381"/>
    </row>
    <row r="99" spans="1:36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  <c r="AA99" s="381"/>
      <c r="AB99" s="381"/>
      <c r="AC99" s="381"/>
      <c r="AD99" s="381"/>
      <c r="AE99" s="381"/>
      <c r="AF99" s="381"/>
      <c r="AG99" s="381"/>
      <c r="AH99" s="381"/>
      <c r="AI99" s="381"/>
      <c r="AJ99" s="381"/>
    </row>
    <row r="100" spans="1:36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  <c r="AA100" s="381"/>
      <c r="AB100" s="381"/>
      <c r="AC100" s="381"/>
      <c r="AD100" s="381"/>
      <c r="AE100" s="381"/>
      <c r="AF100" s="381"/>
      <c r="AG100" s="381"/>
      <c r="AH100" s="381"/>
      <c r="AI100" s="381"/>
      <c r="AJ100" s="381"/>
    </row>
    <row r="101" spans="1:36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  <c r="AA101" s="381"/>
      <c r="AB101" s="381"/>
      <c r="AC101" s="381"/>
      <c r="AD101" s="381"/>
      <c r="AE101" s="381"/>
      <c r="AF101" s="381"/>
      <c r="AG101" s="381"/>
      <c r="AH101" s="381"/>
      <c r="AI101" s="381"/>
      <c r="AJ101" s="381"/>
    </row>
    <row r="102" spans="1:36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  <c r="AA102" s="381"/>
      <c r="AB102" s="381"/>
      <c r="AC102" s="381"/>
      <c r="AD102" s="381"/>
      <c r="AE102" s="381"/>
      <c r="AF102" s="381"/>
      <c r="AG102" s="381"/>
      <c r="AH102" s="381"/>
      <c r="AI102" s="381"/>
      <c r="AJ102" s="381"/>
    </row>
    <row r="103" spans="1:36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  <c r="AA103" s="381"/>
      <c r="AB103" s="381"/>
      <c r="AC103" s="381"/>
      <c r="AD103" s="381"/>
      <c r="AE103" s="381"/>
      <c r="AF103" s="381"/>
      <c r="AG103" s="381"/>
      <c r="AH103" s="381"/>
      <c r="AI103" s="381"/>
      <c r="AJ103" s="381"/>
    </row>
    <row r="104" spans="1:36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  <c r="AA104" s="381"/>
      <c r="AB104" s="381"/>
      <c r="AC104" s="381"/>
      <c r="AD104" s="381"/>
      <c r="AE104" s="381"/>
      <c r="AF104" s="381"/>
      <c r="AG104" s="381"/>
      <c r="AH104" s="381"/>
      <c r="AI104" s="381"/>
      <c r="AJ104" s="381"/>
    </row>
    <row r="105" spans="1:36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  <c r="AA105" s="381"/>
      <c r="AB105" s="381"/>
      <c r="AC105" s="381"/>
      <c r="AD105" s="381"/>
      <c r="AE105" s="381"/>
      <c r="AF105" s="381"/>
      <c r="AG105" s="381"/>
      <c r="AH105" s="381"/>
      <c r="AI105" s="381"/>
      <c r="AJ105" s="381"/>
    </row>
    <row r="106" spans="1:36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  <c r="AA106" s="381"/>
      <c r="AB106" s="381"/>
      <c r="AC106" s="381"/>
      <c r="AD106" s="381"/>
      <c r="AE106" s="381"/>
      <c r="AF106" s="381"/>
      <c r="AG106" s="381"/>
      <c r="AH106" s="381"/>
      <c r="AI106" s="381"/>
      <c r="AJ106" s="381"/>
    </row>
    <row r="107" spans="1:36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  <c r="AA107" s="381"/>
      <c r="AB107" s="381"/>
      <c r="AC107" s="381"/>
      <c r="AD107" s="381"/>
      <c r="AE107" s="381"/>
      <c r="AF107" s="381"/>
      <c r="AG107" s="381"/>
      <c r="AH107" s="381"/>
      <c r="AI107" s="381"/>
      <c r="AJ107" s="381"/>
    </row>
    <row r="108" spans="1:36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  <c r="AA108" s="381"/>
      <c r="AB108" s="381"/>
      <c r="AC108" s="381"/>
      <c r="AD108" s="381"/>
      <c r="AE108" s="381"/>
      <c r="AF108" s="381"/>
      <c r="AG108" s="381"/>
      <c r="AH108" s="381"/>
      <c r="AI108" s="381"/>
      <c r="AJ108" s="381"/>
    </row>
    <row r="109" spans="1:36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1"/>
      <c r="AH109" s="381"/>
      <c r="AI109" s="381"/>
      <c r="AJ109" s="381"/>
    </row>
    <row r="110" spans="1:36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1"/>
    </row>
    <row r="111" spans="1:36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  <c r="AA111" s="381"/>
      <c r="AB111" s="381"/>
      <c r="AC111" s="381"/>
      <c r="AD111" s="381"/>
      <c r="AE111" s="381"/>
      <c r="AF111" s="381"/>
      <c r="AG111" s="381"/>
      <c r="AH111" s="381"/>
      <c r="AI111" s="381"/>
      <c r="AJ111" s="381"/>
    </row>
    <row r="112" spans="1:36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  <c r="AA112" s="381"/>
      <c r="AB112" s="381"/>
      <c r="AC112" s="381"/>
      <c r="AD112" s="381"/>
      <c r="AE112" s="381"/>
      <c r="AF112" s="381"/>
      <c r="AG112" s="381"/>
      <c r="AH112" s="381"/>
      <c r="AI112" s="381"/>
      <c r="AJ112" s="381"/>
    </row>
    <row r="113" spans="1:36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  <c r="AA113" s="381"/>
      <c r="AB113" s="381"/>
      <c r="AC113" s="381"/>
      <c r="AD113" s="381"/>
      <c r="AE113" s="381"/>
      <c r="AF113" s="381"/>
      <c r="AG113" s="381"/>
      <c r="AH113" s="381"/>
      <c r="AI113" s="381"/>
      <c r="AJ113" s="381"/>
    </row>
    <row r="114" spans="1:36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  <c r="AE114" s="381"/>
      <c r="AF114" s="381"/>
      <c r="AG114" s="381"/>
      <c r="AH114" s="381"/>
      <c r="AI114" s="381"/>
      <c r="AJ114" s="381"/>
    </row>
    <row r="115" spans="1:36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  <c r="AA115" s="381"/>
      <c r="AB115" s="381"/>
      <c r="AC115" s="381"/>
      <c r="AD115" s="381"/>
      <c r="AE115" s="381"/>
      <c r="AF115" s="381"/>
      <c r="AG115" s="381"/>
      <c r="AH115" s="381"/>
      <c r="AI115" s="381"/>
      <c r="AJ115" s="381"/>
    </row>
    <row r="116" spans="1:36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  <c r="AA116" s="381"/>
      <c r="AB116" s="381"/>
      <c r="AC116" s="381"/>
      <c r="AD116" s="381"/>
      <c r="AE116" s="381"/>
      <c r="AF116" s="381"/>
      <c r="AG116" s="381"/>
      <c r="AH116" s="381"/>
      <c r="AI116" s="381"/>
      <c r="AJ116" s="381"/>
    </row>
    <row r="117" spans="1:36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381"/>
    </row>
    <row r="118" spans="1:36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  <c r="AA118" s="381"/>
      <c r="AB118" s="381"/>
      <c r="AC118" s="381"/>
      <c r="AD118" s="381"/>
      <c r="AE118" s="381"/>
      <c r="AF118" s="381"/>
      <c r="AG118" s="381"/>
      <c r="AH118" s="381"/>
      <c r="AI118" s="381"/>
      <c r="AJ118" s="381"/>
    </row>
    <row r="119" spans="1:36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  <c r="AB119" s="381"/>
      <c r="AC119" s="381"/>
      <c r="AD119" s="381"/>
      <c r="AE119" s="381"/>
      <c r="AF119" s="381"/>
      <c r="AG119" s="381"/>
      <c r="AH119" s="381"/>
      <c r="AI119" s="381"/>
      <c r="AJ119" s="381"/>
    </row>
    <row r="120" spans="1:36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  <c r="AA120" s="381"/>
      <c r="AB120" s="381"/>
      <c r="AC120" s="381"/>
      <c r="AD120" s="381"/>
      <c r="AE120" s="381"/>
      <c r="AF120" s="381"/>
      <c r="AG120" s="381"/>
      <c r="AH120" s="381"/>
      <c r="AI120" s="381"/>
      <c r="AJ120" s="381"/>
    </row>
    <row r="121" spans="1:36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  <c r="AA121" s="381"/>
      <c r="AB121" s="381"/>
      <c r="AC121" s="381"/>
      <c r="AD121" s="381"/>
      <c r="AE121" s="381"/>
      <c r="AF121" s="381"/>
      <c r="AG121" s="381"/>
      <c r="AH121" s="381"/>
      <c r="AI121" s="381"/>
      <c r="AJ121" s="381"/>
    </row>
    <row r="122" spans="1:36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  <c r="AA122" s="381"/>
      <c r="AB122" s="381"/>
      <c r="AC122" s="381"/>
      <c r="AD122" s="381"/>
      <c r="AE122" s="381"/>
      <c r="AF122" s="381"/>
      <c r="AG122" s="381"/>
      <c r="AH122" s="381"/>
      <c r="AI122" s="381"/>
      <c r="AJ122" s="381"/>
    </row>
    <row r="123" spans="1:36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  <c r="AA123" s="381"/>
      <c r="AB123" s="381"/>
      <c r="AC123" s="381"/>
      <c r="AD123" s="381"/>
      <c r="AE123" s="381"/>
      <c r="AF123" s="381"/>
      <c r="AG123" s="381"/>
      <c r="AH123" s="381"/>
      <c r="AI123" s="381"/>
      <c r="AJ123" s="381"/>
    </row>
    <row r="124" spans="1:36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  <c r="AA124" s="381"/>
      <c r="AB124" s="381"/>
      <c r="AC124" s="381"/>
      <c r="AD124" s="381"/>
      <c r="AE124" s="381"/>
      <c r="AF124" s="381"/>
      <c r="AG124" s="381"/>
      <c r="AH124" s="381"/>
      <c r="AI124" s="381"/>
      <c r="AJ124" s="381"/>
    </row>
    <row r="125" spans="1:36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  <c r="AA125" s="381"/>
      <c r="AB125" s="381"/>
      <c r="AC125" s="381"/>
      <c r="AD125" s="381"/>
      <c r="AE125" s="381"/>
      <c r="AF125" s="381"/>
      <c r="AG125" s="381"/>
      <c r="AH125" s="381"/>
      <c r="AI125" s="381"/>
      <c r="AJ125" s="381"/>
    </row>
    <row r="126" spans="1:36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  <c r="AA126" s="381"/>
      <c r="AB126" s="381"/>
      <c r="AC126" s="381"/>
      <c r="AD126" s="381"/>
      <c r="AE126" s="381"/>
      <c r="AF126" s="381"/>
      <c r="AG126" s="381"/>
      <c r="AH126" s="381"/>
      <c r="AI126" s="381"/>
      <c r="AJ126" s="381"/>
    </row>
    <row r="127" spans="1:36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  <c r="AA127" s="381"/>
      <c r="AB127" s="381"/>
      <c r="AC127" s="381"/>
      <c r="AD127" s="381"/>
      <c r="AE127" s="381"/>
      <c r="AF127" s="381"/>
      <c r="AG127" s="381"/>
      <c r="AH127" s="381"/>
      <c r="AI127" s="381"/>
      <c r="AJ127" s="381"/>
    </row>
    <row r="128" spans="1:36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  <c r="AA128" s="381"/>
      <c r="AB128" s="381"/>
      <c r="AC128" s="381"/>
      <c r="AD128" s="381"/>
      <c r="AE128" s="381"/>
      <c r="AF128" s="381"/>
      <c r="AG128" s="381"/>
      <c r="AH128" s="381"/>
      <c r="AI128" s="381"/>
      <c r="AJ128" s="381"/>
    </row>
    <row r="129" spans="1:36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381"/>
      <c r="AG129" s="381"/>
      <c r="AH129" s="381"/>
      <c r="AI129" s="381"/>
      <c r="AJ129" s="381"/>
    </row>
    <row r="130" spans="1:36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  <c r="AA130" s="381"/>
      <c r="AB130" s="381"/>
      <c r="AC130" s="381"/>
      <c r="AD130" s="381"/>
      <c r="AE130" s="381"/>
      <c r="AF130" s="381"/>
      <c r="AG130" s="381"/>
      <c r="AH130" s="381"/>
      <c r="AI130" s="381"/>
      <c r="AJ130" s="381"/>
    </row>
    <row r="131" spans="1:36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81"/>
      <c r="AC131" s="381"/>
      <c r="AD131" s="381"/>
      <c r="AE131" s="381"/>
      <c r="AF131" s="381"/>
      <c r="AG131" s="381"/>
      <c r="AH131" s="381"/>
      <c r="AI131" s="381"/>
      <c r="AJ131" s="381"/>
    </row>
    <row r="132" spans="1:36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81"/>
      <c r="AF132" s="381"/>
      <c r="AG132" s="381"/>
      <c r="AH132" s="381"/>
      <c r="AI132" s="381"/>
      <c r="AJ132" s="381"/>
    </row>
    <row r="133" spans="1:36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  <c r="AA133" s="381"/>
      <c r="AB133" s="381"/>
      <c r="AC133" s="381"/>
      <c r="AD133" s="381"/>
      <c r="AE133" s="381"/>
      <c r="AF133" s="381"/>
      <c r="AG133" s="381"/>
      <c r="AH133" s="381"/>
      <c r="AI133" s="381"/>
      <c r="AJ133" s="381"/>
    </row>
    <row r="134" spans="1:36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  <c r="AA134" s="381"/>
      <c r="AB134" s="381"/>
      <c r="AC134" s="381"/>
      <c r="AD134" s="381"/>
      <c r="AE134" s="381"/>
      <c r="AF134" s="381"/>
      <c r="AG134" s="381"/>
      <c r="AH134" s="381"/>
      <c r="AI134" s="381"/>
      <c r="AJ134" s="381"/>
    </row>
    <row r="135" spans="1:36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  <c r="AA135" s="381"/>
      <c r="AB135" s="381"/>
      <c r="AC135" s="381"/>
      <c r="AD135" s="381"/>
      <c r="AE135" s="381"/>
      <c r="AF135" s="381"/>
      <c r="AG135" s="381"/>
      <c r="AH135" s="381"/>
      <c r="AI135" s="381"/>
      <c r="AJ135" s="381"/>
    </row>
    <row r="136" spans="1:36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  <c r="AA136" s="381"/>
      <c r="AB136" s="381"/>
      <c r="AC136" s="381"/>
      <c r="AD136" s="381"/>
      <c r="AE136" s="381"/>
      <c r="AF136" s="381"/>
      <c r="AG136" s="381"/>
      <c r="AH136" s="381"/>
      <c r="AI136" s="381"/>
      <c r="AJ136" s="381"/>
    </row>
    <row r="137" spans="1:36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  <c r="AA137" s="381"/>
      <c r="AB137" s="381"/>
      <c r="AC137" s="381"/>
      <c r="AD137" s="381"/>
      <c r="AE137" s="381"/>
      <c r="AF137" s="381"/>
      <c r="AG137" s="381"/>
      <c r="AH137" s="381"/>
      <c r="AI137" s="381"/>
      <c r="AJ137" s="381"/>
    </row>
    <row r="138" spans="1:36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  <c r="AA138" s="381"/>
      <c r="AB138" s="381"/>
      <c r="AC138" s="381"/>
      <c r="AD138" s="381"/>
      <c r="AE138" s="381"/>
      <c r="AF138" s="381"/>
      <c r="AG138" s="381"/>
      <c r="AH138" s="381"/>
      <c r="AI138" s="381"/>
      <c r="AJ138" s="381"/>
    </row>
    <row r="139" spans="1:36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  <c r="AA139" s="381"/>
      <c r="AB139" s="381"/>
      <c r="AC139" s="381"/>
      <c r="AD139" s="381"/>
      <c r="AE139" s="381"/>
      <c r="AF139" s="381"/>
      <c r="AG139" s="381"/>
      <c r="AH139" s="381"/>
      <c r="AI139" s="381"/>
      <c r="AJ139" s="381"/>
    </row>
    <row r="140" spans="1:36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  <c r="AA140" s="381"/>
      <c r="AB140" s="381"/>
      <c r="AC140" s="381"/>
      <c r="AD140" s="381"/>
      <c r="AE140" s="381"/>
      <c r="AF140" s="381"/>
      <c r="AG140" s="381"/>
      <c r="AH140" s="381"/>
      <c r="AI140" s="381"/>
      <c r="AJ140" s="381"/>
    </row>
    <row r="141" spans="1:36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  <c r="AA141" s="381"/>
      <c r="AB141" s="381"/>
      <c r="AC141" s="381"/>
      <c r="AD141" s="381"/>
      <c r="AE141" s="381"/>
      <c r="AF141" s="381"/>
      <c r="AG141" s="381"/>
      <c r="AH141" s="381"/>
      <c r="AI141" s="381"/>
      <c r="AJ141" s="381"/>
    </row>
    <row r="142" spans="1:36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  <c r="AA142" s="381"/>
      <c r="AB142" s="381"/>
      <c r="AC142" s="381"/>
      <c r="AD142" s="381"/>
      <c r="AE142" s="381"/>
      <c r="AF142" s="381"/>
      <c r="AG142" s="381"/>
      <c r="AH142" s="381"/>
      <c r="AI142" s="381"/>
      <c r="AJ142" s="381"/>
    </row>
    <row r="143" spans="1:36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  <c r="AA143" s="381"/>
      <c r="AB143" s="381"/>
      <c r="AC143" s="381"/>
      <c r="AD143" s="381"/>
      <c r="AE143" s="381"/>
      <c r="AF143" s="381"/>
      <c r="AG143" s="381"/>
      <c r="AH143" s="381"/>
      <c r="AI143" s="381"/>
      <c r="AJ143" s="381"/>
    </row>
    <row r="144" spans="1:36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  <c r="AA144" s="381"/>
      <c r="AB144" s="381"/>
      <c r="AC144" s="381"/>
      <c r="AD144" s="381"/>
      <c r="AE144" s="381"/>
      <c r="AF144" s="381"/>
      <c r="AG144" s="381"/>
      <c r="AH144" s="381"/>
      <c r="AI144" s="381"/>
      <c r="AJ144" s="381"/>
    </row>
    <row r="145" spans="1:36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  <c r="AA145" s="381"/>
      <c r="AB145" s="381"/>
      <c r="AC145" s="381"/>
      <c r="AD145" s="381"/>
      <c r="AE145" s="381"/>
      <c r="AF145" s="381"/>
      <c r="AG145" s="381"/>
      <c r="AH145" s="381"/>
      <c r="AI145" s="381"/>
      <c r="AJ145" s="381"/>
    </row>
    <row r="146" spans="1:36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  <c r="AA146" s="381"/>
      <c r="AB146" s="381"/>
      <c r="AC146" s="381"/>
      <c r="AD146" s="381"/>
      <c r="AE146" s="381"/>
      <c r="AF146" s="381"/>
      <c r="AG146" s="381"/>
      <c r="AH146" s="381"/>
      <c r="AI146" s="381"/>
      <c r="AJ146" s="381"/>
    </row>
    <row r="147" spans="1:36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  <c r="AA147" s="381"/>
      <c r="AB147" s="381"/>
      <c r="AC147" s="381"/>
      <c r="AD147" s="381"/>
      <c r="AE147" s="381"/>
      <c r="AF147" s="381"/>
      <c r="AG147" s="381"/>
      <c r="AH147" s="381"/>
      <c r="AI147" s="381"/>
      <c r="AJ147" s="381"/>
    </row>
    <row r="148" spans="1:36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  <c r="AA148" s="381"/>
      <c r="AB148" s="381"/>
      <c r="AC148" s="381"/>
      <c r="AD148" s="381"/>
      <c r="AE148" s="381"/>
      <c r="AF148" s="381"/>
      <c r="AG148" s="381"/>
      <c r="AH148" s="381"/>
      <c r="AI148" s="381"/>
      <c r="AJ148" s="381"/>
    </row>
    <row r="149" spans="1:36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  <c r="AA149" s="381"/>
      <c r="AB149" s="381"/>
      <c r="AC149" s="381"/>
      <c r="AD149" s="381"/>
      <c r="AE149" s="381"/>
      <c r="AF149" s="381"/>
      <c r="AG149" s="381"/>
      <c r="AH149" s="381"/>
      <c r="AI149" s="381"/>
      <c r="AJ149" s="381"/>
    </row>
    <row r="150" spans="1:36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  <c r="AA150" s="381"/>
      <c r="AB150" s="381"/>
      <c r="AC150" s="381"/>
      <c r="AD150" s="381"/>
      <c r="AE150" s="381"/>
      <c r="AF150" s="381"/>
      <c r="AG150" s="381"/>
      <c r="AH150" s="381"/>
      <c r="AI150" s="381"/>
      <c r="AJ150" s="381"/>
    </row>
    <row r="151" spans="1:36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  <c r="AA151" s="381"/>
      <c r="AB151" s="381"/>
      <c r="AC151" s="381"/>
      <c r="AD151" s="381"/>
      <c r="AE151" s="381"/>
      <c r="AF151" s="381"/>
      <c r="AG151" s="381"/>
      <c r="AH151" s="381"/>
      <c r="AI151" s="381"/>
      <c r="AJ151" s="381"/>
    </row>
    <row r="152" spans="1:36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  <c r="AA152" s="381"/>
      <c r="AB152" s="381"/>
      <c r="AC152" s="381"/>
      <c r="AD152" s="381"/>
      <c r="AE152" s="381"/>
      <c r="AF152" s="381"/>
      <c r="AG152" s="381"/>
      <c r="AH152" s="381"/>
      <c r="AI152" s="381"/>
      <c r="AJ152" s="381"/>
    </row>
    <row r="153" spans="1:36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  <c r="AA153" s="381"/>
      <c r="AB153" s="381"/>
      <c r="AC153" s="381"/>
      <c r="AD153" s="381"/>
      <c r="AE153" s="381"/>
      <c r="AF153" s="381"/>
      <c r="AG153" s="381"/>
      <c r="AH153" s="381"/>
      <c r="AI153" s="381"/>
      <c r="AJ153" s="381"/>
    </row>
    <row r="154" spans="1:36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  <c r="AA154" s="381"/>
      <c r="AB154" s="381"/>
      <c r="AC154" s="381"/>
      <c r="AD154" s="381"/>
      <c r="AE154" s="381"/>
      <c r="AF154" s="381"/>
      <c r="AG154" s="381"/>
      <c r="AH154" s="381"/>
      <c r="AI154" s="381"/>
      <c r="AJ154" s="381"/>
    </row>
    <row r="155" spans="1:36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  <c r="AA155" s="381"/>
      <c r="AB155" s="381"/>
      <c r="AC155" s="381"/>
      <c r="AD155" s="381"/>
      <c r="AE155" s="381"/>
      <c r="AF155" s="381"/>
      <c r="AG155" s="381"/>
      <c r="AH155" s="381"/>
      <c r="AI155" s="381"/>
      <c r="AJ155" s="381"/>
    </row>
    <row r="156" spans="1:36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  <c r="AA156" s="381"/>
      <c r="AB156" s="381"/>
      <c r="AC156" s="381"/>
      <c r="AD156" s="381"/>
      <c r="AE156" s="381"/>
      <c r="AF156" s="381"/>
      <c r="AG156" s="381"/>
      <c r="AH156" s="381"/>
      <c r="AI156" s="381"/>
      <c r="AJ156" s="381"/>
    </row>
    <row r="157" spans="1:36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  <c r="AA157" s="381"/>
      <c r="AB157" s="381"/>
      <c r="AC157" s="381"/>
      <c r="AD157" s="381"/>
      <c r="AE157" s="381"/>
      <c r="AF157" s="381"/>
      <c r="AG157" s="381"/>
      <c r="AH157" s="381"/>
      <c r="AI157" s="381"/>
      <c r="AJ157" s="381"/>
    </row>
    <row r="158" spans="1:36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  <c r="AA158" s="381"/>
      <c r="AB158" s="381"/>
      <c r="AC158" s="381"/>
      <c r="AD158" s="381"/>
      <c r="AE158" s="381"/>
      <c r="AF158" s="381"/>
      <c r="AG158" s="381"/>
      <c r="AH158" s="381"/>
      <c r="AI158" s="381"/>
      <c r="AJ158" s="381"/>
    </row>
    <row r="159" spans="1:36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  <c r="AA159" s="381"/>
      <c r="AB159" s="381"/>
      <c r="AC159" s="381"/>
      <c r="AD159" s="381"/>
      <c r="AE159" s="381"/>
      <c r="AF159" s="381"/>
      <c r="AG159" s="381"/>
      <c r="AH159" s="381"/>
      <c r="AI159" s="381"/>
      <c r="AJ159" s="381"/>
    </row>
    <row r="160" spans="1:36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  <c r="AA160" s="381"/>
      <c r="AB160" s="381"/>
      <c r="AC160" s="381"/>
      <c r="AD160" s="381"/>
      <c r="AE160" s="381"/>
      <c r="AF160" s="381"/>
      <c r="AG160" s="381"/>
      <c r="AH160" s="381"/>
      <c r="AI160" s="381"/>
      <c r="AJ160" s="381"/>
    </row>
    <row r="161" spans="1:36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  <c r="AA161" s="381"/>
      <c r="AB161" s="381"/>
      <c r="AC161" s="381"/>
      <c r="AD161" s="381"/>
      <c r="AE161" s="381"/>
      <c r="AF161" s="381"/>
      <c r="AG161" s="381"/>
      <c r="AH161" s="381"/>
      <c r="AI161" s="381"/>
      <c r="AJ161" s="381"/>
    </row>
    <row r="162" spans="1:36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  <c r="AA162" s="381"/>
      <c r="AB162" s="381"/>
      <c r="AC162" s="381"/>
      <c r="AD162" s="381"/>
      <c r="AE162" s="381"/>
      <c r="AF162" s="381"/>
      <c r="AG162" s="381"/>
      <c r="AH162" s="381"/>
      <c r="AI162" s="381"/>
      <c r="AJ162" s="381"/>
    </row>
    <row r="163" spans="1:36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  <c r="AB163" s="381"/>
      <c r="AC163" s="381"/>
      <c r="AD163" s="381"/>
      <c r="AE163" s="381"/>
      <c r="AF163" s="381"/>
      <c r="AG163" s="381"/>
      <c r="AH163" s="381"/>
      <c r="AI163" s="381"/>
      <c r="AJ163" s="381"/>
    </row>
    <row r="164" spans="1:36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  <c r="AA164" s="381"/>
      <c r="AB164" s="381"/>
      <c r="AC164" s="381"/>
      <c r="AD164" s="381"/>
      <c r="AE164" s="381"/>
      <c r="AF164" s="381"/>
      <c r="AG164" s="381"/>
      <c r="AH164" s="381"/>
      <c r="AI164" s="381"/>
      <c r="AJ164" s="381"/>
    </row>
    <row r="165" spans="1:36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  <c r="AA165" s="381"/>
      <c r="AB165" s="381"/>
      <c r="AC165" s="381"/>
      <c r="AD165" s="381"/>
      <c r="AE165" s="381"/>
      <c r="AF165" s="381"/>
      <c r="AG165" s="381"/>
      <c r="AH165" s="381"/>
      <c r="AI165" s="381"/>
      <c r="AJ165" s="381"/>
    </row>
    <row r="166" spans="1:36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  <c r="AA166" s="381"/>
      <c r="AB166" s="381"/>
      <c r="AC166" s="381"/>
      <c r="AD166" s="381"/>
      <c r="AE166" s="381"/>
      <c r="AF166" s="381"/>
      <c r="AG166" s="381"/>
      <c r="AH166" s="381"/>
      <c r="AI166" s="381"/>
      <c r="AJ166" s="381"/>
    </row>
    <row r="167" spans="1:36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  <c r="AA167" s="381"/>
      <c r="AB167" s="381"/>
      <c r="AC167" s="381"/>
      <c r="AD167" s="381"/>
      <c r="AE167" s="381"/>
      <c r="AF167" s="381"/>
      <c r="AG167" s="381"/>
      <c r="AH167" s="381"/>
      <c r="AI167" s="381"/>
      <c r="AJ167" s="381"/>
    </row>
    <row r="168" spans="1:36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  <c r="AA168" s="381"/>
      <c r="AB168" s="381"/>
      <c r="AC168" s="381"/>
      <c r="AD168" s="381"/>
      <c r="AE168" s="381"/>
      <c r="AF168" s="381"/>
      <c r="AG168" s="381"/>
      <c r="AH168" s="381"/>
      <c r="AI168" s="381"/>
      <c r="AJ168" s="381"/>
    </row>
    <row r="169" spans="1:36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  <c r="AA169" s="381"/>
      <c r="AB169" s="381"/>
      <c r="AC169" s="381"/>
      <c r="AD169" s="381"/>
      <c r="AE169" s="381"/>
      <c r="AF169" s="381"/>
      <c r="AG169" s="381"/>
      <c r="AH169" s="381"/>
      <c r="AI169" s="381"/>
      <c r="AJ169" s="381"/>
    </row>
    <row r="170" spans="1:36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  <c r="AA170" s="381"/>
      <c r="AB170" s="381"/>
      <c r="AC170" s="381"/>
      <c r="AD170" s="381"/>
      <c r="AE170" s="381"/>
      <c r="AF170" s="381"/>
      <c r="AG170" s="381"/>
      <c r="AH170" s="381"/>
      <c r="AI170" s="381"/>
      <c r="AJ170" s="381"/>
    </row>
    <row r="171" spans="1:36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  <c r="AA171" s="381"/>
      <c r="AB171" s="381"/>
      <c r="AC171" s="381"/>
      <c r="AD171" s="381"/>
      <c r="AE171" s="381"/>
      <c r="AF171" s="381"/>
      <c r="AG171" s="381"/>
      <c r="AH171" s="381"/>
      <c r="AI171" s="381"/>
      <c r="AJ171" s="381"/>
    </row>
    <row r="172" spans="1:36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  <c r="AA172" s="381"/>
      <c r="AB172" s="381"/>
      <c r="AC172" s="381"/>
      <c r="AD172" s="381"/>
      <c r="AE172" s="381"/>
      <c r="AF172" s="381"/>
      <c r="AG172" s="381"/>
      <c r="AH172" s="381"/>
      <c r="AI172" s="381"/>
      <c r="AJ172" s="381"/>
    </row>
    <row r="173" spans="1:36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  <c r="AA173" s="381"/>
      <c r="AB173" s="381"/>
      <c r="AC173" s="381"/>
      <c r="AD173" s="381"/>
      <c r="AE173" s="381"/>
      <c r="AF173" s="381"/>
      <c r="AG173" s="381"/>
      <c r="AH173" s="381"/>
      <c r="AI173" s="381"/>
      <c r="AJ173" s="381"/>
    </row>
    <row r="174" spans="1:36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  <c r="AA174" s="381"/>
      <c r="AB174" s="381"/>
      <c r="AC174" s="381"/>
      <c r="AD174" s="381"/>
      <c r="AE174" s="381"/>
      <c r="AF174" s="381"/>
      <c r="AG174" s="381"/>
      <c r="AH174" s="381"/>
      <c r="AI174" s="381"/>
      <c r="AJ174" s="381"/>
    </row>
    <row r="175" spans="1:36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  <c r="AA175" s="381"/>
      <c r="AB175" s="381"/>
      <c r="AC175" s="381"/>
      <c r="AD175" s="381"/>
      <c r="AE175" s="381"/>
      <c r="AF175" s="381"/>
      <c r="AG175" s="381"/>
      <c r="AH175" s="381"/>
      <c r="AI175" s="381"/>
      <c r="AJ175" s="381"/>
    </row>
    <row r="176" spans="1:36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  <c r="AA176" s="381"/>
      <c r="AB176" s="381"/>
      <c r="AC176" s="381"/>
      <c r="AD176" s="381"/>
      <c r="AE176" s="381"/>
      <c r="AF176" s="381"/>
      <c r="AG176" s="381"/>
      <c r="AH176" s="381"/>
      <c r="AI176" s="381"/>
      <c r="AJ176" s="381"/>
    </row>
    <row r="177" spans="1:36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  <c r="AA177" s="381"/>
      <c r="AB177" s="381"/>
      <c r="AC177" s="381"/>
      <c r="AD177" s="381"/>
      <c r="AE177" s="381"/>
      <c r="AF177" s="381"/>
      <c r="AG177" s="381"/>
      <c r="AH177" s="381"/>
      <c r="AI177" s="381"/>
      <c r="AJ177" s="381"/>
    </row>
    <row r="178" spans="1:36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  <c r="AA178" s="381"/>
      <c r="AB178" s="381"/>
      <c r="AC178" s="381"/>
      <c r="AD178" s="381"/>
      <c r="AE178" s="381"/>
      <c r="AF178" s="381"/>
      <c r="AG178" s="381"/>
      <c r="AH178" s="381"/>
      <c r="AI178" s="381"/>
      <c r="AJ178" s="381"/>
    </row>
    <row r="179" spans="1:36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  <c r="AA179" s="381"/>
      <c r="AB179" s="381"/>
      <c r="AC179" s="381"/>
      <c r="AD179" s="381"/>
      <c r="AE179" s="381"/>
      <c r="AF179" s="381"/>
      <c r="AG179" s="381"/>
      <c r="AH179" s="381"/>
      <c r="AI179" s="381"/>
      <c r="AJ179" s="381"/>
    </row>
    <row r="180" spans="1:36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  <c r="AA180" s="381"/>
      <c r="AB180" s="381"/>
      <c r="AC180" s="381"/>
      <c r="AD180" s="381"/>
      <c r="AE180" s="381"/>
      <c r="AF180" s="381"/>
      <c r="AG180" s="381"/>
      <c r="AH180" s="381"/>
      <c r="AI180" s="381"/>
      <c r="AJ180" s="381"/>
    </row>
    <row r="181" spans="1:36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  <c r="AA181" s="381"/>
      <c r="AB181" s="381"/>
      <c r="AC181" s="381"/>
      <c r="AD181" s="381"/>
      <c r="AE181" s="381"/>
      <c r="AF181" s="381"/>
      <c r="AG181" s="381"/>
      <c r="AH181" s="381"/>
      <c r="AI181" s="381"/>
      <c r="AJ181" s="381"/>
    </row>
    <row r="182" spans="1:36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  <c r="AA182" s="381"/>
      <c r="AB182" s="381"/>
      <c r="AC182" s="381"/>
      <c r="AD182" s="381"/>
      <c r="AE182" s="381"/>
      <c r="AF182" s="381"/>
      <c r="AG182" s="381"/>
      <c r="AH182" s="381"/>
      <c r="AI182" s="381"/>
      <c r="AJ182" s="381"/>
    </row>
    <row r="183" spans="1:36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  <c r="AA183" s="381"/>
      <c r="AB183" s="381"/>
      <c r="AC183" s="381"/>
      <c r="AD183" s="381"/>
      <c r="AE183" s="381"/>
      <c r="AF183" s="381"/>
      <c r="AG183" s="381"/>
      <c r="AH183" s="381"/>
      <c r="AI183" s="381"/>
      <c r="AJ183" s="381"/>
    </row>
    <row r="184" spans="1:36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  <c r="AA184" s="381"/>
      <c r="AB184" s="381"/>
      <c r="AC184" s="381"/>
      <c r="AD184" s="381"/>
      <c r="AE184" s="381"/>
      <c r="AF184" s="381"/>
      <c r="AG184" s="381"/>
      <c r="AH184" s="381"/>
      <c r="AI184" s="381"/>
      <c r="AJ184" s="381"/>
    </row>
    <row r="185" spans="1:36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  <c r="AA185" s="381"/>
      <c r="AB185" s="381"/>
      <c r="AC185" s="381"/>
      <c r="AD185" s="381"/>
      <c r="AE185" s="381"/>
      <c r="AF185" s="381"/>
      <c r="AG185" s="381"/>
      <c r="AH185" s="381"/>
      <c r="AI185" s="381"/>
      <c r="AJ185" s="381"/>
    </row>
    <row r="186" spans="1:36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  <c r="AA186" s="381"/>
      <c r="AB186" s="381"/>
      <c r="AC186" s="381"/>
      <c r="AD186" s="381"/>
      <c r="AE186" s="381"/>
      <c r="AF186" s="381"/>
      <c r="AG186" s="381"/>
      <c r="AH186" s="381"/>
      <c r="AI186" s="381"/>
      <c r="AJ186" s="381"/>
    </row>
    <row r="187" spans="1:36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</row>
    <row r="188" spans="1:36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  <c r="AA188" s="381"/>
      <c r="AB188" s="381"/>
      <c r="AC188" s="381"/>
      <c r="AD188" s="381"/>
      <c r="AE188" s="381"/>
      <c r="AF188" s="381"/>
      <c r="AG188" s="381"/>
      <c r="AH188" s="381"/>
      <c r="AI188" s="381"/>
      <c r="AJ188" s="381"/>
    </row>
    <row r="189" spans="1:36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  <c r="AA189" s="381"/>
      <c r="AB189" s="381"/>
      <c r="AC189" s="381"/>
      <c r="AD189" s="381"/>
      <c r="AE189" s="381"/>
      <c r="AF189" s="381"/>
      <c r="AG189" s="381"/>
      <c r="AH189" s="381"/>
      <c r="AI189" s="381"/>
      <c r="AJ189" s="381"/>
    </row>
    <row r="190" spans="1:36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  <c r="AA190" s="381"/>
      <c r="AB190" s="381"/>
      <c r="AC190" s="381"/>
      <c r="AD190" s="381"/>
      <c r="AE190" s="381"/>
      <c r="AF190" s="381"/>
      <c r="AG190" s="381"/>
      <c r="AH190" s="381"/>
      <c r="AI190" s="381"/>
      <c r="AJ190" s="381"/>
    </row>
    <row r="191" spans="1:36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  <c r="AA191" s="381"/>
      <c r="AB191" s="381"/>
      <c r="AC191" s="381"/>
      <c r="AD191" s="381"/>
      <c r="AE191" s="381"/>
      <c r="AF191" s="381"/>
      <c r="AG191" s="381"/>
      <c r="AH191" s="381"/>
      <c r="AI191" s="381"/>
      <c r="AJ191" s="381"/>
    </row>
    <row r="192" spans="1:36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  <c r="AA192" s="381"/>
      <c r="AB192" s="381"/>
      <c r="AC192" s="381"/>
      <c r="AD192" s="381"/>
      <c r="AE192" s="381"/>
      <c r="AF192" s="381"/>
      <c r="AG192" s="381"/>
      <c r="AH192" s="381"/>
      <c r="AI192" s="381"/>
      <c r="AJ192" s="381"/>
    </row>
    <row r="193" spans="1:36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81"/>
      <c r="AE193" s="381"/>
      <c r="AF193" s="381"/>
      <c r="AG193" s="381"/>
      <c r="AH193" s="381"/>
      <c r="AI193" s="381"/>
      <c r="AJ193" s="381"/>
    </row>
    <row r="194" spans="1:36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  <c r="AA194" s="381"/>
      <c r="AB194" s="381"/>
      <c r="AC194" s="381"/>
      <c r="AD194" s="381"/>
      <c r="AE194" s="381"/>
      <c r="AF194" s="381"/>
      <c r="AG194" s="381"/>
      <c r="AH194" s="381"/>
      <c r="AI194" s="381"/>
      <c r="AJ194" s="381"/>
    </row>
    <row r="195" spans="1:36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  <c r="AA195" s="381"/>
      <c r="AB195" s="381"/>
      <c r="AC195" s="381"/>
      <c r="AD195" s="381"/>
      <c r="AE195" s="381"/>
      <c r="AF195" s="381"/>
      <c r="AG195" s="381"/>
      <c r="AH195" s="381"/>
      <c r="AI195" s="381"/>
      <c r="AJ195" s="381"/>
    </row>
    <row r="196" spans="1:36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  <c r="AA196" s="381"/>
      <c r="AB196" s="381"/>
      <c r="AC196" s="381"/>
      <c r="AD196" s="381"/>
      <c r="AE196" s="381"/>
      <c r="AF196" s="381"/>
      <c r="AG196" s="381"/>
      <c r="AH196" s="381"/>
      <c r="AI196" s="381"/>
      <c r="AJ196" s="381"/>
    </row>
    <row r="197" spans="1:36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  <c r="AA197" s="381"/>
      <c r="AB197" s="381"/>
      <c r="AC197" s="381"/>
      <c r="AD197" s="381"/>
      <c r="AE197" s="381"/>
      <c r="AF197" s="381"/>
      <c r="AG197" s="381"/>
      <c r="AH197" s="381"/>
      <c r="AI197" s="381"/>
      <c r="AJ197" s="381"/>
    </row>
    <row r="198" spans="1:36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81"/>
      <c r="AF198" s="381"/>
      <c r="AG198" s="381"/>
      <c r="AH198" s="381"/>
      <c r="AI198" s="381"/>
      <c r="AJ198" s="381"/>
    </row>
    <row r="199" spans="1:36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  <c r="AA199" s="381"/>
      <c r="AB199" s="381"/>
      <c r="AC199" s="381"/>
      <c r="AD199" s="381"/>
      <c r="AE199" s="381"/>
      <c r="AF199" s="381"/>
      <c r="AG199" s="381"/>
      <c r="AH199" s="381"/>
      <c r="AI199" s="381"/>
      <c r="AJ199" s="381"/>
    </row>
    <row r="200" spans="1:36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  <c r="AA200" s="381"/>
      <c r="AB200" s="381"/>
      <c r="AC200" s="381"/>
      <c r="AD200" s="381"/>
      <c r="AE200" s="381"/>
      <c r="AF200" s="381"/>
      <c r="AG200" s="381"/>
      <c r="AH200" s="381"/>
      <c r="AI200" s="381"/>
      <c r="AJ200" s="381"/>
    </row>
    <row r="201" spans="1:36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  <c r="AA201" s="381"/>
      <c r="AB201" s="381"/>
      <c r="AC201" s="381"/>
      <c r="AD201" s="381"/>
      <c r="AE201" s="381"/>
      <c r="AF201" s="381"/>
      <c r="AG201" s="381"/>
      <c r="AH201" s="381"/>
      <c r="AI201" s="381"/>
      <c r="AJ201" s="381"/>
    </row>
    <row r="202" spans="1:36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  <c r="AA202" s="381"/>
      <c r="AB202" s="381"/>
      <c r="AC202" s="381"/>
      <c r="AD202" s="381"/>
      <c r="AE202" s="381"/>
      <c r="AF202" s="381"/>
      <c r="AG202" s="381"/>
      <c r="AH202" s="381"/>
      <c r="AI202" s="381"/>
      <c r="AJ202" s="381"/>
    </row>
    <row r="203" spans="1:36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  <c r="AA203" s="381"/>
      <c r="AB203" s="381"/>
      <c r="AC203" s="381"/>
      <c r="AD203" s="381"/>
      <c r="AE203" s="381"/>
      <c r="AF203" s="381"/>
      <c r="AG203" s="381"/>
      <c r="AH203" s="381"/>
      <c r="AI203" s="381"/>
      <c r="AJ203" s="381"/>
    </row>
    <row r="204" spans="1:36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  <c r="AA204" s="381"/>
      <c r="AB204" s="381"/>
      <c r="AC204" s="381"/>
      <c r="AD204" s="381"/>
      <c r="AE204" s="381"/>
      <c r="AF204" s="381"/>
      <c r="AG204" s="381"/>
      <c r="AH204" s="381"/>
      <c r="AI204" s="381"/>
      <c r="AJ204" s="381"/>
    </row>
    <row r="205" spans="1:36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  <c r="AA205" s="381"/>
      <c r="AB205" s="381"/>
      <c r="AC205" s="381"/>
      <c r="AD205" s="381"/>
      <c r="AE205" s="381"/>
      <c r="AF205" s="381"/>
      <c r="AG205" s="381"/>
      <c r="AH205" s="381"/>
      <c r="AI205" s="381"/>
      <c r="AJ205" s="381"/>
    </row>
    <row r="206" spans="1:36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  <c r="AA206" s="381"/>
      <c r="AB206" s="381"/>
      <c r="AC206" s="381"/>
      <c r="AD206" s="381"/>
      <c r="AE206" s="381"/>
      <c r="AF206" s="381"/>
      <c r="AG206" s="381"/>
      <c r="AH206" s="381"/>
      <c r="AI206" s="381"/>
      <c r="AJ206" s="381"/>
    </row>
    <row r="207" spans="1:36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  <c r="AA207" s="381"/>
      <c r="AB207" s="381"/>
      <c r="AC207" s="381"/>
      <c r="AD207" s="381"/>
      <c r="AE207" s="381"/>
      <c r="AF207" s="381"/>
      <c r="AG207" s="381"/>
      <c r="AH207" s="381"/>
      <c r="AI207" s="381"/>
      <c r="AJ207" s="381"/>
    </row>
    <row r="208" spans="1:36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  <c r="AA208" s="381"/>
      <c r="AB208" s="381"/>
      <c r="AC208" s="381"/>
      <c r="AD208" s="381"/>
      <c r="AE208" s="381"/>
      <c r="AF208" s="381"/>
      <c r="AG208" s="381"/>
      <c r="AH208" s="381"/>
      <c r="AI208" s="381"/>
      <c r="AJ208" s="381"/>
    </row>
    <row r="209" spans="1:36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  <c r="AA209" s="381"/>
      <c r="AB209" s="381"/>
      <c r="AC209" s="381"/>
      <c r="AD209" s="381"/>
      <c r="AE209" s="381"/>
      <c r="AF209" s="381"/>
      <c r="AG209" s="381"/>
      <c r="AH209" s="381"/>
      <c r="AI209" s="381"/>
      <c r="AJ209" s="381"/>
    </row>
    <row r="210" spans="1:36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  <c r="AA210" s="381"/>
      <c r="AB210" s="381"/>
      <c r="AC210" s="381"/>
      <c r="AD210" s="381"/>
      <c r="AE210" s="381"/>
      <c r="AF210" s="381"/>
      <c r="AG210" s="381"/>
      <c r="AH210" s="381"/>
      <c r="AI210" s="381"/>
      <c r="AJ210" s="381"/>
    </row>
    <row r="211" spans="1:36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  <c r="AA211" s="381"/>
      <c r="AB211" s="381"/>
      <c r="AC211" s="381"/>
      <c r="AD211" s="381"/>
      <c r="AE211" s="381"/>
      <c r="AF211" s="381"/>
      <c r="AG211" s="381"/>
      <c r="AH211" s="381"/>
      <c r="AI211" s="381"/>
      <c r="AJ211" s="381"/>
    </row>
    <row r="212" spans="1:36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  <c r="AA212" s="381"/>
      <c r="AB212" s="381"/>
      <c r="AC212" s="381"/>
      <c r="AD212" s="381"/>
      <c r="AE212" s="381"/>
      <c r="AF212" s="381"/>
      <c r="AG212" s="381"/>
      <c r="AH212" s="381"/>
      <c r="AI212" s="381"/>
      <c r="AJ212" s="381"/>
    </row>
    <row r="213" spans="1:36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  <c r="AA213" s="381"/>
      <c r="AB213" s="381"/>
      <c r="AC213" s="381"/>
      <c r="AD213" s="381"/>
      <c r="AE213" s="381"/>
      <c r="AF213" s="381"/>
      <c r="AG213" s="381"/>
      <c r="AH213" s="381"/>
      <c r="AI213" s="381"/>
      <c r="AJ213" s="381"/>
    </row>
    <row r="214" spans="1:36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  <c r="AA214" s="381"/>
      <c r="AB214" s="381"/>
      <c r="AC214" s="381"/>
      <c r="AD214" s="381"/>
      <c r="AE214" s="381"/>
      <c r="AF214" s="381"/>
      <c r="AG214" s="381"/>
      <c r="AH214" s="381"/>
      <c r="AI214" s="381"/>
      <c r="AJ214" s="381"/>
    </row>
    <row r="215" spans="1:36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  <c r="AA215" s="381"/>
      <c r="AB215" s="381"/>
      <c r="AC215" s="381"/>
      <c r="AD215" s="381"/>
      <c r="AE215" s="381"/>
      <c r="AF215" s="381"/>
      <c r="AG215" s="381"/>
      <c r="AH215" s="381"/>
      <c r="AI215" s="381"/>
      <c r="AJ215" s="381"/>
    </row>
    <row r="216" spans="1:36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  <c r="AA216" s="381"/>
      <c r="AB216" s="381"/>
      <c r="AC216" s="381"/>
      <c r="AD216" s="381"/>
      <c r="AE216" s="381"/>
      <c r="AF216" s="381"/>
      <c r="AG216" s="381"/>
      <c r="AH216" s="381"/>
      <c r="AI216" s="381"/>
      <c r="AJ216" s="381"/>
    </row>
    <row r="217" spans="1:36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  <c r="AA217" s="381"/>
      <c r="AB217" s="381"/>
      <c r="AC217" s="381"/>
      <c r="AD217" s="381"/>
      <c r="AE217" s="381"/>
      <c r="AF217" s="381"/>
      <c r="AG217" s="381"/>
      <c r="AH217" s="381"/>
      <c r="AI217" s="381"/>
      <c r="AJ217" s="381"/>
    </row>
    <row r="218" spans="1:36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  <c r="AA218" s="381"/>
      <c r="AB218" s="381"/>
      <c r="AC218" s="381"/>
      <c r="AD218" s="381"/>
      <c r="AE218" s="381"/>
      <c r="AF218" s="381"/>
      <c r="AG218" s="381"/>
      <c r="AH218" s="381"/>
      <c r="AI218" s="381"/>
      <c r="AJ218" s="381"/>
    </row>
    <row r="219" spans="1:36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  <c r="AA219" s="381"/>
      <c r="AB219" s="381"/>
      <c r="AC219" s="381"/>
      <c r="AD219" s="381"/>
      <c r="AE219" s="381"/>
      <c r="AF219" s="381"/>
      <c r="AG219" s="381"/>
      <c r="AH219" s="381"/>
      <c r="AI219" s="381"/>
      <c r="AJ219" s="381"/>
    </row>
    <row r="220" spans="1:36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  <c r="AB220" s="381"/>
      <c r="AC220" s="381"/>
      <c r="AD220" s="381"/>
      <c r="AE220" s="381"/>
      <c r="AF220" s="381"/>
      <c r="AG220" s="381"/>
      <c r="AH220" s="381"/>
      <c r="AI220" s="381"/>
      <c r="AJ220" s="381"/>
    </row>
    <row r="221" spans="1:36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  <c r="AA221" s="381"/>
      <c r="AB221" s="381"/>
      <c r="AC221" s="381"/>
      <c r="AD221" s="381"/>
      <c r="AE221" s="381"/>
      <c r="AF221" s="381"/>
      <c r="AG221" s="381"/>
      <c r="AH221" s="381"/>
      <c r="AI221" s="381"/>
      <c r="AJ221" s="381"/>
    </row>
    <row r="222" spans="1:36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  <c r="AA222" s="381"/>
      <c r="AB222" s="381"/>
      <c r="AC222" s="381"/>
      <c r="AD222" s="381"/>
      <c r="AE222" s="381"/>
      <c r="AF222" s="381"/>
      <c r="AG222" s="381"/>
      <c r="AH222" s="381"/>
      <c r="AI222" s="381"/>
      <c r="AJ222" s="381"/>
    </row>
    <row r="223" spans="1:36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  <c r="AA223" s="381"/>
      <c r="AB223" s="381"/>
      <c r="AC223" s="381"/>
      <c r="AD223" s="381"/>
      <c r="AE223" s="381"/>
      <c r="AF223" s="381"/>
      <c r="AG223" s="381"/>
      <c r="AH223" s="381"/>
      <c r="AI223" s="381"/>
      <c r="AJ223" s="381"/>
    </row>
    <row r="224" spans="1:36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  <c r="AA224" s="381"/>
      <c r="AB224" s="381"/>
      <c r="AC224" s="381"/>
      <c r="AD224" s="381"/>
      <c r="AE224" s="381"/>
      <c r="AF224" s="381"/>
      <c r="AG224" s="381"/>
      <c r="AH224" s="381"/>
      <c r="AI224" s="381"/>
      <c r="AJ224" s="381"/>
    </row>
    <row r="225" spans="1:36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  <c r="AA225" s="381"/>
      <c r="AB225" s="381"/>
      <c r="AC225" s="381"/>
      <c r="AD225" s="381"/>
      <c r="AE225" s="381"/>
      <c r="AF225" s="381"/>
      <c r="AG225" s="381"/>
      <c r="AH225" s="381"/>
      <c r="AI225" s="381"/>
      <c r="AJ225" s="381"/>
    </row>
    <row r="226" spans="1:36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  <c r="AA226" s="381"/>
      <c r="AB226" s="381"/>
      <c r="AC226" s="381"/>
      <c r="AD226" s="381"/>
      <c r="AE226" s="381"/>
      <c r="AF226" s="381"/>
      <c r="AG226" s="381"/>
      <c r="AH226" s="381"/>
      <c r="AI226" s="381"/>
      <c r="AJ226" s="381"/>
    </row>
    <row r="227" spans="1:36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  <c r="Y227" s="381"/>
      <c r="Z227" s="381"/>
      <c r="AA227" s="381"/>
      <c r="AB227" s="381"/>
      <c r="AC227" s="381"/>
      <c r="AD227" s="381"/>
      <c r="AE227" s="381"/>
      <c r="AF227" s="381"/>
      <c r="AG227" s="381"/>
      <c r="AH227" s="381"/>
      <c r="AI227" s="381"/>
      <c r="AJ227" s="381"/>
    </row>
    <row r="228" spans="1:36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  <c r="Y228" s="381"/>
      <c r="Z228" s="381"/>
      <c r="AA228" s="381"/>
      <c r="AB228" s="381"/>
      <c r="AC228" s="381"/>
      <c r="AD228" s="381"/>
      <c r="AE228" s="381"/>
      <c r="AF228" s="381"/>
      <c r="AG228" s="381"/>
      <c r="AH228" s="381"/>
      <c r="AI228" s="381"/>
      <c r="AJ228" s="381"/>
    </row>
    <row r="229" spans="1:36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  <c r="Y229" s="381"/>
      <c r="Z229" s="381"/>
      <c r="AA229" s="381"/>
      <c r="AB229" s="381"/>
      <c r="AC229" s="381"/>
      <c r="AD229" s="381"/>
      <c r="AE229" s="381"/>
      <c r="AF229" s="381"/>
      <c r="AG229" s="381"/>
      <c r="AH229" s="381"/>
      <c r="AI229" s="381"/>
      <c r="AJ229" s="381"/>
    </row>
    <row r="230" spans="1:36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  <c r="AA230" s="381"/>
      <c r="AB230" s="381"/>
      <c r="AC230" s="381"/>
      <c r="AD230" s="381"/>
      <c r="AE230" s="381"/>
      <c r="AF230" s="381"/>
      <c r="AG230" s="381"/>
      <c r="AH230" s="381"/>
      <c r="AI230" s="381"/>
      <c r="AJ230" s="381"/>
    </row>
    <row r="231" spans="1:36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  <c r="Y231" s="381"/>
      <c r="Z231" s="381"/>
      <c r="AA231" s="381"/>
      <c r="AB231" s="381"/>
      <c r="AC231" s="381"/>
      <c r="AD231" s="381"/>
      <c r="AE231" s="381"/>
      <c r="AF231" s="381"/>
      <c r="AG231" s="381"/>
      <c r="AH231" s="381"/>
      <c r="AI231" s="381"/>
      <c r="AJ231" s="381"/>
    </row>
    <row r="232" spans="1:36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  <c r="Y232" s="381"/>
      <c r="Z232" s="381"/>
      <c r="AA232" s="381"/>
      <c r="AB232" s="381"/>
      <c r="AC232" s="381"/>
      <c r="AD232" s="381"/>
      <c r="AE232" s="381"/>
      <c r="AF232" s="381"/>
      <c r="AG232" s="381"/>
      <c r="AH232" s="381"/>
      <c r="AI232" s="381"/>
      <c r="AJ232" s="381"/>
    </row>
    <row r="233" spans="1:36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  <c r="Y233" s="381"/>
      <c r="Z233" s="381"/>
      <c r="AA233" s="381"/>
      <c r="AB233" s="381"/>
      <c r="AC233" s="381"/>
      <c r="AD233" s="381"/>
      <c r="AE233" s="381"/>
      <c r="AF233" s="381"/>
      <c r="AG233" s="381"/>
      <c r="AH233" s="381"/>
      <c r="AI233" s="381"/>
      <c r="AJ233" s="381"/>
    </row>
    <row r="234" spans="1:36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  <c r="Y234" s="381"/>
      <c r="Z234" s="381"/>
      <c r="AA234" s="381"/>
      <c r="AB234" s="381"/>
      <c r="AC234" s="381"/>
      <c r="AD234" s="381"/>
      <c r="AE234" s="381"/>
      <c r="AF234" s="381"/>
      <c r="AG234" s="381"/>
      <c r="AH234" s="381"/>
      <c r="AI234" s="381"/>
      <c r="AJ234" s="381"/>
    </row>
    <row r="235" spans="1:36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  <c r="Y235" s="381"/>
      <c r="Z235" s="381"/>
      <c r="AA235" s="381"/>
      <c r="AB235" s="381"/>
      <c r="AC235" s="381"/>
      <c r="AD235" s="381"/>
      <c r="AE235" s="381"/>
      <c r="AF235" s="381"/>
      <c r="AG235" s="381"/>
      <c r="AH235" s="381"/>
      <c r="AI235" s="381"/>
      <c r="AJ235" s="381"/>
    </row>
    <row r="236" spans="1:36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  <c r="Y236" s="381"/>
      <c r="Z236" s="381"/>
      <c r="AA236" s="381"/>
      <c r="AB236" s="381"/>
      <c r="AC236" s="381"/>
      <c r="AD236" s="381"/>
      <c r="AE236" s="381"/>
      <c r="AF236" s="381"/>
      <c r="AG236" s="381"/>
      <c r="AH236" s="381"/>
      <c r="AI236" s="381"/>
      <c r="AJ236" s="381"/>
    </row>
    <row r="237" spans="1:36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  <c r="Y237" s="381"/>
      <c r="Z237" s="381"/>
      <c r="AA237" s="381"/>
      <c r="AB237" s="381"/>
      <c r="AC237" s="381"/>
      <c r="AD237" s="381"/>
      <c r="AE237" s="381"/>
      <c r="AF237" s="381"/>
      <c r="AG237" s="381"/>
      <c r="AH237" s="381"/>
      <c r="AI237" s="381"/>
      <c r="AJ237" s="381"/>
    </row>
    <row r="238" spans="1:36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  <c r="Y238" s="381"/>
      <c r="Z238" s="381"/>
      <c r="AA238" s="381"/>
      <c r="AB238" s="381"/>
      <c r="AC238" s="381"/>
      <c r="AD238" s="381"/>
      <c r="AE238" s="381"/>
      <c r="AF238" s="381"/>
      <c r="AG238" s="381"/>
      <c r="AH238" s="381"/>
      <c r="AI238" s="381"/>
      <c r="AJ238" s="381"/>
    </row>
    <row r="239" spans="1:36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381"/>
    </row>
    <row r="240" spans="1:36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  <c r="Y240" s="381"/>
      <c r="Z240" s="381"/>
      <c r="AA240" s="381"/>
      <c r="AB240" s="381"/>
      <c r="AC240" s="381"/>
      <c r="AD240" s="381"/>
      <c r="AE240" s="381"/>
      <c r="AF240" s="381"/>
      <c r="AG240" s="381"/>
      <c r="AH240" s="381"/>
      <c r="AI240" s="381"/>
      <c r="AJ240" s="381"/>
    </row>
    <row r="241" spans="1:36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  <c r="Y241" s="381"/>
      <c r="Z241" s="381"/>
      <c r="AA241" s="381"/>
      <c r="AB241" s="381"/>
      <c r="AC241" s="381"/>
      <c r="AD241" s="381"/>
      <c r="AE241" s="381"/>
      <c r="AF241" s="381"/>
      <c r="AG241" s="381"/>
      <c r="AH241" s="381"/>
      <c r="AI241" s="381"/>
      <c r="AJ241" s="381"/>
    </row>
    <row r="242" spans="1:36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  <c r="Y242" s="381"/>
      <c r="Z242" s="381"/>
      <c r="AA242" s="381"/>
      <c r="AB242" s="381"/>
      <c r="AC242" s="381"/>
      <c r="AD242" s="381"/>
      <c r="AE242" s="381"/>
      <c r="AF242" s="381"/>
      <c r="AG242" s="381"/>
      <c r="AH242" s="381"/>
      <c r="AI242" s="381"/>
      <c r="AJ242" s="381"/>
    </row>
    <row r="243" spans="1:36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  <c r="Y243" s="381"/>
      <c r="Z243" s="381"/>
      <c r="AA243" s="381"/>
      <c r="AB243" s="381"/>
      <c r="AC243" s="381"/>
      <c r="AD243" s="381"/>
      <c r="AE243" s="381"/>
      <c r="AF243" s="381"/>
      <c r="AG243" s="381"/>
      <c r="AH243" s="381"/>
      <c r="AI243" s="381"/>
      <c r="AJ243" s="381"/>
    </row>
    <row r="244" spans="1:36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  <c r="Y244" s="381"/>
      <c r="Z244" s="381"/>
      <c r="AA244" s="381"/>
      <c r="AB244" s="381"/>
      <c r="AC244" s="381"/>
      <c r="AD244" s="381"/>
      <c r="AE244" s="381"/>
      <c r="AF244" s="381"/>
      <c r="AG244" s="381"/>
      <c r="AH244" s="381"/>
      <c r="AI244" s="381"/>
      <c r="AJ244" s="381"/>
    </row>
    <row r="245" spans="1:36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  <c r="Y245" s="381"/>
      <c r="Z245" s="381"/>
      <c r="AA245" s="381"/>
      <c r="AB245" s="381"/>
      <c r="AC245" s="381"/>
      <c r="AD245" s="381"/>
      <c r="AE245" s="381"/>
      <c r="AF245" s="381"/>
      <c r="AG245" s="381"/>
      <c r="AH245" s="381"/>
      <c r="AI245" s="381"/>
      <c r="AJ245" s="381"/>
    </row>
    <row r="246" spans="1:36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  <c r="Y246" s="381"/>
      <c r="Z246" s="381"/>
      <c r="AA246" s="381"/>
      <c r="AB246" s="381"/>
      <c r="AC246" s="381"/>
      <c r="AD246" s="381"/>
      <c r="AE246" s="381"/>
      <c r="AF246" s="381"/>
      <c r="AG246" s="381"/>
      <c r="AH246" s="381"/>
      <c r="AI246" s="381"/>
      <c r="AJ246" s="381"/>
    </row>
    <row r="247" spans="1:36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  <c r="Y247" s="381"/>
      <c r="Z247" s="381"/>
      <c r="AA247" s="381"/>
      <c r="AB247" s="381"/>
      <c r="AC247" s="381"/>
      <c r="AD247" s="381"/>
      <c r="AE247" s="381"/>
      <c r="AF247" s="381"/>
      <c r="AG247" s="381"/>
      <c r="AH247" s="381"/>
      <c r="AI247" s="381"/>
      <c r="AJ247" s="381"/>
    </row>
    <row r="248" spans="1:36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  <c r="Y248" s="381"/>
      <c r="Z248" s="381"/>
      <c r="AA248" s="381"/>
      <c r="AB248" s="381"/>
      <c r="AC248" s="381"/>
      <c r="AD248" s="381"/>
      <c r="AE248" s="381"/>
      <c r="AF248" s="381"/>
      <c r="AG248" s="381"/>
      <c r="AH248" s="381"/>
      <c r="AI248" s="381"/>
      <c r="AJ248" s="381"/>
    </row>
    <row r="249" spans="1:36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  <c r="Y249" s="381"/>
      <c r="Z249" s="381"/>
      <c r="AA249" s="381"/>
      <c r="AB249" s="381"/>
      <c r="AC249" s="381"/>
      <c r="AD249" s="381"/>
      <c r="AE249" s="381"/>
      <c r="AF249" s="381"/>
      <c r="AG249" s="381"/>
      <c r="AH249" s="381"/>
      <c r="AI249" s="381"/>
      <c r="AJ249" s="381"/>
    </row>
    <row r="250" spans="1:36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  <c r="Y250" s="381"/>
      <c r="Z250" s="381"/>
      <c r="AA250" s="381"/>
      <c r="AB250" s="381"/>
      <c r="AC250" s="381"/>
      <c r="AD250" s="381"/>
      <c r="AE250" s="381"/>
      <c r="AF250" s="381"/>
      <c r="AG250" s="381"/>
      <c r="AH250" s="381"/>
      <c r="AI250" s="381"/>
      <c r="AJ250" s="381"/>
    </row>
    <row r="251" spans="1:36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  <c r="Y251" s="381"/>
      <c r="Z251" s="381"/>
      <c r="AA251" s="381"/>
      <c r="AB251" s="381"/>
      <c r="AC251" s="381"/>
      <c r="AD251" s="381"/>
      <c r="AE251" s="381"/>
      <c r="AF251" s="381"/>
      <c r="AG251" s="381"/>
      <c r="AH251" s="381"/>
      <c r="AI251" s="381"/>
      <c r="AJ251" s="381"/>
    </row>
    <row r="252" spans="1:36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  <c r="Y252" s="381"/>
      <c r="Z252" s="381"/>
      <c r="AA252" s="381"/>
      <c r="AB252" s="381"/>
      <c r="AC252" s="381"/>
      <c r="AD252" s="381"/>
      <c r="AE252" s="381"/>
      <c r="AF252" s="381"/>
      <c r="AG252" s="381"/>
      <c r="AH252" s="381"/>
      <c r="AI252" s="381"/>
      <c r="AJ252" s="381"/>
    </row>
    <row r="253" spans="1:36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  <c r="Y253" s="381"/>
      <c r="Z253" s="381"/>
      <c r="AA253" s="381"/>
      <c r="AB253" s="381"/>
      <c r="AC253" s="381"/>
      <c r="AD253" s="381"/>
      <c r="AE253" s="381"/>
      <c r="AF253" s="381"/>
      <c r="AG253" s="381"/>
      <c r="AH253" s="381"/>
      <c r="AI253" s="381"/>
      <c r="AJ253" s="381"/>
    </row>
    <row r="254" spans="1:36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  <c r="Y254" s="381"/>
      <c r="Z254" s="381"/>
      <c r="AA254" s="381"/>
      <c r="AB254" s="381"/>
      <c r="AC254" s="381"/>
      <c r="AD254" s="381"/>
      <c r="AE254" s="381"/>
      <c r="AF254" s="381"/>
      <c r="AG254" s="381"/>
      <c r="AH254" s="381"/>
      <c r="AI254" s="381"/>
      <c r="AJ254" s="381"/>
    </row>
    <row r="255" spans="1:36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  <c r="Y255" s="381"/>
      <c r="Z255" s="381"/>
      <c r="AA255" s="381"/>
      <c r="AB255" s="381"/>
      <c r="AC255" s="381"/>
      <c r="AD255" s="381"/>
      <c r="AE255" s="381"/>
      <c r="AF255" s="381"/>
      <c r="AG255" s="381"/>
      <c r="AH255" s="381"/>
      <c r="AI255" s="381"/>
      <c r="AJ255" s="381"/>
    </row>
    <row r="256" spans="1:36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  <c r="Y256" s="381"/>
      <c r="Z256" s="381"/>
      <c r="AA256" s="381"/>
      <c r="AB256" s="381"/>
      <c r="AC256" s="381"/>
      <c r="AD256" s="381"/>
      <c r="AE256" s="381"/>
      <c r="AF256" s="381"/>
      <c r="AG256" s="381"/>
      <c r="AH256" s="381"/>
      <c r="AI256" s="381"/>
      <c r="AJ256" s="381"/>
    </row>
    <row r="257" spans="1:36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  <c r="Y257" s="381"/>
      <c r="Z257" s="381"/>
      <c r="AA257" s="381"/>
      <c r="AB257" s="381"/>
      <c r="AC257" s="381"/>
      <c r="AD257" s="381"/>
      <c r="AE257" s="381"/>
      <c r="AF257" s="381"/>
      <c r="AG257" s="381"/>
      <c r="AH257" s="381"/>
      <c r="AI257" s="381"/>
      <c r="AJ257" s="381"/>
    </row>
    <row r="258" spans="1:36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  <c r="Y258" s="381"/>
      <c r="Z258" s="381"/>
      <c r="AA258" s="381"/>
      <c r="AB258" s="381"/>
      <c r="AC258" s="381"/>
      <c r="AD258" s="381"/>
      <c r="AE258" s="381"/>
      <c r="AF258" s="381"/>
      <c r="AG258" s="381"/>
      <c r="AH258" s="381"/>
      <c r="AI258" s="381"/>
      <c r="AJ258" s="381"/>
    </row>
    <row r="259" spans="1:36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  <c r="Y259" s="381"/>
      <c r="Z259" s="381"/>
      <c r="AA259" s="381"/>
      <c r="AB259" s="381"/>
      <c r="AC259" s="381"/>
      <c r="AD259" s="381"/>
      <c r="AE259" s="381"/>
      <c r="AF259" s="381"/>
      <c r="AG259" s="381"/>
      <c r="AH259" s="381"/>
      <c r="AI259" s="381"/>
      <c r="AJ259" s="381"/>
    </row>
    <row r="260" spans="1:36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  <c r="Y260" s="381"/>
      <c r="Z260" s="381"/>
      <c r="AA260" s="381"/>
      <c r="AB260" s="381"/>
      <c r="AC260" s="381"/>
      <c r="AD260" s="381"/>
      <c r="AE260" s="381"/>
      <c r="AF260" s="381"/>
      <c r="AG260" s="381"/>
      <c r="AH260" s="381"/>
      <c r="AI260" s="381"/>
      <c r="AJ260" s="381"/>
    </row>
    <row r="261" spans="1:36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  <c r="Y261" s="381"/>
      <c r="Z261" s="381"/>
      <c r="AA261" s="381"/>
      <c r="AB261" s="381"/>
      <c r="AC261" s="381"/>
      <c r="AD261" s="381"/>
      <c r="AE261" s="381"/>
      <c r="AF261" s="381"/>
      <c r="AG261" s="381"/>
      <c r="AH261" s="381"/>
      <c r="AI261" s="381"/>
      <c r="AJ261" s="381"/>
    </row>
    <row r="262" spans="1:36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  <c r="Y262" s="381"/>
      <c r="Z262" s="381"/>
      <c r="AA262" s="381"/>
      <c r="AB262" s="381"/>
      <c r="AC262" s="381"/>
      <c r="AD262" s="381"/>
      <c r="AE262" s="381"/>
      <c r="AF262" s="381"/>
      <c r="AG262" s="381"/>
      <c r="AH262" s="381"/>
      <c r="AI262" s="381"/>
      <c r="AJ262" s="381"/>
    </row>
    <row r="263" spans="1:36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  <c r="Y263" s="381"/>
      <c r="Z263" s="381"/>
      <c r="AA263" s="381"/>
      <c r="AB263" s="381"/>
      <c r="AC263" s="381"/>
      <c r="AD263" s="381"/>
      <c r="AE263" s="381"/>
      <c r="AF263" s="381"/>
      <c r="AG263" s="381"/>
      <c r="AH263" s="381"/>
      <c r="AI263" s="381"/>
      <c r="AJ263" s="381"/>
    </row>
    <row r="264" spans="1:36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  <c r="Y264" s="381"/>
      <c r="Z264" s="381"/>
      <c r="AA264" s="381"/>
      <c r="AB264" s="381"/>
      <c r="AC264" s="381"/>
      <c r="AD264" s="381"/>
      <c r="AE264" s="381"/>
      <c r="AF264" s="381"/>
      <c r="AG264" s="381"/>
      <c r="AH264" s="381"/>
      <c r="AI264" s="381"/>
      <c r="AJ264" s="381"/>
    </row>
    <row r="265" spans="1:36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  <c r="Y265" s="381"/>
      <c r="Z265" s="381"/>
      <c r="AA265" s="381"/>
      <c r="AB265" s="381"/>
      <c r="AC265" s="381"/>
      <c r="AD265" s="381"/>
      <c r="AE265" s="381"/>
      <c r="AF265" s="381"/>
      <c r="AG265" s="381"/>
      <c r="AH265" s="381"/>
      <c r="AI265" s="381"/>
      <c r="AJ265" s="381"/>
    </row>
    <row r="266" spans="1:36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  <c r="AA266" s="381"/>
      <c r="AB266" s="381"/>
      <c r="AC266" s="381"/>
      <c r="AD266" s="381"/>
      <c r="AE266" s="381"/>
      <c r="AF266" s="381"/>
      <c r="AG266" s="381"/>
      <c r="AH266" s="381"/>
      <c r="AI266" s="381"/>
      <c r="AJ266" s="381"/>
    </row>
    <row r="267" spans="1:36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  <c r="Y267" s="381"/>
      <c r="Z267" s="381"/>
      <c r="AA267" s="381"/>
      <c r="AB267" s="381"/>
      <c r="AC267" s="381"/>
      <c r="AD267" s="381"/>
      <c r="AE267" s="381"/>
      <c r="AF267" s="381"/>
      <c r="AG267" s="381"/>
      <c r="AH267" s="381"/>
      <c r="AI267" s="381"/>
      <c r="AJ267" s="381"/>
    </row>
    <row r="268" spans="1:36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  <c r="Y268" s="381"/>
      <c r="Z268" s="381"/>
      <c r="AA268" s="381"/>
      <c r="AB268" s="381"/>
      <c r="AC268" s="381"/>
      <c r="AD268" s="381"/>
      <c r="AE268" s="381"/>
      <c r="AF268" s="381"/>
      <c r="AG268" s="381"/>
      <c r="AH268" s="381"/>
      <c r="AI268" s="381"/>
      <c r="AJ268" s="381"/>
    </row>
    <row r="269" spans="1:36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  <c r="Y269" s="381"/>
      <c r="Z269" s="381"/>
      <c r="AA269" s="381"/>
      <c r="AB269" s="381"/>
      <c r="AC269" s="381"/>
      <c r="AD269" s="381"/>
      <c r="AE269" s="381"/>
      <c r="AF269" s="381"/>
      <c r="AG269" s="381"/>
      <c r="AH269" s="381"/>
      <c r="AI269" s="381"/>
      <c r="AJ269" s="38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DA4D-5766-40AD-9622-08A649A8F830}">
  <sheetPr>
    <tabColor theme="7" tint="0.3999755851924192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B985-E889-41BF-8B3B-FBDEFF425DFD}">
  <dimension ref="A1:Q146"/>
  <sheetViews>
    <sheetView showGridLines="0" zoomScale="120" zoomScaleNormal="120" zoomScaleSheetLayoutView="130" workbookViewId="0"/>
  </sheetViews>
  <sheetFormatPr defaultColWidth="9.1328125" defaultRowHeight="13.15"/>
  <cols>
    <col min="1" max="1" width="6.3984375" style="2" customWidth="1"/>
    <col min="2" max="2" width="25.59765625" style="2" customWidth="1"/>
    <col min="3" max="10" width="11.265625" style="2" customWidth="1"/>
    <col min="11" max="12" width="9.1328125" style="2"/>
    <col min="13" max="17" width="9.1328125" style="2" customWidth="1"/>
    <col min="18" max="20" width="9.1328125" style="1" customWidth="1"/>
    <col min="21" max="16384" width="9.1328125" style="1"/>
  </cols>
  <sheetData>
    <row r="1" spans="2:17">
      <c r="B1" s="15"/>
    </row>
    <row r="2" spans="2:17" s="44" customFormat="1" ht="13.5" customHeight="1">
      <c r="B2" s="45" t="s">
        <v>0</v>
      </c>
      <c r="C2" s="45"/>
      <c r="D2" s="45"/>
      <c r="E2" s="46"/>
      <c r="F2" s="46"/>
      <c r="G2" s="46"/>
      <c r="H2" s="46"/>
      <c r="I2" s="46"/>
      <c r="J2" s="47" t="s">
        <v>37</v>
      </c>
    </row>
    <row r="3" spans="2:17" s="44" customFormat="1" ht="13.5" customHeight="1">
      <c r="B3" s="48" t="s">
        <v>161</v>
      </c>
      <c r="C3" s="48"/>
      <c r="E3" s="48" t="s">
        <v>304</v>
      </c>
      <c r="F3" s="48"/>
      <c r="G3" s="48"/>
    </row>
    <row r="4" spans="2:17" s="44" customFormat="1" ht="13.5" customHeight="1">
      <c r="B4" s="44" t="s">
        <v>2</v>
      </c>
      <c r="C4" s="103">
        <f>+E42</f>
        <v>50.830000000000005</v>
      </c>
      <c r="E4" s="44" t="s">
        <v>144</v>
      </c>
      <c r="G4" s="85">
        <v>0.01</v>
      </c>
      <c r="L4" s="50"/>
    </row>
    <row r="5" spans="2:17" s="44" customFormat="1" ht="13.5" customHeight="1">
      <c r="B5" s="44" t="s">
        <v>1</v>
      </c>
      <c r="C5" s="209">
        <v>18</v>
      </c>
      <c r="E5" s="44" t="s">
        <v>47</v>
      </c>
      <c r="G5" s="85">
        <v>0.02</v>
      </c>
      <c r="L5" s="52"/>
      <c r="Q5" s="53"/>
    </row>
    <row r="6" spans="2:17" s="44" customFormat="1" ht="13.5" customHeight="1">
      <c r="B6" s="54" t="s">
        <v>67</v>
      </c>
      <c r="C6" s="105">
        <f>+C5*C4</f>
        <v>914.94</v>
      </c>
      <c r="L6" s="57"/>
      <c r="Q6" s="53"/>
    </row>
    <row r="7" spans="2:17" s="44" customFormat="1" ht="13.5" customHeight="1">
      <c r="B7" s="104" t="s">
        <v>68</v>
      </c>
      <c r="C7" s="102">
        <f>+C33</f>
        <v>0</v>
      </c>
      <c r="L7" s="57"/>
      <c r="Q7" s="53"/>
    </row>
    <row r="8" spans="2:17" s="44" customFormat="1" ht="13.5" customHeight="1">
      <c r="B8" s="104" t="s">
        <v>69</v>
      </c>
      <c r="C8" s="102">
        <f>+C25</f>
        <v>5</v>
      </c>
      <c r="L8" s="50"/>
    </row>
    <row r="9" spans="2:17" s="44" customFormat="1" ht="13.5" customHeight="1">
      <c r="B9" s="54" t="s">
        <v>66</v>
      </c>
      <c r="C9" s="105">
        <f>+C6-C7+C8</f>
        <v>919.94</v>
      </c>
    </row>
    <row r="10" spans="2:17" s="44" customFormat="1" ht="13.5" customHeight="1">
      <c r="B10" s="59"/>
      <c r="C10" s="60"/>
      <c r="Q10" s="53"/>
    </row>
    <row r="11" spans="2:17" s="44" customFormat="1" ht="13.5" customHeight="1">
      <c r="Q11" s="53"/>
    </row>
    <row r="12" spans="2:17" s="44" customFormat="1" ht="13.5" customHeight="1">
      <c r="B12" s="45" t="s">
        <v>4</v>
      </c>
      <c r="C12" s="45"/>
      <c r="D12" s="45"/>
      <c r="E12" s="46"/>
      <c r="F12" s="46"/>
      <c r="G12" s="46"/>
      <c r="H12" s="46"/>
      <c r="I12" s="46"/>
      <c r="J12" s="47" t="s">
        <v>37</v>
      </c>
      <c r="M12" s="59"/>
    </row>
    <row r="13" spans="2:17" s="44" customFormat="1" ht="13.5" customHeight="1">
      <c r="B13" s="48" t="s">
        <v>5</v>
      </c>
      <c r="C13" s="48"/>
      <c r="D13" s="48"/>
      <c r="G13" s="48" t="s">
        <v>6</v>
      </c>
      <c r="H13" s="48"/>
      <c r="I13" s="48"/>
      <c r="J13" s="48"/>
    </row>
    <row r="14" spans="2:17" s="44" customFormat="1" ht="13.5" customHeight="1">
      <c r="B14" s="44" t="s">
        <v>60</v>
      </c>
      <c r="D14" s="186">
        <v>0</v>
      </c>
      <c r="G14" s="44" t="s">
        <v>308</v>
      </c>
      <c r="J14" s="106">
        <f>+C6</f>
        <v>914.94</v>
      </c>
    </row>
    <row r="15" spans="2:17" s="44" customFormat="1" ht="13.5" customHeight="1">
      <c r="B15" s="44" t="s">
        <v>58</v>
      </c>
      <c r="D15" s="206">
        <f>+J19-D14</f>
        <v>934.08940000000007</v>
      </c>
      <c r="G15" s="44" t="s">
        <v>309</v>
      </c>
      <c r="J15" s="206">
        <v>10</v>
      </c>
    </row>
    <row r="16" spans="2:17" s="44" customFormat="1" ht="13.5" customHeight="1">
      <c r="D16" s="206"/>
      <c r="G16" s="44" t="s">
        <v>144</v>
      </c>
      <c r="J16" s="206">
        <f>+G4*C6</f>
        <v>9.1494</v>
      </c>
    </row>
    <row r="17" spans="1:17" s="44" customFormat="1" ht="13.5" customHeight="1">
      <c r="D17" s="206"/>
      <c r="G17" s="44" t="s">
        <v>47</v>
      </c>
      <c r="J17" s="206">
        <f>+G5*D14</f>
        <v>0</v>
      </c>
    </row>
    <row r="18" spans="1:17" s="44" customFormat="1" ht="13.5" customHeight="1">
      <c r="D18" s="206"/>
      <c r="J18" s="206"/>
    </row>
    <row r="19" spans="1:17" s="44" customFormat="1" ht="13.5" customHeight="1">
      <c r="B19" s="54" t="s">
        <v>7</v>
      </c>
      <c r="C19" s="54"/>
      <c r="D19" s="105">
        <f>SUM(D14:D18)</f>
        <v>934.08940000000007</v>
      </c>
      <c r="G19" s="54" t="s">
        <v>8</v>
      </c>
      <c r="H19" s="55"/>
      <c r="I19" s="55"/>
      <c r="J19" s="105">
        <f>SUM(J14:J18)</f>
        <v>934.08940000000007</v>
      </c>
    </row>
    <row r="20" spans="1:17" s="62" customFormat="1" ht="13.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</row>
    <row r="21" spans="1:17" s="62" customFormat="1" ht="13.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spans="1:17" s="62" customFormat="1" ht="13.5" customHeight="1">
      <c r="A22" s="44"/>
      <c r="B22" s="44"/>
      <c r="C22" s="44"/>
      <c r="D22" s="44"/>
      <c r="E22" s="44"/>
      <c r="F22" s="44"/>
      <c r="G22" s="44"/>
      <c r="H22" s="107"/>
      <c r="I22" s="44"/>
      <c r="J22" s="44"/>
      <c r="K22" s="44"/>
      <c r="L22" s="44"/>
      <c r="M22" s="44"/>
      <c r="N22" s="44"/>
      <c r="O22" s="44"/>
      <c r="P22" s="44"/>
      <c r="Q22" s="44"/>
    </row>
    <row r="23" spans="1:17" s="44" customFormat="1" ht="13.5" customHeight="1">
      <c r="B23" s="45" t="s">
        <v>3</v>
      </c>
      <c r="C23" s="45"/>
      <c r="D23" s="45"/>
      <c r="E23" s="154"/>
      <c r="F23" s="46"/>
      <c r="G23" s="46"/>
      <c r="H23" s="46"/>
      <c r="I23" s="46"/>
      <c r="J23" s="47" t="s">
        <v>37</v>
      </c>
    </row>
    <row r="24" spans="1:17" s="44" customFormat="1" ht="13.5" customHeight="1">
      <c r="B24" s="48" t="s">
        <v>19</v>
      </c>
      <c r="C24" s="74">
        <v>0</v>
      </c>
      <c r="D24" s="79" t="s">
        <v>44</v>
      </c>
      <c r="E24" s="162" t="s">
        <v>43</v>
      </c>
      <c r="F24" s="74">
        <v>1</v>
      </c>
      <c r="G24" s="74">
        <f>F24+1</f>
        <v>2</v>
      </c>
      <c r="H24" s="74">
        <f>G24+1</f>
        <v>3</v>
      </c>
      <c r="I24" s="74">
        <f>H24+1</f>
        <v>4</v>
      </c>
      <c r="J24" s="74">
        <f>I24+1</f>
        <v>5</v>
      </c>
    </row>
    <row r="25" spans="1:17" s="44" customFormat="1" ht="13.5" customHeight="1">
      <c r="B25" s="44" t="s">
        <v>20</v>
      </c>
      <c r="C25" s="186">
        <v>5</v>
      </c>
      <c r="D25" s="190">
        <f>+E25-C25</f>
        <v>5</v>
      </c>
      <c r="E25" s="188">
        <f>+J15</f>
        <v>10</v>
      </c>
      <c r="F25" s="106">
        <f ca="1">+F122+E25</f>
        <v>5</v>
      </c>
      <c r="G25" s="106">
        <f t="shared" ref="G25:J25" ca="1" si="0">+G122+F25</f>
        <v>5</v>
      </c>
      <c r="H25" s="106">
        <f t="shared" ca="1" si="0"/>
        <v>5</v>
      </c>
      <c r="I25" s="106">
        <f t="shared" ca="1" si="0"/>
        <v>5</v>
      </c>
      <c r="J25" s="106">
        <f t="shared" ca="1" si="0"/>
        <v>5</v>
      </c>
    </row>
    <row r="26" spans="1:17" s="44" customFormat="1" ht="13.5" customHeight="1">
      <c r="B26" s="44" t="s">
        <v>21</v>
      </c>
      <c r="C26" s="191">
        <v>100</v>
      </c>
      <c r="D26" s="192"/>
      <c r="E26" s="193">
        <f>+D26+C26</f>
        <v>100</v>
      </c>
      <c r="F26" s="102">
        <f>+F80</f>
        <v>105</v>
      </c>
      <c r="G26" s="102">
        <f t="shared" ref="G26:J26" si="1">+G80</f>
        <v>110</v>
      </c>
      <c r="H26" s="102">
        <f t="shared" si="1"/>
        <v>115</v>
      </c>
      <c r="I26" s="102">
        <f t="shared" si="1"/>
        <v>120</v>
      </c>
      <c r="J26" s="102">
        <f t="shared" si="1"/>
        <v>125</v>
      </c>
    </row>
    <row r="27" spans="1:17" s="44" customFormat="1" ht="13.5" customHeight="1">
      <c r="B27" s="44" t="s">
        <v>45</v>
      </c>
      <c r="C27" s="191">
        <v>0</v>
      </c>
      <c r="D27" s="192">
        <f>+J17</f>
        <v>0</v>
      </c>
      <c r="E27" s="193">
        <f t="shared" ref="E27:E30" si="2">+D27+C27</f>
        <v>0</v>
      </c>
      <c r="F27" s="102">
        <f>+F91</f>
        <v>0</v>
      </c>
      <c r="G27" s="102">
        <f t="shared" ref="G27:J27" si="3">+G91</f>
        <v>0</v>
      </c>
      <c r="H27" s="102">
        <f t="shared" si="3"/>
        <v>0</v>
      </c>
      <c r="I27" s="102">
        <f t="shared" si="3"/>
        <v>0</v>
      </c>
      <c r="J27" s="102">
        <f t="shared" si="3"/>
        <v>0</v>
      </c>
    </row>
    <row r="28" spans="1:17" s="44" customFormat="1" ht="13.5" customHeight="1">
      <c r="B28" s="44" t="s">
        <v>46</v>
      </c>
      <c r="C28" s="191">
        <v>0</v>
      </c>
      <c r="D28" s="192">
        <f>+C9-C36</f>
        <v>774.94</v>
      </c>
      <c r="E28" s="193">
        <f t="shared" si="2"/>
        <v>774.94</v>
      </c>
      <c r="F28" s="189">
        <f>+E28</f>
        <v>774.94</v>
      </c>
      <c r="G28" s="189">
        <f t="shared" ref="G28:J28" si="4">+F28</f>
        <v>774.94</v>
      </c>
      <c r="H28" s="189">
        <f t="shared" si="4"/>
        <v>774.94</v>
      </c>
      <c r="I28" s="189">
        <f t="shared" si="4"/>
        <v>774.94</v>
      </c>
      <c r="J28" s="189">
        <f t="shared" si="4"/>
        <v>774.94</v>
      </c>
    </row>
    <row r="29" spans="1:17" s="44" customFormat="1" ht="13.5" customHeight="1">
      <c r="B29" s="44" t="s">
        <v>95</v>
      </c>
      <c r="C29" s="191">
        <v>20</v>
      </c>
      <c r="D29" s="192"/>
      <c r="E29" s="193">
        <f t="shared" si="2"/>
        <v>20</v>
      </c>
      <c r="F29" s="189">
        <f>+E29</f>
        <v>20</v>
      </c>
      <c r="G29" s="189">
        <f t="shared" ref="G29:J29" si="5">+F29</f>
        <v>20</v>
      </c>
      <c r="H29" s="189">
        <f t="shared" si="5"/>
        <v>20</v>
      </c>
      <c r="I29" s="189">
        <f t="shared" si="5"/>
        <v>20</v>
      </c>
      <c r="J29" s="189">
        <f t="shared" si="5"/>
        <v>20</v>
      </c>
    </row>
    <row r="30" spans="1:17" s="44" customFormat="1" ht="13.5" customHeight="1">
      <c r="B30" s="44" t="s">
        <v>23</v>
      </c>
      <c r="C30" s="191">
        <v>20</v>
      </c>
      <c r="D30" s="194"/>
      <c r="E30" s="193">
        <f t="shared" si="2"/>
        <v>20</v>
      </c>
      <c r="F30" s="102">
        <f>+F85</f>
        <v>21.42324</v>
      </c>
      <c r="G30" s="102">
        <f t="shared" ref="G30:J30" si="6">+G85</f>
        <v>23.415776000000001</v>
      </c>
      <c r="H30" s="102">
        <f t="shared" si="6"/>
        <v>26.205326399999997</v>
      </c>
      <c r="I30" s="102">
        <f t="shared" si="6"/>
        <v>30.110696959999999</v>
      </c>
      <c r="J30" s="102">
        <f t="shared" si="6"/>
        <v>35.578215743999998</v>
      </c>
    </row>
    <row r="31" spans="1:17" s="44" customFormat="1" ht="13.5" customHeight="1">
      <c r="B31" s="54" t="s">
        <v>22</v>
      </c>
      <c r="C31" s="105">
        <f>SUM(C25:C30)</f>
        <v>145</v>
      </c>
      <c r="D31" s="195"/>
      <c r="E31" s="195">
        <f>SUM(E25:E30)</f>
        <v>924.94</v>
      </c>
      <c r="F31" s="105">
        <f ca="1">SUM(F25:F30)</f>
        <v>926.36324000000002</v>
      </c>
      <c r="G31" s="105">
        <f t="shared" ref="G31:J31" ca="1" si="7">SUM(G25:G30)</f>
        <v>933.35577600000011</v>
      </c>
      <c r="H31" s="105">
        <f t="shared" ca="1" si="7"/>
        <v>941.14532640000004</v>
      </c>
      <c r="I31" s="105">
        <f t="shared" ca="1" si="7"/>
        <v>950.0506969600001</v>
      </c>
      <c r="J31" s="105">
        <f t="shared" ca="1" si="7"/>
        <v>960.51821574400003</v>
      </c>
    </row>
    <row r="32" spans="1:17" s="62" customFormat="1" ht="13.5" customHeight="1">
      <c r="A32" s="44"/>
      <c r="B32" s="44"/>
      <c r="C32" s="106"/>
      <c r="D32" s="197"/>
      <c r="E32" s="188"/>
      <c r="F32" s="106"/>
      <c r="G32" s="106"/>
      <c r="H32" s="106"/>
      <c r="I32" s="106"/>
      <c r="J32" s="106"/>
      <c r="K32" s="44"/>
      <c r="L32" s="44"/>
      <c r="M32" s="44"/>
      <c r="N32" s="44"/>
      <c r="O32" s="44"/>
      <c r="P32" s="44"/>
      <c r="Q32" s="44"/>
    </row>
    <row r="33" spans="1:17" s="44" customFormat="1" ht="13.5" customHeight="1">
      <c r="B33" s="44" t="s">
        <v>59</v>
      </c>
      <c r="C33" s="186">
        <v>0</v>
      </c>
      <c r="D33" s="197"/>
      <c r="E33" s="188">
        <f t="shared" ref="E33:E35" si="8">+D33+C33</f>
        <v>0</v>
      </c>
      <c r="F33" s="106">
        <f>+F96</f>
        <v>0</v>
      </c>
      <c r="G33" s="106">
        <f t="shared" ref="G33:J33" si="9">+G96</f>
        <v>0</v>
      </c>
      <c r="H33" s="106">
        <f t="shared" si="9"/>
        <v>0</v>
      </c>
      <c r="I33" s="106">
        <f t="shared" si="9"/>
        <v>0</v>
      </c>
      <c r="J33" s="106">
        <f t="shared" si="9"/>
        <v>0</v>
      </c>
    </row>
    <row r="34" spans="1:17" s="44" customFormat="1" ht="13.5" customHeight="1">
      <c r="B34" s="44" t="s">
        <v>60</v>
      </c>
      <c r="C34" s="191">
        <v>0</v>
      </c>
      <c r="D34" s="194"/>
      <c r="E34" s="193">
        <f t="shared" si="8"/>
        <v>0</v>
      </c>
      <c r="F34" s="189">
        <f ca="1">+F102</f>
        <v>13.342875000000006</v>
      </c>
      <c r="G34" s="189">
        <f t="shared" ref="G34:J34" ca="1" si="10">+G102</f>
        <v>31.078685416666676</v>
      </c>
      <c r="H34" s="189">
        <f t="shared" ca="1" si="10"/>
        <v>51.952926701388904</v>
      </c>
      <c r="I34" s="189">
        <f t="shared" ca="1" si="10"/>
        <v>65.558764926504651</v>
      </c>
      <c r="J34" s="189">
        <f t="shared" ca="1" si="10"/>
        <v>65.035368901716453</v>
      </c>
    </row>
    <row r="35" spans="1:17" s="44" customFormat="1" ht="13.5" customHeight="1">
      <c r="B35" s="44" t="s">
        <v>24</v>
      </c>
      <c r="C35" s="191">
        <v>145</v>
      </c>
      <c r="D35" s="194">
        <f>+-C35+D15-J16</f>
        <v>779.94</v>
      </c>
      <c r="E35" s="193">
        <f t="shared" si="8"/>
        <v>924.94</v>
      </c>
      <c r="F35" s="102">
        <f ca="1">+E35+F73</f>
        <v>913.02036500000008</v>
      </c>
      <c r="G35" s="102">
        <f t="shared" ref="G35:J35" ca="1" si="11">+F35+G73</f>
        <v>902.27709058333346</v>
      </c>
      <c r="H35" s="102">
        <f t="shared" ca="1" si="11"/>
        <v>889.19239969861121</v>
      </c>
      <c r="I35" s="102">
        <f t="shared" ca="1" si="11"/>
        <v>884.49193203349546</v>
      </c>
      <c r="J35" s="102">
        <f t="shared" ca="1" si="11"/>
        <v>895.48284684228361</v>
      </c>
    </row>
    <row r="36" spans="1:17" s="44" customFormat="1" ht="13.5" customHeight="1">
      <c r="B36" s="54" t="s">
        <v>25</v>
      </c>
      <c r="C36" s="105">
        <f>SUM(C33:C35)</f>
        <v>145</v>
      </c>
      <c r="D36" s="195"/>
      <c r="E36" s="198">
        <f>SUM(E33:E35)</f>
        <v>924.94</v>
      </c>
      <c r="F36" s="105">
        <f ca="1">SUM(F33:F35)</f>
        <v>926.36324000000013</v>
      </c>
      <c r="G36" s="105">
        <f t="shared" ref="G36:J36" ca="1" si="12">SUM(G33:G35)</f>
        <v>933.35577600000011</v>
      </c>
      <c r="H36" s="105">
        <f t="shared" ca="1" si="12"/>
        <v>941.14532640000016</v>
      </c>
      <c r="I36" s="105">
        <f t="shared" ca="1" si="12"/>
        <v>950.0506969600001</v>
      </c>
      <c r="J36" s="105">
        <f t="shared" ca="1" si="12"/>
        <v>960.51821574400003</v>
      </c>
    </row>
    <row r="37" spans="1:17" s="44" customFormat="1" ht="13.5" customHeight="1">
      <c r="B37" s="80" t="s">
        <v>35</v>
      </c>
      <c r="C37" s="81">
        <f>C31-C36</f>
        <v>0</v>
      </c>
      <c r="D37" s="82"/>
      <c r="E37" s="163">
        <f t="shared" ref="E37:J37" si="13">E31-E36</f>
        <v>0</v>
      </c>
      <c r="F37" s="81">
        <f t="shared" ca="1" si="13"/>
        <v>0</v>
      </c>
      <c r="G37" s="81">
        <f t="shared" ca="1" si="13"/>
        <v>0</v>
      </c>
      <c r="H37" s="81">
        <f t="shared" ca="1" si="13"/>
        <v>0</v>
      </c>
      <c r="I37" s="81">
        <f t="shared" ca="1" si="13"/>
        <v>0</v>
      </c>
      <c r="J37" s="81">
        <f t="shared" ca="1" si="13"/>
        <v>0</v>
      </c>
    </row>
    <row r="38" spans="1:17" s="44" customFormat="1" ht="13.5" customHeight="1">
      <c r="B38" s="80"/>
      <c r="C38" s="80"/>
      <c r="D38" s="80"/>
      <c r="E38" s="164"/>
      <c r="F38" s="83"/>
      <c r="G38" s="83"/>
      <c r="H38" s="83"/>
      <c r="I38" s="83"/>
      <c r="J38" s="83"/>
    </row>
    <row r="39" spans="1:17" s="62" customFormat="1" ht="13.5" customHeight="1">
      <c r="A39" s="44"/>
      <c r="B39" s="44"/>
      <c r="C39" s="44"/>
      <c r="D39" s="44"/>
      <c r="E39" s="159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</row>
    <row r="40" spans="1:17" s="62" customFormat="1" ht="13.5" customHeight="1">
      <c r="A40" s="44"/>
      <c r="B40" s="44"/>
      <c r="C40" s="44"/>
      <c r="D40" s="44"/>
      <c r="E40" s="44"/>
      <c r="F40" s="44"/>
      <c r="G40" s="44"/>
      <c r="H40" s="107"/>
      <c r="I40" s="44"/>
      <c r="J40" s="44"/>
      <c r="K40" s="44"/>
      <c r="L40" s="44"/>
      <c r="M40" s="44"/>
      <c r="N40" s="44"/>
      <c r="O40" s="44"/>
      <c r="P40" s="44"/>
      <c r="Q40" s="44"/>
    </row>
    <row r="41" spans="1:17" s="44" customFormat="1" ht="13.5" customHeight="1">
      <c r="B41" s="48" t="s">
        <v>9</v>
      </c>
      <c r="C41" s="73">
        <f>+D41-1</f>
        <v>-2</v>
      </c>
      <c r="D41" s="73">
        <f>+E41-1</f>
        <v>-1</v>
      </c>
      <c r="E41" s="178">
        <v>0</v>
      </c>
      <c r="F41" s="73">
        <v>1</v>
      </c>
      <c r="G41" s="73">
        <f>F41+1</f>
        <v>2</v>
      </c>
      <c r="H41" s="73">
        <f>G41+1</f>
        <v>3</v>
      </c>
      <c r="I41" s="73">
        <f>H41+1</f>
        <v>4</v>
      </c>
      <c r="J41" s="73">
        <f>I41+1</f>
        <v>5</v>
      </c>
    </row>
    <row r="42" spans="1:17" s="44" customFormat="1" ht="13.5" customHeight="1">
      <c r="B42" s="44" t="s">
        <v>10</v>
      </c>
      <c r="C42" s="186">
        <v>19.21</v>
      </c>
      <c r="D42" s="186">
        <v>32.980000000000004</v>
      </c>
      <c r="E42" s="187">
        <v>50.830000000000005</v>
      </c>
      <c r="F42" s="103">
        <f>+E42*(1+F43)</f>
        <v>71.162000000000006</v>
      </c>
      <c r="G42" s="103">
        <f t="shared" ref="G42:J42" si="14">+F42*(1+G43)</f>
        <v>99.626800000000003</v>
      </c>
      <c r="H42" s="103">
        <f t="shared" si="14"/>
        <v>139.47752</v>
      </c>
      <c r="I42" s="103">
        <f t="shared" si="14"/>
        <v>195.26852799999998</v>
      </c>
      <c r="J42" s="103">
        <f t="shared" si="14"/>
        <v>273.37593919999995</v>
      </c>
      <c r="K42" s="107"/>
      <c r="M42" s="59"/>
    </row>
    <row r="43" spans="1:17" s="44" customFormat="1" ht="13.5" customHeight="1">
      <c r="B43" s="100" t="s">
        <v>12</v>
      </c>
      <c r="C43" s="179"/>
      <c r="D43" s="179">
        <f t="shared" ref="D43" si="15">D42/C42-1</f>
        <v>0.71681415929203562</v>
      </c>
      <c r="E43" s="180">
        <f>E42/D42-1</f>
        <v>0.54123711340206193</v>
      </c>
      <c r="F43" s="184">
        <v>0.4</v>
      </c>
      <c r="G43" s="184">
        <v>0.4</v>
      </c>
      <c r="H43" s="184">
        <v>0.4</v>
      </c>
      <c r="I43" s="184">
        <v>0.4</v>
      </c>
      <c r="J43" s="184">
        <v>0.4</v>
      </c>
    </row>
    <row r="44" spans="1:17" s="44" customFormat="1" ht="13.5" customHeight="1">
      <c r="B44" s="374" t="s">
        <v>310</v>
      </c>
      <c r="C44" s="375"/>
      <c r="D44" s="375"/>
      <c r="E44" s="376"/>
      <c r="F44" s="377"/>
      <c r="G44" s="371"/>
      <c r="H44" s="371"/>
      <c r="I44" s="371"/>
      <c r="J44" s="371"/>
    </row>
    <row r="45" spans="1:17" s="44" customFormat="1" ht="13.5" customHeight="1">
      <c r="B45" s="76"/>
      <c r="C45" s="76"/>
      <c r="D45" s="76"/>
      <c r="E45" s="157"/>
      <c r="F45" s="77"/>
      <c r="G45" s="77"/>
      <c r="H45" s="77"/>
      <c r="I45" s="77"/>
      <c r="J45" s="77"/>
      <c r="K45" s="78"/>
      <c r="L45" s="78"/>
    </row>
    <row r="46" spans="1:17" s="44" customFormat="1" ht="13.5" customHeight="1">
      <c r="B46" s="44" t="s">
        <v>125</v>
      </c>
      <c r="C46" s="186">
        <v>13</v>
      </c>
      <c r="D46" s="186">
        <v>23</v>
      </c>
      <c r="E46" s="187">
        <v>35.799999999999997</v>
      </c>
      <c r="F46" s="103">
        <f>+F47*F$42</f>
        <v>49.813400000000001</v>
      </c>
      <c r="G46" s="103">
        <f t="shared" ref="G46:J46" si="16">+G47*G$42</f>
        <v>69.738759999999999</v>
      </c>
      <c r="H46" s="103">
        <f t="shared" si="16"/>
        <v>97.634263999999988</v>
      </c>
      <c r="I46" s="103">
        <f t="shared" si="16"/>
        <v>136.68796959999997</v>
      </c>
      <c r="J46" s="103">
        <f t="shared" si="16"/>
        <v>191.36315743999995</v>
      </c>
      <c r="K46" s="78"/>
      <c r="L46" s="78"/>
    </row>
    <row r="47" spans="1:17" s="44" customFormat="1" ht="13.5" customHeight="1">
      <c r="B47" s="100" t="s">
        <v>29</v>
      </c>
      <c r="C47" s="182">
        <f>+C46/C$42</f>
        <v>0.67673086933888593</v>
      </c>
      <c r="D47" s="182">
        <f>+D46/D$42</f>
        <v>0.69739235900545782</v>
      </c>
      <c r="E47" s="183">
        <f>+E46/E$42</f>
        <v>0.70430847924454054</v>
      </c>
      <c r="F47" s="184">
        <v>0.7</v>
      </c>
      <c r="G47" s="184">
        <v>0.7</v>
      </c>
      <c r="H47" s="184">
        <v>0.7</v>
      </c>
      <c r="I47" s="184">
        <v>0.7</v>
      </c>
      <c r="J47" s="184">
        <v>0.7</v>
      </c>
      <c r="K47" s="78"/>
      <c r="L47" s="78"/>
    </row>
    <row r="48" spans="1:17" s="44" customFormat="1" ht="13.5" customHeight="1">
      <c r="B48" s="76"/>
      <c r="C48" s="76"/>
      <c r="D48" s="76"/>
      <c r="E48" s="157"/>
      <c r="F48" s="77"/>
      <c r="G48" s="77"/>
      <c r="H48" s="77"/>
      <c r="I48" s="77"/>
      <c r="J48" s="77"/>
      <c r="K48" s="78"/>
      <c r="L48" s="78"/>
    </row>
    <row r="49" spans="2:12" s="44" customFormat="1" ht="13.5" customHeight="1">
      <c r="B49" s="44" t="s">
        <v>142</v>
      </c>
      <c r="C49" s="186">
        <v>9.56</v>
      </c>
      <c r="D49" s="186">
        <v>15.549999999999999</v>
      </c>
      <c r="E49" s="187">
        <v>20.75</v>
      </c>
      <c r="F49" s="103">
        <f>+F50*F$42</f>
        <v>28.464800000000004</v>
      </c>
      <c r="G49" s="103">
        <f t="shared" ref="G49" si="17">+G50*G$42</f>
        <v>37.858184000000001</v>
      </c>
      <c r="H49" s="103">
        <f t="shared" ref="H49" si="18">+H50*H$42</f>
        <v>50.211907199999999</v>
      </c>
      <c r="I49" s="103">
        <f t="shared" ref="I49" si="19">+I50*I$42</f>
        <v>66.39129951999999</v>
      </c>
      <c r="J49" s="103">
        <f t="shared" ref="J49" si="20">+J50*J$42</f>
        <v>87.480300543999988</v>
      </c>
      <c r="L49" s="78"/>
    </row>
    <row r="50" spans="2:12" s="44" customFormat="1" ht="13.5" customHeight="1">
      <c r="B50" s="100" t="s">
        <v>29</v>
      </c>
      <c r="C50" s="179">
        <f>+C49/C42</f>
        <v>0.49765747006767308</v>
      </c>
      <c r="D50" s="179">
        <f t="shared" ref="D50:E50" si="21">+D49/D42</f>
        <v>0.47149787750151601</v>
      </c>
      <c r="E50" s="180">
        <f t="shared" si="21"/>
        <v>0.40822349006492226</v>
      </c>
      <c r="F50" s="184">
        <v>0.4</v>
      </c>
      <c r="G50" s="184">
        <v>0.38</v>
      </c>
      <c r="H50" s="184">
        <v>0.36</v>
      </c>
      <c r="I50" s="184">
        <v>0.34</v>
      </c>
      <c r="J50" s="184">
        <v>0.32</v>
      </c>
      <c r="L50" s="78"/>
    </row>
    <row r="51" spans="2:12" s="44" customFormat="1" ht="13.5" customHeight="1">
      <c r="B51" s="374" t="s">
        <v>310</v>
      </c>
      <c r="C51" s="375"/>
      <c r="D51" s="375"/>
      <c r="E51" s="376"/>
      <c r="F51" s="377"/>
      <c r="G51" s="371"/>
      <c r="H51" s="371"/>
      <c r="I51" s="371"/>
      <c r="J51" s="371"/>
      <c r="L51" s="78"/>
    </row>
    <row r="52" spans="2:12" s="44" customFormat="1" ht="13.5" customHeight="1">
      <c r="B52" s="76"/>
      <c r="C52" s="76"/>
      <c r="D52" s="76"/>
      <c r="E52" s="157"/>
      <c r="F52" s="77"/>
      <c r="G52" s="77"/>
      <c r="H52" s="77"/>
      <c r="I52" s="77"/>
      <c r="J52" s="77"/>
      <c r="K52" s="78"/>
      <c r="L52" s="78"/>
    </row>
    <row r="53" spans="2:12" s="44" customFormat="1" ht="13.5" customHeight="1">
      <c r="B53" s="44" t="s">
        <v>143</v>
      </c>
      <c r="C53" s="186">
        <v>10</v>
      </c>
      <c r="D53" s="186">
        <v>15.2</v>
      </c>
      <c r="E53" s="187">
        <v>22.2</v>
      </c>
      <c r="F53" s="103">
        <f>+F54*F$42</f>
        <v>28.464800000000004</v>
      </c>
      <c r="G53" s="103">
        <f t="shared" ref="G53" si="22">+G54*G$42</f>
        <v>34.86938</v>
      </c>
      <c r="H53" s="103">
        <f t="shared" ref="H53" si="23">+H54*H$42</f>
        <v>48.817131999999994</v>
      </c>
      <c r="I53" s="103">
        <f t="shared" ref="I53" si="24">+I54*I$42</f>
        <v>58.580558399999987</v>
      </c>
      <c r="J53" s="103">
        <f t="shared" ref="J53" si="25">+J54*J$42</f>
        <v>68.343984799999987</v>
      </c>
      <c r="K53" s="78"/>
      <c r="L53" s="78"/>
    </row>
    <row r="54" spans="2:12" s="44" customFormat="1" ht="13.5" customHeight="1">
      <c r="B54" s="100" t="s">
        <v>29</v>
      </c>
      <c r="C54" s="182">
        <f>+C53/C$42</f>
        <v>0.52056220718375845</v>
      </c>
      <c r="D54" s="182">
        <f>+D53/D$42</f>
        <v>0.46088538508186772</v>
      </c>
      <c r="E54" s="183">
        <f>+E53/E$42</f>
        <v>0.43674995081644691</v>
      </c>
      <c r="F54" s="184">
        <v>0.4</v>
      </c>
      <c r="G54" s="184">
        <v>0.35</v>
      </c>
      <c r="H54" s="184">
        <v>0.35</v>
      </c>
      <c r="I54" s="184">
        <v>0.3</v>
      </c>
      <c r="J54" s="184">
        <v>0.25</v>
      </c>
      <c r="K54" s="78"/>
      <c r="L54" s="78"/>
    </row>
    <row r="55" spans="2:12" s="44" customFormat="1" ht="13.5" customHeight="1">
      <c r="E55" s="158"/>
      <c r="F55" s="78"/>
      <c r="G55" s="78"/>
      <c r="H55" s="78"/>
      <c r="I55" s="78"/>
      <c r="J55" s="78"/>
      <c r="K55" s="78"/>
      <c r="L55" s="78"/>
    </row>
    <row r="56" spans="2:12" s="44" customFormat="1" ht="13.5" customHeight="1">
      <c r="B56" s="44" t="s">
        <v>11</v>
      </c>
      <c r="C56" s="103">
        <f>+C46-C49-C53</f>
        <v>-6.5600000000000005</v>
      </c>
      <c r="D56" s="103">
        <f>+D46-D49-D53</f>
        <v>-7.7499999999999982</v>
      </c>
      <c r="E56" s="188">
        <f>+E46-E49-E53</f>
        <v>-7.1500000000000021</v>
      </c>
      <c r="F56" s="103">
        <f t="shared" ref="F56:J56" si="26">+F46-F49-F53</f>
        <v>-7.1162000000000063</v>
      </c>
      <c r="G56" s="103">
        <f t="shared" si="26"/>
        <v>-2.9888040000000018</v>
      </c>
      <c r="H56" s="103">
        <f t="shared" si="26"/>
        <v>-1.3947752000000051</v>
      </c>
      <c r="I56" s="103">
        <f t="shared" si="26"/>
        <v>11.716111679999997</v>
      </c>
      <c r="J56" s="103">
        <f t="shared" si="26"/>
        <v>35.538872095999977</v>
      </c>
      <c r="K56" s="78"/>
      <c r="L56" s="78"/>
    </row>
    <row r="57" spans="2:12" s="44" customFormat="1" ht="13.5" customHeight="1">
      <c r="B57" s="100" t="s">
        <v>29</v>
      </c>
      <c r="C57" s="179">
        <f>+C56/C42</f>
        <v>-0.34148880791254554</v>
      </c>
      <c r="D57" s="179">
        <f>+D56/D42</f>
        <v>-0.23499090357792593</v>
      </c>
      <c r="E57" s="180">
        <f>+E56/E42</f>
        <v>-0.14066496163682868</v>
      </c>
      <c r="F57" s="181">
        <f t="shared" ref="F57:J57" si="27">+F56/F42</f>
        <v>-0.10000000000000007</v>
      </c>
      <c r="G57" s="181">
        <f t="shared" si="27"/>
        <v>-3.0000000000000016E-2</v>
      </c>
      <c r="H57" s="181">
        <f t="shared" si="27"/>
        <v>-1.0000000000000037E-2</v>
      </c>
      <c r="I57" s="181">
        <f t="shared" si="27"/>
        <v>5.9999999999999991E-2</v>
      </c>
      <c r="J57" s="181">
        <f t="shared" si="27"/>
        <v>0.12999999999999995</v>
      </c>
      <c r="K57" s="78"/>
      <c r="L57" s="78"/>
    </row>
    <row r="58" spans="2:12" s="44" customFormat="1" ht="13.5" customHeight="1">
      <c r="E58" s="158"/>
      <c r="F58" s="78"/>
      <c r="G58" s="78"/>
      <c r="H58" s="78"/>
      <c r="I58" s="78"/>
      <c r="J58" s="78"/>
      <c r="K58" s="78"/>
      <c r="L58" s="78"/>
    </row>
    <row r="59" spans="2:12" s="44" customFormat="1" ht="13.5" customHeight="1">
      <c r="B59" s="44" t="s">
        <v>13</v>
      </c>
      <c r="E59" s="156"/>
      <c r="F59" s="103">
        <f>+F60*F$42</f>
        <v>4.2697200000000004</v>
      </c>
      <c r="G59" s="103">
        <f t="shared" ref="G59" si="28">+G60*G$42</f>
        <v>5.977608</v>
      </c>
      <c r="H59" s="103">
        <f t="shared" ref="H59" si="29">+H60*H$42</f>
        <v>8.3686512000000004</v>
      </c>
      <c r="I59" s="103">
        <f t="shared" ref="I59" si="30">+I60*I$42</f>
        <v>11.716111679999997</v>
      </c>
      <c r="J59" s="103">
        <f t="shared" ref="J59" si="31">+J60*J$42</f>
        <v>16.402556351999998</v>
      </c>
      <c r="K59" s="78"/>
      <c r="L59" s="78"/>
    </row>
    <row r="60" spans="2:12" s="44" customFormat="1" ht="13.5" customHeight="1">
      <c r="B60" s="100" t="s">
        <v>29</v>
      </c>
      <c r="C60" s="179"/>
      <c r="D60" s="179"/>
      <c r="E60" s="180"/>
      <c r="F60" s="184">
        <v>0.06</v>
      </c>
      <c r="G60" s="184">
        <v>0.06</v>
      </c>
      <c r="H60" s="184">
        <v>0.06</v>
      </c>
      <c r="I60" s="184">
        <v>0.06</v>
      </c>
      <c r="J60" s="184">
        <v>0.06</v>
      </c>
      <c r="K60" s="78"/>
      <c r="L60" s="78"/>
    </row>
    <row r="61" spans="2:12" s="44" customFormat="1" ht="13.5" customHeight="1">
      <c r="E61" s="158"/>
      <c r="F61" s="78"/>
      <c r="G61" s="78"/>
      <c r="H61" s="78"/>
      <c r="I61" s="78"/>
      <c r="J61" s="78"/>
      <c r="K61" s="78"/>
      <c r="L61" s="78"/>
    </row>
    <row r="62" spans="2:12" s="44" customFormat="1" ht="13.5" customHeight="1">
      <c r="B62" s="44" t="s">
        <v>16</v>
      </c>
      <c r="E62" s="156"/>
      <c r="F62" s="103">
        <f ca="1">+F104+F98</f>
        <v>0.53371500000000027</v>
      </c>
      <c r="G62" s="103">
        <f t="shared" ref="G62:J62" ca="1" si="32">+G104+G98</f>
        <v>1.7768624166666671</v>
      </c>
      <c r="H62" s="103">
        <f t="shared" ca="1" si="32"/>
        <v>3.321264484722223</v>
      </c>
      <c r="I62" s="103">
        <f t="shared" ca="1" si="32"/>
        <v>4.7004676651157427</v>
      </c>
      <c r="J62" s="103">
        <f t="shared" ca="1" si="32"/>
        <v>5.2237653531288446</v>
      </c>
      <c r="K62" s="78"/>
      <c r="L62" s="78"/>
    </row>
    <row r="63" spans="2:12" s="44" customFormat="1" ht="13.5" customHeight="1">
      <c r="E63" s="158"/>
      <c r="F63" s="103"/>
      <c r="G63" s="103"/>
      <c r="H63" s="103"/>
      <c r="I63" s="103"/>
      <c r="J63" s="103"/>
      <c r="K63" s="78"/>
      <c r="L63" s="78"/>
    </row>
    <row r="64" spans="2:12" s="44" customFormat="1" ht="13.5" customHeight="1">
      <c r="B64" s="44" t="s">
        <v>50</v>
      </c>
      <c r="E64" s="156"/>
      <c r="F64" s="103">
        <f>+F90</f>
        <v>0</v>
      </c>
      <c r="G64" s="103">
        <f t="shared" ref="G64:J64" si="33">+G90</f>
        <v>0</v>
      </c>
      <c r="H64" s="103">
        <f t="shared" si="33"/>
        <v>0</v>
      </c>
      <c r="I64" s="103">
        <f t="shared" si="33"/>
        <v>0</v>
      </c>
      <c r="J64" s="103">
        <f t="shared" si="33"/>
        <v>0</v>
      </c>
      <c r="K64" s="78"/>
      <c r="L64" s="78"/>
    </row>
    <row r="65" spans="1:17" s="44" customFormat="1" ht="13.5" customHeight="1">
      <c r="B65" s="100" t="s">
        <v>29</v>
      </c>
      <c r="C65" s="179"/>
      <c r="D65" s="179"/>
      <c r="E65" s="180"/>
      <c r="F65" s="181">
        <f>+F64/F42</f>
        <v>0</v>
      </c>
      <c r="G65" s="181">
        <f t="shared" ref="G65:J65" si="34">+G64/G42</f>
        <v>0</v>
      </c>
      <c r="H65" s="181">
        <f t="shared" si="34"/>
        <v>0</v>
      </c>
      <c r="I65" s="181">
        <f t="shared" si="34"/>
        <v>0</v>
      </c>
      <c r="J65" s="181">
        <f t="shared" si="34"/>
        <v>0</v>
      </c>
      <c r="K65" s="78"/>
      <c r="L65" s="78"/>
    </row>
    <row r="66" spans="1:17" s="44" customFormat="1" ht="13.5" customHeight="1">
      <c r="E66" s="158"/>
      <c r="F66" s="78"/>
      <c r="G66" s="78"/>
      <c r="H66" s="78"/>
      <c r="I66" s="78"/>
      <c r="J66" s="78"/>
      <c r="K66" s="78"/>
      <c r="L66" s="78"/>
    </row>
    <row r="67" spans="1:17" s="44" customFormat="1" ht="13.5" customHeight="1">
      <c r="B67" s="44" t="s">
        <v>15</v>
      </c>
      <c r="E67" s="156"/>
      <c r="F67" s="103">
        <f ca="1">+F56-F59-F62-F64</f>
        <v>-11.919635000000007</v>
      </c>
      <c r="G67" s="103">
        <f t="shared" ref="G67:J67" ca="1" si="35">+G56-G59-G62-G64</f>
        <v>-10.743274416666669</v>
      </c>
      <c r="H67" s="103">
        <f t="shared" ca="1" si="35"/>
        <v>-13.084690884722228</v>
      </c>
      <c r="I67" s="103">
        <f t="shared" ca="1" si="35"/>
        <v>-4.7004676651157427</v>
      </c>
      <c r="J67" s="103">
        <f t="shared" ca="1" si="35"/>
        <v>13.912550390871136</v>
      </c>
      <c r="K67" s="78"/>
      <c r="L67" s="78"/>
    </row>
    <row r="68" spans="1:17" s="44" customFormat="1" ht="13.5" customHeight="1">
      <c r="B68" s="100" t="s">
        <v>29</v>
      </c>
      <c r="C68" s="179"/>
      <c r="D68" s="179"/>
      <c r="E68" s="180"/>
      <c r="F68" s="181">
        <f ca="1">+F67/F42</f>
        <v>-0.16750000000000007</v>
      </c>
      <c r="G68" s="181">
        <f t="shared" ref="G68:J68" ca="1" si="36">+G67/G42</f>
        <v>-0.10783518507737545</v>
      </c>
      <c r="H68" s="181">
        <f t="shared" ca="1" si="36"/>
        <v>-9.3812184821770769E-2</v>
      </c>
      <c r="I68" s="181">
        <f t="shared" ca="1" si="36"/>
        <v>-2.4071813892691113E-2</v>
      </c>
      <c r="J68" s="181">
        <f t="shared" ca="1" si="36"/>
        <v>5.0891641859866867E-2</v>
      </c>
    </row>
    <row r="69" spans="1:17" s="62" customFormat="1" ht="13.5" customHeight="1">
      <c r="A69" s="44"/>
      <c r="B69" s="44"/>
      <c r="C69" s="44"/>
      <c r="D69" s="44"/>
      <c r="E69" s="159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</row>
    <row r="70" spans="1:17" s="44" customFormat="1" ht="13.5" customHeight="1">
      <c r="B70" s="44" t="s">
        <v>305</v>
      </c>
      <c r="E70" s="160"/>
      <c r="F70" s="106">
        <f ca="1">IF(F67&lt;0, 0, F67*F71)</f>
        <v>0</v>
      </c>
      <c r="G70" s="106">
        <f t="shared" ref="G70:J70" ca="1" si="37">IF(G67&lt;0, 0, G67*G71)</f>
        <v>0</v>
      </c>
      <c r="H70" s="106">
        <f t="shared" ca="1" si="37"/>
        <v>0</v>
      </c>
      <c r="I70" s="106">
        <f t="shared" ca="1" si="37"/>
        <v>0</v>
      </c>
      <c r="J70" s="106">
        <f t="shared" ca="1" si="37"/>
        <v>2.9216355820829385</v>
      </c>
    </row>
    <row r="71" spans="1:17" s="44" customFormat="1" ht="13.5" customHeight="1">
      <c r="B71" s="100" t="s">
        <v>17</v>
      </c>
      <c r="E71" s="160"/>
      <c r="F71" s="184">
        <v>0.21</v>
      </c>
      <c r="G71" s="184">
        <v>0.21</v>
      </c>
      <c r="H71" s="184">
        <v>0.21</v>
      </c>
      <c r="I71" s="184">
        <v>0.21</v>
      </c>
      <c r="J71" s="184">
        <v>0.21</v>
      </c>
    </row>
    <row r="72" spans="1:17" s="44" customFormat="1" ht="13.5" customHeight="1">
      <c r="B72" s="100"/>
      <c r="C72" s="76"/>
      <c r="D72" s="76"/>
      <c r="E72" s="159"/>
      <c r="F72" s="106"/>
      <c r="G72" s="106"/>
      <c r="H72" s="106"/>
      <c r="I72" s="106"/>
      <c r="J72" s="106"/>
    </row>
    <row r="73" spans="1:17" s="44" customFormat="1" ht="13.5" customHeight="1">
      <c r="B73" s="44" t="s">
        <v>14</v>
      </c>
      <c r="E73" s="160"/>
      <c r="F73" s="106">
        <f ca="1">+F67-F70</f>
        <v>-11.919635000000007</v>
      </c>
      <c r="G73" s="106">
        <f t="shared" ref="G73:J73" ca="1" si="38">+G67-G70</f>
        <v>-10.743274416666669</v>
      </c>
      <c r="H73" s="106">
        <f t="shared" ca="1" si="38"/>
        <v>-13.084690884722228</v>
      </c>
      <c r="I73" s="106">
        <f t="shared" ca="1" si="38"/>
        <v>-4.7004676651157427</v>
      </c>
      <c r="J73" s="106">
        <f t="shared" ca="1" si="38"/>
        <v>10.990914808788197</v>
      </c>
    </row>
    <row r="74" spans="1:17" s="44" customFormat="1" ht="13.5" customHeight="1">
      <c r="B74" s="100" t="s">
        <v>29</v>
      </c>
      <c r="C74" s="179"/>
      <c r="D74" s="179"/>
      <c r="E74" s="180"/>
      <c r="F74" s="181">
        <f ca="1">+F73/F42</f>
        <v>-0.16750000000000007</v>
      </c>
      <c r="G74" s="181">
        <f t="shared" ref="G74:J74" ca="1" si="39">+G73/G42</f>
        <v>-0.10783518507737545</v>
      </c>
      <c r="H74" s="181">
        <f t="shared" ca="1" si="39"/>
        <v>-9.3812184821770769E-2</v>
      </c>
      <c r="I74" s="181">
        <f t="shared" ca="1" si="39"/>
        <v>-2.4071813892691113E-2</v>
      </c>
      <c r="J74" s="181">
        <f t="shared" ca="1" si="39"/>
        <v>4.0204397069294823E-2</v>
      </c>
    </row>
    <row r="75" spans="1:17" s="62" customFormat="1" ht="13.5" customHeight="1">
      <c r="A75" s="44"/>
      <c r="B75" s="44"/>
      <c r="C75" s="44"/>
      <c r="D75" s="44"/>
      <c r="E75" s="159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s="62" customFormat="1" ht="13.5" customHeight="1">
      <c r="A76" s="44"/>
      <c r="B76" s="44"/>
      <c r="C76" s="44"/>
      <c r="D76" s="44"/>
      <c r="E76" s="159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spans="1:17" s="44" customFormat="1" ht="13.5" customHeight="1">
      <c r="B77" s="48" t="s">
        <v>26</v>
      </c>
      <c r="C77" s="48"/>
      <c r="D77" s="48"/>
      <c r="E77" s="155">
        <v>0</v>
      </c>
      <c r="F77" s="74">
        <v>1</v>
      </c>
      <c r="G77" s="74">
        <f>F77+1</f>
        <v>2</v>
      </c>
      <c r="H77" s="74">
        <f>G77+1</f>
        <v>3</v>
      </c>
      <c r="I77" s="74">
        <f>H77+1</f>
        <v>4</v>
      </c>
      <c r="J77" s="74">
        <f>I77+1</f>
        <v>5</v>
      </c>
    </row>
    <row r="78" spans="1:17" s="44" customFormat="1" ht="13.5" customHeight="1">
      <c r="B78" s="44" t="s">
        <v>33</v>
      </c>
      <c r="E78" s="159"/>
      <c r="F78" s="106">
        <f>+E80</f>
        <v>100</v>
      </c>
      <c r="G78" s="106">
        <f t="shared" ref="G78:J78" si="40">+F80</f>
        <v>105</v>
      </c>
      <c r="H78" s="106">
        <f t="shared" si="40"/>
        <v>110</v>
      </c>
      <c r="I78" s="106">
        <f t="shared" si="40"/>
        <v>115</v>
      </c>
      <c r="J78" s="106">
        <f t="shared" si="40"/>
        <v>120</v>
      </c>
    </row>
    <row r="79" spans="1:17" s="44" customFormat="1" ht="13.5" customHeight="1">
      <c r="B79" s="96" t="s">
        <v>93</v>
      </c>
      <c r="E79" s="159"/>
      <c r="F79" s="208">
        <v>5</v>
      </c>
      <c r="G79" s="208">
        <v>5</v>
      </c>
      <c r="H79" s="208">
        <v>5</v>
      </c>
      <c r="I79" s="208">
        <v>5</v>
      </c>
      <c r="J79" s="208">
        <v>5</v>
      </c>
      <c r="M79" s="53"/>
    </row>
    <row r="80" spans="1:17" s="44" customFormat="1" ht="13.5" customHeight="1">
      <c r="B80" s="54" t="s">
        <v>34</v>
      </c>
      <c r="C80" s="54"/>
      <c r="D80" s="54"/>
      <c r="E80" s="196">
        <f>+E26</f>
        <v>100</v>
      </c>
      <c r="F80" s="105">
        <f>+F79+F78</f>
        <v>105</v>
      </c>
      <c r="G80" s="105">
        <f t="shared" ref="G80:J80" si="41">+G79+G78</f>
        <v>110</v>
      </c>
      <c r="H80" s="105">
        <f t="shared" si="41"/>
        <v>115</v>
      </c>
      <c r="I80" s="105">
        <f t="shared" si="41"/>
        <v>120</v>
      </c>
      <c r="J80" s="105">
        <f t="shared" si="41"/>
        <v>125</v>
      </c>
      <c r="M80" s="53"/>
    </row>
    <row r="81" spans="1:17" s="62" customFormat="1" ht="13.5" customHeight="1">
      <c r="A81" s="44"/>
      <c r="B81" s="44"/>
      <c r="C81" s="44"/>
      <c r="D81" s="44"/>
      <c r="E81" s="199"/>
      <c r="F81" s="106"/>
      <c r="G81" s="106"/>
      <c r="H81" s="106"/>
      <c r="I81" s="106"/>
      <c r="J81" s="106"/>
      <c r="K81" s="44"/>
      <c r="L81" s="44"/>
      <c r="M81" s="53"/>
      <c r="N81" s="44"/>
      <c r="O81" s="44"/>
      <c r="P81" s="44"/>
      <c r="Q81" s="44"/>
    </row>
    <row r="82" spans="1:17" s="44" customFormat="1" ht="13.5" customHeight="1">
      <c r="B82" s="44" t="s">
        <v>27</v>
      </c>
      <c r="E82" s="199"/>
      <c r="F82" s="106">
        <f>+E85</f>
        <v>20</v>
      </c>
      <c r="G82" s="106">
        <f t="shared" ref="G82:J82" si="42">+F85</f>
        <v>21.42324</v>
      </c>
      <c r="H82" s="106">
        <f t="shared" si="42"/>
        <v>23.415776000000001</v>
      </c>
      <c r="I82" s="106">
        <f t="shared" si="42"/>
        <v>26.205326399999997</v>
      </c>
      <c r="J82" s="106">
        <f t="shared" si="42"/>
        <v>30.110696959999999</v>
      </c>
      <c r="M82" s="53"/>
    </row>
    <row r="83" spans="1:17" s="44" customFormat="1" ht="13.5" customHeight="1">
      <c r="B83" s="95" t="s">
        <v>87</v>
      </c>
      <c r="E83" s="159"/>
      <c r="F83" s="102">
        <f>+F86*F42</f>
        <v>5.6929600000000002</v>
      </c>
      <c r="G83" s="102">
        <f t="shared" ref="G83:J83" si="43">+G86*G42</f>
        <v>7.9701440000000003</v>
      </c>
      <c r="H83" s="102">
        <f t="shared" si="43"/>
        <v>11.1582016</v>
      </c>
      <c r="I83" s="102">
        <f t="shared" si="43"/>
        <v>15.621482239999999</v>
      </c>
      <c r="J83" s="102">
        <f t="shared" si="43"/>
        <v>21.870075135999997</v>
      </c>
      <c r="M83" s="53"/>
    </row>
    <row r="84" spans="1:17" s="44" customFormat="1" ht="13.5" customHeight="1">
      <c r="B84" s="95" t="s">
        <v>88</v>
      </c>
      <c r="E84" s="159"/>
      <c r="F84" s="102">
        <f>+F59</f>
        <v>4.2697200000000004</v>
      </c>
      <c r="G84" s="102">
        <f t="shared" ref="G84:J84" si="44">+G59</f>
        <v>5.977608</v>
      </c>
      <c r="H84" s="102">
        <f t="shared" si="44"/>
        <v>8.3686512000000004</v>
      </c>
      <c r="I84" s="102">
        <f t="shared" si="44"/>
        <v>11.716111679999997</v>
      </c>
      <c r="J84" s="102">
        <f t="shared" si="44"/>
        <v>16.402556351999998</v>
      </c>
    </row>
    <row r="85" spans="1:17" s="44" customFormat="1" ht="13.5" customHeight="1">
      <c r="B85" s="54" t="s">
        <v>28</v>
      </c>
      <c r="C85" s="54"/>
      <c r="D85" s="54"/>
      <c r="E85" s="196">
        <f>+E30</f>
        <v>20</v>
      </c>
      <c r="F85" s="105">
        <f>+F82+F83-F84</f>
        <v>21.42324</v>
      </c>
      <c r="G85" s="105">
        <f t="shared" ref="G85:J85" si="45">+G82+G83-G84</f>
        <v>23.415776000000001</v>
      </c>
      <c r="H85" s="105">
        <f t="shared" si="45"/>
        <v>26.205326399999997</v>
      </c>
      <c r="I85" s="105">
        <f t="shared" si="45"/>
        <v>30.110696959999999</v>
      </c>
      <c r="J85" s="105">
        <f t="shared" si="45"/>
        <v>35.578215743999998</v>
      </c>
    </row>
    <row r="86" spans="1:17" s="44" customFormat="1" ht="13.5" customHeight="1">
      <c r="B86" s="76" t="s">
        <v>167</v>
      </c>
      <c r="E86" s="159"/>
      <c r="F86" s="184">
        <v>0.08</v>
      </c>
      <c r="G86" s="184">
        <v>0.08</v>
      </c>
      <c r="H86" s="184">
        <v>0.08</v>
      </c>
      <c r="I86" s="184">
        <v>0.08</v>
      </c>
      <c r="J86" s="184">
        <v>0.08</v>
      </c>
      <c r="M86" s="53"/>
    </row>
    <row r="87" spans="1:17" s="44" customFormat="1" ht="13.5" customHeight="1">
      <c r="B87" s="76" t="s">
        <v>168</v>
      </c>
      <c r="E87" s="159"/>
      <c r="F87" s="254">
        <f>F60</f>
        <v>0.06</v>
      </c>
      <c r="G87" s="254">
        <f>G60</f>
        <v>0.06</v>
      </c>
      <c r="H87" s="254">
        <f>H60</f>
        <v>0.06</v>
      </c>
      <c r="I87" s="254">
        <f>I60</f>
        <v>0.06</v>
      </c>
      <c r="J87" s="254">
        <f>J60</f>
        <v>0.06</v>
      </c>
      <c r="M87" s="53"/>
    </row>
    <row r="88" spans="1:17" s="44" customFormat="1" ht="13.5" customHeight="1">
      <c r="B88" s="59"/>
      <c r="C88" s="59"/>
      <c r="D88" s="59"/>
      <c r="E88" s="229"/>
      <c r="F88" s="201"/>
      <c r="G88" s="201"/>
      <c r="H88" s="201"/>
      <c r="I88" s="201"/>
      <c r="J88" s="201"/>
    </row>
    <row r="89" spans="1:17" s="62" customFormat="1" ht="13.5" customHeight="1">
      <c r="A89" s="44"/>
      <c r="B89" s="44" t="s">
        <v>48</v>
      </c>
      <c r="C89" s="44"/>
      <c r="D89" s="87" t="s">
        <v>169</v>
      </c>
      <c r="E89" s="363" t="s">
        <v>311</v>
      </c>
      <c r="F89" s="106">
        <f>+E91</f>
        <v>0</v>
      </c>
      <c r="G89" s="106">
        <f t="shared" ref="G89:J89" si="46">+F91</f>
        <v>0</v>
      </c>
      <c r="H89" s="106">
        <f t="shared" si="46"/>
        <v>0</v>
      </c>
      <c r="I89" s="106">
        <f t="shared" si="46"/>
        <v>0</v>
      </c>
      <c r="J89" s="106">
        <f t="shared" si="46"/>
        <v>0</v>
      </c>
      <c r="K89" s="44"/>
      <c r="L89" s="44"/>
      <c r="M89" s="44"/>
      <c r="N89" s="44"/>
      <c r="O89" s="44"/>
      <c r="P89" s="44"/>
      <c r="Q89" s="44"/>
    </row>
    <row r="90" spans="1:17" s="62" customFormat="1" ht="13.5" customHeight="1">
      <c r="A90" s="44"/>
      <c r="B90" s="95" t="s">
        <v>89</v>
      </c>
      <c r="C90" s="44"/>
      <c r="D90" s="101">
        <v>5</v>
      </c>
      <c r="E90" s="378">
        <f>+E91/D90</f>
        <v>0</v>
      </c>
      <c r="F90" s="257">
        <f>+$E90</f>
        <v>0</v>
      </c>
      <c r="G90" s="257">
        <f t="shared" ref="G90:J90" si="47">+$E90</f>
        <v>0</v>
      </c>
      <c r="H90" s="257">
        <f t="shared" si="47"/>
        <v>0</v>
      </c>
      <c r="I90" s="257">
        <f t="shared" si="47"/>
        <v>0</v>
      </c>
      <c r="J90" s="257">
        <f t="shared" si="47"/>
        <v>0</v>
      </c>
      <c r="K90" s="44"/>
      <c r="L90" s="44"/>
      <c r="M90" s="44"/>
      <c r="N90" s="44"/>
      <c r="O90" s="44"/>
      <c r="P90" s="44"/>
      <c r="Q90" s="44"/>
    </row>
    <row r="91" spans="1:17" s="62" customFormat="1" ht="13.5" customHeight="1">
      <c r="A91" s="44"/>
      <c r="B91" s="54" t="s">
        <v>49</v>
      </c>
      <c r="C91" s="54"/>
      <c r="D91" s="54"/>
      <c r="E91" s="196">
        <f>+J17</f>
        <v>0</v>
      </c>
      <c r="F91" s="105">
        <f>+F89-F90</f>
        <v>0</v>
      </c>
      <c r="G91" s="105">
        <f t="shared" ref="G91:J91" si="48">+G89-G90</f>
        <v>0</v>
      </c>
      <c r="H91" s="105">
        <f t="shared" si="48"/>
        <v>0</v>
      </c>
      <c r="I91" s="105">
        <f t="shared" si="48"/>
        <v>0</v>
      </c>
      <c r="J91" s="105">
        <f t="shared" si="48"/>
        <v>0</v>
      </c>
      <c r="K91" s="44"/>
      <c r="L91" s="44"/>
      <c r="M91" s="44"/>
      <c r="N91" s="44"/>
      <c r="O91" s="44"/>
      <c r="P91" s="44"/>
      <c r="Q91" s="44"/>
    </row>
    <row r="92" spans="1:17" s="62" customFormat="1" ht="13.5" customHeight="1">
      <c r="A92" s="44"/>
      <c r="B92" s="44"/>
      <c r="C92" s="44"/>
      <c r="D92" s="44"/>
      <c r="E92" s="159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</row>
    <row r="93" spans="1:17" s="62" customFormat="1" ht="13.5" customHeight="1">
      <c r="A93" s="44"/>
      <c r="B93" s="44"/>
      <c r="C93" s="44"/>
      <c r="D93" s="44"/>
      <c r="E93" s="159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</row>
    <row r="94" spans="1:17" s="44" customFormat="1" ht="13.5" customHeight="1">
      <c r="B94" s="44" t="s">
        <v>165</v>
      </c>
      <c r="E94" s="159"/>
      <c r="F94" s="106">
        <f>+E96</f>
        <v>0</v>
      </c>
      <c r="G94" s="106">
        <f t="shared" ref="G94:J94" si="49">+F96</f>
        <v>0</v>
      </c>
      <c r="H94" s="106">
        <f t="shared" si="49"/>
        <v>0</v>
      </c>
      <c r="I94" s="106">
        <f t="shared" si="49"/>
        <v>0</v>
      </c>
      <c r="J94" s="106">
        <f t="shared" si="49"/>
        <v>0</v>
      </c>
    </row>
    <row r="95" spans="1:17" s="44" customFormat="1" ht="13.5" customHeight="1">
      <c r="B95" s="95" t="s">
        <v>90</v>
      </c>
      <c r="E95" s="159"/>
      <c r="F95" s="191">
        <v>0</v>
      </c>
      <c r="G95" s="191">
        <v>0</v>
      </c>
      <c r="H95" s="191">
        <v>0</v>
      </c>
      <c r="I95" s="191">
        <v>0</v>
      </c>
      <c r="J95" s="191">
        <v>0</v>
      </c>
    </row>
    <row r="96" spans="1:17" s="44" customFormat="1" ht="13.5" customHeight="1">
      <c r="B96" s="54" t="s">
        <v>166</v>
      </c>
      <c r="C96" s="54"/>
      <c r="D96" s="54"/>
      <c r="E96" s="196">
        <f>+E33</f>
        <v>0</v>
      </c>
      <c r="F96" s="105">
        <f>+F94+F95</f>
        <v>0</v>
      </c>
      <c r="G96" s="105">
        <f t="shared" ref="G96:J96" si="50">+G94+G95</f>
        <v>0</v>
      </c>
      <c r="H96" s="105">
        <f t="shared" si="50"/>
        <v>0</v>
      </c>
      <c r="I96" s="105">
        <f t="shared" si="50"/>
        <v>0</v>
      </c>
      <c r="J96" s="105">
        <f t="shared" si="50"/>
        <v>0</v>
      </c>
    </row>
    <row r="97" spans="1:17" s="44" customFormat="1" ht="13.5" customHeight="1">
      <c r="B97" s="95" t="s">
        <v>164</v>
      </c>
      <c r="E97" s="165"/>
      <c r="F97" s="86">
        <v>0.05</v>
      </c>
      <c r="G97" s="86">
        <v>0.05</v>
      </c>
      <c r="H97" s="86">
        <v>0.05</v>
      </c>
      <c r="I97" s="86">
        <v>0.05</v>
      </c>
      <c r="J97" s="86">
        <v>0.05</v>
      </c>
    </row>
    <row r="98" spans="1:17" s="44" customFormat="1" ht="13.5" customHeight="1">
      <c r="B98" s="54" t="s">
        <v>16</v>
      </c>
      <c r="C98" s="54"/>
      <c r="D98" s="54"/>
      <c r="E98" s="196"/>
      <c r="F98" s="105">
        <f>+AVERAGE(E96:F96)*F97</f>
        <v>0</v>
      </c>
      <c r="G98" s="105">
        <f t="shared" ref="G98:J98" si="51">+AVERAGE(F96:G96)*G97</f>
        <v>0</v>
      </c>
      <c r="H98" s="105">
        <f t="shared" si="51"/>
        <v>0</v>
      </c>
      <c r="I98" s="105">
        <f t="shared" si="51"/>
        <v>0</v>
      </c>
      <c r="J98" s="105">
        <f t="shared" si="51"/>
        <v>0</v>
      </c>
    </row>
    <row r="99" spans="1:17" s="62" customFormat="1" ht="13.5" customHeight="1">
      <c r="A99" s="44"/>
      <c r="B99" s="44"/>
      <c r="C99" s="44"/>
      <c r="D99" s="44"/>
      <c r="E99" s="159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</row>
    <row r="100" spans="1:17" s="44" customFormat="1" ht="13.5" customHeight="1">
      <c r="B100" s="44" t="s">
        <v>162</v>
      </c>
      <c r="E100" s="159"/>
      <c r="F100" s="106">
        <f>+E102</f>
        <v>0</v>
      </c>
      <c r="G100" s="106">
        <f t="shared" ref="G100:J100" ca="1" si="52">+F102</f>
        <v>13.342875000000006</v>
      </c>
      <c r="H100" s="106">
        <f t="shared" ca="1" si="52"/>
        <v>31.078685416666676</v>
      </c>
      <c r="I100" s="106">
        <f t="shared" ca="1" si="52"/>
        <v>51.952926701388904</v>
      </c>
      <c r="J100" s="106">
        <f t="shared" ca="1" si="52"/>
        <v>65.558764926504651</v>
      </c>
    </row>
    <row r="101" spans="1:17" s="44" customFormat="1" ht="13.5" customHeight="1">
      <c r="B101" s="95" t="s">
        <v>90</v>
      </c>
      <c r="E101" s="159"/>
      <c r="F101" s="102">
        <f ca="1">-MIN(F100, F117+F108)</f>
        <v>13.342875000000006</v>
      </c>
      <c r="G101" s="102">
        <f t="shared" ref="G101:J101" ca="1" si="53">-MIN(G100, G117+G108)</f>
        <v>17.73581041666667</v>
      </c>
      <c r="H101" s="102">
        <f t="shared" ca="1" si="53"/>
        <v>20.874241284722228</v>
      </c>
      <c r="I101" s="102">
        <f t="shared" ca="1" si="53"/>
        <v>13.605838225115743</v>
      </c>
      <c r="J101" s="102">
        <f t="shared" ca="1" si="53"/>
        <v>-0.52339602478819813</v>
      </c>
    </row>
    <row r="102" spans="1:17" s="44" customFormat="1" ht="13.5" customHeight="1">
      <c r="B102" s="54" t="s">
        <v>163</v>
      </c>
      <c r="C102" s="54"/>
      <c r="D102" s="54"/>
      <c r="E102" s="196">
        <f>+E34</f>
        <v>0</v>
      </c>
      <c r="F102" s="105">
        <f ca="1">SUM(F100:F101)</f>
        <v>13.342875000000006</v>
      </c>
      <c r="G102" s="105">
        <f t="shared" ref="G102:J102" ca="1" si="54">SUM(G100:G101)</f>
        <v>31.078685416666676</v>
      </c>
      <c r="H102" s="105">
        <f t="shared" ca="1" si="54"/>
        <v>51.952926701388904</v>
      </c>
      <c r="I102" s="105">
        <f t="shared" ca="1" si="54"/>
        <v>65.558764926504651</v>
      </c>
      <c r="J102" s="105">
        <f t="shared" ca="1" si="54"/>
        <v>65.035368901716453</v>
      </c>
    </row>
    <row r="103" spans="1:17" s="44" customFormat="1" ht="13.5" customHeight="1">
      <c r="B103" s="95" t="s">
        <v>164</v>
      </c>
      <c r="E103" s="165"/>
      <c r="F103" s="86">
        <v>0.08</v>
      </c>
      <c r="G103" s="86">
        <v>0.08</v>
      </c>
      <c r="H103" s="86">
        <v>0.08</v>
      </c>
      <c r="I103" s="86">
        <v>0.08</v>
      </c>
      <c r="J103" s="86">
        <v>0.08</v>
      </c>
    </row>
    <row r="104" spans="1:17" s="44" customFormat="1" ht="13.5" customHeight="1">
      <c r="B104" s="54" t="s">
        <v>16</v>
      </c>
      <c r="C104" s="54"/>
      <c r="D104" s="54"/>
      <c r="E104" s="196"/>
      <c r="F104" s="105">
        <f ca="1">+AVERAGE(E102:F102)*F103</f>
        <v>0.53371500000000027</v>
      </c>
      <c r="G104" s="105">
        <f t="shared" ref="G104" ca="1" si="55">+AVERAGE(F102:G102)*G103</f>
        <v>1.7768624166666671</v>
      </c>
      <c r="H104" s="105">
        <f t="shared" ref="H104" ca="1" si="56">+AVERAGE(G102:H102)*H103</f>
        <v>3.321264484722223</v>
      </c>
      <c r="I104" s="105">
        <f t="shared" ref="I104" ca="1" si="57">+AVERAGE(H102:I102)*I103</f>
        <v>4.7004676651157427</v>
      </c>
      <c r="J104" s="105">
        <f t="shared" ref="J104" ca="1" si="58">+AVERAGE(I102:J102)*J103</f>
        <v>5.2237653531288446</v>
      </c>
    </row>
    <row r="105" spans="1:17" s="44" customFormat="1" ht="13.5" customHeight="1">
      <c r="B105" s="59"/>
      <c r="C105" s="59"/>
      <c r="D105" s="59"/>
      <c r="E105" s="229"/>
      <c r="F105" s="201"/>
      <c r="G105" s="201"/>
      <c r="H105" s="201"/>
      <c r="I105" s="201"/>
      <c r="J105" s="201"/>
    </row>
    <row r="106" spans="1:17" s="44" customFormat="1" ht="13.5" customHeight="1">
      <c r="B106" s="44" t="s">
        <v>312</v>
      </c>
      <c r="C106" s="59"/>
      <c r="D106" s="59"/>
      <c r="E106" s="229"/>
      <c r="F106" s="106">
        <f>+E25</f>
        <v>10</v>
      </c>
      <c r="G106" s="106">
        <f t="shared" ref="G106:J106" ca="1" si="59">+F25</f>
        <v>5</v>
      </c>
      <c r="H106" s="106">
        <f t="shared" ca="1" si="59"/>
        <v>5</v>
      </c>
      <c r="I106" s="106">
        <f t="shared" ca="1" si="59"/>
        <v>5</v>
      </c>
      <c r="J106" s="106">
        <f t="shared" ca="1" si="59"/>
        <v>5</v>
      </c>
    </row>
    <row r="107" spans="1:17" s="44" customFormat="1" ht="13.5" customHeight="1">
      <c r="B107" s="207" t="s">
        <v>314</v>
      </c>
      <c r="E107" s="159"/>
      <c r="F107" s="208">
        <v>5</v>
      </c>
      <c r="G107" s="208">
        <v>5</v>
      </c>
      <c r="H107" s="208">
        <v>5</v>
      </c>
      <c r="I107" s="208">
        <v>5</v>
      </c>
      <c r="J107" s="208">
        <v>5</v>
      </c>
    </row>
    <row r="108" spans="1:17" s="44" customFormat="1" ht="13.5" customHeight="1">
      <c r="B108" s="54" t="s">
        <v>313</v>
      </c>
      <c r="C108" s="56"/>
      <c r="D108" s="56"/>
      <c r="E108" s="379"/>
      <c r="F108" s="105">
        <f>+F106-F107</f>
        <v>5</v>
      </c>
      <c r="G108" s="105">
        <f t="shared" ref="G108:J108" ca="1" si="60">+G106-G107</f>
        <v>0</v>
      </c>
      <c r="H108" s="105">
        <f t="shared" ca="1" si="60"/>
        <v>0</v>
      </c>
      <c r="I108" s="105">
        <f t="shared" ca="1" si="60"/>
        <v>0</v>
      </c>
      <c r="J108" s="105">
        <f t="shared" ca="1" si="60"/>
        <v>0</v>
      </c>
    </row>
    <row r="109" spans="1:17" s="44" customFormat="1" ht="13.5" customHeight="1">
      <c r="B109" s="59"/>
      <c r="E109" s="165"/>
      <c r="F109" s="201"/>
      <c r="G109" s="201"/>
      <c r="H109" s="201"/>
      <c r="I109" s="201"/>
      <c r="J109" s="201"/>
    </row>
    <row r="110" spans="1:17" s="44" customFormat="1" ht="13.5" customHeight="1">
      <c r="E110" s="165"/>
      <c r="F110" s="84"/>
      <c r="G110" s="84"/>
      <c r="H110" s="84"/>
      <c r="I110" s="84"/>
      <c r="J110" s="84"/>
    </row>
    <row r="111" spans="1:17" s="44" customFormat="1" ht="13.5" customHeight="1">
      <c r="B111" s="48" t="s">
        <v>18</v>
      </c>
      <c r="C111" s="48"/>
      <c r="D111" s="48"/>
      <c r="E111" s="155"/>
      <c r="F111" s="74">
        <v>1</v>
      </c>
      <c r="G111" s="74">
        <f>F111+1</f>
        <v>2</v>
      </c>
      <c r="H111" s="74">
        <f>G111+1</f>
        <v>3</v>
      </c>
      <c r="I111" s="74">
        <f>H111+1</f>
        <v>4</v>
      </c>
      <c r="J111" s="74">
        <f>I111+1</f>
        <v>5</v>
      </c>
    </row>
    <row r="112" spans="1:17" s="44" customFormat="1" ht="13.5" customHeight="1">
      <c r="B112" s="44" t="s">
        <v>14</v>
      </c>
      <c r="E112" s="160"/>
      <c r="F112" s="106">
        <f ca="1">+F73</f>
        <v>-11.919635000000007</v>
      </c>
      <c r="G112" s="106">
        <f t="shared" ref="G112:J112" ca="1" si="61">+G73</f>
        <v>-10.743274416666669</v>
      </c>
      <c r="H112" s="106">
        <f t="shared" ca="1" si="61"/>
        <v>-13.084690884722228</v>
      </c>
      <c r="I112" s="106">
        <f t="shared" ca="1" si="61"/>
        <v>-4.7004676651157427</v>
      </c>
      <c r="J112" s="106">
        <f t="shared" ca="1" si="61"/>
        <v>10.990914808788197</v>
      </c>
    </row>
    <row r="113" spans="1:17" s="44" customFormat="1" ht="13.5" customHeight="1">
      <c r="B113" s="95" t="s">
        <v>82</v>
      </c>
      <c r="E113" s="159"/>
      <c r="F113" s="102">
        <f>+F84</f>
        <v>4.2697200000000004</v>
      </c>
      <c r="G113" s="102">
        <f t="shared" ref="G113:J113" si="62">+G84</f>
        <v>5.977608</v>
      </c>
      <c r="H113" s="102">
        <f t="shared" si="62"/>
        <v>8.3686512000000004</v>
      </c>
      <c r="I113" s="102">
        <f t="shared" si="62"/>
        <v>11.716111679999997</v>
      </c>
      <c r="J113" s="102">
        <f t="shared" si="62"/>
        <v>16.402556351999998</v>
      </c>
      <c r="M113" s="59"/>
    </row>
    <row r="114" spans="1:17" s="44" customFormat="1" ht="13.5" customHeight="1">
      <c r="B114" s="95" t="s">
        <v>83</v>
      </c>
      <c r="E114" s="159"/>
      <c r="F114" s="102">
        <f>+F90</f>
        <v>0</v>
      </c>
      <c r="G114" s="102">
        <f t="shared" ref="G114:J114" si="63">+G90</f>
        <v>0</v>
      </c>
      <c r="H114" s="102">
        <f t="shared" si="63"/>
        <v>0</v>
      </c>
      <c r="I114" s="102">
        <f t="shared" si="63"/>
        <v>0</v>
      </c>
      <c r="J114" s="102">
        <f t="shared" si="63"/>
        <v>0</v>
      </c>
      <c r="M114" s="59"/>
    </row>
    <row r="115" spans="1:17" s="44" customFormat="1" ht="13.5" customHeight="1">
      <c r="B115" s="95" t="s">
        <v>84</v>
      </c>
      <c r="E115" s="159"/>
      <c r="F115" s="189">
        <f>+F83</f>
        <v>5.6929600000000002</v>
      </c>
      <c r="G115" s="189">
        <f t="shared" ref="G115:J115" si="64">+G83</f>
        <v>7.9701440000000003</v>
      </c>
      <c r="H115" s="189">
        <f t="shared" si="64"/>
        <v>11.1582016</v>
      </c>
      <c r="I115" s="189">
        <f t="shared" si="64"/>
        <v>15.621482239999999</v>
      </c>
      <c r="J115" s="189">
        <f t="shared" si="64"/>
        <v>21.870075135999997</v>
      </c>
    </row>
    <row r="116" spans="1:17" s="44" customFormat="1" ht="13.5" customHeight="1">
      <c r="B116" s="95" t="s">
        <v>85</v>
      </c>
      <c r="E116" s="159"/>
      <c r="F116" s="189">
        <f>+F79</f>
        <v>5</v>
      </c>
      <c r="G116" s="189">
        <f t="shared" ref="G116:J116" si="65">+G79</f>
        <v>5</v>
      </c>
      <c r="H116" s="189">
        <f t="shared" si="65"/>
        <v>5</v>
      </c>
      <c r="I116" s="189">
        <f t="shared" si="65"/>
        <v>5</v>
      </c>
      <c r="J116" s="189">
        <f t="shared" si="65"/>
        <v>5</v>
      </c>
    </row>
    <row r="117" spans="1:17" s="44" customFormat="1" ht="13.5" customHeight="1">
      <c r="B117" s="54" t="s">
        <v>30</v>
      </c>
      <c r="C117" s="54"/>
      <c r="D117" s="54"/>
      <c r="E117" s="161"/>
      <c r="F117" s="105">
        <f ca="1">+F112+F113+F114-F115-F116</f>
        <v>-18.342875000000006</v>
      </c>
      <c r="G117" s="105">
        <f t="shared" ref="G117:J117" ca="1" si="66">+G112+G113+G114-G115-G116</f>
        <v>-17.73581041666667</v>
      </c>
      <c r="H117" s="105">
        <f t="shared" ca="1" si="66"/>
        <v>-20.874241284722228</v>
      </c>
      <c r="I117" s="105">
        <f t="shared" ca="1" si="66"/>
        <v>-13.605838225115743</v>
      </c>
      <c r="J117" s="105">
        <f t="shared" ca="1" si="66"/>
        <v>0.52339602478819813</v>
      </c>
    </row>
    <row r="118" spans="1:17" s="44" customFormat="1" ht="13.5" customHeight="1">
      <c r="E118" s="159"/>
      <c r="F118" s="106"/>
      <c r="G118" s="106"/>
      <c r="H118" s="106"/>
      <c r="I118" s="106"/>
      <c r="J118" s="106"/>
    </row>
    <row r="119" spans="1:17" s="44" customFormat="1" ht="13.5" customHeight="1">
      <c r="B119" s="95" t="s">
        <v>86</v>
      </c>
      <c r="E119" s="159"/>
      <c r="F119" s="106">
        <f ca="1">+F101</f>
        <v>13.342875000000006</v>
      </c>
      <c r="G119" s="106">
        <f t="shared" ref="G119:J119" ca="1" si="67">+G101</f>
        <v>17.73581041666667</v>
      </c>
      <c r="H119" s="106">
        <f t="shared" ca="1" si="67"/>
        <v>20.874241284722228</v>
      </c>
      <c r="I119" s="106">
        <f t="shared" ca="1" si="67"/>
        <v>13.605838225115743</v>
      </c>
      <c r="J119" s="106">
        <f t="shared" ca="1" si="67"/>
        <v>-0.52339602478819813</v>
      </c>
    </row>
    <row r="120" spans="1:17" s="44" customFormat="1" ht="13.5" customHeight="1">
      <c r="B120" s="54" t="s">
        <v>31</v>
      </c>
      <c r="C120" s="54"/>
      <c r="D120" s="54"/>
      <c r="E120" s="161"/>
      <c r="F120" s="105">
        <f ca="1">+F119</f>
        <v>13.342875000000006</v>
      </c>
      <c r="G120" s="105">
        <f t="shared" ref="G120:J120" ca="1" si="68">+G119</f>
        <v>17.73581041666667</v>
      </c>
      <c r="H120" s="105">
        <f t="shared" ca="1" si="68"/>
        <v>20.874241284722228</v>
      </c>
      <c r="I120" s="105">
        <f t="shared" ca="1" si="68"/>
        <v>13.605838225115743</v>
      </c>
      <c r="J120" s="105">
        <f t="shared" ca="1" si="68"/>
        <v>-0.52339602478819813</v>
      </c>
    </row>
    <row r="121" spans="1:17" s="44" customFormat="1" ht="13.5" customHeight="1">
      <c r="E121" s="159"/>
      <c r="F121" s="106"/>
      <c r="G121" s="106"/>
      <c r="H121" s="106"/>
      <c r="I121" s="106"/>
      <c r="J121" s="106"/>
    </row>
    <row r="122" spans="1:17" s="44" customFormat="1" ht="13.5" customHeight="1">
      <c r="B122" s="59" t="s">
        <v>32</v>
      </c>
      <c r="E122" s="159"/>
      <c r="F122" s="201">
        <f ca="1">+F120+F117</f>
        <v>-5</v>
      </c>
      <c r="G122" s="201">
        <f t="shared" ref="G122:J122" ca="1" si="69">+G120+G117</f>
        <v>0</v>
      </c>
      <c r="H122" s="201">
        <f t="shared" ca="1" si="69"/>
        <v>0</v>
      </c>
      <c r="I122" s="201">
        <f t="shared" ca="1" si="69"/>
        <v>0</v>
      </c>
      <c r="J122" s="201">
        <f t="shared" ca="1" si="69"/>
        <v>0</v>
      </c>
    </row>
    <row r="123" spans="1:17" s="44" customFormat="1" ht="13.5" customHeight="1">
      <c r="E123" s="159"/>
      <c r="F123" s="61"/>
      <c r="G123" s="61"/>
      <c r="H123" s="61"/>
      <c r="I123" s="61"/>
      <c r="J123" s="61"/>
    </row>
    <row r="124" spans="1:17" s="44" customFormat="1" ht="13.5" customHeight="1">
      <c r="E124" s="159"/>
      <c r="F124" s="61"/>
      <c r="G124" s="61"/>
      <c r="H124" s="61"/>
      <c r="I124" s="61"/>
      <c r="J124" s="61"/>
    </row>
    <row r="125" spans="1:17" s="97" customFormat="1" ht="13.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</row>
    <row r="126" spans="1:17" s="80" customFormat="1" ht="13.5" customHeight="1">
      <c r="B126" s="98" t="s">
        <v>36</v>
      </c>
      <c r="C126" s="98"/>
      <c r="D126" s="98"/>
      <c r="E126" s="99"/>
      <c r="F126" s="99"/>
      <c r="G126" s="99"/>
      <c r="H126" s="99"/>
      <c r="I126" s="99"/>
      <c r="J126" s="47" t="s">
        <v>37</v>
      </c>
    </row>
    <row r="127" spans="1:17" s="80" customFormat="1" ht="13.5" customHeight="1" thickBot="1">
      <c r="B127" s="224"/>
      <c r="C127" s="224"/>
      <c r="D127" s="224"/>
      <c r="E127" s="225"/>
      <c r="F127" s="225"/>
      <c r="G127" s="225"/>
      <c r="H127" s="225"/>
      <c r="I127" s="225"/>
      <c r="J127" s="226"/>
    </row>
    <row r="128" spans="1:17" s="44" customFormat="1" ht="13.5" customHeight="1">
      <c r="B128" s="211" t="s">
        <v>114</v>
      </c>
      <c r="C128" s="212"/>
      <c r="D128" s="213"/>
    </row>
    <row r="129" spans="1:17" s="44" customFormat="1" ht="13.5" customHeight="1">
      <c r="B129" s="216" t="s">
        <v>41</v>
      </c>
      <c r="D129" s="217">
        <f ca="1">J144/-E144</f>
        <v>5.2037112686411842</v>
      </c>
    </row>
    <row r="130" spans="1:17" s="44" customFormat="1" ht="13.5" customHeight="1">
      <c r="B130" s="216" t="s">
        <v>42</v>
      </c>
      <c r="D130" s="218">
        <f ca="1">+L144</f>
        <v>0.3907934551249701</v>
      </c>
    </row>
    <row r="131" spans="1:17" s="44" customFormat="1" ht="13.5" customHeight="1" thickBot="1">
      <c r="B131" s="221" t="s">
        <v>77</v>
      </c>
      <c r="C131" s="222"/>
      <c r="D131" s="223">
        <f ca="1">J144+E144</f>
        <v>3926.6421366982831</v>
      </c>
    </row>
    <row r="132" spans="1:17" s="62" customFormat="1" ht="13.5" customHeight="1">
      <c r="A132" s="44"/>
      <c r="D132" s="44"/>
      <c r="K132" s="44"/>
      <c r="L132" s="44"/>
      <c r="M132" s="44"/>
      <c r="N132" s="44"/>
      <c r="O132" s="44"/>
      <c r="P132" s="44"/>
      <c r="Q132" s="44"/>
    </row>
    <row r="133" spans="1:17" s="44" customFormat="1" ht="13.5" customHeight="1"/>
    <row r="134" spans="1:17" s="62" customFormat="1" ht="13.5" customHeight="1">
      <c r="A134" s="44"/>
      <c r="B134" s="48" t="s">
        <v>141</v>
      </c>
      <c r="C134" s="48"/>
      <c r="D134" s="48"/>
      <c r="E134" s="74">
        <v>0</v>
      </c>
      <c r="F134" s="74">
        <v>1</v>
      </c>
      <c r="G134" s="74">
        <f>F134+1</f>
        <v>2</v>
      </c>
      <c r="H134" s="74">
        <f>G134+1</f>
        <v>3</v>
      </c>
      <c r="I134" s="74">
        <f>H134+1</f>
        <v>4</v>
      </c>
      <c r="J134" s="74">
        <f>I134+1</f>
        <v>5</v>
      </c>
      <c r="K134" s="44"/>
      <c r="L134" s="44"/>
      <c r="M134" s="44"/>
      <c r="N134" s="44"/>
      <c r="O134" s="44"/>
      <c r="P134" s="44"/>
      <c r="Q134" s="44"/>
    </row>
    <row r="135" spans="1:17" s="62" customFormat="1" ht="13.5" customHeight="1">
      <c r="A135" s="44"/>
      <c r="B135" s="44" t="s">
        <v>306</v>
      </c>
      <c r="C135" s="44"/>
      <c r="D135" s="44"/>
      <c r="E135" s="75"/>
      <c r="F135" s="75"/>
      <c r="G135" s="75"/>
      <c r="H135" s="103"/>
      <c r="I135" s="103"/>
      <c r="J135" s="103">
        <f t="shared" ref="J135" si="70">+J42</f>
        <v>273.37593919999995</v>
      </c>
      <c r="K135" s="44"/>
      <c r="L135" s="44"/>
      <c r="M135" s="44"/>
      <c r="N135" s="44"/>
      <c r="O135" s="44"/>
      <c r="P135" s="44"/>
      <c r="Q135" s="44"/>
    </row>
    <row r="136" spans="1:17" s="62" customFormat="1" ht="13.5" customHeight="1">
      <c r="A136" s="44"/>
      <c r="B136" s="44" t="s">
        <v>38</v>
      </c>
      <c r="C136" s="44"/>
      <c r="D136" s="44"/>
      <c r="E136" s="51"/>
      <c r="F136" s="51"/>
      <c r="G136" s="51"/>
      <c r="H136" s="51"/>
      <c r="I136" s="51"/>
      <c r="J136" s="209">
        <v>18</v>
      </c>
      <c r="K136" s="44"/>
      <c r="L136" s="44"/>
      <c r="M136" s="44"/>
      <c r="N136" s="44"/>
      <c r="O136" s="44"/>
      <c r="P136" s="44"/>
      <c r="Q136" s="44"/>
    </row>
    <row r="137" spans="1:17" s="62" customFormat="1" ht="13.5" customHeight="1">
      <c r="A137" s="44"/>
      <c r="B137" s="54" t="s">
        <v>39</v>
      </c>
      <c r="C137" s="54"/>
      <c r="D137" s="54"/>
      <c r="E137" s="55"/>
      <c r="F137" s="55"/>
      <c r="G137" s="55"/>
      <c r="H137" s="105"/>
      <c r="I137" s="105"/>
      <c r="J137" s="105">
        <f>+J136*J135</f>
        <v>4920.7669055999995</v>
      </c>
      <c r="K137" s="44"/>
      <c r="L137" s="44"/>
      <c r="M137" s="44"/>
      <c r="N137" s="44"/>
      <c r="O137" s="44"/>
      <c r="P137" s="44"/>
      <c r="Q137" s="44"/>
    </row>
    <row r="138" spans="1:17" s="62" customFormat="1" ht="13.5" customHeight="1">
      <c r="A138" s="44"/>
      <c r="B138" s="95" t="s">
        <v>69</v>
      </c>
      <c r="C138" s="44"/>
      <c r="D138" s="44"/>
      <c r="E138" s="58"/>
      <c r="F138" s="58"/>
      <c r="G138" s="58"/>
      <c r="H138" s="102"/>
      <c r="I138" s="102"/>
      <c r="J138" s="102">
        <f ca="1">+J25</f>
        <v>5</v>
      </c>
      <c r="K138" s="44"/>
      <c r="L138" s="44"/>
      <c r="M138" s="44"/>
      <c r="N138" s="44"/>
      <c r="O138" s="44"/>
      <c r="P138" s="44"/>
      <c r="Q138" s="44"/>
    </row>
    <row r="139" spans="1:17" s="62" customFormat="1" ht="13.5" customHeight="1">
      <c r="A139" s="44"/>
      <c r="B139" s="95" t="s">
        <v>68</v>
      </c>
      <c r="C139" s="44"/>
      <c r="D139" s="44"/>
      <c r="E139" s="58"/>
      <c r="F139" s="58"/>
      <c r="G139" s="58"/>
      <c r="H139" s="102"/>
      <c r="I139" s="102"/>
      <c r="J139" s="102">
        <f ca="1">+J34+J33</f>
        <v>65.035368901716453</v>
      </c>
      <c r="K139" s="44"/>
      <c r="L139" s="44"/>
      <c r="M139" s="44"/>
      <c r="N139" s="44"/>
      <c r="O139" s="44"/>
      <c r="P139" s="44"/>
      <c r="Q139" s="44"/>
    </row>
    <row r="140" spans="1:17" s="62" customFormat="1" ht="13.5" customHeight="1">
      <c r="A140" s="44"/>
      <c r="B140" s="54" t="s">
        <v>40</v>
      </c>
      <c r="C140" s="54"/>
      <c r="D140" s="54"/>
      <c r="E140" s="55"/>
      <c r="F140" s="55"/>
      <c r="G140" s="55"/>
      <c r="H140" s="105"/>
      <c r="I140" s="105"/>
      <c r="J140" s="105">
        <f ca="1">+J137+J138-J139</f>
        <v>4860.731536698283</v>
      </c>
      <c r="K140" s="44"/>
      <c r="L140" s="44"/>
      <c r="M140" s="44"/>
      <c r="N140" s="44"/>
      <c r="O140" s="44"/>
      <c r="P140" s="44"/>
      <c r="Q140" s="44"/>
    </row>
    <row r="141" spans="1:17" ht="13.5" customHeight="1"/>
    <row r="143" spans="1:17" s="44" customFormat="1" ht="13.5" customHeight="1">
      <c r="B143" s="48" t="s">
        <v>76</v>
      </c>
      <c r="C143" s="48"/>
      <c r="D143" s="48"/>
      <c r="E143" s="74">
        <v>0</v>
      </c>
      <c r="F143" s="74">
        <v>1</v>
      </c>
      <c r="G143" s="74">
        <f>F143+1</f>
        <v>2</v>
      </c>
      <c r="H143" s="74">
        <f>G143+1</f>
        <v>3</v>
      </c>
      <c r="I143" s="74">
        <f>H143+1</f>
        <v>4</v>
      </c>
      <c r="J143" s="74">
        <f>I143+1</f>
        <v>5</v>
      </c>
      <c r="L143" s="137" t="s">
        <v>42</v>
      </c>
    </row>
    <row r="144" spans="1:17" s="44" customFormat="1" ht="13.5" customHeight="1">
      <c r="B144" s="44" t="s">
        <v>307</v>
      </c>
      <c r="E144" s="106">
        <f>+-D15</f>
        <v>-934.08940000000007</v>
      </c>
      <c r="F144" s="186">
        <v>0</v>
      </c>
      <c r="G144" s="186">
        <v>0</v>
      </c>
      <c r="H144" s="186">
        <v>0</v>
      </c>
      <c r="I144" s="186">
        <v>0</v>
      </c>
      <c r="J144" s="106">
        <f ca="1">+J140</f>
        <v>4860.731536698283</v>
      </c>
      <c r="L144" s="228">
        <f ca="1">IRR(E144:J144)</f>
        <v>0.3907934551249701</v>
      </c>
    </row>
    <row r="145" spans="1:17" s="62" customFormat="1" ht="13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87"/>
      <c r="M145" s="44"/>
      <c r="N145" s="44"/>
      <c r="O145" s="44"/>
      <c r="P145" s="44"/>
      <c r="Q145" s="44"/>
    </row>
    <row r="146" spans="1:17" ht="13.5" customHeight="1">
      <c r="L146" s="373"/>
    </row>
  </sheetData>
  <pageMargins left="0.7" right="0.7" top="0.75" bottom="0.75" header="0.3" footer="0.3"/>
  <pageSetup scale="80" orientation="portrait" r:id="rId1"/>
  <rowBreaks count="3" manualBreakCount="3">
    <brk id="39" max="10" man="1"/>
    <brk id="110" max="10" man="1"/>
    <brk id="124" max="10" man="1"/>
  </rowBreaks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B95-D0D6-4999-81C9-6599B5699ED2}">
  <dimension ref="A1:Q144"/>
  <sheetViews>
    <sheetView showGridLines="0" topLeftCell="A124" zoomScale="120" zoomScaleNormal="120" zoomScaleSheetLayoutView="130" workbookViewId="0"/>
  </sheetViews>
  <sheetFormatPr defaultColWidth="9.1328125" defaultRowHeight="13.15"/>
  <cols>
    <col min="1" max="1" width="6.3984375" style="2" customWidth="1"/>
    <col min="2" max="2" width="25.59765625" style="2" customWidth="1"/>
    <col min="3" max="10" width="11.265625" style="2" customWidth="1"/>
    <col min="11" max="12" width="9.1328125" style="2"/>
    <col min="13" max="17" width="9.1328125" style="2" customWidth="1"/>
    <col min="18" max="20" width="9.1328125" style="1" customWidth="1"/>
    <col min="21" max="16384" width="9.1328125" style="1"/>
  </cols>
  <sheetData>
    <row r="1" spans="2:17">
      <c r="B1" s="15"/>
    </row>
    <row r="2" spans="2:17" s="44" customFormat="1" ht="13.5" customHeight="1">
      <c r="B2" s="45" t="s">
        <v>0</v>
      </c>
      <c r="C2" s="45"/>
      <c r="D2" s="45"/>
      <c r="E2" s="46"/>
      <c r="F2" s="46"/>
      <c r="G2" s="46"/>
      <c r="H2" s="46"/>
      <c r="I2" s="46"/>
      <c r="J2" s="47" t="s">
        <v>37</v>
      </c>
    </row>
    <row r="3" spans="2:17" s="44" customFormat="1" ht="13.5" customHeight="1">
      <c r="B3" s="48" t="s">
        <v>161</v>
      </c>
      <c r="C3" s="48"/>
      <c r="E3" s="48" t="s">
        <v>304</v>
      </c>
      <c r="F3" s="48"/>
      <c r="G3" s="48"/>
    </row>
    <row r="4" spans="2:17" s="44" customFormat="1" ht="13.5" customHeight="1">
      <c r="B4" s="44" t="s">
        <v>2</v>
      </c>
      <c r="C4" s="103"/>
      <c r="E4" s="44" t="s">
        <v>144</v>
      </c>
      <c r="G4" s="85">
        <v>0.01</v>
      </c>
      <c r="L4" s="50"/>
    </row>
    <row r="5" spans="2:17" s="44" customFormat="1" ht="13.5" customHeight="1">
      <c r="B5" s="44" t="s">
        <v>1</v>
      </c>
      <c r="C5" s="209">
        <v>18</v>
      </c>
      <c r="E5" s="44" t="s">
        <v>47</v>
      </c>
      <c r="G5" s="85">
        <v>0.02</v>
      </c>
      <c r="L5" s="52"/>
      <c r="Q5" s="53"/>
    </row>
    <row r="6" spans="2:17" s="44" customFormat="1" ht="13.5" customHeight="1">
      <c r="B6" s="54" t="s">
        <v>67</v>
      </c>
      <c r="C6" s="105"/>
      <c r="L6" s="57"/>
      <c r="Q6" s="53"/>
    </row>
    <row r="7" spans="2:17" s="44" customFormat="1" ht="13.5" customHeight="1">
      <c r="B7" s="104" t="s">
        <v>68</v>
      </c>
      <c r="C7" s="102"/>
      <c r="L7" s="57"/>
      <c r="Q7" s="53"/>
    </row>
    <row r="8" spans="2:17" s="44" customFormat="1" ht="13.5" customHeight="1">
      <c r="B8" s="104" t="s">
        <v>69</v>
      </c>
      <c r="C8" s="102"/>
      <c r="L8" s="50"/>
    </row>
    <row r="9" spans="2:17" s="44" customFormat="1" ht="13.5" customHeight="1">
      <c r="B9" s="54" t="s">
        <v>66</v>
      </c>
      <c r="C9" s="105"/>
    </row>
    <row r="10" spans="2:17" s="44" customFormat="1" ht="13.5" customHeight="1">
      <c r="B10" s="59"/>
      <c r="C10" s="60"/>
      <c r="Q10" s="53"/>
    </row>
    <row r="11" spans="2:17" s="44" customFormat="1" ht="13.5" customHeight="1">
      <c r="Q11" s="53"/>
    </row>
    <row r="12" spans="2:17" s="44" customFormat="1" ht="13.5" customHeight="1">
      <c r="B12" s="45" t="s">
        <v>4</v>
      </c>
      <c r="C12" s="45"/>
      <c r="D12" s="45"/>
      <c r="E12" s="46"/>
      <c r="F12" s="46"/>
      <c r="G12" s="46"/>
      <c r="H12" s="46"/>
      <c r="I12" s="46"/>
      <c r="J12" s="47" t="s">
        <v>37</v>
      </c>
      <c r="M12" s="59"/>
    </row>
    <row r="13" spans="2:17" s="44" customFormat="1" ht="13.5" customHeight="1">
      <c r="B13" s="48" t="s">
        <v>5</v>
      </c>
      <c r="C13" s="48"/>
      <c r="D13" s="48"/>
      <c r="G13" s="48" t="s">
        <v>6</v>
      </c>
      <c r="H13" s="48"/>
      <c r="I13" s="48"/>
      <c r="J13" s="48"/>
    </row>
    <row r="14" spans="2:17" s="44" customFormat="1" ht="13.5" customHeight="1">
      <c r="D14" s="103"/>
      <c r="J14" s="106"/>
    </row>
    <row r="15" spans="2:17" s="44" customFormat="1" ht="13.5" customHeight="1">
      <c r="D15" s="206"/>
      <c r="J15" s="206"/>
    </row>
    <row r="16" spans="2:17" s="44" customFormat="1" ht="13.5" customHeight="1">
      <c r="D16" s="206"/>
      <c r="J16" s="206"/>
    </row>
    <row r="17" spans="1:17" s="44" customFormat="1" ht="13.5" customHeight="1">
      <c r="D17" s="206"/>
      <c r="J17" s="206"/>
    </row>
    <row r="18" spans="1:17" s="44" customFormat="1" ht="13.5" customHeight="1">
      <c r="D18" s="206"/>
      <c r="J18" s="206"/>
    </row>
    <row r="19" spans="1:17" s="44" customFormat="1" ht="13.5" customHeight="1">
      <c r="B19" s="54" t="s">
        <v>7</v>
      </c>
      <c r="C19" s="54"/>
      <c r="D19" s="105"/>
      <c r="G19" s="54" t="s">
        <v>8</v>
      </c>
      <c r="H19" s="55"/>
      <c r="I19" s="55"/>
      <c r="J19" s="105"/>
    </row>
    <row r="20" spans="1:17" s="62" customFormat="1" ht="13.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</row>
    <row r="21" spans="1:17" s="62" customFormat="1" ht="13.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spans="1:17" s="62" customFormat="1" ht="13.5" customHeight="1">
      <c r="A22" s="44"/>
      <c r="B22" s="44"/>
      <c r="C22" s="44"/>
      <c r="D22" s="44"/>
      <c r="E22" s="44"/>
      <c r="F22" s="44"/>
      <c r="G22" s="44"/>
      <c r="H22" s="107"/>
      <c r="I22" s="44"/>
      <c r="J22" s="44"/>
      <c r="K22" s="44"/>
      <c r="L22" s="44"/>
      <c r="M22" s="44"/>
      <c r="N22" s="44"/>
      <c r="O22" s="44"/>
      <c r="P22" s="44"/>
      <c r="Q22" s="44"/>
    </row>
    <row r="23" spans="1:17" s="44" customFormat="1" ht="13.5" customHeight="1">
      <c r="B23" s="45" t="s">
        <v>3</v>
      </c>
      <c r="C23" s="45"/>
      <c r="D23" s="45"/>
      <c r="E23" s="154"/>
      <c r="F23" s="46"/>
      <c r="G23" s="46"/>
      <c r="H23" s="46"/>
      <c r="I23" s="46"/>
      <c r="J23" s="47" t="s">
        <v>37</v>
      </c>
    </row>
    <row r="24" spans="1:17" s="44" customFormat="1" ht="13.5" customHeight="1">
      <c r="B24" s="48" t="s">
        <v>19</v>
      </c>
      <c r="C24" s="74">
        <v>0</v>
      </c>
      <c r="D24" s="79" t="s">
        <v>44</v>
      </c>
      <c r="E24" s="162" t="s">
        <v>43</v>
      </c>
      <c r="F24" s="74">
        <v>1</v>
      </c>
      <c r="G24" s="74">
        <f>F24+1</f>
        <v>2</v>
      </c>
      <c r="H24" s="74">
        <f>G24+1</f>
        <v>3</v>
      </c>
      <c r="I24" s="74">
        <f>H24+1</f>
        <v>4</v>
      </c>
      <c r="J24" s="74">
        <f>I24+1</f>
        <v>5</v>
      </c>
    </row>
    <row r="25" spans="1:17" s="44" customFormat="1" ht="13.5" customHeight="1">
      <c r="B25" s="44" t="s">
        <v>20</v>
      </c>
      <c r="C25" s="186">
        <v>5</v>
      </c>
      <c r="D25" s="190"/>
      <c r="E25" s="188"/>
      <c r="F25" s="106"/>
      <c r="G25" s="106"/>
      <c r="H25" s="106"/>
      <c r="I25" s="106"/>
      <c r="J25" s="106"/>
    </row>
    <row r="26" spans="1:17" s="44" customFormat="1" ht="13.5" customHeight="1">
      <c r="B26" s="44" t="s">
        <v>21</v>
      </c>
      <c r="C26" s="191">
        <v>100</v>
      </c>
      <c r="D26" s="192"/>
      <c r="E26" s="193"/>
      <c r="F26" s="102"/>
      <c r="G26" s="102"/>
      <c r="H26" s="102"/>
      <c r="I26" s="102"/>
      <c r="J26" s="102"/>
    </row>
    <row r="27" spans="1:17" s="44" customFormat="1" ht="13.5" customHeight="1">
      <c r="B27" s="44" t="s">
        <v>45</v>
      </c>
      <c r="C27" s="191">
        <v>0</v>
      </c>
      <c r="D27" s="192"/>
      <c r="E27" s="193"/>
      <c r="F27" s="102"/>
      <c r="G27" s="102"/>
      <c r="H27" s="102"/>
      <c r="I27" s="102"/>
      <c r="J27" s="102"/>
    </row>
    <row r="28" spans="1:17" s="44" customFormat="1" ht="13.5" customHeight="1">
      <c r="B28" s="44" t="s">
        <v>46</v>
      </c>
      <c r="C28" s="191">
        <v>0</v>
      </c>
      <c r="D28" s="192"/>
      <c r="E28" s="193"/>
      <c r="F28" s="189"/>
      <c r="G28" s="189"/>
      <c r="H28" s="189"/>
      <c r="I28" s="189"/>
      <c r="J28" s="189"/>
    </row>
    <row r="29" spans="1:17" s="44" customFormat="1" ht="13.5" customHeight="1">
      <c r="B29" s="44" t="s">
        <v>95</v>
      </c>
      <c r="C29" s="191">
        <v>20</v>
      </c>
      <c r="D29" s="192"/>
      <c r="E29" s="193"/>
      <c r="F29" s="189"/>
      <c r="G29" s="189"/>
      <c r="H29" s="189"/>
      <c r="I29" s="189"/>
      <c r="J29" s="189"/>
    </row>
    <row r="30" spans="1:17" s="44" customFormat="1" ht="13.5" customHeight="1">
      <c r="B30" s="44" t="s">
        <v>23</v>
      </c>
      <c r="C30" s="191">
        <v>20</v>
      </c>
      <c r="D30" s="194"/>
      <c r="E30" s="193"/>
      <c r="F30" s="102"/>
      <c r="G30" s="102"/>
      <c r="H30" s="102"/>
      <c r="I30" s="102"/>
      <c r="J30" s="102"/>
    </row>
    <row r="31" spans="1:17" s="44" customFormat="1" ht="13.5" customHeight="1">
      <c r="B31" s="54" t="s">
        <v>22</v>
      </c>
      <c r="C31" s="105">
        <f>SUM(C25:C30)</f>
        <v>145</v>
      </c>
      <c r="D31" s="195"/>
      <c r="E31" s="196"/>
      <c r="F31" s="105"/>
      <c r="G31" s="105"/>
      <c r="H31" s="105"/>
      <c r="I31" s="105"/>
      <c r="J31" s="105"/>
    </row>
    <row r="32" spans="1:17" s="62" customFormat="1" ht="13.5" customHeight="1">
      <c r="A32" s="44"/>
      <c r="B32" s="44"/>
      <c r="C32" s="106"/>
      <c r="D32" s="197"/>
      <c r="E32" s="188"/>
      <c r="F32" s="106"/>
      <c r="G32" s="106"/>
      <c r="H32" s="106"/>
      <c r="I32" s="106"/>
      <c r="J32" s="106"/>
      <c r="K32" s="44"/>
      <c r="L32" s="44"/>
      <c r="M32" s="44"/>
      <c r="N32" s="44"/>
      <c r="O32" s="44"/>
      <c r="P32" s="44"/>
      <c r="Q32" s="44"/>
    </row>
    <row r="33" spans="1:17" s="44" customFormat="1" ht="13.5" customHeight="1">
      <c r="B33" s="44" t="s">
        <v>59</v>
      </c>
      <c r="C33" s="186">
        <v>0</v>
      </c>
      <c r="D33" s="197"/>
      <c r="E33" s="188"/>
      <c r="F33" s="106"/>
      <c r="G33" s="106"/>
      <c r="H33" s="106"/>
      <c r="I33" s="106"/>
      <c r="J33" s="106"/>
    </row>
    <row r="34" spans="1:17" s="44" customFormat="1" ht="13.5" customHeight="1">
      <c r="B34" s="44" t="s">
        <v>60</v>
      </c>
      <c r="C34" s="191">
        <v>0</v>
      </c>
      <c r="D34" s="194"/>
      <c r="E34" s="193"/>
      <c r="F34" s="189"/>
      <c r="G34" s="189"/>
      <c r="H34" s="189"/>
      <c r="I34" s="189"/>
      <c r="J34" s="189"/>
    </row>
    <row r="35" spans="1:17" s="44" customFormat="1" ht="13.5" customHeight="1">
      <c r="B35" s="44" t="s">
        <v>24</v>
      </c>
      <c r="C35" s="191">
        <v>145</v>
      </c>
      <c r="D35" s="194"/>
      <c r="E35" s="193"/>
      <c r="F35" s="102"/>
      <c r="G35" s="102"/>
      <c r="H35" s="102"/>
      <c r="I35" s="102"/>
      <c r="J35" s="102"/>
    </row>
    <row r="36" spans="1:17" s="44" customFormat="1" ht="13.5" customHeight="1">
      <c r="B36" s="54" t="s">
        <v>25</v>
      </c>
      <c r="C36" s="105">
        <f>SUM(C33:C35)</f>
        <v>145</v>
      </c>
      <c r="D36" s="195"/>
      <c r="E36" s="198"/>
      <c r="F36" s="105"/>
      <c r="G36" s="105"/>
      <c r="H36" s="105"/>
      <c r="I36" s="105"/>
      <c r="J36" s="105"/>
    </row>
    <row r="37" spans="1:17" s="44" customFormat="1" ht="13.5" customHeight="1">
      <c r="B37" s="80" t="s">
        <v>35</v>
      </c>
      <c r="C37" s="81">
        <f>C31-C36</f>
        <v>0</v>
      </c>
      <c r="D37" s="82"/>
      <c r="E37" s="163"/>
      <c r="F37" s="81"/>
      <c r="G37" s="81"/>
      <c r="H37" s="81"/>
      <c r="I37" s="81"/>
      <c r="J37" s="81"/>
    </row>
    <row r="38" spans="1:17" s="44" customFormat="1" ht="13.5" customHeight="1">
      <c r="B38" s="80"/>
      <c r="C38" s="80"/>
      <c r="D38" s="80"/>
      <c r="E38" s="164"/>
      <c r="F38" s="83"/>
      <c r="G38" s="83"/>
      <c r="H38" s="83"/>
      <c r="I38" s="83"/>
      <c r="J38" s="83"/>
    </row>
    <row r="39" spans="1:17" s="62" customFormat="1" ht="13.5" customHeight="1">
      <c r="A39" s="44"/>
      <c r="B39" s="44"/>
      <c r="C39" s="44"/>
      <c r="D39" s="44"/>
      <c r="E39" s="159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</row>
    <row r="40" spans="1:17" s="62" customFormat="1" ht="13.5" customHeight="1">
      <c r="A40" s="44"/>
      <c r="B40" s="44"/>
      <c r="C40" s="44"/>
      <c r="D40" s="44"/>
      <c r="E40" s="44"/>
      <c r="F40" s="44"/>
      <c r="G40" s="44"/>
      <c r="H40" s="107"/>
      <c r="I40" s="44"/>
      <c r="J40" s="44"/>
      <c r="K40" s="44"/>
      <c r="L40" s="44"/>
      <c r="M40" s="44"/>
      <c r="N40" s="44"/>
      <c r="O40" s="44"/>
      <c r="P40" s="44"/>
      <c r="Q40" s="44"/>
    </row>
    <row r="41" spans="1:17" s="44" customFormat="1" ht="13.5" customHeight="1">
      <c r="B41" s="48" t="s">
        <v>9</v>
      </c>
      <c r="C41" s="73">
        <f>+D41-1</f>
        <v>-2</v>
      </c>
      <c r="D41" s="73">
        <f>+E41-1</f>
        <v>-1</v>
      </c>
      <c r="E41" s="178">
        <v>0</v>
      </c>
      <c r="F41" s="73">
        <v>1</v>
      </c>
      <c r="G41" s="73">
        <f>F41+1</f>
        <v>2</v>
      </c>
      <c r="H41" s="73">
        <f>G41+1</f>
        <v>3</v>
      </c>
      <c r="I41" s="73">
        <f>H41+1</f>
        <v>4</v>
      </c>
      <c r="J41" s="73">
        <f>I41+1</f>
        <v>5</v>
      </c>
    </row>
    <row r="42" spans="1:17" s="44" customFormat="1" ht="13.5" customHeight="1">
      <c r="B42" s="44" t="s">
        <v>10</v>
      </c>
      <c r="C42" s="186">
        <v>19.21</v>
      </c>
      <c r="D42" s="186">
        <v>32.980000000000004</v>
      </c>
      <c r="E42" s="187">
        <v>50.830000000000005</v>
      </c>
      <c r="F42" s="103"/>
      <c r="G42" s="103"/>
      <c r="H42" s="103"/>
      <c r="I42" s="103"/>
      <c r="J42" s="103"/>
      <c r="K42" s="107"/>
      <c r="M42" s="59"/>
    </row>
    <row r="43" spans="1:17" s="44" customFormat="1" ht="13.5" customHeight="1">
      <c r="B43" s="100" t="s">
        <v>12</v>
      </c>
      <c r="C43" s="179"/>
      <c r="D43" s="179">
        <f t="shared" ref="D43" si="0">D42/C42-1</f>
        <v>0.71681415929203562</v>
      </c>
      <c r="E43" s="180">
        <f>E42/D42-1</f>
        <v>0.54123711340206193</v>
      </c>
      <c r="F43" s="184">
        <v>0.4</v>
      </c>
      <c r="G43" s="184">
        <v>0.4</v>
      </c>
      <c r="H43" s="184">
        <v>0.4</v>
      </c>
      <c r="I43" s="184">
        <v>0.4</v>
      </c>
      <c r="J43" s="184">
        <v>0.4</v>
      </c>
    </row>
    <row r="44" spans="1:17" s="44" customFormat="1" ht="13.5" customHeight="1">
      <c r="B44" s="370" t="s">
        <v>315</v>
      </c>
      <c r="C44" s="179"/>
      <c r="D44" s="179"/>
      <c r="E44" s="180"/>
      <c r="F44" s="371"/>
      <c r="G44" s="371"/>
      <c r="H44" s="371"/>
      <c r="I44" s="371"/>
      <c r="J44" s="371"/>
    </row>
    <row r="45" spans="1:17" s="44" customFormat="1" ht="13.5" customHeight="1">
      <c r="B45" s="76"/>
      <c r="C45" s="76"/>
      <c r="D45" s="76"/>
      <c r="E45" s="157"/>
      <c r="F45" s="77"/>
      <c r="G45" s="77"/>
      <c r="H45" s="77"/>
      <c r="I45" s="77"/>
      <c r="J45" s="77"/>
      <c r="K45" s="78"/>
      <c r="L45" s="78"/>
    </row>
    <row r="46" spans="1:17" s="44" customFormat="1" ht="13.5" customHeight="1">
      <c r="B46" s="44" t="s">
        <v>125</v>
      </c>
      <c r="C46" s="186">
        <v>13</v>
      </c>
      <c r="D46" s="186">
        <v>23</v>
      </c>
      <c r="E46" s="187">
        <v>35.799999999999997</v>
      </c>
      <c r="F46" s="103"/>
      <c r="G46" s="103"/>
      <c r="H46" s="103"/>
      <c r="I46" s="103"/>
      <c r="J46" s="103"/>
      <c r="K46" s="78"/>
      <c r="L46" s="78"/>
    </row>
    <row r="47" spans="1:17" s="44" customFormat="1" ht="13.5" customHeight="1">
      <c r="B47" s="100" t="s">
        <v>29</v>
      </c>
      <c r="C47" s="182">
        <f>+C46/C$42</f>
        <v>0.67673086933888593</v>
      </c>
      <c r="D47" s="182">
        <f>+D46/D$42</f>
        <v>0.69739235900545782</v>
      </c>
      <c r="E47" s="183">
        <f>+E46/E$42</f>
        <v>0.70430847924454054</v>
      </c>
      <c r="F47" s="184">
        <v>0.7</v>
      </c>
      <c r="G47" s="184">
        <v>0.7</v>
      </c>
      <c r="H47" s="184">
        <v>0.7</v>
      </c>
      <c r="I47" s="184">
        <v>0.7</v>
      </c>
      <c r="J47" s="184">
        <v>0.7</v>
      </c>
      <c r="K47" s="78"/>
      <c r="L47" s="78"/>
    </row>
    <row r="48" spans="1:17" s="44" customFormat="1" ht="13.5" customHeight="1">
      <c r="B48" s="76"/>
      <c r="C48" s="76"/>
      <c r="D48" s="76"/>
      <c r="E48" s="157"/>
      <c r="F48" s="77"/>
      <c r="G48" s="77"/>
      <c r="H48" s="77"/>
      <c r="I48" s="77"/>
      <c r="J48" s="77"/>
      <c r="K48" s="78"/>
      <c r="L48" s="78"/>
    </row>
    <row r="49" spans="2:12" s="44" customFormat="1" ht="13.5" customHeight="1">
      <c r="B49" s="44" t="s">
        <v>142</v>
      </c>
      <c r="C49" s="186">
        <v>9.56</v>
      </c>
      <c r="D49" s="186">
        <v>15.549999999999999</v>
      </c>
      <c r="E49" s="187">
        <v>20.75</v>
      </c>
      <c r="F49" s="103"/>
      <c r="G49" s="103"/>
      <c r="H49" s="103"/>
      <c r="I49" s="103"/>
      <c r="J49" s="103"/>
      <c r="L49" s="78"/>
    </row>
    <row r="50" spans="2:12" s="44" customFormat="1" ht="13.5" customHeight="1">
      <c r="B50" s="100" t="s">
        <v>29</v>
      </c>
      <c r="C50" s="179">
        <f>+C49/C42</f>
        <v>0.49765747006767308</v>
      </c>
      <c r="D50" s="179">
        <f t="shared" ref="D50:E50" si="1">+D49/D42</f>
        <v>0.47149787750151601</v>
      </c>
      <c r="E50" s="180">
        <f t="shared" si="1"/>
        <v>0.40822349006492226</v>
      </c>
      <c r="F50" s="184">
        <v>0.4</v>
      </c>
      <c r="G50" s="184">
        <v>0.38</v>
      </c>
      <c r="H50" s="184">
        <v>0.36</v>
      </c>
      <c r="I50" s="184">
        <v>0.34</v>
      </c>
      <c r="J50" s="184">
        <v>0.32</v>
      </c>
      <c r="L50" s="78"/>
    </row>
    <row r="51" spans="2:12" s="44" customFormat="1" ht="13.5" customHeight="1">
      <c r="B51" s="370" t="s">
        <v>315</v>
      </c>
      <c r="C51" s="179"/>
      <c r="D51" s="179"/>
      <c r="E51" s="180"/>
      <c r="F51" s="371"/>
      <c r="G51" s="371"/>
      <c r="H51" s="371"/>
      <c r="I51" s="371"/>
      <c r="J51" s="371"/>
      <c r="L51" s="78"/>
    </row>
    <row r="52" spans="2:12" s="44" customFormat="1" ht="13.5" customHeight="1">
      <c r="B52" s="76"/>
      <c r="C52" s="76"/>
      <c r="D52" s="76"/>
      <c r="E52" s="157"/>
      <c r="F52" s="77"/>
      <c r="G52" s="77"/>
      <c r="H52" s="77"/>
      <c r="I52" s="77"/>
      <c r="J52" s="77"/>
      <c r="K52" s="78"/>
      <c r="L52" s="78"/>
    </row>
    <row r="53" spans="2:12" s="44" customFormat="1" ht="13.5" customHeight="1">
      <c r="B53" s="44" t="s">
        <v>143</v>
      </c>
      <c r="C53" s="186">
        <v>10</v>
      </c>
      <c r="D53" s="186">
        <v>15.2</v>
      </c>
      <c r="E53" s="187">
        <v>22.2</v>
      </c>
      <c r="F53" s="103"/>
      <c r="G53" s="103"/>
      <c r="H53" s="103"/>
      <c r="I53" s="103"/>
      <c r="J53" s="103"/>
      <c r="K53" s="78"/>
      <c r="L53" s="78"/>
    </row>
    <row r="54" spans="2:12" s="44" customFormat="1" ht="13.5" customHeight="1">
      <c r="B54" s="100" t="s">
        <v>29</v>
      </c>
      <c r="C54" s="182">
        <f>+C53/C$42</f>
        <v>0.52056220718375845</v>
      </c>
      <c r="D54" s="182">
        <f>+D53/D$42</f>
        <v>0.46088538508186772</v>
      </c>
      <c r="E54" s="183">
        <f>+E53/E$42</f>
        <v>0.43674995081644691</v>
      </c>
      <c r="F54" s="184">
        <v>0.4</v>
      </c>
      <c r="G54" s="184">
        <v>0.35</v>
      </c>
      <c r="H54" s="184">
        <v>0.35</v>
      </c>
      <c r="I54" s="184">
        <v>0.3</v>
      </c>
      <c r="J54" s="184">
        <v>0.25</v>
      </c>
      <c r="K54" s="78"/>
      <c r="L54" s="78"/>
    </row>
    <row r="55" spans="2:12" s="44" customFormat="1" ht="13.5" customHeight="1">
      <c r="E55" s="158"/>
      <c r="F55" s="78"/>
      <c r="G55" s="78"/>
      <c r="H55" s="78"/>
      <c r="I55" s="78"/>
      <c r="J55" s="78"/>
      <c r="K55" s="78"/>
      <c r="L55" s="78"/>
    </row>
    <row r="56" spans="2:12" s="44" customFormat="1" ht="13.5" customHeight="1">
      <c r="B56" s="44" t="s">
        <v>11</v>
      </c>
      <c r="C56" s="103">
        <f>+C46-C49-C53</f>
        <v>-6.5600000000000005</v>
      </c>
      <c r="D56" s="103">
        <f>+D46-D49-D53</f>
        <v>-7.7499999999999982</v>
      </c>
      <c r="E56" s="188">
        <f>+E46-E49-E53</f>
        <v>-7.1500000000000021</v>
      </c>
      <c r="F56" s="103"/>
      <c r="G56" s="103"/>
      <c r="H56" s="103"/>
      <c r="I56" s="103"/>
      <c r="J56" s="103"/>
      <c r="K56" s="78"/>
      <c r="L56" s="78"/>
    </row>
    <row r="57" spans="2:12" s="44" customFormat="1" ht="13.5" customHeight="1">
      <c r="B57" s="100" t="s">
        <v>29</v>
      </c>
      <c r="C57" s="179">
        <f>+C56/C42</f>
        <v>-0.34148880791254554</v>
      </c>
      <c r="D57" s="179">
        <f>+D56/D42</f>
        <v>-0.23499090357792593</v>
      </c>
      <c r="E57" s="180">
        <f>+E56/E42</f>
        <v>-0.14066496163682868</v>
      </c>
      <c r="F57" s="181"/>
      <c r="G57" s="181"/>
      <c r="H57" s="181"/>
      <c r="I57" s="181"/>
      <c r="J57" s="181"/>
      <c r="K57" s="78"/>
      <c r="L57" s="78"/>
    </row>
    <row r="58" spans="2:12" s="44" customFormat="1" ht="13.5" customHeight="1">
      <c r="E58" s="158"/>
      <c r="F58" s="78"/>
      <c r="G58" s="78"/>
      <c r="H58" s="78"/>
      <c r="I58" s="78"/>
      <c r="J58" s="78"/>
      <c r="K58" s="78"/>
      <c r="L58" s="78"/>
    </row>
    <row r="59" spans="2:12" s="44" customFormat="1" ht="13.5" customHeight="1">
      <c r="B59" s="44" t="s">
        <v>13</v>
      </c>
      <c r="E59" s="156"/>
      <c r="F59" s="103"/>
      <c r="G59" s="103"/>
      <c r="H59" s="103"/>
      <c r="I59" s="103"/>
      <c r="J59" s="103"/>
      <c r="K59" s="78"/>
      <c r="L59" s="78"/>
    </row>
    <row r="60" spans="2:12" s="44" customFormat="1" ht="13.5" customHeight="1">
      <c r="B60" s="100" t="s">
        <v>29</v>
      </c>
      <c r="C60" s="179"/>
      <c r="D60" s="179"/>
      <c r="E60" s="180"/>
      <c r="F60" s="184">
        <v>0.06</v>
      </c>
      <c r="G60" s="184">
        <v>0.06</v>
      </c>
      <c r="H60" s="184">
        <v>0.06</v>
      </c>
      <c r="I60" s="184">
        <v>0.06</v>
      </c>
      <c r="J60" s="184">
        <v>0.06</v>
      </c>
      <c r="K60" s="78"/>
      <c r="L60" s="78"/>
    </row>
    <row r="61" spans="2:12" s="44" customFormat="1" ht="13.5" customHeight="1">
      <c r="E61" s="158"/>
      <c r="F61" s="78"/>
      <c r="G61" s="78"/>
      <c r="H61" s="78"/>
      <c r="I61" s="78"/>
      <c r="J61" s="78"/>
      <c r="K61" s="78"/>
      <c r="L61" s="78"/>
    </row>
    <row r="62" spans="2:12" s="44" customFormat="1" ht="13.5" customHeight="1">
      <c r="B62" s="44" t="s">
        <v>16</v>
      </c>
      <c r="E62" s="156"/>
      <c r="F62" s="103"/>
      <c r="G62" s="103"/>
      <c r="H62" s="103"/>
      <c r="I62" s="103"/>
      <c r="J62" s="103"/>
      <c r="K62" s="78"/>
      <c r="L62" s="78"/>
    </row>
    <row r="63" spans="2:12" s="44" customFormat="1" ht="13.5" customHeight="1">
      <c r="E63" s="158"/>
      <c r="F63" s="103"/>
      <c r="G63" s="103"/>
      <c r="H63" s="103"/>
      <c r="I63" s="103"/>
      <c r="J63" s="103"/>
      <c r="K63" s="78"/>
      <c r="L63" s="78"/>
    </row>
    <row r="64" spans="2:12" s="44" customFormat="1" ht="13.5" customHeight="1">
      <c r="B64" s="44" t="s">
        <v>50</v>
      </c>
      <c r="E64" s="156"/>
      <c r="F64" s="103"/>
      <c r="G64" s="103"/>
      <c r="H64" s="103"/>
      <c r="I64" s="103"/>
      <c r="J64" s="103"/>
      <c r="K64" s="78"/>
      <c r="L64" s="78"/>
    </row>
    <row r="65" spans="1:17" s="44" customFormat="1" ht="13.5" customHeight="1">
      <c r="B65" s="100" t="s">
        <v>29</v>
      </c>
      <c r="C65" s="179"/>
      <c r="D65" s="179"/>
      <c r="E65" s="180"/>
      <c r="F65" s="181"/>
      <c r="G65" s="181"/>
      <c r="H65" s="181"/>
      <c r="I65" s="181"/>
      <c r="J65" s="181"/>
      <c r="K65" s="78"/>
      <c r="L65" s="78"/>
    </row>
    <row r="66" spans="1:17" s="44" customFormat="1" ht="13.5" customHeight="1">
      <c r="E66" s="158"/>
      <c r="F66" s="78"/>
      <c r="G66" s="78"/>
      <c r="H66" s="78"/>
      <c r="I66" s="78"/>
      <c r="J66" s="78"/>
      <c r="K66" s="78"/>
      <c r="L66" s="78"/>
    </row>
    <row r="67" spans="1:17" s="44" customFormat="1" ht="13.5" customHeight="1">
      <c r="B67" s="44" t="s">
        <v>15</v>
      </c>
      <c r="E67" s="156"/>
      <c r="F67" s="103"/>
      <c r="G67" s="103"/>
      <c r="H67" s="103"/>
      <c r="I67" s="103"/>
      <c r="J67" s="103"/>
      <c r="K67" s="78"/>
      <c r="L67" s="78"/>
    </row>
    <row r="68" spans="1:17" s="44" customFormat="1" ht="13.5" customHeight="1">
      <c r="B68" s="100" t="s">
        <v>29</v>
      </c>
      <c r="C68" s="179"/>
      <c r="D68" s="179"/>
      <c r="E68" s="180"/>
      <c r="F68" s="181"/>
      <c r="G68" s="181"/>
      <c r="H68" s="181"/>
      <c r="I68" s="181"/>
      <c r="J68" s="181"/>
    </row>
    <row r="69" spans="1:17" s="62" customFormat="1" ht="13.5" customHeight="1">
      <c r="A69" s="44"/>
      <c r="B69" s="44"/>
      <c r="C69" s="44"/>
      <c r="D69" s="44"/>
      <c r="E69" s="159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</row>
    <row r="70" spans="1:17" s="44" customFormat="1" ht="13.5" customHeight="1">
      <c r="B70" s="44" t="s">
        <v>305</v>
      </c>
      <c r="E70" s="160"/>
      <c r="F70" s="106"/>
      <c r="G70" s="106"/>
      <c r="H70" s="106"/>
      <c r="I70" s="106"/>
      <c r="J70" s="106"/>
    </row>
    <row r="71" spans="1:17" s="44" customFormat="1" ht="13.5" customHeight="1">
      <c r="B71" s="100" t="s">
        <v>17</v>
      </c>
      <c r="E71" s="160"/>
      <c r="F71" s="184">
        <v>0.21</v>
      </c>
      <c r="G71" s="184">
        <v>0.21</v>
      </c>
      <c r="H71" s="184">
        <v>0.21</v>
      </c>
      <c r="I71" s="184">
        <v>0.21</v>
      </c>
      <c r="J71" s="184">
        <v>0.21</v>
      </c>
    </row>
    <row r="72" spans="1:17" s="44" customFormat="1" ht="13.5" customHeight="1">
      <c r="B72" s="100"/>
      <c r="C72" s="76"/>
      <c r="D72" s="76"/>
      <c r="E72" s="159"/>
      <c r="F72" s="106"/>
      <c r="G72" s="106"/>
      <c r="H72" s="106"/>
      <c r="I72" s="106"/>
      <c r="J72" s="106"/>
    </row>
    <row r="73" spans="1:17" s="44" customFormat="1" ht="13.5" customHeight="1">
      <c r="B73" s="44" t="s">
        <v>14</v>
      </c>
      <c r="E73" s="160"/>
      <c r="F73" s="106"/>
      <c r="G73" s="106"/>
      <c r="H73" s="106"/>
      <c r="I73" s="106"/>
      <c r="J73" s="106"/>
    </row>
    <row r="74" spans="1:17" s="44" customFormat="1" ht="13.5" customHeight="1">
      <c r="B74" s="100" t="s">
        <v>29</v>
      </c>
      <c r="C74" s="179"/>
      <c r="D74" s="179"/>
      <c r="E74" s="180"/>
      <c r="F74" s="181"/>
      <c r="G74" s="181"/>
      <c r="H74" s="181"/>
      <c r="I74" s="181"/>
      <c r="J74" s="181"/>
    </row>
    <row r="75" spans="1:17" s="62" customFormat="1" ht="13.5" customHeight="1">
      <c r="A75" s="44"/>
      <c r="B75" s="44"/>
      <c r="C75" s="44"/>
      <c r="D75" s="44"/>
      <c r="E75" s="159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s="62" customFormat="1" ht="13.5" customHeight="1">
      <c r="A76" s="44"/>
      <c r="B76" s="44"/>
      <c r="C76" s="44"/>
      <c r="D76" s="44"/>
      <c r="E76" s="159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spans="1:17" s="44" customFormat="1" ht="13.5" customHeight="1">
      <c r="B77" s="48" t="s">
        <v>26</v>
      </c>
      <c r="C77" s="48"/>
      <c r="D77" s="48"/>
      <c r="E77" s="155">
        <v>0</v>
      </c>
      <c r="F77" s="74">
        <v>1</v>
      </c>
      <c r="G77" s="74">
        <f>F77+1</f>
        <v>2</v>
      </c>
      <c r="H77" s="74">
        <f>G77+1</f>
        <v>3</v>
      </c>
      <c r="I77" s="74">
        <f>H77+1</f>
        <v>4</v>
      </c>
      <c r="J77" s="74">
        <f>I77+1</f>
        <v>5</v>
      </c>
    </row>
    <row r="78" spans="1:17" s="44" customFormat="1" ht="13.5" customHeight="1">
      <c r="B78" s="44" t="s">
        <v>33</v>
      </c>
      <c r="E78" s="159"/>
      <c r="F78" s="106"/>
      <c r="G78" s="106"/>
      <c r="H78" s="106"/>
      <c r="I78" s="106"/>
      <c r="J78" s="106"/>
    </row>
    <row r="79" spans="1:17" s="44" customFormat="1" ht="13.5" customHeight="1">
      <c r="B79" s="96" t="s">
        <v>93</v>
      </c>
      <c r="E79" s="159"/>
      <c r="F79" s="208">
        <v>5</v>
      </c>
      <c r="G79" s="208">
        <v>5</v>
      </c>
      <c r="H79" s="208">
        <v>5</v>
      </c>
      <c r="I79" s="208">
        <v>5</v>
      </c>
      <c r="J79" s="208">
        <v>5</v>
      </c>
      <c r="M79" s="53"/>
    </row>
    <row r="80" spans="1:17" s="44" customFormat="1" ht="13.5" customHeight="1">
      <c r="B80" s="54" t="s">
        <v>34</v>
      </c>
      <c r="C80" s="54"/>
      <c r="D80" s="54"/>
      <c r="E80" s="196"/>
      <c r="F80" s="105"/>
      <c r="G80" s="105"/>
      <c r="H80" s="105"/>
      <c r="I80" s="105"/>
      <c r="J80" s="105"/>
      <c r="M80" s="53"/>
    </row>
    <row r="81" spans="1:17" s="62" customFormat="1" ht="13.5" customHeight="1">
      <c r="A81" s="44"/>
      <c r="B81" s="44"/>
      <c r="C81" s="44"/>
      <c r="D81" s="44"/>
      <c r="E81" s="199"/>
      <c r="F81" s="106"/>
      <c r="G81" s="106"/>
      <c r="H81" s="106"/>
      <c r="I81" s="106"/>
      <c r="J81" s="106"/>
      <c r="K81" s="44"/>
      <c r="L81" s="44"/>
      <c r="M81" s="53"/>
      <c r="N81" s="44"/>
      <c r="O81" s="44"/>
      <c r="P81" s="44"/>
      <c r="Q81" s="44"/>
    </row>
    <row r="82" spans="1:17" s="44" customFormat="1" ht="13.5" customHeight="1">
      <c r="B82" s="44" t="s">
        <v>27</v>
      </c>
      <c r="E82" s="199"/>
      <c r="F82" s="106"/>
      <c r="G82" s="106"/>
      <c r="H82" s="106"/>
      <c r="I82" s="106"/>
      <c r="J82" s="106"/>
      <c r="M82" s="53"/>
    </row>
    <row r="83" spans="1:17" s="44" customFormat="1" ht="13.5" customHeight="1">
      <c r="B83" s="95" t="s">
        <v>87</v>
      </c>
      <c r="E83" s="159"/>
      <c r="F83" s="102"/>
      <c r="G83" s="102"/>
      <c r="H83" s="102"/>
      <c r="I83" s="102"/>
      <c r="J83" s="102"/>
      <c r="M83" s="53"/>
    </row>
    <row r="84" spans="1:17" s="44" customFormat="1" ht="13.5" customHeight="1">
      <c r="B84" s="95" t="s">
        <v>88</v>
      </c>
      <c r="E84" s="159"/>
      <c r="F84" s="102"/>
      <c r="G84" s="102"/>
      <c r="H84" s="102"/>
      <c r="I84" s="102"/>
      <c r="J84" s="102"/>
    </row>
    <row r="85" spans="1:17" s="44" customFormat="1" ht="13.5" customHeight="1">
      <c r="B85" s="54" t="s">
        <v>28</v>
      </c>
      <c r="C85" s="54"/>
      <c r="D85" s="54"/>
      <c r="E85" s="196"/>
      <c r="F85" s="105"/>
      <c r="G85" s="105"/>
      <c r="H85" s="105"/>
      <c r="I85" s="105"/>
      <c r="J85" s="105"/>
    </row>
    <row r="86" spans="1:17" s="44" customFormat="1" ht="13.5" customHeight="1">
      <c r="B86" s="76" t="s">
        <v>167</v>
      </c>
      <c r="E86" s="159"/>
      <c r="F86" s="184">
        <v>0.08</v>
      </c>
      <c r="G86" s="184">
        <v>0.08</v>
      </c>
      <c r="H86" s="184">
        <v>0.08</v>
      </c>
      <c r="I86" s="184">
        <v>0.08</v>
      </c>
      <c r="J86" s="184">
        <v>0.08</v>
      </c>
      <c r="M86" s="53"/>
    </row>
    <row r="87" spans="1:17" s="44" customFormat="1" ht="13.5" customHeight="1">
      <c r="B87" s="76" t="s">
        <v>168</v>
      </c>
      <c r="E87" s="159"/>
      <c r="F87" s="254">
        <f>F60</f>
        <v>0.06</v>
      </c>
      <c r="G87" s="254">
        <f>G60</f>
        <v>0.06</v>
      </c>
      <c r="H87" s="254">
        <f>H60</f>
        <v>0.06</v>
      </c>
      <c r="I87" s="254">
        <f>I60</f>
        <v>0.06</v>
      </c>
      <c r="J87" s="254">
        <f>J60</f>
        <v>0.06</v>
      </c>
      <c r="M87" s="53"/>
    </row>
    <row r="88" spans="1:17" s="44" customFormat="1" ht="13.5" customHeight="1">
      <c r="B88" s="59"/>
      <c r="C88" s="59"/>
      <c r="D88" s="59"/>
      <c r="E88" s="229"/>
      <c r="F88" s="201"/>
      <c r="G88" s="201"/>
      <c r="H88" s="201"/>
      <c r="I88" s="201"/>
      <c r="J88" s="201"/>
    </row>
    <row r="89" spans="1:17" s="62" customFormat="1" ht="13.5" customHeight="1">
      <c r="A89" s="44"/>
      <c r="B89" s="44" t="s">
        <v>48</v>
      </c>
      <c r="C89" s="44"/>
      <c r="D89" s="87" t="s">
        <v>169</v>
      </c>
      <c r="E89" s="159"/>
      <c r="F89" s="106"/>
      <c r="G89" s="106"/>
      <c r="H89" s="106"/>
      <c r="I89" s="106"/>
      <c r="J89" s="106"/>
      <c r="K89" s="44"/>
      <c r="L89" s="44"/>
      <c r="M89" s="44"/>
      <c r="N89" s="44"/>
      <c r="O89" s="44"/>
      <c r="P89" s="44"/>
      <c r="Q89" s="44"/>
    </row>
    <row r="90" spans="1:17" s="62" customFormat="1" ht="13.5" customHeight="1">
      <c r="A90" s="44"/>
      <c r="B90" s="95" t="s">
        <v>89</v>
      </c>
      <c r="C90" s="44"/>
      <c r="D90" s="101">
        <v>5</v>
      </c>
      <c r="E90" s="372"/>
      <c r="F90" s="102"/>
      <c r="G90" s="102"/>
      <c r="H90" s="102"/>
      <c r="I90" s="102"/>
      <c r="J90" s="102"/>
      <c r="K90" s="44"/>
      <c r="L90" s="44"/>
      <c r="M90" s="44"/>
      <c r="N90" s="44"/>
      <c r="O90" s="44"/>
      <c r="P90" s="44"/>
      <c r="Q90" s="44"/>
    </row>
    <row r="91" spans="1:17" s="62" customFormat="1" ht="13.5" customHeight="1">
      <c r="A91" s="44"/>
      <c r="B91" s="54" t="s">
        <v>49</v>
      </c>
      <c r="C91" s="54"/>
      <c r="D91" s="54"/>
      <c r="E91" s="196"/>
      <c r="F91" s="105"/>
      <c r="G91" s="105"/>
      <c r="H91" s="105"/>
      <c r="I91" s="105"/>
      <c r="J91" s="105"/>
      <c r="K91" s="44"/>
      <c r="L91" s="44"/>
      <c r="M91" s="44"/>
      <c r="N91" s="44"/>
      <c r="O91" s="44"/>
      <c r="P91" s="44"/>
      <c r="Q91" s="44"/>
    </row>
    <row r="92" spans="1:17" s="62" customFormat="1" ht="13.5" customHeight="1">
      <c r="A92" s="44"/>
      <c r="B92" s="44"/>
      <c r="C92" s="44"/>
      <c r="D92" s="44"/>
      <c r="E92" s="159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</row>
    <row r="93" spans="1:17" s="62" customFormat="1" ht="13.5" customHeight="1">
      <c r="A93" s="44"/>
      <c r="B93" s="44"/>
      <c r="C93" s="44"/>
      <c r="D93" s="44"/>
      <c r="E93" s="159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</row>
    <row r="94" spans="1:17" s="44" customFormat="1" ht="13.5" customHeight="1">
      <c r="B94" s="44" t="s">
        <v>165</v>
      </c>
      <c r="E94" s="159"/>
      <c r="F94" s="106"/>
      <c r="G94" s="106"/>
      <c r="H94" s="106"/>
      <c r="I94" s="106"/>
      <c r="J94" s="106"/>
    </row>
    <row r="95" spans="1:17" s="44" customFormat="1" ht="13.5" customHeight="1">
      <c r="B95" s="95" t="s">
        <v>90</v>
      </c>
      <c r="E95" s="159"/>
      <c r="F95" s="102"/>
      <c r="G95" s="102"/>
      <c r="H95" s="102"/>
      <c r="I95" s="102"/>
      <c r="J95" s="102"/>
    </row>
    <row r="96" spans="1:17" s="44" customFormat="1" ht="13.5" customHeight="1">
      <c r="B96" s="54" t="s">
        <v>166</v>
      </c>
      <c r="C96" s="54"/>
      <c r="D96" s="54"/>
      <c r="E96" s="196"/>
      <c r="F96" s="105"/>
      <c r="G96" s="105"/>
      <c r="H96" s="105"/>
      <c r="I96" s="105"/>
      <c r="J96" s="105"/>
    </row>
    <row r="97" spans="1:17" s="44" customFormat="1" ht="13.5" customHeight="1">
      <c r="B97" s="95" t="s">
        <v>164</v>
      </c>
      <c r="E97" s="165"/>
      <c r="F97" s="86">
        <v>0.05</v>
      </c>
      <c r="G97" s="86">
        <v>0.05</v>
      </c>
      <c r="H97" s="86">
        <v>0.05</v>
      </c>
      <c r="I97" s="86">
        <v>0.05</v>
      </c>
      <c r="J97" s="86">
        <v>0.05</v>
      </c>
    </row>
    <row r="98" spans="1:17" s="44" customFormat="1" ht="13.5" customHeight="1">
      <c r="B98" s="54" t="s">
        <v>16</v>
      </c>
      <c r="C98" s="54"/>
      <c r="D98" s="54"/>
      <c r="E98" s="196"/>
      <c r="F98" s="105"/>
      <c r="G98" s="105"/>
      <c r="H98" s="105"/>
      <c r="I98" s="105"/>
      <c r="J98" s="105"/>
    </row>
    <row r="99" spans="1:17" s="62" customFormat="1" ht="13.5" customHeight="1">
      <c r="A99" s="44"/>
      <c r="B99" s="44"/>
      <c r="C99" s="44"/>
      <c r="D99" s="44"/>
      <c r="E99" s="159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</row>
    <row r="100" spans="1:17" s="44" customFormat="1" ht="13.5" customHeight="1">
      <c r="B100" s="44" t="s">
        <v>162</v>
      </c>
      <c r="E100" s="159"/>
      <c r="F100" s="106"/>
      <c r="G100" s="106"/>
      <c r="H100" s="106"/>
      <c r="I100" s="106"/>
      <c r="J100" s="106"/>
    </row>
    <row r="101" spans="1:17" s="44" customFormat="1" ht="13.5" customHeight="1">
      <c r="B101" s="95" t="s">
        <v>90</v>
      </c>
      <c r="E101" s="159"/>
      <c r="F101" s="102"/>
      <c r="G101" s="102"/>
      <c r="H101" s="102"/>
      <c r="I101" s="102"/>
      <c r="J101" s="102"/>
    </row>
    <row r="102" spans="1:17" s="44" customFormat="1" ht="13.5" customHeight="1">
      <c r="B102" s="54" t="s">
        <v>163</v>
      </c>
      <c r="C102" s="54"/>
      <c r="D102" s="54"/>
      <c r="E102" s="196"/>
      <c r="F102" s="105"/>
      <c r="G102" s="105"/>
      <c r="H102" s="105"/>
      <c r="I102" s="105"/>
      <c r="J102" s="105"/>
    </row>
    <row r="103" spans="1:17" s="44" customFormat="1" ht="13.5" customHeight="1">
      <c r="B103" s="95" t="s">
        <v>164</v>
      </c>
      <c r="E103" s="165"/>
      <c r="F103" s="86">
        <v>0.08</v>
      </c>
      <c r="G103" s="86">
        <v>0.08</v>
      </c>
      <c r="H103" s="86">
        <v>0.08</v>
      </c>
      <c r="I103" s="86">
        <v>0.08</v>
      </c>
      <c r="J103" s="86">
        <v>0.08</v>
      </c>
    </row>
    <row r="104" spans="1:17" s="44" customFormat="1" ht="13.5" customHeight="1">
      <c r="B104" s="54" t="s">
        <v>16</v>
      </c>
      <c r="C104" s="54"/>
      <c r="D104" s="54"/>
      <c r="E104" s="196"/>
      <c r="F104" s="105"/>
      <c r="G104" s="105"/>
      <c r="H104" s="105"/>
      <c r="I104" s="105"/>
      <c r="J104" s="105"/>
    </row>
    <row r="105" spans="1:17" s="44" customFormat="1" ht="13.5" customHeight="1">
      <c r="B105" s="59"/>
      <c r="C105" s="59"/>
      <c r="D105" s="59"/>
      <c r="E105" s="229"/>
      <c r="F105" s="201"/>
      <c r="G105" s="201"/>
      <c r="H105" s="201"/>
      <c r="I105" s="201"/>
      <c r="J105" s="201"/>
    </row>
    <row r="106" spans="1:17" s="44" customFormat="1" ht="13.5" customHeight="1">
      <c r="B106" s="207" t="s">
        <v>137</v>
      </c>
      <c r="E106" s="159"/>
      <c r="F106" s="258">
        <v>5</v>
      </c>
      <c r="G106" s="258">
        <v>5</v>
      </c>
      <c r="H106" s="258">
        <v>5</v>
      </c>
      <c r="I106" s="258">
        <v>5</v>
      </c>
      <c r="J106" s="258">
        <v>5</v>
      </c>
    </row>
    <row r="107" spans="1:17" s="44" customFormat="1" ht="13.5" customHeight="1">
      <c r="E107" s="165"/>
      <c r="F107" s="84"/>
      <c r="G107" s="84"/>
      <c r="H107" s="84"/>
      <c r="I107" s="84"/>
      <c r="J107" s="84"/>
    </row>
    <row r="108" spans="1:17" s="44" customFormat="1" ht="13.5" customHeight="1">
      <c r="E108" s="165"/>
      <c r="F108" s="84"/>
      <c r="G108" s="84"/>
      <c r="H108" s="84"/>
      <c r="I108" s="84"/>
      <c r="J108" s="84"/>
    </row>
    <row r="109" spans="1:17" s="44" customFormat="1" ht="13.5" customHeight="1">
      <c r="B109" s="48" t="s">
        <v>18</v>
      </c>
      <c r="C109" s="48"/>
      <c r="D109" s="48"/>
      <c r="E109" s="155"/>
      <c r="F109" s="74">
        <v>1</v>
      </c>
      <c r="G109" s="74">
        <f>F109+1</f>
        <v>2</v>
      </c>
      <c r="H109" s="74">
        <f>G109+1</f>
        <v>3</v>
      </c>
      <c r="I109" s="74">
        <f>H109+1</f>
        <v>4</v>
      </c>
      <c r="J109" s="74">
        <f>I109+1</f>
        <v>5</v>
      </c>
    </row>
    <row r="110" spans="1:17" s="44" customFormat="1" ht="13.5" customHeight="1">
      <c r="B110" s="44" t="s">
        <v>14</v>
      </c>
      <c r="E110" s="160"/>
      <c r="F110" s="106"/>
      <c r="G110" s="106"/>
      <c r="H110" s="106"/>
      <c r="I110" s="106"/>
      <c r="J110" s="106"/>
    </row>
    <row r="111" spans="1:17" s="44" customFormat="1" ht="13.5" customHeight="1">
      <c r="B111" s="95" t="s">
        <v>82</v>
      </c>
      <c r="E111" s="159"/>
      <c r="F111" s="102"/>
      <c r="G111" s="102"/>
      <c r="H111" s="102"/>
      <c r="I111" s="102"/>
      <c r="J111" s="102"/>
      <c r="M111" s="59"/>
    </row>
    <row r="112" spans="1:17" s="44" customFormat="1" ht="13.5" customHeight="1">
      <c r="B112" s="95" t="s">
        <v>83</v>
      </c>
      <c r="E112" s="159"/>
      <c r="F112" s="102"/>
      <c r="G112" s="102"/>
      <c r="H112" s="102"/>
      <c r="I112" s="102"/>
      <c r="J112" s="102"/>
      <c r="M112" s="59"/>
    </row>
    <row r="113" spans="1:17" s="44" customFormat="1" ht="13.5" customHeight="1">
      <c r="B113" s="95" t="s">
        <v>84</v>
      </c>
      <c r="E113" s="159"/>
      <c r="F113" s="189"/>
      <c r="G113" s="189"/>
      <c r="H113" s="189"/>
      <c r="I113" s="189"/>
      <c r="J113" s="189"/>
    </row>
    <row r="114" spans="1:17" s="44" customFormat="1" ht="13.5" customHeight="1">
      <c r="B114" s="95" t="s">
        <v>85</v>
      </c>
      <c r="E114" s="159"/>
      <c r="F114" s="189"/>
      <c r="G114" s="189"/>
      <c r="H114" s="189"/>
      <c r="I114" s="189"/>
      <c r="J114" s="189"/>
    </row>
    <row r="115" spans="1:17" s="44" customFormat="1" ht="13.5" customHeight="1">
      <c r="B115" s="54" t="s">
        <v>30</v>
      </c>
      <c r="C115" s="54"/>
      <c r="D115" s="54"/>
      <c r="E115" s="161"/>
      <c r="F115" s="105"/>
      <c r="G115" s="105"/>
      <c r="H115" s="105"/>
      <c r="I115" s="105"/>
      <c r="J115" s="105"/>
    </row>
    <row r="116" spans="1:17" s="44" customFormat="1" ht="13.5" customHeight="1">
      <c r="E116" s="159"/>
      <c r="F116" s="106"/>
      <c r="G116" s="106"/>
      <c r="H116" s="106"/>
      <c r="I116" s="106"/>
      <c r="J116" s="106"/>
    </row>
    <row r="117" spans="1:17" s="44" customFormat="1" ht="13.5" customHeight="1">
      <c r="B117" s="95" t="s">
        <v>86</v>
      </c>
      <c r="E117" s="159"/>
      <c r="F117" s="106"/>
      <c r="G117" s="106"/>
      <c r="H117" s="106"/>
      <c r="I117" s="106"/>
      <c r="J117" s="106"/>
    </row>
    <row r="118" spans="1:17" s="44" customFormat="1" ht="13.5" customHeight="1">
      <c r="B118" s="54" t="s">
        <v>31</v>
      </c>
      <c r="C118" s="54"/>
      <c r="D118" s="54"/>
      <c r="E118" s="161"/>
      <c r="F118" s="105"/>
      <c r="G118" s="105"/>
      <c r="H118" s="105"/>
      <c r="I118" s="105"/>
      <c r="J118" s="105"/>
    </row>
    <row r="119" spans="1:17" s="44" customFormat="1" ht="13.5" customHeight="1">
      <c r="E119" s="159"/>
      <c r="F119" s="106"/>
      <c r="G119" s="106"/>
      <c r="H119" s="106"/>
      <c r="I119" s="106"/>
      <c r="J119" s="106"/>
    </row>
    <row r="120" spans="1:17" s="44" customFormat="1" ht="13.5" customHeight="1">
      <c r="B120" s="59" t="s">
        <v>32</v>
      </c>
      <c r="E120" s="159"/>
      <c r="F120" s="201"/>
      <c r="G120" s="201"/>
      <c r="H120" s="201"/>
      <c r="I120" s="201"/>
      <c r="J120" s="201"/>
    </row>
    <row r="121" spans="1:17" s="44" customFormat="1" ht="13.5" customHeight="1">
      <c r="E121" s="159"/>
      <c r="F121" s="61"/>
      <c r="G121" s="61"/>
      <c r="H121" s="61"/>
      <c r="I121" s="61"/>
      <c r="J121" s="61"/>
    </row>
    <row r="122" spans="1:17" s="44" customFormat="1" ht="13.5" customHeight="1">
      <c r="E122" s="159"/>
      <c r="F122" s="61"/>
      <c r="G122" s="61"/>
      <c r="H122" s="61"/>
      <c r="I122" s="61"/>
      <c r="J122" s="61"/>
    </row>
    <row r="123" spans="1:17" s="97" customFormat="1" ht="13.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</row>
    <row r="124" spans="1:17" s="80" customFormat="1" ht="13.5" customHeight="1">
      <c r="B124" s="98" t="s">
        <v>36</v>
      </c>
      <c r="C124" s="98"/>
      <c r="D124" s="98"/>
      <c r="E124" s="99"/>
      <c r="F124" s="99"/>
      <c r="G124" s="99"/>
      <c r="H124" s="99"/>
      <c r="I124" s="99"/>
      <c r="J124" s="47" t="s">
        <v>37</v>
      </c>
    </row>
    <row r="125" spans="1:17" s="80" customFormat="1" ht="13.5" customHeight="1" thickBot="1">
      <c r="B125" s="224"/>
      <c r="C125" s="224"/>
      <c r="D125" s="224"/>
      <c r="E125" s="225"/>
      <c r="F125" s="225"/>
      <c r="G125" s="225"/>
      <c r="H125" s="225"/>
      <c r="I125" s="225"/>
      <c r="J125" s="226"/>
    </row>
    <row r="126" spans="1:17" s="44" customFormat="1" ht="13.5" customHeight="1">
      <c r="B126" s="211" t="s">
        <v>114</v>
      </c>
      <c r="C126" s="212"/>
      <c r="D126" s="213"/>
    </row>
    <row r="127" spans="1:17" s="44" customFormat="1" ht="13.5" customHeight="1">
      <c r="B127" s="216" t="s">
        <v>41</v>
      </c>
      <c r="D127" s="217"/>
    </row>
    <row r="128" spans="1:17" s="44" customFormat="1" ht="13.5" customHeight="1">
      <c r="B128" s="216" t="s">
        <v>42</v>
      </c>
      <c r="D128" s="218"/>
    </row>
    <row r="129" spans="1:17" s="44" customFormat="1" ht="13.5" customHeight="1" thickBot="1">
      <c r="B129" s="221" t="s">
        <v>77</v>
      </c>
      <c r="C129" s="222"/>
      <c r="D129" s="223"/>
    </row>
    <row r="130" spans="1:17" s="62" customFormat="1" ht="13.5" customHeight="1">
      <c r="A130" s="44"/>
      <c r="D130" s="44"/>
      <c r="K130" s="44"/>
      <c r="L130" s="44"/>
      <c r="M130" s="44"/>
      <c r="N130" s="44"/>
      <c r="O130" s="44"/>
      <c r="P130" s="44"/>
      <c r="Q130" s="44"/>
    </row>
    <row r="131" spans="1:17" s="44" customFormat="1" ht="13.5" customHeight="1"/>
    <row r="132" spans="1:17" s="62" customFormat="1" ht="13.5" customHeight="1">
      <c r="A132" s="44"/>
      <c r="B132" s="48" t="s">
        <v>141</v>
      </c>
      <c r="C132" s="48"/>
      <c r="D132" s="48"/>
      <c r="E132" s="74">
        <v>0</v>
      </c>
      <c r="F132" s="74">
        <v>1</v>
      </c>
      <c r="G132" s="74">
        <f>F132+1</f>
        <v>2</v>
      </c>
      <c r="H132" s="74">
        <f>G132+1</f>
        <v>3</v>
      </c>
      <c r="I132" s="74">
        <f>H132+1</f>
        <v>4</v>
      </c>
      <c r="J132" s="74">
        <f>I132+1</f>
        <v>5</v>
      </c>
      <c r="K132" s="44"/>
      <c r="L132" s="44"/>
      <c r="M132" s="44"/>
      <c r="N132" s="44"/>
      <c r="O132" s="44"/>
      <c r="P132" s="44"/>
      <c r="Q132" s="44"/>
    </row>
    <row r="133" spans="1:17" s="62" customFormat="1" ht="13.5" customHeight="1">
      <c r="A133" s="44"/>
      <c r="B133" s="44" t="s">
        <v>306</v>
      </c>
      <c r="C133" s="44"/>
      <c r="D133" s="44"/>
      <c r="E133" s="75"/>
      <c r="F133" s="75"/>
      <c r="G133" s="75"/>
      <c r="H133" s="103"/>
      <c r="I133" s="103"/>
      <c r="J133" s="103"/>
      <c r="K133" s="44"/>
      <c r="L133" s="44"/>
      <c r="M133" s="44"/>
      <c r="N133" s="44"/>
      <c r="O133" s="44"/>
      <c r="P133" s="44"/>
      <c r="Q133" s="44"/>
    </row>
    <row r="134" spans="1:17" s="62" customFormat="1" ht="13.5" customHeight="1">
      <c r="A134" s="44"/>
      <c r="B134" s="44" t="s">
        <v>38</v>
      </c>
      <c r="C134" s="44"/>
      <c r="D134" s="44"/>
      <c r="E134" s="51"/>
      <c r="F134" s="51"/>
      <c r="G134" s="51"/>
      <c r="H134" s="51"/>
      <c r="I134" s="51"/>
      <c r="J134" s="209"/>
      <c r="K134" s="44"/>
      <c r="L134" s="44"/>
      <c r="M134" s="44"/>
      <c r="N134" s="44"/>
      <c r="O134" s="44"/>
      <c r="P134" s="44"/>
      <c r="Q134" s="44"/>
    </row>
    <row r="135" spans="1:17" s="62" customFormat="1" ht="13.5" customHeight="1">
      <c r="A135" s="44"/>
      <c r="B135" s="54" t="s">
        <v>39</v>
      </c>
      <c r="C135" s="54"/>
      <c r="D135" s="54"/>
      <c r="E135" s="55"/>
      <c r="F135" s="55"/>
      <c r="G135" s="55"/>
      <c r="H135" s="105"/>
      <c r="I135" s="105"/>
      <c r="J135" s="105"/>
      <c r="K135" s="44"/>
      <c r="L135" s="44"/>
      <c r="M135" s="44"/>
      <c r="N135" s="44"/>
      <c r="O135" s="44"/>
      <c r="P135" s="44"/>
      <c r="Q135" s="44"/>
    </row>
    <row r="136" spans="1:17" s="62" customFormat="1" ht="13.5" customHeight="1">
      <c r="A136" s="44"/>
      <c r="B136" s="95" t="s">
        <v>69</v>
      </c>
      <c r="C136" s="44"/>
      <c r="D136" s="44"/>
      <c r="E136" s="58"/>
      <c r="F136" s="58"/>
      <c r="G136" s="58"/>
      <c r="H136" s="102"/>
      <c r="I136" s="102"/>
      <c r="J136" s="102"/>
      <c r="K136" s="44"/>
      <c r="L136" s="44"/>
      <c r="M136" s="44"/>
      <c r="N136" s="44"/>
      <c r="O136" s="44"/>
      <c r="P136" s="44"/>
      <c r="Q136" s="44"/>
    </row>
    <row r="137" spans="1:17" s="62" customFormat="1" ht="13.5" customHeight="1">
      <c r="A137" s="44"/>
      <c r="B137" s="95" t="s">
        <v>68</v>
      </c>
      <c r="C137" s="44"/>
      <c r="D137" s="44"/>
      <c r="E137" s="58"/>
      <c r="F137" s="58"/>
      <c r="G137" s="58"/>
      <c r="H137" s="102"/>
      <c r="I137" s="102"/>
      <c r="J137" s="102"/>
      <c r="K137" s="44"/>
      <c r="L137" s="44"/>
      <c r="M137" s="44"/>
      <c r="N137" s="44"/>
      <c r="O137" s="44"/>
      <c r="P137" s="44"/>
      <c r="Q137" s="44"/>
    </row>
    <row r="138" spans="1:17" s="62" customFormat="1" ht="13.5" customHeight="1">
      <c r="A138" s="44"/>
      <c r="B138" s="54" t="s">
        <v>40</v>
      </c>
      <c r="C138" s="54"/>
      <c r="D138" s="54"/>
      <c r="E138" s="55"/>
      <c r="F138" s="55"/>
      <c r="G138" s="55"/>
      <c r="H138" s="105"/>
      <c r="I138" s="105"/>
      <c r="J138" s="105"/>
      <c r="K138" s="44"/>
      <c r="L138" s="44"/>
      <c r="M138" s="44"/>
      <c r="N138" s="44"/>
      <c r="O138" s="44"/>
      <c r="P138" s="44"/>
      <c r="Q138" s="44"/>
    </row>
    <row r="139" spans="1:17" ht="13.5" customHeight="1"/>
    <row r="141" spans="1:17" s="44" customFormat="1" ht="13.5" customHeight="1">
      <c r="B141" s="48" t="s">
        <v>76</v>
      </c>
      <c r="C141" s="48"/>
      <c r="D141" s="48"/>
      <c r="E141" s="74">
        <v>0</v>
      </c>
      <c r="F141" s="74">
        <v>1</v>
      </c>
      <c r="G141" s="74">
        <f>F141+1</f>
        <v>2</v>
      </c>
      <c r="H141" s="74">
        <f>G141+1</f>
        <v>3</v>
      </c>
      <c r="I141" s="74">
        <f>H141+1</f>
        <v>4</v>
      </c>
      <c r="J141" s="74">
        <f>I141+1</f>
        <v>5</v>
      </c>
      <c r="L141" s="137" t="s">
        <v>42</v>
      </c>
    </row>
    <row r="142" spans="1:17" s="44" customFormat="1" ht="13.5" customHeight="1">
      <c r="B142" s="44" t="s">
        <v>307</v>
      </c>
      <c r="E142" s="61"/>
      <c r="J142" s="61"/>
      <c r="L142" s="228"/>
    </row>
    <row r="143" spans="1:17" s="62" customFormat="1" ht="13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87"/>
      <c r="M143" s="44"/>
      <c r="N143" s="44"/>
      <c r="O143" s="44"/>
      <c r="P143" s="44"/>
      <c r="Q143" s="44"/>
    </row>
    <row r="144" spans="1:17" ht="13.5" customHeight="1">
      <c r="L144" s="373"/>
    </row>
  </sheetData>
  <pageMargins left="0.7" right="0.7" top="0.75" bottom="0.75" header="0.3" footer="0.3"/>
  <pageSetup scale="80" orientation="portrait" r:id="rId1"/>
  <rowBreaks count="3" manualBreakCount="3">
    <brk id="39" max="10" man="1"/>
    <brk id="108" max="10" man="1"/>
    <brk id="122" max="10" man="1"/>
  </rowBreaks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92FE-4795-483A-8575-1D17370F9422}">
  <dimension ref="A1:S154"/>
  <sheetViews>
    <sheetView showGridLines="0" zoomScale="140" zoomScaleNormal="140" zoomScaleSheetLayoutView="130" workbookViewId="0"/>
  </sheetViews>
  <sheetFormatPr defaultColWidth="9.1328125" defaultRowHeight="13.15"/>
  <cols>
    <col min="1" max="1" width="6.3984375" style="2" customWidth="1"/>
    <col min="2" max="2" width="22" style="2" customWidth="1"/>
    <col min="3" max="7" width="9.73046875" style="2" customWidth="1"/>
    <col min="8" max="8" width="10.265625" style="2" bestFit="1" customWidth="1"/>
    <col min="9" max="14" width="9.1328125" style="2"/>
    <col min="15" max="16384" width="9.1328125" style="1"/>
  </cols>
  <sheetData>
    <row r="1" spans="1:19" s="2" customFormat="1">
      <c r="B1" s="15"/>
    </row>
    <row r="2" spans="1:19" s="2" customFormat="1">
      <c r="B2" s="3" t="s">
        <v>130</v>
      </c>
      <c r="C2" s="3"/>
      <c r="D2" s="3"/>
      <c r="E2" s="3"/>
      <c r="F2" s="3"/>
      <c r="G2" s="3"/>
      <c r="H2" s="126"/>
      <c r="I2" s="4"/>
      <c r="J2" s="4"/>
      <c r="K2" s="4"/>
      <c r="L2" s="4"/>
      <c r="M2" s="19" t="s">
        <v>37</v>
      </c>
    </row>
    <row r="3" spans="1:19" s="2" customFormat="1">
      <c r="B3" s="5" t="s">
        <v>104</v>
      </c>
      <c r="C3" s="10"/>
      <c r="D3" s="10"/>
      <c r="E3" s="10"/>
      <c r="F3" s="108">
        <v>-2</v>
      </c>
      <c r="G3" s="108">
        <v>-1</v>
      </c>
      <c r="H3" s="89">
        <v>0</v>
      </c>
      <c r="I3" s="10">
        <v>1</v>
      </c>
      <c r="J3" s="10">
        <f>I3+1</f>
        <v>2</v>
      </c>
      <c r="K3" s="10">
        <f>J3+1</f>
        <v>3</v>
      </c>
      <c r="L3" s="10">
        <f>K3+1</f>
        <v>4</v>
      </c>
      <c r="M3" s="10">
        <f>L3+1</f>
        <v>5</v>
      </c>
    </row>
    <row r="4" spans="1:19" s="2" customFormat="1">
      <c r="B4" s="2" t="s">
        <v>102</v>
      </c>
      <c r="F4" s="246">
        <v>12</v>
      </c>
      <c r="G4" s="94"/>
      <c r="H4" s="125"/>
      <c r="I4" s="94"/>
      <c r="J4" s="94"/>
      <c r="K4" s="94"/>
      <c r="L4" s="94"/>
      <c r="M4" s="94"/>
    </row>
    <row r="5" spans="1:19" s="2" customFormat="1">
      <c r="B5" s="21" t="s">
        <v>103</v>
      </c>
      <c r="F5" s="36"/>
      <c r="G5" s="36"/>
      <c r="H5" s="115"/>
      <c r="I5" s="36"/>
      <c r="J5" s="36"/>
      <c r="K5" s="36"/>
      <c r="L5" s="36"/>
      <c r="M5" s="36"/>
      <c r="O5" s="9"/>
      <c r="P5" s="9"/>
      <c r="Q5" s="9"/>
      <c r="R5" s="261"/>
      <c r="S5" s="262"/>
    </row>
    <row r="6" spans="1:19" s="2" customFormat="1">
      <c r="B6" s="21" t="s">
        <v>106</v>
      </c>
      <c r="F6" s="36"/>
      <c r="G6" s="36"/>
      <c r="H6" s="115"/>
      <c r="I6" s="36"/>
      <c r="J6" s="36"/>
      <c r="K6" s="36"/>
      <c r="L6" s="36"/>
      <c r="M6" s="36"/>
      <c r="R6" s="262"/>
      <c r="S6" s="263"/>
    </row>
    <row r="7" spans="1:19" s="2" customFormat="1">
      <c r="B7" s="21" t="s">
        <v>107</v>
      </c>
      <c r="F7" s="36"/>
      <c r="G7" s="36"/>
      <c r="H7" s="115"/>
      <c r="I7" s="36"/>
      <c r="J7" s="36"/>
      <c r="K7" s="36"/>
      <c r="L7" s="36"/>
      <c r="M7" s="36"/>
      <c r="R7" s="263"/>
      <c r="S7" s="263"/>
    </row>
    <row r="8" spans="1:19" s="8" customFormat="1" ht="12.75">
      <c r="B8" s="43" t="s">
        <v>109</v>
      </c>
      <c r="C8" s="88"/>
      <c r="D8" s="88"/>
      <c r="E8" s="88"/>
      <c r="F8" s="131">
        <f>SUM(F4:F7)</f>
        <v>12</v>
      </c>
      <c r="G8" s="131">
        <f t="shared" ref="G8:H8" si="0">SUM(G4:G7)</f>
        <v>0</v>
      </c>
      <c r="H8" s="132">
        <f t="shared" si="0"/>
        <v>0</v>
      </c>
      <c r="I8" s="131"/>
      <c r="J8" s="131"/>
      <c r="K8" s="131"/>
      <c r="L8" s="131"/>
      <c r="M8" s="131"/>
      <c r="R8" s="263"/>
      <c r="S8" s="263"/>
    </row>
    <row r="9" spans="1:19" s="128" customFormat="1">
      <c r="A9" s="8"/>
      <c r="B9" s="15"/>
      <c r="C9" s="8"/>
      <c r="D9" s="8"/>
      <c r="E9" s="8"/>
      <c r="F9" s="172"/>
      <c r="G9" s="172"/>
      <c r="H9" s="173"/>
      <c r="I9" s="172"/>
      <c r="J9" s="172"/>
      <c r="K9" s="172"/>
      <c r="L9" s="172"/>
      <c r="M9" s="172"/>
      <c r="N9" s="8"/>
      <c r="R9" s="263"/>
    </row>
    <row r="10" spans="1:19">
      <c r="B10" s="138" t="s">
        <v>132</v>
      </c>
      <c r="F10" s="234">
        <v>0.85</v>
      </c>
      <c r="G10" s="234">
        <v>0.85</v>
      </c>
      <c r="H10" s="235">
        <v>0.85</v>
      </c>
      <c r="I10" s="234">
        <v>0.85</v>
      </c>
      <c r="J10" s="234">
        <v>0.85</v>
      </c>
      <c r="K10" s="234">
        <v>0.85</v>
      </c>
      <c r="L10" s="234">
        <v>0.85</v>
      </c>
      <c r="M10" s="234">
        <v>0.85</v>
      </c>
    </row>
    <row r="11" spans="1:19">
      <c r="B11" s="43" t="s">
        <v>122</v>
      </c>
      <c r="C11" s="7"/>
      <c r="D11" s="7"/>
      <c r="E11" s="7"/>
      <c r="F11" s="129">
        <f>+F10*F8</f>
        <v>10.199999999999999</v>
      </c>
      <c r="G11" s="129">
        <f>+G10*G8</f>
        <v>0</v>
      </c>
      <c r="H11" s="130">
        <f>+H10*H8</f>
        <v>0</v>
      </c>
      <c r="I11" s="129"/>
      <c r="J11" s="129"/>
      <c r="K11" s="129"/>
      <c r="L11" s="129"/>
      <c r="M11" s="129"/>
    </row>
    <row r="12" spans="1:19">
      <c r="B12" s="171" t="s">
        <v>12</v>
      </c>
      <c r="F12" s="166"/>
      <c r="G12" s="307">
        <f>+IFERROR(G11/F11-1, "n/a")</f>
        <v>-1</v>
      </c>
      <c r="H12" s="308" t="str">
        <f t="shared" ref="H12" si="1">+IFERROR(H11/G11-1, "n/a")</f>
        <v>n/a</v>
      </c>
      <c r="I12" s="309"/>
      <c r="J12" s="309"/>
      <c r="K12" s="309"/>
      <c r="L12" s="309"/>
      <c r="M12" s="309"/>
    </row>
    <row r="13" spans="1:19">
      <c r="H13" s="90"/>
      <c r="I13" s="16"/>
      <c r="J13" s="16"/>
      <c r="K13" s="16"/>
      <c r="L13" s="16"/>
      <c r="M13" s="16"/>
    </row>
    <row r="14" spans="1:19" s="2" customFormat="1">
      <c r="C14" s="35"/>
      <c r="D14" s="35"/>
      <c r="E14" s="35"/>
      <c r="H14" s="112"/>
    </row>
    <row r="15" spans="1:19" s="2" customFormat="1">
      <c r="B15" s="3" t="s">
        <v>131</v>
      </c>
      <c r="C15" s="3"/>
      <c r="D15" s="3"/>
      <c r="E15" s="3"/>
      <c r="F15" s="3"/>
      <c r="G15" s="3"/>
      <c r="H15" s="126"/>
      <c r="I15" s="4"/>
      <c r="J15" s="4"/>
      <c r="K15" s="4"/>
      <c r="L15" s="4"/>
      <c r="M15" s="19" t="s">
        <v>37</v>
      </c>
    </row>
    <row r="16" spans="1:19" s="2" customFormat="1">
      <c r="B16" s="5" t="s">
        <v>100</v>
      </c>
      <c r="C16" s="10"/>
      <c r="D16" s="10"/>
      <c r="E16" s="10"/>
      <c r="F16" s="108">
        <f t="shared" ref="F16:M16" si="2">+F$3</f>
        <v>-2</v>
      </c>
      <c r="G16" s="108">
        <f t="shared" si="2"/>
        <v>-1</v>
      </c>
      <c r="H16" s="89">
        <f t="shared" si="2"/>
        <v>0</v>
      </c>
      <c r="I16" s="10">
        <f t="shared" si="2"/>
        <v>1</v>
      </c>
      <c r="J16" s="10">
        <f t="shared" si="2"/>
        <v>2</v>
      </c>
      <c r="K16" s="10">
        <f t="shared" si="2"/>
        <v>3</v>
      </c>
      <c r="L16" s="10">
        <f t="shared" si="2"/>
        <v>4</v>
      </c>
      <c r="M16" s="10">
        <f t="shared" si="2"/>
        <v>5</v>
      </c>
    </row>
    <row r="17" spans="2:15" s="2" customFormat="1">
      <c r="C17" s="117" t="s">
        <v>232</v>
      </c>
      <c r="D17" s="117"/>
      <c r="E17" s="35"/>
      <c r="F17" s="116"/>
      <c r="G17" s="116"/>
      <c r="H17" s="91"/>
      <c r="I17" s="35"/>
      <c r="J17" s="35"/>
      <c r="K17" s="35"/>
      <c r="L17" s="35"/>
      <c r="M17" s="35"/>
    </row>
    <row r="18" spans="2:15" s="2" customFormat="1">
      <c r="B18" s="2" t="s">
        <v>129</v>
      </c>
      <c r="C18" s="152" t="s">
        <v>99</v>
      </c>
      <c r="D18" s="245"/>
      <c r="E18" s="35"/>
      <c r="F18" s="14">
        <v>53</v>
      </c>
      <c r="G18" s="14">
        <v>48</v>
      </c>
      <c r="H18" s="90">
        <v>45</v>
      </c>
      <c r="I18" s="16"/>
      <c r="J18" s="16"/>
      <c r="K18" s="16"/>
      <c r="L18" s="16"/>
      <c r="M18" s="16"/>
    </row>
    <row r="19" spans="2:15" s="2" customFormat="1">
      <c r="B19" s="113">
        <v>-2</v>
      </c>
      <c r="C19" s="143">
        <f>+F120</f>
        <v>60</v>
      </c>
      <c r="D19" s="245"/>
      <c r="F19" s="140">
        <f>+$C19</f>
        <v>60</v>
      </c>
      <c r="G19" s="14">
        <v>56</v>
      </c>
      <c r="H19" s="90">
        <v>54</v>
      </c>
      <c r="I19" s="16"/>
      <c r="J19" s="16"/>
      <c r="K19" s="16"/>
      <c r="L19" s="16"/>
      <c r="M19" s="16"/>
    </row>
    <row r="20" spans="2:15" s="2" customFormat="1">
      <c r="B20" s="113">
        <v>-1</v>
      </c>
      <c r="C20" s="143">
        <f>+G120</f>
        <v>90</v>
      </c>
      <c r="D20" s="124"/>
      <c r="F20" s="16"/>
      <c r="G20" s="140">
        <f>+$C20</f>
        <v>90</v>
      </c>
      <c r="H20" s="90">
        <v>80</v>
      </c>
      <c r="I20" s="16"/>
      <c r="J20" s="16"/>
      <c r="K20" s="16"/>
      <c r="L20" s="16"/>
      <c r="M20" s="16"/>
    </row>
    <row r="21" spans="2:15" s="2" customFormat="1">
      <c r="B21" s="113">
        <v>0</v>
      </c>
      <c r="C21" s="143">
        <f>+H120</f>
        <v>120</v>
      </c>
      <c r="D21" s="124"/>
      <c r="F21" s="16"/>
      <c r="G21" s="16"/>
      <c r="H21" s="176">
        <f>+$C21</f>
        <v>120</v>
      </c>
      <c r="I21" s="16"/>
      <c r="J21" s="16"/>
      <c r="K21" s="16"/>
      <c r="L21" s="16"/>
      <c r="M21" s="16"/>
      <c r="O21" s="38"/>
    </row>
    <row r="22" spans="2:15" s="2" customFormat="1">
      <c r="B22" s="113">
        <v>1</v>
      </c>
      <c r="C22" s="143">
        <f>+I120</f>
        <v>0</v>
      </c>
      <c r="D22" s="124"/>
      <c r="F22" s="14"/>
      <c r="G22" s="14"/>
      <c r="H22" s="176"/>
      <c r="I22" s="140"/>
      <c r="J22" s="16"/>
      <c r="K22" s="16"/>
      <c r="L22" s="16"/>
      <c r="M22" s="16"/>
    </row>
    <row r="23" spans="2:15" s="2" customFormat="1">
      <c r="B23" s="113">
        <v>2</v>
      </c>
      <c r="C23" s="143">
        <f>+J120</f>
        <v>0</v>
      </c>
      <c r="D23" s="124"/>
      <c r="F23" s="16"/>
      <c r="G23" s="16"/>
      <c r="H23" s="109"/>
      <c r="I23" s="16"/>
      <c r="J23" s="140"/>
      <c r="K23" s="16"/>
      <c r="L23" s="16"/>
      <c r="M23" s="16"/>
      <c r="N23" s="39"/>
    </row>
    <row r="24" spans="2:15" s="2" customFormat="1">
      <c r="B24" s="113">
        <v>3</v>
      </c>
      <c r="C24" s="143">
        <f>+K120</f>
        <v>0</v>
      </c>
      <c r="D24" s="124"/>
      <c r="F24" s="16"/>
      <c r="G24" s="16"/>
      <c r="H24" s="109"/>
      <c r="I24" s="16"/>
      <c r="J24" s="16"/>
      <c r="K24" s="140"/>
      <c r="L24" s="16"/>
      <c r="M24" s="16"/>
      <c r="N24" s="39"/>
    </row>
    <row r="25" spans="2:15" s="2" customFormat="1">
      <c r="B25" s="113">
        <v>4</v>
      </c>
      <c r="C25" s="143">
        <f>+L120</f>
        <v>0</v>
      </c>
      <c r="D25" s="124"/>
      <c r="F25" s="16"/>
      <c r="G25" s="16"/>
      <c r="H25" s="109"/>
      <c r="I25" s="16"/>
      <c r="J25" s="16"/>
      <c r="K25" s="16"/>
      <c r="L25" s="140"/>
      <c r="M25" s="16"/>
      <c r="N25" s="39"/>
      <c r="O25" s="39"/>
    </row>
    <row r="26" spans="2:15" s="2" customFormat="1">
      <c r="B26" s="113">
        <v>5</v>
      </c>
      <c r="C26" s="143">
        <f>+M120</f>
        <v>0</v>
      </c>
      <c r="D26" s="124"/>
      <c r="F26" s="16"/>
      <c r="G26" s="16"/>
      <c r="H26" s="109"/>
      <c r="I26" s="16"/>
      <c r="J26" s="16"/>
      <c r="K26" s="16"/>
      <c r="L26" s="16"/>
      <c r="M26" s="140"/>
    </row>
    <row r="27" spans="2:15" s="2" customFormat="1">
      <c r="B27" s="43" t="s">
        <v>57</v>
      </c>
      <c r="C27" s="43"/>
      <c r="D27" s="43"/>
      <c r="E27" s="43"/>
      <c r="F27" s="141">
        <f t="shared" ref="F27:H27" si="3">SUM(F18:F26)</f>
        <v>113</v>
      </c>
      <c r="G27" s="141">
        <f t="shared" si="3"/>
        <v>194</v>
      </c>
      <c r="H27" s="142">
        <f t="shared" si="3"/>
        <v>299</v>
      </c>
      <c r="I27" s="141"/>
      <c r="J27" s="141"/>
      <c r="K27" s="141"/>
      <c r="L27" s="141"/>
      <c r="M27" s="141"/>
    </row>
    <row r="28" spans="2:15" s="2" customFormat="1">
      <c r="F28" s="36"/>
      <c r="G28" s="36"/>
      <c r="H28" s="115"/>
      <c r="I28" s="36"/>
      <c r="J28" s="36"/>
      <c r="K28" s="36"/>
      <c r="L28" s="36"/>
      <c r="M28" s="36"/>
    </row>
    <row r="29" spans="2:15" s="2" customFormat="1">
      <c r="F29" s="36"/>
      <c r="G29" s="36"/>
      <c r="H29" s="115"/>
      <c r="I29" s="36"/>
      <c r="J29" s="36"/>
      <c r="K29" s="36"/>
      <c r="L29" s="36"/>
      <c r="M29" s="36"/>
    </row>
    <row r="30" spans="2:15" s="2" customFormat="1">
      <c r="B30" s="292" t="s">
        <v>158</v>
      </c>
      <c r="C30" s="293"/>
      <c r="D30" s="293"/>
      <c r="E30" s="293" t="s">
        <v>157</v>
      </c>
      <c r="F30" s="294" t="s">
        <v>154</v>
      </c>
      <c r="G30" s="294" t="s">
        <v>156</v>
      </c>
      <c r="H30" s="294" t="s">
        <v>155</v>
      </c>
      <c r="I30" s="295" t="s">
        <v>159</v>
      </c>
      <c r="K30" s="36"/>
      <c r="L30" s="36"/>
      <c r="M30" s="36"/>
    </row>
    <row r="31" spans="2:15" s="2" customFormat="1">
      <c r="B31" s="247" t="s">
        <v>160</v>
      </c>
      <c r="C31" s="248"/>
      <c r="D31" s="248"/>
      <c r="E31" s="249">
        <v>0.85</v>
      </c>
      <c r="F31" s="249">
        <v>0.92</v>
      </c>
      <c r="G31" s="249">
        <v>0.94</v>
      </c>
      <c r="H31" s="249">
        <v>0.96</v>
      </c>
      <c r="I31" s="250">
        <v>0.96</v>
      </c>
      <c r="K31" s="36"/>
      <c r="L31" s="36"/>
      <c r="M31" s="36"/>
    </row>
    <row r="32" spans="2:15" s="2" customFormat="1">
      <c r="H32" s="90"/>
      <c r="I32" s="16"/>
      <c r="J32" s="16"/>
      <c r="K32" s="16"/>
      <c r="L32" s="16"/>
      <c r="M32" s="16"/>
    </row>
    <row r="33" spans="2:13" s="2" customFormat="1">
      <c r="B33" s="5" t="s">
        <v>98</v>
      </c>
      <c r="C33" s="10"/>
      <c r="D33" s="10"/>
      <c r="E33" s="10"/>
      <c r="F33" s="108">
        <f t="shared" ref="F33:M33" si="4">+F$3</f>
        <v>-2</v>
      </c>
      <c r="G33" s="108">
        <f t="shared" si="4"/>
        <v>-1</v>
      </c>
      <c r="H33" s="89">
        <f t="shared" si="4"/>
        <v>0</v>
      </c>
      <c r="I33" s="10">
        <f t="shared" si="4"/>
        <v>1</v>
      </c>
      <c r="J33" s="10">
        <f t="shared" si="4"/>
        <v>2</v>
      </c>
      <c r="K33" s="10">
        <f t="shared" si="4"/>
        <v>3</v>
      </c>
      <c r="L33" s="10">
        <f t="shared" si="4"/>
        <v>4</v>
      </c>
      <c r="M33" s="10">
        <f t="shared" si="4"/>
        <v>5</v>
      </c>
    </row>
    <row r="34" spans="2:13" s="2" customFormat="1">
      <c r="B34" s="113" t="str">
        <f t="shared" ref="B34:B42" si="5">+B18</f>
        <v>Before Year -2</v>
      </c>
      <c r="F34" s="119"/>
      <c r="G34" s="119"/>
      <c r="H34" s="123"/>
      <c r="I34" s="238"/>
      <c r="J34" s="238"/>
      <c r="K34" s="238"/>
      <c r="L34" s="238"/>
      <c r="M34" s="238"/>
    </row>
    <row r="35" spans="2:13" s="2" customFormat="1">
      <c r="B35" s="113">
        <f t="shared" si="5"/>
        <v>-2</v>
      </c>
      <c r="F35" s="18"/>
      <c r="G35" s="119"/>
      <c r="H35" s="123"/>
      <c r="I35" s="238"/>
      <c r="J35" s="238"/>
      <c r="K35" s="238"/>
      <c r="L35" s="238"/>
      <c r="M35" s="238"/>
    </row>
    <row r="36" spans="2:13" s="2" customFormat="1">
      <c r="B36" s="113">
        <f t="shared" si="5"/>
        <v>-1</v>
      </c>
      <c r="F36" s="18"/>
      <c r="G36" s="18"/>
      <c r="H36" s="123"/>
      <c r="I36" s="238"/>
      <c r="J36" s="238"/>
      <c r="K36" s="238"/>
      <c r="L36" s="238"/>
      <c r="M36" s="238"/>
    </row>
    <row r="37" spans="2:13" s="2" customFormat="1">
      <c r="B37" s="113">
        <f t="shared" si="5"/>
        <v>0</v>
      </c>
      <c r="F37" s="18"/>
      <c r="G37" s="18"/>
      <c r="H37" s="121"/>
      <c r="I37" s="238"/>
      <c r="J37" s="238"/>
      <c r="K37" s="238"/>
      <c r="L37" s="238"/>
      <c r="M37" s="238"/>
    </row>
    <row r="38" spans="2:13" s="2" customFormat="1">
      <c r="B38" s="113">
        <f t="shared" si="5"/>
        <v>1</v>
      </c>
      <c r="F38" s="18"/>
      <c r="G38" s="18"/>
      <c r="H38" s="121"/>
      <c r="I38" s="120"/>
      <c r="J38" s="238"/>
      <c r="K38" s="238"/>
      <c r="L38" s="238"/>
      <c r="M38" s="238"/>
    </row>
    <row r="39" spans="2:13" s="2" customFormat="1">
      <c r="B39" s="113">
        <f t="shared" si="5"/>
        <v>2</v>
      </c>
      <c r="F39" s="18"/>
      <c r="G39" s="18"/>
      <c r="H39" s="121"/>
      <c r="I39" s="120"/>
      <c r="J39" s="39"/>
      <c r="K39" s="238"/>
      <c r="L39" s="238"/>
      <c r="M39" s="238"/>
    </row>
    <row r="40" spans="2:13" s="2" customFormat="1">
      <c r="B40" s="113">
        <f t="shared" si="5"/>
        <v>3</v>
      </c>
      <c r="F40" s="18"/>
      <c r="G40" s="18"/>
      <c r="H40" s="121"/>
      <c r="I40" s="120"/>
      <c r="J40" s="39"/>
      <c r="K40" s="39"/>
      <c r="L40" s="238"/>
      <c r="M40" s="238"/>
    </row>
    <row r="41" spans="2:13" s="2" customFormat="1">
      <c r="B41" s="113">
        <f t="shared" si="5"/>
        <v>4</v>
      </c>
      <c r="F41" s="18"/>
      <c r="G41" s="18"/>
      <c r="H41" s="121"/>
      <c r="I41" s="120"/>
      <c r="J41" s="39"/>
      <c r="K41" s="39"/>
      <c r="L41" s="39"/>
      <c r="M41" s="238"/>
    </row>
    <row r="42" spans="2:13" s="2" customFormat="1">
      <c r="B42" s="113">
        <f t="shared" si="5"/>
        <v>5</v>
      </c>
      <c r="F42" s="18"/>
      <c r="G42" s="18"/>
      <c r="H42" s="121"/>
      <c r="I42" s="120"/>
      <c r="J42" s="39"/>
      <c r="K42" s="39"/>
      <c r="L42" s="39"/>
      <c r="M42" s="39"/>
    </row>
    <row r="43" spans="2:13" s="2" customFormat="1">
      <c r="B43" s="7" t="s">
        <v>57</v>
      </c>
      <c r="C43" s="7"/>
      <c r="D43" s="7"/>
      <c r="E43" s="7"/>
      <c r="F43" s="37"/>
      <c r="G43" s="37"/>
      <c r="H43" s="111"/>
      <c r="I43" s="37"/>
      <c r="J43" s="37"/>
      <c r="K43" s="37"/>
      <c r="L43" s="37"/>
      <c r="M43" s="37"/>
    </row>
    <row r="44" spans="2:13" s="2" customFormat="1">
      <c r="H44" s="90"/>
      <c r="I44" s="16"/>
      <c r="J44" s="16"/>
      <c r="K44" s="16"/>
      <c r="L44" s="16"/>
      <c r="M44" s="16"/>
    </row>
    <row r="45" spans="2:13" s="2" customFormat="1">
      <c r="C45" s="35"/>
      <c r="D45" s="35"/>
      <c r="E45" s="35"/>
      <c r="F45" s="35"/>
      <c r="G45" s="35"/>
      <c r="H45" s="91"/>
      <c r="I45" s="35"/>
      <c r="J45" s="35"/>
      <c r="K45" s="35"/>
      <c r="L45" s="35"/>
      <c r="M45" s="35"/>
    </row>
    <row r="46" spans="2:13" s="2" customFormat="1">
      <c r="B46" s="5" t="s">
        <v>117</v>
      </c>
      <c r="C46" s="10"/>
      <c r="D46" s="10"/>
      <c r="E46" s="10"/>
      <c r="F46" s="108">
        <f t="shared" ref="F46:M46" si="6">+F$3</f>
        <v>-2</v>
      </c>
      <c r="G46" s="108">
        <f t="shared" si="6"/>
        <v>-1</v>
      </c>
      <c r="H46" s="89">
        <f t="shared" si="6"/>
        <v>0</v>
      </c>
      <c r="I46" s="10">
        <f t="shared" si="6"/>
        <v>1</v>
      </c>
      <c r="J46" s="10">
        <f t="shared" si="6"/>
        <v>2</v>
      </c>
      <c r="K46" s="10">
        <f t="shared" si="6"/>
        <v>3</v>
      </c>
      <c r="L46" s="10">
        <f t="shared" si="6"/>
        <v>4</v>
      </c>
      <c r="M46" s="10">
        <f t="shared" si="6"/>
        <v>5</v>
      </c>
    </row>
    <row r="47" spans="2:13" s="2" customFormat="1">
      <c r="B47" s="113" t="str">
        <f t="shared" ref="B47:B55" si="7">+B34</f>
        <v>Before Year -2</v>
      </c>
      <c r="F47" s="14">
        <v>7</v>
      </c>
      <c r="G47" s="16">
        <f>+F18-G18</f>
        <v>5</v>
      </c>
      <c r="H47" s="109">
        <f t="shared" ref="H47:H49" si="8">+G18-H18</f>
        <v>3</v>
      </c>
      <c r="I47" s="16"/>
      <c r="J47" s="16"/>
      <c r="K47" s="16"/>
      <c r="L47" s="16"/>
      <c r="M47" s="16"/>
    </row>
    <row r="48" spans="2:13" s="2" customFormat="1">
      <c r="B48" s="113">
        <f t="shared" si="7"/>
        <v>-2</v>
      </c>
      <c r="F48" s="16"/>
      <c r="G48" s="16">
        <f t="shared" ref="G48" si="9">+F19-G19</f>
        <v>4</v>
      </c>
      <c r="H48" s="109">
        <f t="shared" si="8"/>
        <v>2</v>
      </c>
      <c r="I48" s="16"/>
      <c r="J48" s="16"/>
      <c r="K48" s="16"/>
      <c r="L48" s="16"/>
      <c r="M48" s="16"/>
    </row>
    <row r="49" spans="2:17" s="2" customFormat="1">
      <c r="B49" s="113">
        <f t="shared" si="7"/>
        <v>-1</v>
      </c>
      <c r="F49" s="16"/>
      <c r="G49" s="16"/>
      <c r="H49" s="109">
        <f t="shared" si="8"/>
        <v>10</v>
      </c>
      <c r="I49" s="16"/>
      <c r="J49" s="16"/>
      <c r="K49" s="16"/>
      <c r="L49" s="16"/>
      <c r="M49" s="16"/>
    </row>
    <row r="50" spans="2:17" s="2" customFormat="1">
      <c r="B50" s="113">
        <f t="shared" si="7"/>
        <v>0</v>
      </c>
      <c r="F50" s="14"/>
      <c r="G50" s="14"/>
      <c r="H50" s="90"/>
      <c r="I50" s="16"/>
      <c r="J50" s="16"/>
      <c r="K50" s="16"/>
      <c r="L50" s="16"/>
      <c r="M50" s="16"/>
      <c r="N50" s="122"/>
    </row>
    <row r="51" spans="2:17" s="2" customFormat="1">
      <c r="B51" s="113">
        <f t="shared" si="7"/>
        <v>1</v>
      </c>
      <c r="F51" s="14"/>
      <c r="G51" s="14"/>
      <c r="H51" s="90"/>
      <c r="I51" s="14"/>
      <c r="J51" s="16"/>
      <c r="K51" s="16"/>
      <c r="L51" s="16"/>
      <c r="M51" s="16"/>
      <c r="N51" s="122"/>
    </row>
    <row r="52" spans="2:17" s="2" customFormat="1">
      <c r="B52" s="113">
        <f t="shared" si="7"/>
        <v>2</v>
      </c>
      <c r="F52" s="16"/>
      <c r="G52" s="16"/>
      <c r="H52" s="109"/>
      <c r="I52" s="16"/>
      <c r="J52" s="14"/>
      <c r="K52" s="16"/>
      <c r="L52" s="16"/>
      <c r="M52" s="16"/>
      <c r="N52" s="122"/>
      <c r="O52" s="122"/>
    </row>
    <row r="53" spans="2:17" s="2" customFormat="1">
      <c r="B53" s="113">
        <f t="shared" si="7"/>
        <v>3</v>
      </c>
      <c r="F53" s="16"/>
      <c r="G53" s="16"/>
      <c r="H53" s="109"/>
      <c r="I53" s="16"/>
      <c r="J53" s="16"/>
      <c r="K53" s="14"/>
      <c r="L53" s="16"/>
      <c r="M53" s="16"/>
      <c r="N53" s="122"/>
      <c r="O53" s="122"/>
      <c r="P53" s="122"/>
    </row>
    <row r="54" spans="2:17" s="2" customFormat="1">
      <c r="B54" s="113">
        <f t="shared" si="7"/>
        <v>4</v>
      </c>
      <c r="F54" s="16"/>
      <c r="G54" s="16"/>
      <c r="H54" s="109"/>
      <c r="I54" s="16"/>
      <c r="J54" s="16"/>
      <c r="K54" s="16"/>
      <c r="L54" s="14"/>
      <c r="M54" s="16"/>
      <c r="N54" s="122"/>
      <c r="O54" s="122"/>
      <c r="P54" s="122"/>
      <c r="Q54" s="122"/>
    </row>
    <row r="55" spans="2:17" s="2" customFormat="1">
      <c r="B55" s="113">
        <f t="shared" si="7"/>
        <v>5</v>
      </c>
      <c r="F55" s="16"/>
      <c r="G55" s="16"/>
      <c r="H55" s="109"/>
      <c r="I55" s="16"/>
      <c r="J55" s="16"/>
      <c r="K55" s="16"/>
      <c r="L55" s="16"/>
      <c r="M55" s="14"/>
    </row>
    <row r="56" spans="2:17" s="8" customFormat="1" ht="12.75">
      <c r="B56" s="43" t="s">
        <v>57</v>
      </c>
      <c r="C56" s="43"/>
      <c r="D56" s="43"/>
      <c r="E56" s="43"/>
      <c r="F56" s="141">
        <f t="shared" ref="F56:H56" si="10">SUM(F47:F55)</f>
        <v>7</v>
      </c>
      <c r="G56" s="141">
        <f t="shared" si="10"/>
        <v>9</v>
      </c>
      <c r="H56" s="142">
        <f t="shared" si="10"/>
        <v>15</v>
      </c>
      <c r="I56" s="141"/>
      <c r="J56" s="141"/>
      <c r="K56" s="141"/>
      <c r="L56" s="141"/>
      <c r="M56" s="141"/>
    </row>
    <row r="57" spans="2:17" s="8" customFormat="1" ht="12.75">
      <c r="F57" s="266"/>
      <c r="G57" s="266"/>
      <c r="H57" s="267"/>
      <c r="I57" s="266"/>
      <c r="J57" s="266"/>
      <c r="K57" s="266"/>
      <c r="L57" s="266"/>
      <c r="M57" s="266"/>
    </row>
    <row r="58" spans="2:17" s="2" customFormat="1">
      <c r="H58" s="90"/>
      <c r="I58" s="16"/>
      <c r="J58" s="16"/>
      <c r="K58" s="16"/>
      <c r="L58" s="16"/>
      <c r="M58" s="16"/>
    </row>
    <row r="59" spans="2:17" s="2" customFormat="1">
      <c r="B59" s="292" t="s">
        <v>178</v>
      </c>
      <c r="C59" s="293"/>
      <c r="D59" s="293"/>
      <c r="E59" s="293" t="s">
        <v>157</v>
      </c>
      <c r="F59" s="294" t="s">
        <v>154</v>
      </c>
      <c r="G59" s="294" t="s">
        <v>156</v>
      </c>
      <c r="H59" s="294" t="s">
        <v>155</v>
      </c>
      <c r="I59" s="295" t="s">
        <v>159</v>
      </c>
      <c r="K59" s="36"/>
      <c r="L59" s="36"/>
      <c r="M59" s="36"/>
    </row>
    <row r="60" spans="2:17" s="2" customFormat="1">
      <c r="B60" s="247" t="s">
        <v>179</v>
      </c>
      <c r="C60" s="248"/>
      <c r="D60" s="248"/>
      <c r="E60" s="264">
        <v>0.2</v>
      </c>
      <c r="F60" s="264">
        <v>0.2</v>
      </c>
      <c r="G60" s="264">
        <v>0.2</v>
      </c>
      <c r="H60" s="264">
        <v>0.2</v>
      </c>
      <c r="I60" s="265">
        <v>0.2</v>
      </c>
      <c r="K60" s="36"/>
      <c r="L60" s="36"/>
      <c r="M60" s="36"/>
    </row>
    <row r="61" spans="2:17">
      <c r="C61" s="35"/>
      <c r="D61" s="35"/>
      <c r="E61" s="35"/>
      <c r="F61" s="35"/>
      <c r="G61" s="35"/>
      <c r="H61" s="91"/>
      <c r="I61" s="35"/>
      <c r="J61" s="35"/>
      <c r="K61" s="35"/>
      <c r="L61" s="35"/>
      <c r="M61" s="35"/>
    </row>
    <row r="62" spans="2:17">
      <c r="B62" s="5" t="s">
        <v>101</v>
      </c>
      <c r="C62" s="10"/>
      <c r="D62" s="10"/>
      <c r="E62" s="108">
        <v>-3</v>
      </c>
      <c r="F62" s="108">
        <f t="shared" ref="F62:M62" si="11">+F$3</f>
        <v>-2</v>
      </c>
      <c r="G62" s="108">
        <f t="shared" si="11"/>
        <v>-1</v>
      </c>
      <c r="H62" s="89">
        <f t="shared" si="11"/>
        <v>0</v>
      </c>
      <c r="I62" s="10">
        <f t="shared" si="11"/>
        <v>1</v>
      </c>
      <c r="J62" s="10">
        <f t="shared" si="11"/>
        <v>2</v>
      </c>
      <c r="K62" s="10">
        <f t="shared" si="11"/>
        <v>3</v>
      </c>
      <c r="L62" s="10">
        <f t="shared" si="11"/>
        <v>4</v>
      </c>
      <c r="M62" s="10">
        <f t="shared" si="11"/>
        <v>5</v>
      </c>
    </row>
    <row r="63" spans="2:17">
      <c r="B63" s="113" t="str">
        <f t="shared" ref="B63:B71" si="12">+B47</f>
        <v>Before Year -2</v>
      </c>
      <c r="E63" s="92">
        <v>0.2</v>
      </c>
      <c r="F63" s="92">
        <v>0.2</v>
      </c>
      <c r="G63" s="92">
        <v>0.2</v>
      </c>
      <c r="H63" s="93">
        <v>0.2</v>
      </c>
      <c r="I63" s="236"/>
      <c r="J63" s="236"/>
      <c r="K63" s="236"/>
      <c r="L63" s="236"/>
      <c r="M63" s="236"/>
    </row>
    <row r="64" spans="2:17">
      <c r="B64" s="113">
        <f t="shared" si="12"/>
        <v>-2</v>
      </c>
      <c r="F64" s="146">
        <v>0.2</v>
      </c>
      <c r="G64" s="146">
        <v>0.2</v>
      </c>
      <c r="H64" s="147">
        <v>0.2</v>
      </c>
      <c r="I64" s="237"/>
      <c r="J64" s="237"/>
      <c r="K64" s="237"/>
      <c r="L64" s="237"/>
      <c r="M64" s="237"/>
    </row>
    <row r="65" spans="1:16">
      <c r="B65" s="113">
        <f t="shared" si="12"/>
        <v>-1</v>
      </c>
      <c r="E65" s="13"/>
      <c r="F65" s="146"/>
      <c r="G65" s="146">
        <v>0.2</v>
      </c>
      <c r="H65" s="147">
        <v>0.2</v>
      </c>
      <c r="I65" s="237"/>
      <c r="J65" s="237"/>
      <c r="K65" s="237"/>
      <c r="L65" s="237"/>
      <c r="M65" s="237"/>
    </row>
    <row r="66" spans="1:16">
      <c r="B66" s="113">
        <f t="shared" si="12"/>
        <v>0</v>
      </c>
      <c r="F66" s="146"/>
      <c r="G66" s="146"/>
      <c r="H66" s="147">
        <v>0.2</v>
      </c>
      <c r="I66" s="237"/>
      <c r="J66" s="237"/>
      <c r="K66" s="237"/>
      <c r="L66" s="237"/>
      <c r="M66" s="237"/>
    </row>
    <row r="67" spans="1:16">
      <c r="B67" s="113">
        <f t="shared" si="12"/>
        <v>1</v>
      </c>
      <c r="F67" s="146"/>
      <c r="G67" s="146"/>
      <c r="H67" s="147"/>
      <c r="I67" s="237"/>
      <c r="J67" s="237"/>
      <c r="K67" s="237"/>
      <c r="L67" s="237"/>
      <c r="M67" s="237"/>
    </row>
    <row r="68" spans="1:16">
      <c r="B68" s="113">
        <f t="shared" si="12"/>
        <v>2</v>
      </c>
      <c r="F68" s="148"/>
      <c r="G68" s="148"/>
      <c r="H68" s="149"/>
      <c r="I68" s="148"/>
      <c r="J68" s="237"/>
      <c r="K68" s="237"/>
      <c r="L68" s="237"/>
      <c r="M68" s="237"/>
      <c r="N68" s="14"/>
    </row>
    <row r="69" spans="1:16">
      <c r="B69" s="113">
        <f t="shared" si="12"/>
        <v>3</v>
      </c>
      <c r="F69" s="148"/>
      <c r="G69" s="148"/>
      <c r="H69" s="149"/>
      <c r="I69" s="148"/>
      <c r="J69" s="148"/>
      <c r="K69" s="237"/>
      <c r="L69" s="237"/>
      <c r="M69" s="237"/>
      <c r="N69" s="14"/>
    </row>
    <row r="70" spans="1:16">
      <c r="B70" s="113">
        <f t="shared" si="12"/>
        <v>4</v>
      </c>
      <c r="E70" s="14"/>
      <c r="F70" s="148"/>
      <c r="G70" s="148"/>
      <c r="H70" s="149"/>
      <c r="I70" s="148"/>
      <c r="J70" s="148"/>
      <c r="K70" s="148"/>
      <c r="L70" s="237"/>
      <c r="M70" s="237"/>
      <c r="N70" s="14"/>
      <c r="O70" s="14"/>
    </row>
    <row r="71" spans="1:16">
      <c r="B71" s="113">
        <f t="shared" si="12"/>
        <v>5</v>
      </c>
      <c r="F71" s="148"/>
      <c r="G71" s="148"/>
      <c r="H71" s="149"/>
      <c r="I71" s="148"/>
      <c r="J71" s="148"/>
      <c r="K71" s="148"/>
      <c r="L71" s="148"/>
      <c r="M71" s="237"/>
      <c r="N71" s="14"/>
      <c r="O71" s="14"/>
      <c r="P71" s="14"/>
    </row>
    <row r="72" spans="1:16" s="128" customFormat="1">
      <c r="A72" s="8"/>
      <c r="B72" s="43" t="s">
        <v>105</v>
      </c>
      <c r="C72" s="43"/>
      <c r="D72" s="43"/>
      <c r="E72" s="43"/>
      <c r="F72" s="243">
        <f t="shared" ref="F72:H72" si="13">+IFERROR(F111/F27, "n/a")</f>
        <v>0</v>
      </c>
      <c r="G72" s="243">
        <f t="shared" si="13"/>
        <v>0</v>
      </c>
      <c r="H72" s="244">
        <f t="shared" si="13"/>
        <v>0</v>
      </c>
      <c r="I72" s="243"/>
      <c r="J72" s="243"/>
      <c r="K72" s="243"/>
      <c r="L72" s="243"/>
      <c r="M72" s="243"/>
      <c r="N72" s="8"/>
    </row>
    <row r="73" spans="1:16">
      <c r="H73" s="90"/>
      <c r="I73" s="16"/>
      <c r="J73" s="16"/>
      <c r="K73" s="16"/>
      <c r="L73" s="16"/>
      <c r="M73" s="16"/>
    </row>
    <row r="74" spans="1:16">
      <c r="C74" s="35"/>
      <c r="D74" s="35"/>
      <c r="E74" s="35"/>
      <c r="F74" s="35"/>
      <c r="G74" s="35"/>
      <c r="H74" s="91"/>
      <c r="I74" s="35"/>
      <c r="J74" s="35"/>
      <c r="K74" s="35"/>
      <c r="L74" s="35"/>
      <c r="M74" s="35"/>
    </row>
    <row r="75" spans="1:16">
      <c r="B75" s="5" t="s">
        <v>108</v>
      </c>
      <c r="C75" s="10"/>
      <c r="D75" s="10"/>
      <c r="E75" s="10"/>
      <c r="F75" s="108">
        <f t="shared" ref="F75:M75" si="14">+F$3</f>
        <v>-2</v>
      </c>
      <c r="G75" s="108">
        <f t="shared" si="14"/>
        <v>-1</v>
      </c>
      <c r="H75" s="89">
        <f t="shared" si="14"/>
        <v>0</v>
      </c>
      <c r="I75" s="10">
        <f t="shared" si="14"/>
        <v>1</v>
      </c>
      <c r="J75" s="10">
        <f t="shared" si="14"/>
        <v>2</v>
      </c>
      <c r="K75" s="10">
        <f t="shared" si="14"/>
        <v>3</v>
      </c>
      <c r="L75" s="10">
        <f t="shared" si="14"/>
        <v>4</v>
      </c>
      <c r="M75" s="10">
        <f t="shared" si="14"/>
        <v>5</v>
      </c>
    </row>
    <row r="76" spans="1:16">
      <c r="B76" s="113" t="str">
        <f t="shared" ref="B76:B84" si="15">+B47</f>
        <v>Before Year -2</v>
      </c>
      <c r="F76" s="94"/>
      <c r="G76" s="94"/>
      <c r="H76" s="125"/>
      <c r="I76" s="94"/>
      <c r="J76" s="94"/>
      <c r="K76" s="94"/>
      <c r="L76" s="94"/>
      <c r="M76" s="94"/>
    </row>
    <row r="77" spans="1:16">
      <c r="B77" s="113">
        <f t="shared" si="15"/>
        <v>-2</v>
      </c>
      <c r="F77" s="36"/>
      <c r="G77" s="36"/>
      <c r="H77" s="115"/>
      <c r="I77" s="36"/>
      <c r="J77" s="36"/>
      <c r="K77" s="36"/>
      <c r="L77" s="36"/>
      <c r="M77" s="36"/>
    </row>
    <row r="78" spans="1:16">
      <c r="B78" s="113">
        <f t="shared" si="15"/>
        <v>-1</v>
      </c>
      <c r="F78" s="36"/>
      <c r="G78" s="36"/>
      <c r="H78" s="115"/>
      <c r="I78" s="36"/>
      <c r="J78" s="36"/>
      <c r="K78" s="36"/>
      <c r="L78" s="36"/>
      <c r="M78" s="36"/>
      <c r="N78" s="94"/>
    </row>
    <row r="79" spans="1:16">
      <c r="B79" s="113">
        <f t="shared" si="15"/>
        <v>0</v>
      </c>
      <c r="F79" s="27"/>
      <c r="G79" s="36"/>
      <c r="H79" s="115"/>
      <c r="I79" s="36"/>
      <c r="J79" s="36"/>
      <c r="K79" s="36"/>
      <c r="L79" s="36"/>
      <c r="M79" s="36"/>
      <c r="N79" s="36"/>
    </row>
    <row r="80" spans="1:16">
      <c r="B80" s="113">
        <f t="shared" si="15"/>
        <v>1</v>
      </c>
      <c r="F80" s="118"/>
      <c r="G80" s="27"/>
      <c r="H80" s="115"/>
      <c r="I80" s="36"/>
      <c r="J80" s="36"/>
      <c r="K80" s="36"/>
      <c r="L80" s="36"/>
      <c r="M80" s="36"/>
      <c r="N80" s="36"/>
    </row>
    <row r="81" spans="1:19">
      <c r="B81" s="113">
        <f t="shared" si="15"/>
        <v>2</v>
      </c>
      <c r="F81" s="118"/>
      <c r="G81" s="118"/>
      <c r="H81" s="114"/>
      <c r="I81" s="36"/>
      <c r="J81" s="36"/>
      <c r="K81" s="36"/>
      <c r="L81" s="36"/>
      <c r="M81" s="36"/>
      <c r="N81" s="36"/>
      <c r="O81" s="36"/>
    </row>
    <row r="82" spans="1:19">
      <c r="B82" s="113">
        <f t="shared" si="15"/>
        <v>3</v>
      </c>
      <c r="F82" s="17"/>
      <c r="G82" s="17"/>
      <c r="H82" s="109"/>
      <c r="I82" s="39"/>
      <c r="J82" s="36"/>
      <c r="K82" s="36"/>
      <c r="L82" s="36"/>
      <c r="M82" s="36"/>
      <c r="N82" s="36"/>
      <c r="O82" s="36"/>
      <c r="P82" s="36"/>
    </row>
    <row r="83" spans="1:19">
      <c r="B83" s="113">
        <f t="shared" si="15"/>
        <v>4</v>
      </c>
      <c r="F83" s="17"/>
      <c r="G83" s="17"/>
      <c r="H83" s="109"/>
      <c r="I83" s="39"/>
      <c r="J83" s="39"/>
      <c r="K83" s="36"/>
      <c r="L83" s="36"/>
      <c r="M83" s="36"/>
      <c r="N83" s="36"/>
      <c r="O83" s="36"/>
      <c r="P83" s="36"/>
      <c r="Q83" s="36"/>
    </row>
    <row r="84" spans="1:19">
      <c r="B84" s="113">
        <f t="shared" si="15"/>
        <v>5</v>
      </c>
      <c r="F84" s="17"/>
      <c r="G84" s="17"/>
      <c r="H84" s="109"/>
      <c r="I84" s="39"/>
      <c r="J84" s="39"/>
      <c r="K84" s="39"/>
      <c r="L84" s="36"/>
      <c r="M84" s="36"/>
      <c r="N84" s="36"/>
      <c r="O84" s="36"/>
      <c r="P84" s="36"/>
      <c r="Q84" s="36"/>
      <c r="R84" s="36"/>
      <c r="S84" s="36"/>
    </row>
    <row r="85" spans="1:19" s="128" customFormat="1">
      <c r="A85" s="8"/>
      <c r="B85" s="43" t="s">
        <v>57</v>
      </c>
      <c r="C85" s="43"/>
      <c r="D85" s="43"/>
      <c r="E85" s="43"/>
      <c r="F85" s="129"/>
      <c r="G85" s="129"/>
      <c r="H85" s="130"/>
      <c r="I85" s="129"/>
      <c r="J85" s="129"/>
      <c r="K85" s="129"/>
      <c r="L85" s="129"/>
      <c r="M85" s="129"/>
      <c r="N85" s="8"/>
    </row>
    <row r="86" spans="1:19">
      <c r="F86" s="94"/>
      <c r="G86" s="94"/>
      <c r="H86" s="125"/>
      <c r="I86" s="94"/>
      <c r="J86" s="94"/>
      <c r="K86" s="94"/>
      <c r="L86" s="94"/>
      <c r="M86" s="94"/>
    </row>
    <row r="87" spans="1:19">
      <c r="H87" s="90"/>
      <c r="I87" s="16"/>
      <c r="J87" s="16"/>
      <c r="K87" s="16"/>
      <c r="L87" s="16"/>
      <c r="M87" s="16"/>
    </row>
    <row r="88" spans="1:19">
      <c r="B88" s="5" t="s">
        <v>118</v>
      </c>
      <c r="C88" s="10"/>
      <c r="D88" s="10"/>
      <c r="E88" s="10"/>
      <c r="F88" s="108">
        <f t="shared" ref="F88:M88" si="16">+F$3</f>
        <v>-2</v>
      </c>
      <c r="G88" s="108">
        <f t="shared" si="16"/>
        <v>-1</v>
      </c>
      <c r="H88" s="89">
        <f t="shared" si="16"/>
        <v>0</v>
      </c>
      <c r="I88" s="10">
        <f t="shared" si="16"/>
        <v>1</v>
      </c>
      <c r="J88" s="10">
        <f t="shared" si="16"/>
        <v>2</v>
      </c>
      <c r="K88" s="10">
        <f t="shared" si="16"/>
        <v>3</v>
      </c>
      <c r="L88" s="10">
        <f t="shared" si="16"/>
        <v>4</v>
      </c>
      <c r="M88" s="10">
        <f t="shared" si="16"/>
        <v>5</v>
      </c>
    </row>
    <row r="89" spans="1:19">
      <c r="B89" s="113" t="str">
        <f t="shared" ref="B89:B97" si="17">+B34</f>
        <v>Before Year -2</v>
      </c>
      <c r="F89" s="94">
        <f>+F18*(F63-E63)</f>
        <v>0</v>
      </c>
      <c r="G89" s="94">
        <f>+G18*(G63-F63)</f>
        <v>0</v>
      </c>
      <c r="H89" s="125">
        <f>+H18*(H63-G63)</f>
        <v>0</v>
      </c>
      <c r="I89" s="94">
        <f t="shared" ref="I89:M89" si="18">+I18*(I63-H63)</f>
        <v>0</v>
      </c>
      <c r="J89" s="94">
        <f t="shared" si="18"/>
        <v>0</v>
      </c>
      <c r="K89" s="94">
        <f t="shared" si="18"/>
        <v>0</v>
      </c>
      <c r="L89" s="94">
        <f t="shared" si="18"/>
        <v>0</v>
      </c>
      <c r="M89" s="94">
        <f t="shared" si="18"/>
        <v>0</v>
      </c>
    </row>
    <row r="90" spans="1:19">
      <c r="B90" s="113">
        <f t="shared" si="17"/>
        <v>-2</v>
      </c>
      <c r="F90" s="36"/>
      <c r="G90" s="36">
        <f t="shared" ref="G90:M96" si="19">+G19*(G64-F64)</f>
        <v>0</v>
      </c>
      <c r="H90" s="115">
        <f t="shared" si="19"/>
        <v>0</v>
      </c>
      <c r="I90" s="36">
        <f t="shared" si="19"/>
        <v>0</v>
      </c>
      <c r="J90" s="36">
        <f t="shared" si="19"/>
        <v>0</v>
      </c>
      <c r="K90" s="36">
        <f t="shared" si="19"/>
        <v>0</v>
      </c>
      <c r="L90" s="36">
        <f t="shared" si="19"/>
        <v>0</v>
      </c>
      <c r="M90" s="36">
        <f t="shared" si="19"/>
        <v>0</v>
      </c>
    </row>
    <row r="91" spans="1:19">
      <c r="B91" s="113">
        <f t="shared" si="17"/>
        <v>-1</v>
      </c>
      <c r="F91" s="36"/>
      <c r="G91" s="36"/>
      <c r="H91" s="115">
        <f t="shared" si="19"/>
        <v>0</v>
      </c>
      <c r="I91" s="36">
        <f t="shared" si="19"/>
        <v>0</v>
      </c>
      <c r="J91" s="36">
        <f t="shared" si="19"/>
        <v>0</v>
      </c>
      <c r="K91" s="36">
        <f t="shared" si="19"/>
        <v>0</v>
      </c>
      <c r="L91" s="36">
        <f t="shared" si="19"/>
        <v>0</v>
      </c>
      <c r="M91" s="36">
        <f t="shared" si="19"/>
        <v>0</v>
      </c>
    </row>
    <row r="92" spans="1:19">
      <c r="B92" s="113">
        <f t="shared" si="17"/>
        <v>0</v>
      </c>
      <c r="F92" s="36"/>
      <c r="G92" s="36"/>
      <c r="H92" s="115"/>
      <c r="I92" s="36">
        <f t="shared" si="19"/>
        <v>0</v>
      </c>
      <c r="J92" s="36">
        <f t="shared" si="19"/>
        <v>0</v>
      </c>
      <c r="K92" s="36">
        <f t="shared" si="19"/>
        <v>0</v>
      </c>
      <c r="L92" s="36">
        <f t="shared" si="19"/>
        <v>0</v>
      </c>
      <c r="M92" s="36">
        <f t="shared" si="19"/>
        <v>0</v>
      </c>
    </row>
    <row r="93" spans="1:19">
      <c r="B93" s="113">
        <f t="shared" si="17"/>
        <v>1</v>
      </c>
      <c r="F93" s="36"/>
      <c r="G93" s="36"/>
      <c r="H93" s="115"/>
      <c r="I93" s="36"/>
      <c r="J93" s="36">
        <f t="shared" si="19"/>
        <v>0</v>
      </c>
      <c r="K93" s="36">
        <f t="shared" si="19"/>
        <v>0</v>
      </c>
      <c r="L93" s="36">
        <f t="shared" si="19"/>
        <v>0</v>
      </c>
      <c r="M93" s="36">
        <f t="shared" si="19"/>
        <v>0</v>
      </c>
    </row>
    <row r="94" spans="1:19">
      <c r="B94" s="113">
        <f t="shared" si="17"/>
        <v>2</v>
      </c>
      <c r="F94" s="36"/>
      <c r="G94" s="36"/>
      <c r="H94" s="115"/>
      <c r="I94" s="36"/>
      <c r="J94" s="36"/>
      <c r="K94" s="36">
        <f t="shared" si="19"/>
        <v>0</v>
      </c>
      <c r="L94" s="36">
        <f t="shared" si="19"/>
        <v>0</v>
      </c>
      <c r="M94" s="36">
        <f t="shared" si="19"/>
        <v>0</v>
      </c>
      <c r="N94" s="14"/>
    </row>
    <row r="95" spans="1:19">
      <c r="B95" s="113">
        <f t="shared" si="17"/>
        <v>3</v>
      </c>
      <c r="F95" s="36"/>
      <c r="G95" s="36"/>
      <c r="H95" s="115"/>
      <c r="I95" s="36"/>
      <c r="J95" s="36"/>
      <c r="K95" s="36"/>
      <c r="L95" s="36">
        <f t="shared" si="19"/>
        <v>0</v>
      </c>
      <c r="M95" s="36">
        <f t="shared" si="19"/>
        <v>0</v>
      </c>
      <c r="N95" s="14"/>
    </row>
    <row r="96" spans="1:19">
      <c r="B96" s="113">
        <f t="shared" si="17"/>
        <v>4</v>
      </c>
      <c r="F96" s="36"/>
      <c r="G96" s="36"/>
      <c r="H96" s="115"/>
      <c r="I96" s="36"/>
      <c r="J96" s="36"/>
      <c r="K96" s="36"/>
      <c r="L96" s="36"/>
      <c r="M96" s="36">
        <f t="shared" si="19"/>
        <v>0</v>
      </c>
      <c r="N96" s="14"/>
      <c r="O96" s="14"/>
    </row>
    <row r="97" spans="1:19">
      <c r="B97" s="113">
        <f t="shared" si="17"/>
        <v>5</v>
      </c>
      <c r="F97" s="36"/>
      <c r="G97" s="36"/>
      <c r="H97" s="115"/>
      <c r="I97" s="36"/>
      <c r="J97" s="36"/>
      <c r="K97" s="36"/>
      <c r="L97" s="36"/>
      <c r="M97" s="36"/>
      <c r="N97" s="14"/>
      <c r="O97" s="14"/>
      <c r="P97" s="14"/>
    </row>
    <row r="98" spans="1:19" s="128" customFormat="1">
      <c r="A98" s="8"/>
      <c r="B98" s="43" t="s">
        <v>57</v>
      </c>
      <c r="C98" s="43"/>
      <c r="D98" s="43"/>
      <c r="E98" s="43"/>
      <c r="F98" s="129">
        <f t="shared" ref="F98:M98" si="20">SUM(F89:F97)</f>
        <v>0</v>
      </c>
      <c r="G98" s="129">
        <f t="shared" si="20"/>
        <v>0</v>
      </c>
      <c r="H98" s="130">
        <f t="shared" si="20"/>
        <v>0</v>
      </c>
      <c r="I98" s="129">
        <f t="shared" si="20"/>
        <v>0</v>
      </c>
      <c r="J98" s="129">
        <f t="shared" si="20"/>
        <v>0</v>
      </c>
      <c r="K98" s="129">
        <f t="shared" si="20"/>
        <v>0</v>
      </c>
      <c r="L98" s="129">
        <f t="shared" si="20"/>
        <v>0</v>
      </c>
      <c r="M98" s="129">
        <f t="shared" si="20"/>
        <v>0</v>
      </c>
      <c r="N98" s="8"/>
    </row>
    <row r="99" spans="1:19">
      <c r="H99" s="90"/>
      <c r="I99" s="16"/>
      <c r="J99" s="16"/>
      <c r="K99" s="16"/>
      <c r="L99" s="16"/>
      <c r="M99" s="16"/>
    </row>
    <row r="100" spans="1:19">
      <c r="C100" s="35"/>
      <c r="D100" s="35"/>
      <c r="E100" s="35"/>
      <c r="F100" s="35"/>
      <c r="G100" s="35"/>
      <c r="H100" s="91"/>
      <c r="I100" s="35"/>
      <c r="J100" s="35"/>
      <c r="K100" s="35"/>
      <c r="L100" s="35"/>
      <c r="M100" s="35"/>
    </row>
    <row r="101" spans="1:19">
      <c r="B101" s="5" t="s">
        <v>121</v>
      </c>
      <c r="C101" s="10"/>
      <c r="D101" s="10"/>
      <c r="E101" s="10"/>
      <c r="F101" s="108">
        <f t="shared" ref="F101:M101" si="21">+F$3</f>
        <v>-2</v>
      </c>
      <c r="G101" s="108">
        <f t="shared" si="21"/>
        <v>-1</v>
      </c>
      <c r="H101" s="89">
        <f t="shared" si="21"/>
        <v>0</v>
      </c>
      <c r="I101" s="10">
        <f t="shared" si="21"/>
        <v>1</v>
      </c>
      <c r="J101" s="10">
        <f t="shared" si="21"/>
        <v>2</v>
      </c>
      <c r="K101" s="10">
        <f t="shared" si="21"/>
        <v>3</v>
      </c>
      <c r="L101" s="10">
        <f t="shared" si="21"/>
        <v>4</v>
      </c>
      <c r="M101" s="10">
        <f t="shared" si="21"/>
        <v>5</v>
      </c>
    </row>
    <row r="102" spans="1:19">
      <c r="B102" s="113" t="str">
        <f t="shared" ref="B102:B110" si="22">+B63</f>
        <v>Before Year -2</v>
      </c>
      <c r="F102" s="94"/>
      <c r="G102" s="94"/>
      <c r="H102" s="125"/>
      <c r="I102" s="94"/>
      <c r="J102" s="94"/>
      <c r="K102" s="94"/>
      <c r="L102" s="94"/>
      <c r="M102" s="94"/>
    </row>
    <row r="103" spans="1:19">
      <c r="B103" s="113">
        <f t="shared" si="22"/>
        <v>-2</v>
      </c>
      <c r="F103" s="36"/>
      <c r="G103" s="36"/>
      <c r="H103" s="115"/>
      <c r="I103" s="36"/>
      <c r="J103" s="36"/>
      <c r="K103" s="36"/>
      <c r="L103" s="36"/>
      <c r="M103" s="36"/>
      <c r="N103" s="94"/>
    </row>
    <row r="104" spans="1:19">
      <c r="B104" s="113">
        <f t="shared" si="22"/>
        <v>-1</v>
      </c>
      <c r="F104" s="27"/>
      <c r="G104" s="36"/>
      <c r="H104" s="115"/>
      <c r="I104" s="36"/>
      <c r="J104" s="36"/>
      <c r="K104" s="36"/>
      <c r="L104" s="36"/>
      <c r="M104" s="36"/>
      <c r="N104" s="36"/>
    </row>
    <row r="105" spans="1:19">
      <c r="B105" s="113">
        <f t="shared" si="22"/>
        <v>0</v>
      </c>
      <c r="F105" s="27"/>
      <c r="G105" s="27"/>
      <c r="H105" s="115"/>
      <c r="I105" s="36"/>
      <c r="J105" s="36"/>
      <c r="K105" s="36"/>
      <c r="L105" s="36"/>
      <c r="M105" s="36"/>
      <c r="N105" s="36"/>
    </row>
    <row r="106" spans="1:19">
      <c r="B106" s="113">
        <f t="shared" si="22"/>
        <v>1</v>
      </c>
      <c r="F106" s="27"/>
      <c r="G106" s="27"/>
      <c r="H106" s="114"/>
      <c r="I106" s="36"/>
      <c r="J106" s="36"/>
      <c r="K106" s="36"/>
      <c r="L106" s="36"/>
      <c r="M106" s="36"/>
      <c r="N106" s="36"/>
      <c r="O106" s="36"/>
    </row>
    <row r="107" spans="1:19">
      <c r="B107" s="113">
        <f t="shared" si="22"/>
        <v>2</v>
      </c>
      <c r="F107" s="36"/>
      <c r="G107" s="36"/>
      <c r="H107" s="115"/>
      <c r="I107" s="36"/>
      <c r="J107" s="36"/>
      <c r="K107" s="36"/>
      <c r="L107" s="36"/>
      <c r="M107" s="36"/>
      <c r="N107" s="36"/>
      <c r="O107" s="36"/>
      <c r="P107" s="36"/>
    </row>
    <row r="108" spans="1:19">
      <c r="B108" s="113">
        <f t="shared" si="22"/>
        <v>3</v>
      </c>
      <c r="F108" s="36"/>
      <c r="G108" s="36"/>
      <c r="H108" s="115"/>
      <c r="I108" s="36"/>
      <c r="J108" s="36"/>
      <c r="K108" s="36"/>
      <c r="L108" s="36"/>
      <c r="M108" s="36"/>
      <c r="N108" s="36"/>
      <c r="O108" s="36"/>
      <c r="P108" s="36"/>
      <c r="Q108" s="36"/>
    </row>
    <row r="109" spans="1:19">
      <c r="B109" s="113">
        <f t="shared" si="22"/>
        <v>4</v>
      </c>
      <c r="F109" s="36"/>
      <c r="G109" s="36"/>
      <c r="H109" s="115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</row>
    <row r="110" spans="1:19">
      <c r="B110" s="113">
        <f t="shared" si="22"/>
        <v>5</v>
      </c>
      <c r="F110" s="36"/>
      <c r="G110" s="36"/>
      <c r="H110" s="115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</row>
    <row r="111" spans="1:19" s="128" customFormat="1">
      <c r="A111" s="8"/>
      <c r="B111" s="43" t="s">
        <v>123</v>
      </c>
      <c r="C111" s="43"/>
      <c r="D111" s="43"/>
      <c r="E111" s="43"/>
      <c r="F111" s="129"/>
      <c r="G111" s="129"/>
      <c r="H111" s="130"/>
      <c r="I111" s="129"/>
      <c r="J111" s="129"/>
      <c r="K111" s="129"/>
      <c r="L111" s="129"/>
      <c r="M111" s="129"/>
      <c r="N111" s="8"/>
    </row>
    <row r="112" spans="1:19" s="128" customFormat="1">
      <c r="A112" s="8"/>
      <c r="B112" s="15" t="s">
        <v>253</v>
      </c>
      <c r="C112" s="8"/>
      <c r="D112" s="8"/>
      <c r="E112" s="8"/>
      <c r="F112" s="30"/>
      <c r="G112" s="30"/>
      <c r="H112" s="305"/>
      <c r="I112" s="30"/>
      <c r="J112" s="30"/>
      <c r="K112" s="30"/>
      <c r="L112" s="30"/>
      <c r="M112" s="30"/>
      <c r="N112" s="8"/>
    </row>
    <row r="113" spans="1:14" s="128" customFormat="1">
      <c r="A113" s="8"/>
      <c r="B113" s="8"/>
      <c r="C113" s="8"/>
      <c r="D113" s="8"/>
      <c r="E113" s="8"/>
      <c r="F113" s="133"/>
      <c r="G113" s="133"/>
      <c r="H113" s="134"/>
      <c r="I113" s="133"/>
      <c r="J113" s="133"/>
      <c r="K113" s="133"/>
      <c r="L113" s="133"/>
      <c r="M113" s="133"/>
      <c r="N113" s="8"/>
    </row>
    <row r="114" spans="1:14" s="128" customFormat="1">
      <c r="A114" s="8"/>
      <c r="B114" s="8"/>
      <c r="C114" s="8"/>
      <c r="D114" s="8"/>
      <c r="E114" s="8"/>
      <c r="F114" s="133"/>
      <c r="G114" s="133"/>
      <c r="H114" s="134"/>
      <c r="I114" s="133"/>
      <c r="J114" s="133"/>
      <c r="K114" s="133"/>
      <c r="L114" s="133"/>
      <c r="M114" s="133"/>
      <c r="N114" s="8"/>
    </row>
    <row r="115" spans="1:14" s="2" customFormat="1">
      <c r="B115" s="3" t="s">
        <v>177</v>
      </c>
      <c r="C115" s="3"/>
      <c r="D115" s="3"/>
      <c r="E115" s="3"/>
      <c r="F115" s="3"/>
      <c r="G115" s="3"/>
      <c r="H115" s="126"/>
      <c r="I115" s="4"/>
      <c r="J115" s="4"/>
      <c r="K115" s="4"/>
      <c r="L115" s="4"/>
      <c r="M115" s="19" t="s">
        <v>37</v>
      </c>
    </row>
    <row r="116" spans="1:14">
      <c r="B116" s="138" t="s">
        <v>151</v>
      </c>
      <c r="F116" s="230">
        <v>16</v>
      </c>
      <c r="G116" s="230">
        <v>24</v>
      </c>
      <c r="H116" s="231">
        <v>32</v>
      </c>
      <c r="I116" s="230">
        <v>40</v>
      </c>
      <c r="J116" s="230">
        <v>48</v>
      </c>
      <c r="K116" s="230">
        <v>56</v>
      </c>
      <c r="L116" s="230">
        <v>68</v>
      </c>
      <c r="M116" s="230">
        <v>80</v>
      </c>
    </row>
    <row r="117" spans="1:14">
      <c r="B117" s="138" t="s">
        <v>148</v>
      </c>
      <c r="F117" s="230">
        <v>4</v>
      </c>
      <c r="G117" s="230">
        <v>5</v>
      </c>
      <c r="H117" s="231">
        <v>5</v>
      </c>
      <c r="I117" s="230">
        <v>6</v>
      </c>
      <c r="J117" s="230">
        <v>8</v>
      </c>
      <c r="K117" s="230">
        <v>10</v>
      </c>
      <c r="L117" s="230">
        <v>12</v>
      </c>
      <c r="M117" s="230">
        <v>14</v>
      </c>
    </row>
    <row r="118" spans="1:14">
      <c r="B118" s="138" t="s">
        <v>146</v>
      </c>
      <c r="F118" s="230">
        <v>8</v>
      </c>
      <c r="G118" s="230">
        <v>20</v>
      </c>
      <c r="H118" s="231">
        <v>30</v>
      </c>
      <c r="I118" s="230">
        <v>40</v>
      </c>
      <c r="J118" s="230">
        <v>60</v>
      </c>
      <c r="K118" s="230">
        <v>65</v>
      </c>
      <c r="L118" s="230">
        <v>70</v>
      </c>
      <c r="M118" s="230">
        <v>75</v>
      </c>
    </row>
    <row r="119" spans="1:14">
      <c r="B119" s="138" t="s">
        <v>152</v>
      </c>
      <c r="F119" s="232">
        <v>3.75</v>
      </c>
      <c r="G119" s="232">
        <v>3.75</v>
      </c>
      <c r="H119" s="233">
        <v>3.75</v>
      </c>
      <c r="I119" s="232">
        <v>3.75</v>
      </c>
      <c r="J119" s="232">
        <v>3.5</v>
      </c>
      <c r="K119" s="232">
        <v>3.5</v>
      </c>
      <c r="L119" s="232">
        <v>3.25</v>
      </c>
      <c r="M119" s="232">
        <v>3.25</v>
      </c>
    </row>
    <row r="120" spans="1:14">
      <c r="B120" s="138" t="s">
        <v>127</v>
      </c>
      <c r="F120" s="16">
        <f>+F119*F116</f>
        <v>60</v>
      </c>
      <c r="G120" s="16">
        <f t="shared" ref="G120:H120" si="23">+G119*G116</f>
        <v>90</v>
      </c>
      <c r="H120" s="109">
        <f t="shared" si="23"/>
        <v>120</v>
      </c>
      <c r="I120" s="16"/>
      <c r="J120" s="16"/>
      <c r="K120" s="16"/>
      <c r="L120" s="16"/>
      <c r="M120" s="16"/>
    </row>
    <row r="121" spans="1:14" s="128" customFormat="1">
      <c r="A121" s="8"/>
      <c r="B121" s="8"/>
      <c r="C121" s="8"/>
      <c r="D121" s="8"/>
      <c r="E121" s="8"/>
      <c r="F121" s="139"/>
      <c r="G121" s="139"/>
      <c r="H121" s="167"/>
      <c r="I121" s="139"/>
      <c r="J121" s="139"/>
      <c r="K121" s="139"/>
      <c r="L121" s="139"/>
      <c r="M121" s="139"/>
      <c r="N121" s="8"/>
    </row>
    <row r="122" spans="1:14">
      <c r="B122" s="138" t="s">
        <v>147</v>
      </c>
      <c r="F122" s="239">
        <v>400000</v>
      </c>
      <c r="G122" s="239">
        <v>400000</v>
      </c>
      <c r="H122" s="240">
        <v>400000</v>
      </c>
      <c r="I122" s="239">
        <v>400000</v>
      </c>
      <c r="J122" s="239">
        <v>400000</v>
      </c>
      <c r="K122" s="239">
        <v>400000</v>
      </c>
      <c r="L122" s="239">
        <v>400000</v>
      </c>
      <c r="M122" s="239">
        <v>400000</v>
      </c>
    </row>
    <row r="123" spans="1:14">
      <c r="B123" s="138" t="s">
        <v>149</v>
      </c>
      <c r="F123" s="239">
        <v>300000</v>
      </c>
      <c r="G123" s="239">
        <v>300000</v>
      </c>
      <c r="H123" s="240">
        <v>300000</v>
      </c>
      <c r="I123" s="239">
        <v>300000</v>
      </c>
      <c r="J123" s="239">
        <v>300000</v>
      </c>
      <c r="K123" s="239">
        <v>300000</v>
      </c>
      <c r="L123" s="239">
        <v>300000</v>
      </c>
      <c r="M123" s="239">
        <v>300000</v>
      </c>
    </row>
    <row r="124" spans="1:14">
      <c r="B124" s="138" t="s">
        <v>145</v>
      </c>
      <c r="F124" s="239">
        <v>200000</v>
      </c>
      <c r="G124" s="239">
        <v>200000</v>
      </c>
      <c r="H124" s="240">
        <v>200000</v>
      </c>
      <c r="I124" s="239">
        <v>200000</v>
      </c>
      <c r="J124" s="239">
        <v>200000</v>
      </c>
      <c r="K124" s="239">
        <v>200000</v>
      </c>
      <c r="L124" s="239">
        <v>200000</v>
      </c>
      <c r="M124" s="239">
        <v>200000</v>
      </c>
    </row>
    <row r="125" spans="1:14">
      <c r="B125" s="138" t="s">
        <v>150</v>
      </c>
      <c r="F125" s="241">
        <v>0.3</v>
      </c>
      <c r="G125" s="241">
        <v>0.3</v>
      </c>
      <c r="H125" s="242">
        <v>0.3</v>
      </c>
      <c r="I125" s="241">
        <v>0.3</v>
      </c>
      <c r="J125" s="241">
        <v>0.3</v>
      </c>
      <c r="K125" s="241">
        <v>0.3</v>
      </c>
      <c r="L125" s="241">
        <v>0.3</v>
      </c>
      <c r="M125" s="241">
        <v>0.3</v>
      </c>
    </row>
    <row r="126" spans="1:14">
      <c r="F126" s="127"/>
      <c r="G126" s="127"/>
      <c r="H126" s="110"/>
      <c r="I126" s="127"/>
      <c r="J126" s="127"/>
      <c r="K126" s="127"/>
      <c r="L126" s="127"/>
      <c r="M126" s="127"/>
    </row>
    <row r="127" spans="1:14" s="2" customFormat="1">
      <c r="B127" s="3" t="s">
        <v>140</v>
      </c>
      <c r="C127" s="3"/>
      <c r="D127" s="3"/>
      <c r="E127" s="3"/>
      <c r="F127" s="3"/>
      <c r="G127" s="3"/>
      <c r="H127" s="126"/>
      <c r="I127" s="4"/>
      <c r="J127" s="4"/>
      <c r="K127" s="4"/>
      <c r="L127" s="4"/>
      <c r="M127" s="19" t="s">
        <v>37</v>
      </c>
    </row>
    <row r="128" spans="1:14">
      <c r="B128" s="5" t="s">
        <v>136</v>
      </c>
      <c r="C128" s="10"/>
      <c r="D128" s="10"/>
      <c r="E128" s="10"/>
      <c r="F128" s="108">
        <f t="shared" ref="F128:M128" si="24">+F$3</f>
        <v>-2</v>
      </c>
      <c r="G128" s="108">
        <f t="shared" si="24"/>
        <v>-1</v>
      </c>
      <c r="H128" s="89">
        <f t="shared" si="24"/>
        <v>0</v>
      </c>
      <c r="I128" s="10">
        <f t="shared" si="24"/>
        <v>1</v>
      </c>
      <c r="J128" s="10">
        <f t="shared" si="24"/>
        <v>2</v>
      </c>
      <c r="K128" s="10">
        <f t="shared" si="24"/>
        <v>3</v>
      </c>
      <c r="L128" s="10">
        <f t="shared" si="24"/>
        <v>4</v>
      </c>
      <c r="M128" s="10">
        <f t="shared" si="24"/>
        <v>5</v>
      </c>
    </row>
    <row r="129" spans="1:14">
      <c r="B129" s="2" t="s">
        <v>115</v>
      </c>
      <c r="F129" s="127">
        <f>+F116*F122/1000000</f>
        <v>6.4</v>
      </c>
      <c r="G129" s="127">
        <f>+G116*G122/1000000</f>
        <v>9.6</v>
      </c>
      <c r="H129" s="110">
        <f>+H116*H122/1000000</f>
        <v>12.8</v>
      </c>
      <c r="I129" s="127"/>
      <c r="J129" s="127"/>
      <c r="K129" s="127"/>
      <c r="L129" s="127"/>
      <c r="M129" s="127"/>
    </row>
    <row r="130" spans="1:14">
      <c r="B130" s="2" t="s">
        <v>116</v>
      </c>
      <c r="F130" s="36">
        <f>+(F117*F123/1000000)+(F117*F123/1000000*F125)</f>
        <v>1.56</v>
      </c>
      <c r="G130" s="36">
        <f>+(G117*G123/1000000)+(G117*G123/1000000*G125)</f>
        <v>1.95</v>
      </c>
      <c r="H130" s="115">
        <f>+(H117*H123/1000000)+(H117*H123/1000000*H125)</f>
        <v>1.95</v>
      </c>
      <c r="I130" s="36"/>
      <c r="J130" s="36"/>
      <c r="K130" s="36"/>
      <c r="L130" s="36"/>
      <c r="M130" s="36"/>
    </row>
    <row r="131" spans="1:14">
      <c r="B131" s="2" t="s">
        <v>119</v>
      </c>
      <c r="F131" s="36">
        <f>+F118*F124/1000000</f>
        <v>1.6</v>
      </c>
      <c r="G131" s="36">
        <f>+G118*G124/1000000</f>
        <v>4</v>
      </c>
      <c r="H131" s="115">
        <f>+H118*H124/1000000</f>
        <v>6</v>
      </c>
      <c r="I131" s="36"/>
      <c r="J131" s="36"/>
      <c r="K131" s="36"/>
      <c r="L131" s="36"/>
      <c r="M131" s="36"/>
    </row>
    <row r="132" spans="1:14" s="128" customFormat="1">
      <c r="A132" s="8"/>
      <c r="B132" s="43" t="s">
        <v>139</v>
      </c>
      <c r="C132" s="43"/>
      <c r="D132" s="43"/>
      <c r="E132" s="43"/>
      <c r="F132" s="129">
        <f t="shared" ref="F132:H132" si="25">+SUM(F129:F131)</f>
        <v>9.56</v>
      </c>
      <c r="G132" s="129">
        <f t="shared" si="25"/>
        <v>15.549999999999999</v>
      </c>
      <c r="H132" s="130">
        <f t="shared" si="25"/>
        <v>20.75</v>
      </c>
      <c r="I132" s="129"/>
      <c r="J132" s="129"/>
      <c r="K132" s="129"/>
      <c r="L132" s="129"/>
      <c r="M132" s="129"/>
      <c r="N132" s="8"/>
    </row>
    <row r="133" spans="1:14" s="128" customFormat="1">
      <c r="A133" s="8"/>
      <c r="B133" s="15" t="s">
        <v>153</v>
      </c>
      <c r="C133" s="8"/>
      <c r="D133" s="8"/>
      <c r="E133" s="8"/>
      <c r="F133" s="153">
        <f>+F132/F120</f>
        <v>0.15933333333333335</v>
      </c>
      <c r="G133" s="153">
        <f>+G132/G120</f>
        <v>0.17277777777777775</v>
      </c>
      <c r="H133" s="168">
        <f>+H132/H120</f>
        <v>0.17291666666666666</v>
      </c>
      <c r="I133" s="153"/>
      <c r="J133" s="153"/>
      <c r="K133" s="153"/>
      <c r="L133" s="153"/>
      <c r="M133" s="153"/>
      <c r="N133" s="8"/>
    </row>
    <row r="134" spans="1:14" s="128" customFormat="1">
      <c r="A134" s="8"/>
      <c r="B134" s="15"/>
      <c r="C134" s="8"/>
      <c r="D134" s="8"/>
      <c r="E134" s="8"/>
      <c r="F134" s="153"/>
      <c r="G134" s="153"/>
      <c r="H134" s="168"/>
      <c r="I134" s="153"/>
      <c r="J134" s="153"/>
      <c r="K134" s="153"/>
      <c r="L134" s="153"/>
      <c r="M134" s="153"/>
      <c r="N134" s="8"/>
    </row>
    <row r="135" spans="1:14">
      <c r="B135" s="6" t="s">
        <v>135</v>
      </c>
      <c r="C135" s="35"/>
      <c r="D135" s="35"/>
      <c r="E135" s="35"/>
      <c r="F135" s="116"/>
      <c r="G135" s="116"/>
      <c r="H135" s="91"/>
      <c r="I135" s="35"/>
      <c r="J135" s="35"/>
      <c r="K135" s="35"/>
      <c r="L135" s="35"/>
      <c r="M135" s="35"/>
    </row>
    <row r="136" spans="1:14">
      <c r="B136" s="2" t="s">
        <v>230</v>
      </c>
      <c r="F136" s="40"/>
      <c r="G136" s="127"/>
      <c r="H136" s="110"/>
      <c r="I136" s="127"/>
      <c r="J136" s="127"/>
      <c r="K136" s="127"/>
      <c r="L136" s="127"/>
      <c r="M136" s="127"/>
    </row>
    <row r="137" spans="1:14" s="128" customFormat="1">
      <c r="A137" s="8"/>
      <c r="B137" s="138" t="s">
        <v>110</v>
      </c>
      <c r="C137" s="2"/>
      <c r="D137" s="2"/>
      <c r="E137" s="2"/>
      <c r="F137" s="145"/>
      <c r="G137" s="145"/>
      <c r="H137" s="144"/>
      <c r="I137" s="145"/>
      <c r="J137" s="145"/>
      <c r="K137" s="145"/>
      <c r="L137" s="145"/>
      <c r="M137" s="145"/>
      <c r="N137" s="8"/>
    </row>
    <row r="138" spans="1:14">
      <c r="B138" s="2" t="s">
        <v>235</v>
      </c>
      <c r="F138" s="170"/>
      <c r="G138" s="169"/>
      <c r="H138" s="177"/>
      <c r="I138" s="169"/>
      <c r="J138" s="169"/>
      <c r="K138" s="169"/>
      <c r="L138" s="169"/>
      <c r="M138" s="169"/>
    </row>
    <row r="139" spans="1:14">
      <c r="B139" s="2" t="s">
        <v>120</v>
      </c>
      <c r="F139" s="36"/>
      <c r="G139" s="36"/>
      <c r="H139" s="115"/>
      <c r="I139" s="36"/>
      <c r="J139" s="36"/>
      <c r="K139" s="36"/>
      <c r="L139" s="36"/>
      <c r="M139" s="36"/>
    </row>
    <row r="140" spans="1:14">
      <c r="F140" s="36"/>
      <c r="G140" s="36"/>
      <c r="H140" s="115"/>
      <c r="I140" s="36"/>
      <c r="J140" s="36"/>
      <c r="K140" s="36"/>
      <c r="L140" s="36"/>
      <c r="M140" s="36"/>
    </row>
    <row r="141" spans="1:14">
      <c r="B141" s="2" t="s">
        <v>111</v>
      </c>
      <c r="F141" s="170"/>
      <c r="G141" s="42"/>
      <c r="H141" s="136"/>
      <c r="I141" s="42"/>
      <c r="J141" s="42"/>
      <c r="K141" s="42"/>
      <c r="L141" s="42"/>
      <c r="M141" s="42"/>
    </row>
    <row r="142" spans="1:14">
      <c r="B142" s="2" t="s">
        <v>126</v>
      </c>
      <c r="F142" s="170"/>
      <c r="G142" s="41"/>
      <c r="H142" s="135"/>
      <c r="I142" s="41"/>
      <c r="J142" s="41"/>
      <c r="K142" s="41"/>
      <c r="L142" s="41"/>
      <c r="M142" s="41"/>
    </row>
    <row r="143" spans="1:14">
      <c r="B143" s="2" t="s">
        <v>124</v>
      </c>
      <c r="F143" s="170"/>
      <c r="G143" s="169"/>
      <c r="H143" s="177"/>
      <c r="I143" s="169"/>
      <c r="J143" s="169"/>
      <c r="K143" s="169"/>
      <c r="L143" s="169"/>
      <c r="M143" s="169"/>
    </row>
    <row r="144" spans="1:14">
      <c r="B144" s="2" t="s">
        <v>138</v>
      </c>
      <c r="F144" s="170"/>
      <c r="G144" s="41"/>
      <c r="H144" s="135"/>
      <c r="I144" s="41"/>
      <c r="J144" s="41"/>
      <c r="K144" s="41"/>
      <c r="L144" s="41"/>
      <c r="M144" s="41"/>
    </row>
    <row r="145" spans="1:14">
      <c r="H145" s="112"/>
    </row>
    <row r="146" spans="1:14">
      <c r="B146" s="6" t="s">
        <v>134</v>
      </c>
      <c r="F146" s="41"/>
      <c r="G146" s="41"/>
      <c r="H146" s="135"/>
      <c r="I146" s="41"/>
      <c r="J146" s="41"/>
      <c r="K146" s="41"/>
      <c r="L146" s="41"/>
      <c r="M146" s="41"/>
    </row>
    <row r="147" spans="1:14">
      <c r="B147" s="2" t="s">
        <v>231</v>
      </c>
      <c r="C147" s="35"/>
      <c r="F147" s="116"/>
      <c r="G147" s="287">
        <f>+G56/F27</f>
        <v>7.9646017699115043E-2</v>
      </c>
      <c r="H147" s="288">
        <f t="shared" ref="H147" si="26">+H56/G27</f>
        <v>7.7319587628865982E-2</v>
      </c>
      <c r="I147" s="287"/>
      <c r="J147" s="287"/>
      <c r="K147" s="287"/>
      <c r="L147" s="287"/>
      <c r="M147" s="287"/>
    </row>
    <row r="148" spans="1:14">
      <c r="B148" s="2" t="s">
        <v>128</v>
      </c>
      <c r="C148" s="35"/>
      <c r="F148" s="116"/>
      <c r="G148" s="36">
        <f>1/G147</f>
        <v>12.555555555555555</v>
      </c>
      <c r="H148" s="115">
        <f t="shared" ref="H148" si="27">1/H147</f>
        <v>12.933333333333334</v>
      </c>
      <c r="I148" s="36"/>
      <c r="J148" s="36"/>
      <c r="K148" s="36"/>
      <c r="L148" s="36"/>
      <c r="M148" s="36"/>
    </row>
    <row r="149" spans="1:14">
      <c r="B149" s="2" t="s">
        <v>233</v>
      </c>
      <c r="F149" s="36">
        <f>+F120</f>
        <v>60</v>
      </c>
      <c r="G149" s="36">
        <f t="shared" ref="G149:H149" si="28">+G120</f>
        <v>90</v>
      </c>
      <c r="H149" s="115">
        <f t="shared" si="28"/>
        <v>120</v>
      </c>
      <c r="I149" s="36"/>
      <c r="J149" s="36"/>
      <c r="K149" s="36"/>
      <c r="L149" s="36"/>
      <c r="M149" s="36"/>
    </row>
    <row r="150" spans="1:14">
      <c r="B150" s="2" t="s">
        <v>234</v>
      </c>
      <c r="F150" s="127">
        <f>+F112</f>
        <v>0</v>
      </c>
      <c r="G150" s="127">
        <f t="shared" ref="G150:H150" si="29">+G112</f>
        <v>0</v>
      </c>
      <c r="H150" s="110">
        <f t="shared" si="29"/>
        <v>0</v>
      </c>
      <c r="I150" s="127"/>
      <c r="J150" s="127"/>
      <c r="K150" s="127"/>
      <c r="L150" s="127"/>
      <c r="M150" s="127"/>
    </row>
    <row r="151" spans="1:14">
      <c r="B151" s="138" t="s">
        <v>133</v>
      </c>
      <c r="F151" s="174">
        <f>+'Model (End)'!C65</f>
        <v>0.67673086933888593</v>
      </c>
      <c r="G151" s="174">
        <f>+'Model (End)'!D65</f>
        <v>0.69739235900545782</v>
      </c>
      <c r="H151" s="175">
        <f>+'Model (End)'!E65</f>
        <v>0.70430847924454054</v>
      </c>
      <c r="I151" s="174"/>
      <c r="J151" s="174"/>
      <c r="K151" s="174"/>
      <c r="L151" s="174"/>
      <c r="M151" s="174"/>
    </row>
    <row r="152" spans="1:14" s="128" customFormat="1">
      <c r="A152" s="8"/>
      <c r="B152" s="2" t="s">
        <v>254</v>
      </c>
      <c r="C152" s="2"/>
      <c r="D152" s="2"/>
      <c r="E152" s="2"/>
      <c r="F152" s="150">
        <f>+F64</f>
        <v>0.2</v>
      </c>
      <c r="G152" s="150">
        <f>+G65</f>
        <v>0.2</v>
      </c>
      <c r="H152" s="151">
        <f>+H66</f>
        <v>0.2</v>
      </c>
      <c r="I152" s="150"/>
      <c r="J152" s="150"/>
      <c r="K152" s="150"/>
      <c r="L152" s="150"/>
      <c r="M152" s="150"/>
      <c r="N152" s="8"/>
    </row>
    <row r="153" spans="1:14" s="128" customFormat="1">
      <c r="A153" s="8"/>
      <c r="B153" s="2"/>
      <c r="C153" s="2"/>
      <c r="D153" s="2"/>
      <c r="E153" s="2"/>
      <c r="F153" s="148"/>
      <c r="G153" s="148"/>
      <c r="H153" s="148"/>
      <c r="I153" s="148"/>
      <c r="J153" s="148"/>
      <c r="K153" s="148"/>
      <c r="L153" s="148"/>
      <c r="M153" s="148"/>
      <c r="N153" s="8"/>
    </row>
    <row r="154" spans="1:14">
      <c r="B154" s="15" t="s">
        <v>112</v>
      </c>
    </row>
  </sheetData>
  <pageMargins left="0.7" right="0.7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5337-834B-4E05-91FB-E4D4227A3AF6}">
  <dimension ref="A1:K21"/>
  <sheetViews>
    <sheetView showGridLines="0" zoomScale="150" zoomScaleNormal="150" zoomScaleSheetLayoutView="140" workbookViewId="0"/>
  </sheetViews>
  <sheetFormatPr defaultColWidth="9.1328125" defaultRowHeight="13.15"/>
  <cols>
    <col min="1" max="1" width="6.3984375" style="2" customWidth="1"/>
    <col min="2" max="2" width="22" style="2" customWidth="1"/>
    <col min="3" max="4" width="9.73046875" style="2" customWidth="1"/>
    <col min="5" max="10" width="11.86328125" style="2" customWidth="1"/>
    <col min="11" max="11" width="9.1328125" style="2"/>
    <col min="12" max="16384" width="9.1328125" style="1"/>
  </cols>
  <sheetData>
    <row r="1" spans="2:10">
      <c r="B1" s="15"/>
    </row>
    <row r="2" spans="2:10" s="2" customFormat="1">
      <c r="B2" s="3" t="s">
        <v>51</v>
      </c>
      <c r="C2" s="3"/>
      <c r="D2" s="3"/>
      <c r="E2" s="4"/>
      <c r="F2" s="4"/>
      <c r="G2" s="4"/>
      <c r="H2" s="4"/>
      <c r="I2" s="4"/>
      <c r="J2" s="19" t="s">
        <v>37</v>
      </c>
    </row>
    <row r="3" spans="2:10" s="2" customFormat="1">
      <c r="B3" s="5"/>
      <c r="C3" s="10"/>
      <c r="D3" s="10"/>
      <c r="E3" s="89">
        <v>0</v>
      </c>
      <c r="F3" s="10">
        <v>1</v>
      </c>
      <c r="G3" s="10">
        <f>F3+1</f>
        <v>2</v>
      </c>
      <c r="H3" s="10">
        <f>G3+1</f>
        <v>3</v>
      </c>
      <c r="I3" s="10">
        <f>H3+1</f>
        <v>4</v>
      </c>
      <c r="J3" s="10">
        <f>I3+1</f>
        <v>5</v>
      </c>
    </row>
    <row r="4" spans="2:10" s="2" customFormat="1">
      <c r="B4" s="20" t="s">
        <v>54</v>
      </c>
      <c r="C4" s="22"/>
      <c r="D4" s="20"/>
      <c r="E4" s="306"/>
      <c r="F4" s="26"/>
      <c r="G4" s="26"/>
      <c r="H4" s="26"/>
      <c r="I4" s="26"/>
      <c r="J4" s="26"/>
    </row>
    <row r="5" spans="2:10" s="2" customFormat="1">
      <c r="B5" s="21" t="str">
        <f>+'Model (End)'!$G$9</f>
        <v>Management case</v>
      </c>
      <c r="D5" s="11"/>
      <c r="E5" s="115"/>
      <c r="F5" s="27"/>
      <c r="G5" s="27"/>
      <c r="H5" s="27"/>
      <c r="I5" s="27"/>
      <c r="J5" s="27"/>
    </row>
    <row r="6" spans="2:10" s="2" customFormat="1">
      <c r="B6" s="21" t="str">
        <f>+'Model (End)'!$G$10</f>
        <v>Base case</v>
      </c>
      <c r="D6" s="11"/>
      <c r="E6" s="115"/>
      <c r="F6" s="310"/>
      <c r="G6" s="310"/>
      <c r="H6" s="310"/>
      <c r="I6" s="310"/>
      <c r="J6" s="310"/>
    </row>
    <row r="7" spans="2:10">
      <c r="E7" s="112"/>
    </row>
    <row r="8" spans="2:10">
      <c r="B8" s="28" t="s">
        <v>55</v>
      </c>
      <c r="D8" s="11" t="s">
        <v>56</v>
      </c>
      <c r="E8" s="112"/>
    </row>
    <row r="9" spans="2:10">
      <c r="B9" s="11" t="str">
        <f>+'Model (End)'!$G$9</f>
        <v>Management case</v>
      </c>
      <c r="D9" s="32"/>
      <c r="E9" s="303"/>
      <c r="F9" s="31"/>
      <c r="G9" s="31"/>
      <c r="H9" s="31"/>
      <c r="I9" s="31"/>
      <c r="J9" s="31"/>
    </row>
    <row r="10" spans="2:10">
      <c r="B10" s="11" t="str">
        <f>+'Model (End)'!$G$10</f>
        <v>Base case</v>
      </c>
      <c r="D10" s="33"/>
      <c r="E10" s="303"/>
      <c r="F10" s="31"/>
      <c r="G10" s="31"/>
      <c r="H10" s="31"/>
      <c r="I10" s="31"/>
      <c r="J10" s="31"/>
    </row>
    <row r="11" spans="2:10">
      <c r="B11" s="11"/>
      <c r="D11" s="317"/>
      <c r="E11" s="303"/>
      <c r="F11" s="31"/>
      <c r="G11" s="31"/>
      <c r="H11" s="31"/>
      <c r="I11" s="31"/>
      <c r="J11" s="31"/>
    </row>
    <row r="12" spans="2:10">
      <c r="B12" s="21"/>
      <c r="C12" s="29"/>
      <c r="E12" s="304"/>
      <c r="F12" s="24"/>
      <c r="G12" s="24"/>
      <c r="H12" s="24"/>
      <c r="I12" s="24"/>
      <c r="J12" s="24"/>
    </row>
    <row r="13" spans="2:10" s="2" customFormat="1">
      <c r="B13" s="20" t="s">
        <v>252</v>
      </c>
      <c r="C13" s="22"/>
      <c r="D13" s="20"/>
      <c r="E13" s="306"/>
      <c r="F13" s="26"/>
      <c r="G13" s="26"/>
      <c r="H13" s="26"/>
      <c r="I13" s="26"/>
      <c r="J13" s="26"/>
    </row>
    <row r="14" spans="2:10" s="2" customFormat="1">
      <c r="B14" s="21" t="str">
        <f>+'Model (End)'!$G$9</f>
        <v>Management case</v>
      </c>
      <c r="D14" s="11"/>
      <c r="E14" s="115"/>
      <c r="F14" s="27"/>
      <c r="G14" s="27"/>
      <c r="H14" s="27"/>
      <c r="I14" s="27"/>
      <c r="J14" s="27"/>
    </row>
    <row r="15" spans="2:10" s="2" customFormat="1">
      <c r="B15" s="21" t="str">
        <f>+'Model (End)'!$G$10</f>
        <v>Base case</v>
      </c>
      <c r="D15" s="11"/>
      <c r="E15" s="115"/>
      <c r="F15" s="310"/>
      <c r="G15" s="310"/>
      <c r="H15" s="310"/>
      <c r="I15" s="310"/>
      <c r="J15" s="310"/>
    </row>
    <row r="16" spans="2:10">
      <c r="E16" s="112"/>
    </row>
    <row r="17" spans="2:10">
      <c r="B17" s="28" t="s">
        <v>29</v>
      </c>
      <c r="D17" s="11" t="s">
        <v>56</v>
      </c>
      <c r="E17" s="112"/>
    </row>
    <row r="18" spans="2:10">
      <c r="B18" s="11" t="str">
        <f>+'Model (End)'!$G$9</f>
        <v>Management case</v>
      </c>
      <c r="D18" s="32"/>
      <c r="E18" s="303"/>
      <c r="F18" s="31"/>
      <c r="G18" s="31"/>
      <c r="H18" s="31"/>
      <c r="I18" s="31"/>
      <c r="J18" s="31"/>
    </row>
    <row r="19" spans="2:10">
      <c r="B19" s="11" t="str">
        <f>+'Model (End)'!$G$10</f>
        <v>Base case</v>
      </c>
      <c r="D19" s="33"/>
      <c r="E19" s="303"/>
      <c r="F19" s="31"/>
      <c r="G19" s="31"/>
      <c r="H19" s="31"/>
      <c r="I19" s="31"/>
      <c r="J19" s="31"/>
    </row>
    <row r="20" spans="2:10" s="2" customFormat="1">
      <c r="B20" s="21"/>
      <c r="C20" s="23"/>
      <c r="E20" s="25"/>
      <c r="F20" s="25"/>
      <c r="G20" s="25"/>
      <c r="H20" s="25"/>
      <c r="I20" s="25"/>
      <c r="J20" s="25"/>
    </row>
    <row r="21" spans="2:10" s="2" customFormat="1"/>
  </sheetData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9F63-0501-49E9-8395-30D9E73918EC}">
  <dimension ref="A1:AA75"/>
  <sheetViews>
    <sheetView showGridLines="0" zoomScale="120" zoomScaleNormal="120" zoomScaleSheetLayoutView="130" workbookViewId="0"/>
  </sheetViews>
  <sheetFormatPr defaultColWidth="9.1328125" defaultRowHeight="13.15"/>
  <cols>
    <col min="1" max="1" width="10" style="2" customWidth="1"/>
    <col min="2" max="2" width="18.265625" style="2" customWidth="1"/>
    <col min="3" max="3" width="9.59765625" style="2" customWidth="1"/>
    <col min="4" max="4" width="2.73046875" style="2" customWidth="1"/>
    <col min="5" max="5" width="10.1328125" style="2" customWidth="1"/>
    <col min="6" max="7" width="11.265625" style="2" customWidth="1"/>
    <col min="8" max="8" width="1.86328125" style="2" customWidth="1"/>
    <col min="9" max="11" width="11.265625" style="2" customWidth="1"/>
    <col min="12" max="12" width="2.86328125" style="2" customWidth="1"/>
    <col min="13" max="13" width="11.265625" style="2" customWidth="1"/>
    <col min="14" max="15" width="9.1328125" style="2"/>
    <col min="16" max="16" width="2.3984375" style="2" customWidth="1"/>
    <col min="17" max="19" width="9.1328125" style="2" customWidth="1"/>
    <col min="20" max="20" width="2.3984375" style="2" customWidth="1"/>
    <col min="21" max="23" width="9.1328125" style="2" customWidth="1"/>
    <col min="24" max="24" width="2.3984375" style="2" customWidth="1"/>
    <col min="25" max="27" width="9.1328125" style="2"/>
    <col min="28" max="16384" width="9.1328125" style="1"/>
  </cols>
  <sheetData>
    <row r="1" spans="1:27">
      <c r="B1" s="15"/>
      <c r="C1" s="15"/>
      <c r="D1" s="15"/>
    </row>
    <row r="2" spans="1:27" s="44" customFormat="1" ht="13.5" customHeight="1">
      <c r="B2" s="45" t="s">
        <v>180</v>
      </c>
      <c r="C2" s="45"/>
      <c r="D2" s="45"/>
      <c r="E2" s="45"/>
      <c r="F2" s="45"/>
      <c r="G2" s="46"/>
      <c r="H2" s="46"/>
      <c r="I2" s="46"/>
      <c r="J2" s="46"/>
      <c r="K2" s="46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s="44" customFormat="1" ht="13.5" customHeight="1">
      <c r="E3" s="289" t="s">
        <v>190</v>
      </c>
      <c r="F3" s="290"/>
      <c r="G3" s="290"/>
      <c r="H3" s="290"/>
      <c r="I3" s="290"/>
      <c r="J3" s="290"/>
      <c r="K3" s="291"/>
      <c r="M3" s="289" t="s">
        <v>191</v>
      </c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1"/>
    </row>
    <row r="4" spans="1:27" s="44" customFormat="1" ht="13.5" customHeight="1">
      <c r="C4" s="227" t="s">
        <v>187</v>
      </c>
      <c r="D4" s="227"/>
      <c r="E4" s="268" t="s">
        <v>183</v>
      </c>
      <c r="F4" s="268"/>
      <c r="G4" s="268"/>
      <c r="I4" s="268" t="s">
        <v>186</v>
      </c>
      <c r="J4" s="268"/>
      <c r="K4" s="268"/>
      <c r="M4" s="268" t="s">
        <v>10</v>
      </c>
      <c r="N4" s="268"/>
      <c r="O4" s="268"/>
      <c r="Q4" s="268" t="s">
        <v>189</v>
      </c>
      <c r="R4" s="268"/>
      <c r="S4" s="268"/>
      <c r="U4" s="268" t="s">
        <v>11</v>
      </c>
      <c r="V4" s="268"/>
      <c r="W4" s="268"/>
      <c r="Y4" s="268" t="s">
        <v>53</v>
      </c>
      <c r="Z4" s="268"/>
      <c r="AA4" s="268"/>
    </row>
    <row r="5" spans="1:27" s="44" customFormat="1" ht="13.5" customHeight="1" thickBot="1">
      <c r="B5" s="271"/>
      <c r="C5" s="272" t="s">
        <v>188</v>
      </c>
      <c r="D5" s="272"/>
      <c r="E5" s="272" t="s">
        <v>181</v>
      </c>
      <c r="F5" s="272" t="s">
        <v>182</v>
      </c>
      <c r="G5" s="272" t="s">
        <v>269</v>
      </c>
      <c r="H5" s="272"/>
      <c r="I5" s="272" t="s">
        <v>181</v>
      </c>
      <c r="J5" s="272" t="s">
        <v>182</v>
      </c>
      <c r="K5" s="272" t="s">
        <v>269</v>
      </c>
      <c r="L5" s="271"/>
      <c r="M5" s="272" t="s">
        <v>181</v>
      </c>
      <c r="N5" s="272" t="s">
        <v>182</v>
      </c>
      <c r="O5" s="272" t="s">
        <v>269</v>
      </c>
      <c r="P5" s="272"/>
      <c r="Q5" s="272" t="s">
        <v>181</v>
      </c>
      <c r="R5" s="272" t="s">
        <v>182</v>
      </c>
      <c r="S5" s="272" t="s">
        <v>269</v>
      </c>
      <c r="T5" s="272"/>
      <c r="U5" s="272" t="s">
        <v>181</v>
      </c>
      <c r="V5" s="272" t="s">
        <v>182</v>
      </c>
      <c r="W5" s="272" t="s">
        <v>269</v>
      </c>
      <c r="X5" s="272"/>
      <c r="Y5" s="272" t="s">
        <v>181</v>
      </c>
      <c r="Z5" s="272" t="s">
        <v>182</v>
      </c>
      <c r="AA5" s="272" t="s">
        <v>269</v>
      </c>
    </row>
    <row r="6" spans="1:27" s="44" customFormat="1" ht="4.5" customHeight="1">
      <c r="B6" s="227"/>
      <c r="C6" s="227"/>
      <c r="D6" s="227"/>
      <c r="E6" s="270"/>
      <c r="F6" s="270"/>
      <c r="G6" s="270"/>
      <c r="H6" s="270"/>
      <c r="I6" s="227"/>
      <c r="J6" s="227"/>
      <c r="K6" s="227"/>
      <c r="L6" s="227"/>
      <c r="M6" s="227"/>
    </row>
    <row r="7" spans="1:27" s="44" customFormat="1" ht="13.5" customHeight="1">
      <c r="B7" s="44" t="s">
        <v>205</v>
      </c>
      <c r="C7" s="50">
        <v>9536</v>
      </c>
      <c r="D7" s="276"/>
      <c r="E7" s="278">
        <f>+$C7/M7</f>
        <v>18.163809523809523</v>
      </c>
      <c r="F7" s="278">
        <f t="shared" ref="F7:G14" si="0">+$C7/N7</f>
        <v>10.684593837535013</v>
      </c>
      <c r="G7" s="278">
        <f t="shared" si="0"/>
        <v>6.677871148459384</v>
      </c>
      <c r="H7" s="278"/>
      <c r="I7" s="278">
        <f t="shared" ref="I7:K14" si="1">+$C7/U7</f>
        <v>-181.63809523809525</v>
      </c>
      <c r="J7" s="278">
        <f t="shared" si="1"/>
        <v>-213.69187675070029</v>
      </c>
      <c r="K7" s="278">
        <f t="shared" si="1"/>
        <v>333.89355742296914</v>
      </c>
      <c r="M7" s="50">
        <v>525</v>
      </c>
      <c r="N7" s="75">
        <f t="shared" ref="N7:O14" si="2">+M7*(1+R7)</f>
        <v>892.5</v>
      </c>
      <c r="O7" s="75">
        <f t="shared" si="2"/>
        <v>1428</v>
      </c>
      <c r="Q7" s="277">
        <v>0.87</v>
      </c>
      <c r="R7" s="277">
        <v>0.7</v>
      </c>
      <c r="S7" s="277">
        <v>0.6</v>
      </c>
      <c r="U7" s="75">
        <f t="shared" ref="U7:W14" si="3">+Y7*M7</f>
        <v>-52.5</v>
      </c>
      <c r="V7" s="75">
        <f t="shared" si="3"/>
        <v>-44.625</v>
      </c>
      <c r="W7" s="75">
        <f t="shared" si="3"/>
        <v>28.560000000000002</v>
      </c>
      <c r="Y7" s="277">
        <v>-0.1</v>
      </c>
      <c r="Z7" s="277">
        <v>-0.05</v>
      </c>
      <c r="AA7" s="277">
        <v>0.02</v>
      </c>
    </row>
    <row r="8" spans="1:27" s="44" customFormat="1" ht="13.5" customHeight="1">
      <c r="A8" s="325"/>
      <c r="B8" s="44" t="s">
        <v>204</v>
      </c>
      <c r="C8" s="50">
        <v>5551</v>
      </c>
      <c r="D8" s="275"/>
      <c r="E8" s="278">
        <f t="shared" ref="E8:E14" si="4">+$C8/M8</f>
        <v>4.6258333333333335</v>
      </c>
      <c r="F8" s="278">
        <f t="shared" si="0"/>
        <v>4.130208333333333</v>
      </c>
      <c r="G8" s="278">
        <f t="shared" si="0"/>
        <v>3.7891819571865435</v>
      </c>
      <c r="H8" s="278"/>
      <c r="I8" s="278">
        <f t="shared" si="1"/>
        <v>14.017676767676768</v>
      </c>
      <c r="J8" s="278">
        <f t="shared" si="1"/>
        <v>11.800595238095237</v>
      </c>
      <c r="K8" s="278">
        <f t="shared" si="1"/>
        <v>10.826234163390124</v>
      </c>
      <c r="M8" s="50">
        <v>1200</v>
      </c>
      <c r="N8" s="75">
        <f t="shared" si="2"/>
        <v>1344.0000000000002</v>
      </c>
      <c r="O8" s="75">
        <f t="shared" si="2"/>
        <v>1464.9600000000003</v>
      </c>
      <c r="Q8" s="277">
        <v>0.08</v>
      </c>
      <c r="R8" s="277">
        <v>0.12</v>
      </c>
      <c r="S8" s="277">
        <v>0.09</v>
      </c>
      <c r="U8" s="75">
        <f t="shared" si="3"/>
        <v>396</v>
      </c>
      <c r="V8" s="75">
        <f t="shared" si="3"/>
        <v>470.40000000000003</v>
      </c>
      <c r="W8" s="75">
        <f t="shared" si="3"/>
        <v>512.7360000000001</v>
      </c>
      <c r="Y8" s="277">
        <v>0.33</v>
      </c>
      <c r="Z8" s="277">
        <v>0.35</v>
      </c>
      <c r="AA8" s="277">
        <v>0.35</v>
      </c>
    </row>
    <row r="9" spans="1:27" s="44" customFormat="1" ht="13.5" customHeight="1">
      <c r="A9" s="325"/>
      <c r="B9" s="44" t="s">
        <v>203</v>
      </c>
      <c r="C9" s="50">
        <v>5078</v>
      </c>
      <c r="D9" s="275"/>
      <c r="E9" s="278">
        <f t="shared" si="4"/>
        <v>15.295180722891565</v>
      </c>
      <c r="F9" s="278">
        <f t="shared" si="0"/>
        <v>8.4973226238286479</v>
      </c>
      <c r="G9" s="278">
        <f t="shared" si="0"/>
        <v>4.998425072840381</v>
      </c>
      <c r="H9" s="278"/>
      <c r="I9" s="278">
        <f t="shared" si="1"/>
        <v>-38.23795180722891</v>
      </c>
      <c r="J9" s="278">
        <f t="shared" si="1"/>
        <v>-28.324408746095493</v>
      </c>
      <c r="K9" s="278">
        <f t="shared" si="1"/>
        <v>-24.992125364201907</v>
      </c>
      <c r="M9" s="50">
        <v>332</v>
      </c>
      <c r="N9" s="75">
        <f t="shared" si="2"/>
        <v>597.6</v>
      </c>
      <c r="O9" s="75">
        <f t="shared" si="2"/>
        <v>1015.92</v>
      </c>
      <c r="Q9" s="277">
        <v>0.92</v>
      </c>
      <c r="R9" s="277">
        <v>0.8</v>
      </c>
      <c r="S9" s="277">
        <v>0.7</v>
      </c>
      <c r="U9" s="75">
        <f t="shared" si="3"/>
        <v>-132.80000000000001</v>
      </c>
      <c r="V9" s="75">
        <f t="shared" si="3"/>
        <v>-179.28</v>
      </c>
      <c r="W9" s="75">
        <f t="shared" si="3"/>
        <v>-203.184</v>
      </c>
      <c r="Y9" s="277">
        <v>-0.4</v>
      </c>
      <c r="Z9" s="277">
        <v>-0.3</v>
      </c>
      <c r="AA9" s="277">
        <v>-0.2</v>
      </c>
    </row>
    <row r="10" spans="1:27" s="44" customFormat="1" ht="13.5" customHeight="1">
      <c r="A10" s="325"/>
      <c r="B10" s="44" t="s">
        <v>202</v>
      </c>
      <c r="C10" s="50">
        <v>896</v>
      </c>
      <c r="D10" s="275"/>
      <c r="E10" s="278">
        <f t="shared" si="4"/>
        <v>11.487179487179487</v>
      </c>
      <c r="F10" s="278">
        <f t="shared" si="0"/>
        <v>7.6074036338936999</v>
      </c>
      <c r="G10" s="278">
        <f t="shared" si="0"/>
        <v>5.3953217261657453</v>
      </c>
      <c r="H10" s="278"/>
      <c r="I10" s="278">
        <f t="shared" si="1"/>
        <v>-45.948717948717949</v>
      </c>
      <c r="J10" s="278">
        <f t="shared" si="1"/>
        <v>-36.225731589970003</v>
      </c>
      <c r="K10" s="278">
        <f t="shared" si="1"/>
        <v>-28.39643013771445</v>
      </c>
      <c r="M10" s="50">
        <v>78</v>
      </c>
      <c r="N10" s="75">
        <f t="shared" si="2"/>
        <v>117.78</v>
      </c>
      <c r="O10" s="75">
        <f t="shared" si="2"/>
        <v>166.06979999999999</v>
      </c>
      <c r="Q10" s="277">
        <v>0.66</v>
      </c>
      <c r="R10" s="277">
        <v>0.51</v>
      </c>
      <c r="S10" s="277">
        <v>0.41</v>
      </c>
      <c r="U10" s="75">
        <f t="shared" si="3"/>
        <v>-19.5</v>
      </c>
      <c r="V10" s="75">
        <f t="shared" si="3"/>
        <v>-24.733799999999999</v>
      </c>
      <c r="W10" s="75">
        <f t="shared" si="3"/>
        <v>-31.553261999999997</v>
      </c>
      <c r="Y10" s="277">
        <v>-0.25</v>
      </c>
      <c r="Z10" s="277">
        <v>-0.21</v>
      </c>
      <c r="AA10" s="277">
        <v>-0.19</v>
      </c>
    </row>
    <row r="11" spans="1:27" s="44" customFormat="1" ht="13.5" customHeight="1">
      <c r="A11" s="325"/>
      <c r="B11" s="44" t="s">
        <v>201</v>
      </c>
      <c r="C11" s="50">
        <v>7412</v>
      </c>
      <c r="D11" s="275"/>
      <c r="E11" s="278">
        <f t="shared" si="4"/>
        <v>12.332778702163061</v>
      </c>
      <c r="F11" s="278">
        <f t="shared" si="0"/>
        <v>10.108835001773</v>
      </c>
      <c r="G11" s="278">
        <f t="shared" si="0"/>
        <v>8.0870680014184</v>
      </c>
      <c r="H11" s="278"/>
      <c r="I11" s="278">
        <f t="shared" si="1"/>
        <v>-246.65557404326123</v>
      </c>
      <c r="J11" s="278">
        <f t="shared" si="1"/>
        <v>336.9611667257667</v>
      </c>
      <c r="K11" s="278">
        <f t="shared" si="1"/>
        <v>80.870680014183989</v>
      </c>
      <c r="M11" s="50">
        <v>601</v>
      </c>
      <c r="N11" s="75">
        <f t="shared" si="2"/>
        <v>733.22</v>
      </c>
      <c r="O11" s="75">
        <f t="shared" si="2"/>
        <v>916.52500000000009</v>
      </c>
      <c r="Q11" s="277">
        <v>0.27</v>
      </c>
      <c r="R11" s="277">
        <v>0.22</v>
      </c>
      <c r="S11" s="277">
        <v>0.25</v>
      </c>
      <c r="U11" s="75">
        <f t="shared" si="3"/>
        <v>-30.05</v>
      </c>
      <c r="V11" s="75">
        <f t="shared" si="3"/>
        <v>21.996600000000001</v>
      </c>
      <c r="W11" s="75">
        <f t="shared" si="3"/>
        <v>91.652500000000018</v>
      </c>
      <c r="Y11" s="277">
        <v>-0.05</v>
      </c>
      <c r="Z11" s="277">
        <v>0.03</v>
      </c>
      <c r="AA11" s="277">
        <v>0.1</v>
      </c>
    </row>
    <row r="12" spans="1:27" s="44" customFormat="1" ht="13.5" customHeight="1">
      <c r="A12" s="325"/>
      <c r="B12" s="44" t="s">
        <v>200</v>
      </c>
      <c r="C12" s="50">
        <v>4301</v>
      </c>
      <c r="D12" s="275"/>
      <c r="E12" s="278">
        <f t="shared" si="4"/>
        <v>14.336666666666666</v>
      </c>
      <c r="F12" s="278">
        <f t="shared" si="0"/>
        <v>10.779448621553884</v>
      </c>
      <c r="G12" s="278">
        <f t="shared" si="0"/>
        <v>8.6235588972431074</v>
      </c>
      <c r="H12" s="278"/>
      <c r="I12" s="278">
        <f t="shared" si="1"/>
        <v>119.47222222222223</v>
      </c>
      <c r="J12" s="278">
        <f t="shared" si="1"/>
        <v>71.862990810359236</v>
      </c>
      <c r="K12" s="278">
        <f t="shared" si="1"/>
        <v>53.897243107769427</v>
      </c>
      <c r="M12" s="50">
        <v>300</v>
      </c>
      <c r="N12" s="75">
        <f t="shared" si="2"/>
        <v>399</v>
      </c>
      <c r="O12" s="75">
        <f t="shared" si="2"/>
        <v>498.75</v>
      </c>
      <c r="Q12" s="277">
        <v>0.35</v>
      </c>
      <c r="R12" s="277">
        <v>0.33</v>
      </c>
      <c r="S12" s="277">
        <v>0.25</v>
      </c>
      <c r="U12" s="75">
        <f t="shared" si="3"/>
        <v>36</v>
      </c>
      <c r="V12" s="75">
        <f t="shared" si="3"/>
        <v>59.849999999999994</v>
      </c>
      <c r="W12" s="75">
        <f t="shared" si="3"/>
        <v>79.8</v>
      </c>
      <c r="Y12" s="277">
        <v>0.12</v>
      </c>
      <c r="Z12" s="277">
        <v>0.15</v>
      </c>
      <c r="AA12" s="277">
        <v>0.16</v>
      </c>
    </row>
    <row r="13" spans="1:27" s="44" customFormat="1" ht="13.5" customHeight="1">
      <c r="A13" s="325"/>
      <c r="B13" s="44" t="s">
        <v>199</v>
      </c>
      <c r="C13" s="50">
        <v>5523</v>
      </c>
      <c r="D13" s="275"/>
      <c r="E13" s="278">
        <f t="shared" si="4"/>
        <v>24.990950226244344</v>
      </c>
      <c r="F13" s="278">
        <f t="shared" si="0"/>
        <v>12.190707427436266</v>
      </c>
      <c r="G13" s="278">
        <f t="shared" si="0"/>
        <v>6.5895715823979817</v>
      </c>
      <c r="H13" s="278"/>
      <c r="I13" s="278">
        <f t="shared" si="1"/>
        <v>-131.53131698023338</v>
      </c>
      <c r="J13" s="278">
        <f t="shared" si="1"/>
        <v>-67.72615237464592</v>
      </c>
      <c r="K13" s="278">
        <f t="shared" si="1"/>
        <v>-38.762185778811649</v>
      </c>
      <c r="M13" s="50">
        <v>221</v>
      </c>
      <c r="N13" s="75">
        <f t="shared" si="2"/>
        <v>453.04999999999995</v>
      </c>
      <c r="O13" s="75">
        <f t="shared" si="2"/>
        <v>838.14249999999993</v>
      </c>
      <c r="Q13" s="277">
        <v>1.08</v>
      </c>
      <c r="R13" s="277">
        <v>1.05</v>
      </c>
      <c r="S13" s="277">
        <v>0.85</v>
      </c>
      <c r="U13" s="75">
        <f t="shared" si="3"/>
        <v>-41.99</v>
      </c>
      <c r="V13" s="75">
        <f t="shared" si="3"/>
        <v>-81.548999999999992</v>
      </c>
      <c r="W13" s="75">
        <f t="shared" si="3"/>
        <v>-142.48422500000001</v>
      </c>
      <c r="Y13" s="277">
        <v>-0.19</v>
      </c>
      <c r="Z13" s="277">
        <v>-0.18</v>
      </c>
      <c r="AA13" s="277">
        <v>-0.17</v>
      </c>
    </row>
    <row r="14" spans="1:27" s="44" customFormat="1" ht="13.5" customHeight="1">
      <c r="A14" s="325"/>
      <c r="B14" s="44" t="s">
        <v>198</v>
      </c>
      <c r="C14" s="50">
        <v>2217</v>
      </c>
      <c r="D14" s="275"/>
      <c r="E14" s="278">
        <f t="shared" si="4"/>
        <v>5.5012406947890815</v>
      </c>
      <c r="F14" s="278">
        <f t="shared" si="0"/>
        <v>5.0470098117331021</v>
      </c>
      <c r="G14" s="278">
        <f t="shared" si="0"/>
        <v>4.7168315997505621</v>
      </c>
      <c r="H14" s="278"/>
      <c r="I14" s="278">
        <f t="shared" si="1"/>
        <v>15.717830556540235</v>
      </c>
      <c r="J14" s="278">
        <f t="shared" si="1"/>
        <v>14.844146505097358</v>
      </c>
      <c r="K14" s="278">
        <f t="shared" si="1"/>
        <v>13.873034116913418</v>
      </c>
      <c r="M14" s="50">
        <v>403</v>
      </c>
      <c r="N14" s="75">
        <f t="shared" si="2"/>
        <v>439.27000000000004</v>
      </c>
      <c r="O14" s="75">
        <f t="shared" si="2"/>
        <v>470.01890000000009</v>
      </c>
      <c r="Q14" s="277">
        <v>0.1</v>
      </c>
      <c r="R14" s="277">
        <v>0.09</v>
      </c>
      <c r="S14" s="277">
        <v>7.0000000000000007E-2</v>
      </c>
      <c r="U14" s="75">
        <f t="shared" si="3"/>
        <v>141.04999999999998</v>
      </c>
      <c r="V14" s="75">
        <f t="shared" si="3"/>
        <v>149.35180000000003</v>
      </c>
      <c r="W14" s="75">
        <f t="shared" si="3"/>
        <v>159.80642600000004</v>
      </c>
      <c r="Y14" s="277">
        <v>0.35</v>
      </c>
      <c r="Z14" s="277">
        <v>0.34</v>
      </c>
      <c r="AA14" s="277">
        <v>0.34</v>
      </c>
    </row>
    <row r="15" spans="1:27" s="44" customFormat="1" ht="13.5" customHeight="1">
      <c r="E15" s="278"/>
      <c r="F15" s="278"/>
      <c r="G15" s="278"/>
      <c r="H15" s="278"/>
      <c r="I15" s="279"/>
      <c r="J15" s="279"/>
      <c r="K15" s="279"/>
      <c r="O15" s="52"/>
    </row>
    <row r="16" spans="1:27" s="44" customFormat="1" ht="13.5" customHeight="1">
      <c r="B16" s="59" t="s">
        <v>271</v>
      </c>
      <c r="E16" s="278"/>
      <c r="F16" s="278"/>
      <c r="G16" s="278"/>
      <c r="H16" s="278"/>
      <c r="I16" s="279"/>
      <c r="J16" s="279"/>
      <c r="K16" s="279"/>
      <c r="O16" s="52"/>
    </row>
    <row r="17" spans="1:27" s="44" customFormat="1" ht="13.5" customHeight="1">
      <c r="B17" s="273" t="s">
        <v>184</v>
      </c>
      <c r="C17" s="54"/>
      <c r="D17" s="54"/>
      <c r="E17" s="280">
        <f>AVERAGE(E7:E14)</f>
        <v>13.341704919634632</v>
      </c>
      <c r="F17" s="280">
        <f>AVERAGE(F7:F14)</f>
        <v>8.6306911613858688</v>
      </c>
      <c r="G17" s="280">
        <f>AVERAGE(G7:G14)</f>
        <v>6.1097287481827633</v>
      </c>
      <c r="H17" s="280"/>
      <c r="I17" s="280">
        <f>AVERAGE(I7:I14)</f>
        <v>-61.850490808887187</v>
      </c>
      <c r="J17" s="280">
        <f>AVERAGE(J7:J14)</f>
        <v>11.187591227238356</v>
      </c>
      <c r="K17" s="281">
        <f>AVERAGE(K7:K14)</f>
        <v>50.151250943062252</v>
      </c>
    </row>
    <row r="18" spans="1:27">
      <c r="B18" s="274" t="s">
        <v>185</v>
      </c>
      <c r="C18" s="269"/>
      <c r="D18" s="269"/>
      <c r="E18" s="282">
        <f>MEDIAN(E7:E14)</f>
        <v>13.334722684414864</v>
      </c>
      <c r="F18" s="282">
        <f>MEDIAN(F7:F14)</f>
        <v>9.3030788128008233</v>
      </c>
      <c r="G18" s="282">
        <f>MEDIAN(G7:G14)</f>
        <v>5.9924466542818635</v>
      </c>
      <c r="H18" s="283"/>
      <c r="I18" s="282">
        <f>MEDIAN(I7:I14)</f>
        <v>-42.093334877973433</v>
      </c>
      <c r="J18" s="282">
        <f>MEDIAN(J7:J14)</f>
        <v>-8.2619067540001296</v>
      </c>
      <c r="K18" s="284">
        <f>MEDIAN(K7:K14)</f>
        <v>12.349634140151771</v>
      </c>
    </row>
    <row r="19" spans="1:27">
      <c r="B19" s="59"/>
      <c r="C19" s="59"/>
      <c r="D19" s="59"/>
      <c r="E19" s="335"/>
      <c r="F19" s="335"/>
      <c r="G19" s="335"/>
      <c r="H19" s="336"/>
      <c r="I19" s="335"/>
      <c r="J19" s="335"/>
      <c r="K19" s="335"/>
    </row>
    <row r="20" spans="1:27">
      <c r="B20" s="59" t="s">
        <v>270</v>
      </c>
      <c r="C20" s="59"/>
      <c r="D20" s="59"/>
      <c r="E20" s="335"/>
      <c r="F20" s="335"/>
      <c r="G20" s="335"/>
      <c r="H20" s="336"/>
      <c r="I20" s="335"/>
      <c r="J20" s="335"/>
      <c r="K20" s="335"/>
    </row>
    <row r="21" spans="1:27">
      <c r="B21" s="341" t="s">
        <v>184</v>
      </c>
      <c r="C21" s="337"/>
      <c r="D21" s="337"/>
      <c r="E21" s="338">
        <f>AVERAGE(E11:E12)</f>
        <v>13.334722684414864</v>
      </c>
      <c r="F21" s="338">
        <f>AVERAGE(F11:F12)</f>
        <v>10.444141811663442</v>
      </c>
      <c r="G21" s="338">
        <f>AVERAGE(G11:G12)</f>
        <v>8.3553134493307546</v>
      </c>
      <c r="H21" s="339"/>
      <c r="I21" s="338">
        <f>AVERAGE(I11:I12)</f>
        <v>-63.591675910519498</v>
      </c>
      <c r="J21" s="338">
        <f>AVERAGE(J11:J12)</f>
        <v>204.41207876806297</v>
      </c>
      <c r="K21" s="340">
        <f>AVERAGE(K11:K12)</f>
        <v>67.383961560976701</v>
      </c>
    </row>
    <row r="24" spans="1:27" s="44" customFormat="1" ht="13.5" customHeight="1">
      <c r="B24" s="45" t="s">
        <v>192</v>
      </c>
      <c r="C24" s="45"/>
      <c r="D24" s="45"/>
      <c r="E24" s="45"/>
      <c r="F24" s="45"/>
      <c r="G24" s="46"/>
      <c r="H24" s="46"/>
      <c r="I24" s="46"/>
      <c r="J24" s="46"/>
      <c r="K24" s="46"/>
      <c r="L24" s="46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s="44" customFormat="1" ht="13.5" customHeight="1">
      <c r="C25" s="227" t="s">
        <v>229</v>
      </c>
      <c r="E25" s="289" t="s">
        <v>190</v>
      </c>
      <c r="F25" s="290"/>
      <c r="G25" s="290"/>
      <c r="H25" s="290"/>
      <c r="I25" s="290"/>
      <c r="J25" s="290"/>
      <c r="K25" s="291"/>
      <c r="M25" s="289" t="s">
        <v>191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1"/>
    </row>
    <row r="26" spans="1:27" s="44" customFormat="1" ht="13.5" customHeight="1">
      <c r="C26" s="227" t="s">
        <v>187</v>
      </c>
      <c r="D26" s="227"/>
      <c r="E26" s="268" t="s">
        <v>183</v>
      </c>
      <c r="F26" s="268"/>
      <c r="G26" s="268"/>
      <c r="I26" s="268" t="s">
        <v>186</v>
      </c>
      <c r="J26" s="268"/>
      <c r="K26" s="268"/>
      <c r="M26" s="268" t="s">
        <v>10</v>
      </c>
      <c r="N26" s="268"/>
      <c r="O26" s="268"/>
      <c r="Q26" s="268" t="s">
        <v>189</v>
      </c>
      <c r="R26" s="268"/>
      <c r="S26" s="268"/>
      <c r="U26" s="268" t="s">
        <v>11</v>
      </c>
      <c r="V26" s="268"/>
      <c r="W26" s="268"/>
      <c r="Y26" s="268" t="s">
        <v>53</v>
      </c>
      <c r="Z26" s="268"/>
      <c r="AA26" s="268"/>
    </row>
    <row r="27" spans="1:27" s="44" customFormat="1" ht="13.5" customHeight="1" thickBot="1">
      <c r="B27" s="271"/>
      <c r="C27" s="272" t="s">
        <v>188</v>
      </c>
      <c r="D27" s="272"/>
      <c r="E27" s="272" t="s">
        <v>181</v>
      </c>
      <c r="F27" s="272" t="s">
        <v>182</v>
      </c>
      <c r="G27" s="272" t="s">
        <v>269</v>
      </c>
      <c r="H27" s="272"/>
      <c r="I27" s="272" t="s">
        <v>181</v>
      </c>
      <c r="J27" s="272" t="s">
        <v>182</v>
      </c>
      <c r="K27" s="272" t="s">
        <v>269</v>
      </c>
      <c r="L27" s="271"/>
      <c r="M27" s="272" t="s">
        <v>181</v>
      </c>
      <c r="N27" s="272" t="s">
        <v>182</v>
      </c>
      <c r="O27" s="272" t="s">
        <v>269</v>
      </c>
      <c r="P27" s="272"/>
      <c r="Q27" s="272" t="s">
        <v>181</v>
      </c>
      <c r="R27" s="272" t="s">
        <v>182</v>
      </c>
      <c r="S27" s="272" t="s">
        <v>269</v>
      </c>
      <c r="T27" s="272"/>
      <c r="U27" s="272" t="s">
        <v>181</v>
      </c>
      <c r="V27" s="272" t="s">
        <v>182</v>
      </c>
      <c r="W27" s="272" t="s">
        <v>269</v>
      </c>
      <c r="X27" s="272"/>
      <c r="Y27" s="272" t="s">
        <v>181</v>
      </c>
      <c r="Z27" s="272" t="s">
        <v>182</v>
      </c>
      <c r="AA27" s="272" t="s">
        <v>269</v>
      </c>
    </row>
    <row r="28" spans="1:27" s="44" customFormat="1" ht="4.5" customHeight="1">
      <c r="B28" s="227"/>
      <c r="C28" s="227"/>
      <c r="D28" s="227"/>
      <c r="E28" s="270"/>
      <c r="F28" s="270"/>
      <c r="G28" s="270"/>
      <c r="H28" s="270"/>
      <c r="I28" s="227"/>
      <c r="J28" s="227"/>
      <c r="K28" s="227"/>
      <c r="L28" s="227"/>
      <c r="M28" s="227"/>
    </row>
    <row r="29" spans="1:27" s="44" customFormat="1" ht="13.5" customHeight="1">
      <c r="A29" s="325"/>
      <c r="B29" s="44" t="s">
        <v>197</v>
      </c>
      <c r="C29" s="50">
        <v>3000</v>
      </c>
      <c r="D29" s="276"/>
      <c r="E29" s="278">
        <f>+$C29/M29</f>
        <v>24</v>
      </c>
      <c r="F29" s="278">
        <f t="shared" ref="F29:G33" si="5">+$C29/N29</f>
        <v>13.333333333333334</v>
      </c>
      <c r="G29" s="278">
        <f t="shared" si="5"/>
        <v>8.2304526748971192</v>
      </c>
      <c r="H29" s="278"/>
      <c r="I29" s="278">
        <f t="shared" ref="I29:K33" si="6">+$C29/U29</f>
        <v>-240</v>
      </c>
      <c r="J29" s="278">
        <f t="shared" si="6"/>
        <v>-266.66666666666669</v>
      </c>
      <c r="K29" s="278">
        <f t="shared" si="6"/>
        <v>411.52263374485597</v>
      </c>
      <c r="M29" s="50">
        <v>125</v>
      </c>
      <c r="N29" s="75">
        <f t="shared" ref="N29:O33" si="7">+M29*(1+R29)</f>
        <v>225</v>
      </c>
      <c r="O29" s="75">
        <f t="shared" si="7"/>
        <v>364.5</v>
      </c>
      <c r="Q29" s="277">
        <v>0.78</v>
      </c>
      <c r="R29" s="277">
        <v>0.8</v>
      </c>
      <c r="S29" s="277">
        <v>0.62</v>
      </c>
      <c r="U29" s="75">
        <f t="shared" ref="U29:W33" si="8">+Y29*M29</f>
        <v>-12.5</v>
      </c>
      <c r="V29" s="75">
        <f t="shared" si="8"/>
        <v>-11.25</v>
      </c>
      <c r="W29" s="75">
        <f t="shared" si="8"/>
        <v>7.29</v>
      </c>
      <c r="Y29" s="277">
        <v>-0.1</v>
      </c>
      <c r="Z29" s="277">
        <v>-0.05</v>
      </c>
      <c r="AA29" s="277">
        <v>0.02</v>
      </c>
    </row>
    <row r="30" spans="1:27" s="44" customFormat="1" ht="13.5" customHeight="1">
      <c r="A30" s="325"/>
      <c r="B30" s="44" t="s">
        <v>196</v>
      </c>
      <c r="C30" s="50">
        <v>8800</v>
      </c>
      <c r="D30" s="275"/>
      <c r="E30" s="278">
        <f t="shared" ref="E30:E33" si="9">+$C30/M30</f>
        <v>9.810479375696767</v>
      </c>
      <c r="F30" s="278">
        <f t="shared" si="5"/>
        <v>8.041376537456367</v>
      </c>
      <c r="G30" s="278">
        <f t="shared" si="5"/>
        <v>6.8147258792003109</v>
      </c>
      <c r="H30" s="278"/>
      <c r="I30" s="278">
        <f t="shared" si="6"/>
        <v>54.502663198315368</v>
      </c>
      <c r="J30" s="278">
        <f t="shared" si="6"/>
        <v>47.302214926213921</v>
      </c>
      <c r="K30" s="278">
        <f t="shared" si="6"/>
        <v>37.85958821777951</v>
      </c>
      <c r="M30" s="50">
        <v>897</v>
      </c>
      <c r="N30" s="75">
        <f t="shared" si="7"/>
        <v>1094.3399999999999</v>
      </c>
      <c r="O30" s="75">
        <f t="shared" si="7"/>
        <v>1291.3211999999999</v>
      </c>
      <c r="Q30" s="277">
        <v>0.32</v>
      </c>
      <c r="R30" s="277">
        <v>0.22</v>
      </c>
      <c r="S30" s="277">
        <v>0.18</v>
      </c>
      <c r="U30" s="75">
        <f t="shared" si="8"/>
        <v>161.46</v>
      </c>
      <c r="V30" s="75">
        <f t="shared" si="8"/>
        <v>186.0378</v>
      </c>
      <c r="W30" s="75">
        <f t="shared" si="8"/>
        <v>232.43781599999997</v>
      </c>
      <c r="Y30" s="277">
        <v>0.18</v>
      </c>
      <c r="Z30" s="277">
        <v>0.17</v>
      </c>
      <c r="AA30" s="277">
        <v>0.18</v>
      </c>
    </row>
    <row r="31" spans="1:27" s="44" customFormat="1" ht="13.5" customHeight="1">
      <c r="A31" s="325"/>
      <c r="B31" s="44" t="s">
        <v>195</v>
      </c>
      <c r="C31" s="50">
        <v>2500</v>
      </c>
      <c r="D31" s="275"/>
      <c r="E31" s="278">
        <f t="shared" si="9"/>
        <v>11.261261261261261</v>
      </c>
      <c r="F31" s="278">
        <f t="shared" si="5"/>
        <v>10.237510237510238</v>
      </c>
      <c r="G31" s="278">
        <f t="shared" si="5"/>
        <v>9.4791761458428105</v>
      </c>
      <c r="H31" s="278"/>
      <c r="I31" s="278">
        <f t="shared" si="6"/>
        <v>28.153153153153148</v>
      </c>
      <c r="J31" s="278">
        <f t="shared" si="6"/>
        <v>24.375024375024374</v>
      </c>
      <c r="K31" s="278">
        <f t="shared" si="6"/>
        <v>22.569467013911456</v>
      </c>
      <c r="M31" s="50">
        <v>222</v>
      </c>
      <c r="N31" s="75">
        <f t="shared" si="7"/>
        <v>244.20000000000002</v>
      </c>
      <c r="O31" s="75">
        <f t="shared" si="7"/>
        <v>263.73600000000005</v>
      </c>
      <c r="Q31" s="277">
        <v>0.12</v>
      </c>
      <c r="R31" s="277">
        <v>0.1</v>
      </c>
      <c r="S31" s="277">
        <v>0.08</v>
      </c>
      <c r="U31" s="75">
        <f t="shared" si="8"/>
        <v>88.800000000000011</v>
      </c>
      <c r="V31" s="75">
        <f t="shared" si="8"/>
        <v>102.56400000000001</v>
      </c>
      <c r="W31" s="75">
        <f t="shared" si="8"/>
        <v>110.76912000000002</v>
      </c>
      <c r="Y31" s="277">
        <v>0.4</v>
      </c>
      <c r="Z31" s="277">
        <v>0.42</v>
      </c>
      <c r="AA31" s="277">
        <v>0.42</v>
      </c>
    </row>
    <row r="32" spans="1:27" s="44" customFormat="1" ht="13.5" customHeight="1">
      <c r="A32" s="325"/>
      <c r="B32" s="44" t="s">
        <v>194</v>
      </c>
      <c r="C32" s="50">
        <v>1250</v>
      </c>
      <c r="D32" s="275"/>
      <c r="E32" s="278">
        <f t="shared" si="9"/>
        <v>23.584905660377359</v>
      </c>
      <c r="F32" s="278">
        <f t="shared" si="5"/>
        <v>11.79245283018868</v>
      </c>
      <c r="G32" s="278">
        <f t="shared" si="5"/>
        <v>6.0474117077890668</v>
      </c>
      <c r="H32" s="278"/>
      <c r="I32" s="278">
        <f t="shared" si="6"/>
        <v>-63.742988271290159</v>
      </c>
      <c r="J32" s="278">
        <f t="shared" si="6"/>
        <v>-39.308176100628934</v>
      </c>
      <c r="K32" s="278">
        <f t="shared" si="6"/>
        <v>-30.23705853894533</v>
      </c>
      <c r="M32" s="50">
        <v>53</v>
      </c>
      <c r="N32" s="75">
        <f t="shared" si="7"/>
        <v>106</v>
      </c>
      <c r="O32" s="75">
        <f t="shared" si="7"/>
        <v>206.7</v>
      </c>
      <c r="Q32" s="277">
        <v>1.22</v>
      </c>
      <c r="R32" s="277">
        <v>1</v>
      </c>
      <c r="S32" s="277">
        <v>0.95</v>
      </c>
      <c r="U32" s="75">
        <f t="shared" si="8"/>
        <v>-19.61</v>
      </c>
      <c r="V32" s="75">
        <f t="shared" si="8"/>
        <v>-31.799999999999997</v>
      </c>
      <c r="W32" s="75">
        <f t="shared" si="8"/>
        <v>-41.34</v>
      </c>
      <c r="Y32" s="277">
        <v>-0.37</v>
      </c>
      <c r="Z32" s="277">
        <v>-0.3</v>
      </c>
      <c r="AA32" s="277">
        <v>-0.2</v>
      </c>
    </row>
    <row r="33" spans="1:27" s="44" customFormat="1" ht="13.5" customHeight="1">
      <c r="A33" s="325"/>
      <c r="B33" s="44" t="s">
        <v>193</v>
      </c>
      <c r="C33" s="50">
        <v>500</v>
      </c>
      <c r="D33" s="275"/>
      <c r="E33" s="278">
        <f t="shared" si="9"/>
        <v>11.904761904761905</v>
      </c>
      <c r="F33" s="278">
        <f t="shared" si="5"/>
        <v>9.1575091575091569</v>
      </c>
      <c r="G33" s="278">
        <f t="shared" si="5"/>
        <v>7.2106371318969744</v>
      </c>
      <c r="H33" s="278"/>
      <c r="I33" s="278">
        <f t="shared" si="6"/>
        <v>-99.206349206349202</v>
      </c>
      <c r="J33" s="278">
        <f t="shared" si="6"/>
        <v>-183.15018315018312</v>
      </c>
      <c r="K33" s="278">
        <f t="shared" si="6"/>
        <v>144.21274263793947</v>
      </c>
      <c r="M33" s="50">
        <v>42</v>
      </c>
      <c r="N33" s="75">
        <f t="shared" si="7"/>
        <v>54.6</v>
      </c>
      <c r="O33" s="75">
        <f t="shared" si="7"/>
        <v>69.341999999999999</v>
      </c>
      <c r="Q33" s="277">
        <v>0.38</v>
      </c>
      <c r="R33" s="277">
        <v>0.3</v>
      </c>
      <c r="S33" s="277">
        <v>0.27</v>
      </c>
      <c r="U33" s="75">
        <f t="shared" si="8"/>
        <v>-5.04</v>
      </c>
      <c r="V33" s="75">
        <f t="shared" si="8"/>
        <v>-2.7300000000000004</v>
      </c>
      <c r="W33" s="75">
        <f t="shared" si="8"/>
        <v>3.4671000000000003</v>
      </c>
      <c r="Y33" s="277">
        <v>-0.12</v>
      </c>
      <c r="Z33" s="277">
        <v>-0.05</v>
      </c>
      <c r="AA33" s="277">
        <v>0.05</v>
      </c>
    </row>
    <row r="34" spans="1:27" s="44" customFormat="1" ht="13.5" customHeight="1">
      <c r="E34" s="278"/>
      <c r="F34" s="278"/>
      <c r="G34" s="278"/>
      <c r="H34" s="278"/>
      <c r="I34" s="279"/>
      <c r="J34" s="279"/>
      <c r="K34" s="279"/>
      <c r="O34" s="52"/>
    </row>
    <row r="35" spans="1:27" s="44" customFormat="1" ht="13.5" customHeight="1">
      <c r="B35" s="59" t="s">
        <v>271</v>
      </c>
      <c r="E35" s="278"/>
      <c r="F35" s="278"/>
      <c r="G35" s="278"/>
      <c r="H35" s="278"/>
      <c r="I35" s="279"/>
      <c r="J35" s="279"/>
      <c r="K35" s="279"/>
      <c r="O35" s="52"/>
    </row>
    <row r="36" spans="1:27" s="44" customFormat="1" ht="13.5" customHeight="1">
      <c r="B36" s="273" t="s">
        <v>184</v>
      </c>
      <c r="C36" s="54"/>
      <c r="D36" s="54"/>
      <c r="E36" s="280">
        <f>AVERAGE(E29:E33)</f>
        <v>16.112281640419457</v>
      </c>
      <c r="F36" s="280">
        <f>AVERAGE(F29:F33)</f>
        <v>10.512436419199554</v>
      </c>
      <c r="G36" s="280">
        <f>AVERAGE(G29:G33)</f>
        <v>7.5564807079252558</v>
      </c>
      <c r="H36" s="280"/>
      <c r="I36" s="280">
        <f>AVERAGE(I29:I33)</f>
        <v>-64.058704225234166</v>
      </c>
      <c r="J36" s="280">
        <f>AVERAGE(J29:J33)</f>
        <v>-83.489557323248093</v>
      </c>
      <c r="K36" s="281">
        <f>AVERAGE(K29:K33)</f>
        <v>117.18547461510821</v>
      </c>
    </row>
    <row r="37" spans="1:27">
      <c r="B37" s="274" t="s">
        <v>185</v>
      </c>
      <c r="C37" s="269"/>
      <c r="D37" s="269"/>
      <c r="E37" s="282">
        <f>MEDIAN(E29:E33)</f>
        <v>11.904761904761905</v>
      </c>
      <c r="F37" s="282">
        <f>MEDIAN(F29:F33)</f>
        <v>10.237510237510238</v>
      </c>
      <c r="G37" s="282">
        <f>MEDIAN(G29:G33)</f>
        <v>7.2106371318969744</v>
      </c>
      <c r="H37" s="283"/>
      <c r="I37" s="282">
        <f>MEDIAN(I29:I33)</f>
        <v>-63.742988271290159</v>
      </c>
      <c r="J37" s="282">
        <f>MEDIAN(J29:J33)</f>
        <v>-39.308176100628934</v>
      </c>
      <c r="K37" s="284">
        <f>MEDIAN(K29:K33)</f>
        <v>37.85958821777951</v>
      </c>
    </row>
    <row r="39" spans="1:27">
      <c r="B39" s="8" t="s">
        <v>270</v>
      </c>
    </row>
    <row r="40" spans="1:27">
      <c r="B40" s="342" t="s">
        <v>184</v>
      </c>
      <c r="C40" s="343"/>
      <c r="D40" s="343"/>
      <c r="E40" s="339">
        <f>AVERAGE(E33,E30)</f>
        <v>10.857620640229335</v>
      </c>
      <c r="F40" s="339">
        <f t="shared" ref="F40:K40" si="10">AVERAGE(F33,F30)</f>
        <v>8.5994428474827629</v>
      </c>
      <c r="G40" s="339">
        <f t="shared" si="10"/>
        <v>7.0126815055486427</v>
      </c>
      <c r="H40" s="339"/>
      <c r="I40" s="339">
        <f t="shared" si="10"/>
        <v>-22.351843004016917</v>
      </c>
      <c r="J40" s="339">
        <f t="shared" si="10"/>
        <v>-67.923984111984595</v>
      </c>
      <c r="K40" s="344">
        <f t="shared" si="10"/>
        <v>91.036165427859487</v>
      </c>
    </row>
    <row r="43" spans="1:27">
      <c r="B43" s="45" t="s">
        <v>206</v>
      </c>
      <c r="C43" s="45"/>
      <c r="D43" s="45"/>
      <c r="E43" s="45"/>
      <c r="F43" s="45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27">
      <c r="B44" s="44"/>
      <c r="C44" s="227"/>
      <c r="D44" s="44"/>
      <c r="F44" s="44"/>
      <c r="G44" s="44"/>
      <c r="H44" s="44"/>
      <c r="I44" s="44"/>
      <c r="J44" s="44"/>
      <c r="K44" s="44"/>
      <c r="L44" s="44"/>
    </row>
    <row r="45" spans="1:27">
      <c r="B45" s="44"/>
      <c r="C45" s="227" t="s">
        <v>185</v>
      </c>
      <c r="D45" s="227"/>
      <c r="F45" s="44"/>
      <c r="G45" s="44"/>
      <c r="H45" s="44"/>
      <c r="I45" s="44"/>
      <c r="J45" s="44"/>
      <c r="K45" s="44"/>
      <c r="L45" s="44"/>
    </row>
    <row r="46" spans="1:27" ht="13.5" thickBot="1">
      <c r="B46" s="271"/>
      <c r="C46" s="272" t="s">
        <v>228</v>
      </c>
      <c r="D46" s="272"/>
      <c r="F46" s="44"/>
      <c r="G46" s="44"/>
      <c r="H46" s="44"/>
      <c r="I46" s="44"/>
      <c r="J46" s="44"/>
      <c r="K46" s="44"/>
      <c r="L46" s="44"/>
    </row>
    <row r="47" spans="1:27">
      <c r="B47" s="44" t="s">
        <v>208</v>
      </c>
      <c r="C47" s="285">
        <v>5.2</v>
      </c>
      <c r="D47" s="276"/>
      <c r="E47" s="1"/>
      <c r="F47" s="278"/>
      <c r="G47" s="278"/>
      <c r="H47" s="278"/>
      <c r="I47" s="278"/>
      <c r="J47" s="278"/>
      <c r="K47" s="278"/>
    </row>
    <row r="48" spans="1:27">
      <c r="B48" s="44" t="s">
        <v>209</v>
      </c>
      <c r="C48" s="285">
        <v>5.9</v>
      </c>
      <c r="D48" s="275"/>
      <c r="E48" s="1"/>
      <c r="F48" s="278"/>
      <c r="G48" s="278"/>
      <c r="H48" s="278"/>
      <c r="I48" s="278"/>
      <c r="J48" s="278"/>
      <c r="K48" s="278"/>
    </row>
    <row r="49" spans="2:11">
      <c r="B49" s="44" t="s">
        <v>210</v>
      </c>
      <c r="C49" s="285">
        <v>6.2</v>
      </c>
      <c r="D49" s="275"/>
      <c r="E49" s="1"/>
      <c r="F49" s="278"/>
      <c r="G49" s="278"/>
      <c r="H49" s="278"/>
      <c r="I49" s="278"/>
      <c r="J49" s="278"/>
      <c r="K49" s="278"/>
    </row>
    <row r="50" spans="2:11">
      <c r="B50" s="44" t="s">
        <v>211</v>
      </c>
      <c r="C50" s="285">
        <v>6.5</v>
      </c>
      <c r="D50" s="275"/>
      <c r="E50" s="1"/>
      <c r="F50" s="278"/>
      <c r="G50" s="278"/>
      <c r="H50" s="278"/>
      <c r="I50" s="278"/>
      <c r="J50" s="278"/>
      <c r="K50" s="278"/>
    </row>
    <row r="51" spans="2:11">
      <c r="B51" s="44" t="s">
        <v>212</v>
      </c>
      <c r="C51" s="285">
        <v>7.2</v>
      </c>
      <c r="D51" s="275"/>
      <c r="E51" s="1"/>
      <c r="F51" s="278"/>
      <c r="G51" s="278"/>
      <c r="H51" s="278"/>
      <c r="I51" s="278"/>
      <c r="J51" s="278"/>
      <c r="K51" s="278"/>
    </row>
    <row r="52" spans="2:11">
      <c r="B52" s="44" t="s">
        <v>213</v>
      </c>
      <c r="C52" s="285">
        <v>6.9</v>
      </c>
      <c r="E52" s="1"/>
    </row>
    <row r="53" spans="2:11">
      <c r="B53" s="44" t="s">
        <v>214</v>
      </c>
      <c r="C53" s="285">
        <v>6.7</v>
      </c>
      <c r="E53" s="1"/>
    </row>
    <row r="54" spans="2:11">
      <c r="B54" s="44" t="s">
        <v>215</v>
      </c>
      <c r="C54" s="285">
        <v>6.4</v>
      </c>
      <c r="E54" s="1"/>
    </row>
    <row r="55" spans="2:11">
      <c r="B55" s="44" t="s">
        <v>216</v>
      </c>
      <c r="C55" s="285">
        <v>7.4</v>
      </c>
      <c r="E55" s="1"/>
    </row>
    <row r="56" spans="2:11">
      <c r="B56" s="44" t="s">
        <v>217</v>
      </c>
      <c r="C56" s="285">
        <v>7.7</v>
      </c>
      <c r="E56" s="1"/>
    </row>
    <row r="57" spans="2:11">
      <c r="B57" s="44" t="s">
        <v>218</v>
      </c>
      <c r="C57" s="285">
        <v>8.4</v>
      </c>
      <c r="E57" s="1"/>
    </row>
    <row r="58" spans="2:11">
      <c r="B58" s="44" t="s">
        <v>219</v>
      </c>
      <c r="C58" s="285">
        <v>8.6</v>
      </c>
      <c r="E58" s="1"/>
    </row>
    <row r="59" spans="2:11">
      <c r="B59" s="44" t="s">
        <v>220</v>
      </c>
      <c r="C59" s="285">
        <v>8.9</v>
      </c>
      <c r="E59" s="1"/>
    </row>
    <row r="60" spans="2:11">
      <c r="B60" s="44" t="s">
        <v>221</v>
      </c>
      <c r="C60" s="285">
        <v>9.8000000000000007</v>
      </c>
      <c r="E60" s="1"/>
      <c r="F60" s="286"/>
    </row>
    <row r="61" spans="2:11">
      <c r="B61" s="44" t="s">
        <v>222</v>
      </c>
      <c r="C61" s="285">
        <v>10.299999999999999</v>
      </c>
      <c r="E61" s="1"/>
      <c r="F61" s="286"/>
    </row>
    <row r="62" spans="2:11">
      <c r="B62" s="44" t="s">
        <v>223</v>
      </c>
      <c r="C62" s="285">
        <v>12.5</v>
      </c>
      <c r="E62" s="1"/>
      <c r="F62" s="286"/>
    </row>
    <row r="63" spans="2:11">
      <c r="B63" s="44" t="s">
        <v>224</v>
      </c>
      <c r="C63" s="285">
        <v>13.8</v>
      </c>
      <c r="E63" s="1"/>
      <c r="F63" s="286"/>
    </row>
    <row r="64" spans="2:11">
      <c r="B64" s="44" t="s">
        <v>225</v>
      </c>
      <c r="C64" s="285">
        <v>13.5</v>
      </c>
      <c r="E64" s="1"/>
      <c r="F64" s="286"/>
    </row>
    <row r="65" spans="2:6">
      <c r="B65" s="44" t="s">
        <v>226</v>
      </c>
      <c r="C65" s="285">
        <v>13.4</v>
      </c>
      <c r="E65" s="1"/>
      <c r="F65" s="286"/>
    </row>
    <row r="66" spans="2:6">
      <c r="B66" s="44" t="s">
        <v>227</v>
      </c>
      <c r="C66" s="285">
        <v>13.5</v>
      </c>
      <c r="E66" s="1"/>
      <c r="F66" s="286"/>
    </row>
    <row r="67" spans="2:6">
      <c r="B67" s="44" t="s">
        <v>207</v>
      </c>
      <c r="C67" s="285">
        <v>13.3</v>
      </c>
      <c r="E67" s="1"/>
      <c r="F67" s="286"/>
    </row>
    <row r="69" spans="2:6">
      <c r="E69" s="286"/>
    </row>
    <row r="70" spans="2:6">
      <c r="B70" s="2" t="s">
        <v>184</v>
      </c>
      <c r="C70" s="286">
        <f>AVERAGE(C47:C67)</f>
        <v>9.1476190476190489</v>
      </c>
    </row>
    <row r="71" spans="2:6">
      <c r="B71" s="2" t="s">
        <v>272</v>
      </c>
      <c r="C71" s="12">
        <f>+C70/C67</f>
        <v>0.68779090583601865</v>
      </c>
    </row>
    <row r="74" spans="2:6">
      <c r="B74" s="345" t="s">
        <v>274</v>
      </c>
      <c r="C74" s="346">
        <v>12</v>
      </c>
    </row>
    <row r="75" spans="2:6">
      <c r="B75" s="347" t="s">
        <v>273</v>
      </c>
      <c r="C75" s="348">
        <f>+C74*70%</f>
        <v>8.3999999999999986</v>
      </c>
    </row>
  </sheetData>
  <pageMargins left="0.7" right="0.7" top="0.75" bottom="0.75" header="0.3" footer="0.3"/>
  <pageSetup scale="80" orientation="portrait" r:id="rId1"/>
  <colBreaks count="1" manualBreakCount="1">
    <brk id="15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C296-DCE3-4686-9AE2-28368FB02D8D}">
  <sheetPr>
    <tabColor theme="7" tint="0.3999755851924192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78B4-B077-4463-9DE7-1298DCCB9245}">
  <dimension ref="A1:Q264"/>
  <sheetViews>
    <sheetView showGridLines="0" zoomScale="130" zoomScaleNormal="130" zoomScaleSheetLayoutView="130" workbookViewId="0"/>
  </sheetViews>
  <sheetFormatPr defaultColWidth="9.1328125" defaultRowHeight="13.15"/>
  <cols>
    <col min="1" max="1" width="10" style="2" customWidth="1"/>
    <col min="2" max="2" width="25.59765625" style="2" customWidth="1"/>
    <col min="3" max="10" width="11.265625" style="2" customWidth="1"/>
    <col min="11" max="12" width="9.1328125" style="2"/>
    <col min="13" max="17" width="9.1328125" style="2" customWidth="1"/>
    <col min="18" max="20" width="9.1328125" style="1" customWidth="1"/>
    <col min="21" max="16384" width="9.1328125" style="1"/>
  </cols>
  <sheetData>
    <row r="1" spans="2:17">
      <c r="B1" s="15"/>
    </row>
    <row r="2" spans="2:17" s="44" customFormat="1" ht="13.5" customHeight="1">
      <c r="B2" s="45" t="s">
        <v>0</v>
      </c>
      <c r="C2" s="45"/>
      <c r="D2" s="45"/>
      <c r="E2" s="46"/>
      <c r="F2" s="46"/>
      <c r="G2" s="46"/>
      <c r="H2" s="46"/>
      <c r="I2" s="46"/>
      <c r="J2" s="47" t="s">
        <v>37</v>
      </c>
    </row>
    <row r="3" spans="2:17" s="44" customFormat="1" ht="13.5" customHeight="1">
      <c r="B3" s="48" t="s">
        <v>161</v>
      </c>
      <c r="C3" s="48"/>
      <c r="D3" s="48"/>
      <c r="E3" s="48"/>
      <c r="G3" s="48" t="s">
        <v>242</v>
      </c>
      <c r="H3" s="48"/>
      <c r="I3" s="48"/>
      <c r="J3" s="48"/>
    </row>
    <row r="4" spans="2:17" s="44" customFormat="1" ht="13.5" customHeight="1">
      <c r="C4" s="49" t="s">
        <v>64</v>
      </c>
      <c r="D4" s="49" t="s">
        <v>65</v>
      </c>
      <c r="E4" s="49" t="s">
        <v>0</v>
      </c>
      <c r="F4" s="49"/>
      <c r="G4" s="44" t="s">
        <v>61</v>
      </c>
      <c r="J4" s="301">
        <v>800</v>
      </c>
    </row>
    <row r="5" spans="2:17" s="44" customFormat="1" ht="13.5" customHeight="1">
      <c r="B5" s="44" t="s">
        <v>2</v>
      </c>
      <c r="C5" s="103">
        <f>E61</f>
        <v>50.830000000000005</v>
      </c>
      <c r="G5" s="44" t="s">
        <v>243</v>
      </c>
      <c r="J5" s="85">
        <v>0.1</v>
      </c>
      <c r="L5" s="50"/>
    </row>
    <row r="6" spans="2:17" s="44" customFormat="1" ht="13.5" customHeight="1">
      <c r="B6" s="44" t="s">
        <v>1</v>
      </c>
      <c r="C6" s="209">
        <v>18</v>
      </c>
      <c r="D6" s="51"/>
      <c r="L6" s="52"/>
      <c r="Q6" s="53"/>
    </row>
    <row r="7" spans="2:17" s="44" customFormat="1" ht="13.5" customHeight="1">
      <c r="B7" s="54" t="s">
        <v>67</v>
      </c>
      <c r="C7" s="105">
        <f>C5*C6</f>
        <v>914.94</v>
      </c>
      <c r="D7" s="105">
        <f>C7</f>
        <v>914.94</v>
      </c>
      <c r="E7" s="56"/>
      <c r="L7" s="57"/>
      <c r="Q7" s="53"/>
    </row>
    <row r="8" spans="2:17" s="44" customFormat="1" ht="13.5" customHeight="1">
      <c r="B8" s="104" t="s">
        <v>71</v>
      </c>
      <c r="C8" s="102">
        <f>C52</f>
        <v>0</v>
      </c>
      <c r="D8" s="208">
        <f>D52</f>
        <v>0</v>
      </c>
      <c r="G8" s="313" t="str">
        <f>"Active: "&amp;CHOOSE(J8,G9,G10,G11)</f>
        <v>Active: Base case</v>
      </c>
      <c r="H8" s="314"/>
      <c r="I8" s="314"/>
      <c r="J8" s="34">
        <v>2</v>
      </c>
      <c r="L8" s="57"/>
      <c r="Q8" s="53"/>
    </row>
    <row r="9" spans="2:17" s="44" customFormat="1" ht="13.5" customHeight="1">
      <c r="B9" s="104" t="s">
        <v>73</v>
      </c>
      <c r="C9" s="102">
        <f>+C53</f>
        <v>0</v>
      </c>
      <c r="D9" s="208">
        <v>0</v>
      </c>
      <c r="G9" s="311" t="s">
        <v>251</v>
      </c>
      <c r="H9" s="7"/>
      <c r="I9" s="7"/>
      <c r="J9" s="312">
        <v>1</v>
      </c>
      <c r="L9" s="57"/>
      <c r="Q9" s="53"/>
    </row>
    <row r="10" spans="2:17" s="44" customFormat="1" ht="13.5" customHeight="1">
      <c r="B10" s="104" t="s">
        <v>69</v>
      </c>
      <c r="C10" s="102">
        <f>C44</f>
        <v>5</v>
      </c>
      <c r="D10" s="208">
        <v>105</v>
      </c>
      <c r="G10" s="315" t="s">
        <v>52</v>
      </c>
      <c r="H10" s="2"/>
      <c r="I10" s="2"/>
      <c r="J10" s="316">
        <v>2</v>
      </c>
      <c r="L10" s="50"/>
    </row>
    <row r="11" spans="2:17" s="44" customFormat="1" ht="13.5" customHeight="1">
      <c r="B11" s="54" t="s">
        <v>66</v>
      </c>
      <c r="C11" s="105">
        <f>C7-C8+C10-C9</f>
        <v>919.94</v>
      </c>
      <c r="D11" s="105">
        <f>D7-D8+D10-D9</f>
        <v>1019.94</v>
      </c>
      <c r="E11" s="56"/>
      <c r="G11" s="7"/>
      <c r="H11" s="7"/>
      <c r="I11" s="7"/>
      <c r="J11" s="7"/>
    </row>
    <row r="12" spans="2:17" s="44" customFormat="1" ht="13.5" customHeight="1">
      <c r="B12" s="104" t="s">
        <v>236</v>
      </c>
      <c r="C12" s="102"/>
      <c r="D12" s="189">
        <f>+E12*D7</f>
        <v>9.1494</v>
      </c>
      <c r="E12" s="85">
        <v>0.01</v>
      </c>
      <c r="L12" s="50"/>
    </row>
    <row r="13" spans="2:17" s="44" customFormat="1" ht="13.5" customHeight="1">
      <c r="B13" s="104" t="s">
        <v>72</v>
      </c>
      <c r="C13" s="102"/>
      <c r="D13" s="189">
        <f>+E13*D9</f>
        <v>0</v>
      </c>
      <c r="E13" s="85">
        <v>0.02</v>
      </c>
      <c r="L13" s="50"/>
    </row>
    <row r="14" spans="2:17" s="44" customFormat="1" ht="13.5" customHeight="1">
      <c r="B14" s="54" t="s">
        <v>174</v>
      </c>
      <c r="C14" s="105"/>
      <c r="D14" s="105">
        <f>+D11+D12+D13</f>
        <v>1029.0894000000001</v>
      </c>
      <c r="E14" s="56"/>
    </row>
    <row r="15" spans="2:17" s="44" customFormat="1" ht="13.5" customHeight="1">
      <c r="B15" s="59"/>
      <c r="C15" s="201"/>
      <c r="D15" s="201"/>
      <c r="E15" s="321"/>
    </row>
    <row r="16" spans="2:17" s="44" customFormat="1" ht="13.5" customHeight="1">
      <c r="Q16" s="53"/>
    </row>
    <row r="17" spans="1:17" s="44" customFormat="1" ht="13.5" customHeight="1">
      <c r="B17" s="45" t="s">
        <v>4</v>
      </c>
      <c r="C17" s="45"/>
      <c r="D17" s="45"/>
      <c r="E17" s="46"/>
      <c r="F17" s="46"/>
      <c r="G17" s="46"/>
      <c r="H17" s="46"/>
      <c r="I17" s="46"/>
      <c r="J17" s="47" t="s">
        <v>37</v>
      </c>
      <c r="M17" s="59"/>
    </row>
    <row r="18" spans="1:17" s="44" customFormat="1" ht="13.5" customHeight="1">
      <c r="B18" s="48" t="s">
        <v>5</v>
      </c>
      <c r="C18" s="48"/>
      <c r="D18" s="48"/>
      <c r="G18" s="48" t="s">
        <v>6</v>
      </c>
      <c r="H18" s="48"/>
      <c r="I18" s="48"/>
      <c r="J18" s="48"/>
    </row>
    <row r="19" spans="1:17" s="44" customFormat="1" ht="13.5" customHeight="1">
      <c r="B19" s="44" t="s">
        <v>60</v>
      </c>
      <c r="D19" s="103">
        <f>+D9</f>
        <v>0</v>
      </c>
      <c r="G19" s="44" t="s">
        <v>175</v>
      </c>
      <c r="J19" s="106">
        <f>+C11-J20</f>
        <v>119.94000000000005</v>
      </c>
    </row>
    <row r="20" spans="1:17" s="44" customFormat="1" ht="13.5" customHeight="1">
      <c r="B20" s="44" t="s">
        <v>61</v>
      </c>
      <c r="D20" s="206">
        <f>+J20</f>
        <v>800</v>
      </c>
      <c r="G20" s="44" t="s">
        <v>61</v>
      </c>
      <c r="J20" s="206">
        <f>+J4</f>
        <v>800</v>
      </c>
    </row>
    <row r="21" spans="1:17" s="44" customFormat="1" ht="13.5" customHeight="1">
      <c r="B21" s="44" t="s">
        <v>58</v>
      </c>
      <c r="D21" s="206">
        <f>+J25-D20-D19</f>
        <v>229.08940000000007</v>
      </c>
      <c r="G21" s="44" t="s">
        <v>237</v>
      </c>
      <c r="J21" s="206">
        <f>+D10-C10</f>
        <v>100</v>
      </c>
    </row>
    <row r="22" spans="1:17" s="44" customFormat="1" ht="13.5" customHeight="1">
      <c r="D22" s="206"/>
      <c r="G22" s="44" t="s">
        <v>144</v>
      </c>
      <c r="J22" s="206">
        <f>+D12</f>
        <v>9.1494</v>
      </c>
    </row>
    <row r="23" spans="1:17" s="44" customFormat="1" ht="13.5" customHeight="1">
      <c r="D23" s="206"/>
      <c r="G23" s="44" t="s">
        <v>47</v>
      </c>
      <c r="J23" s="206">
        <f>+D13</f>
        <v>0</v>
      </c>
    </row>
    <row r="24" spans="1:17" s="44" customFormat="1" ht="13.5" customHeight="1">
      <c r="D24" s="206"/>
      <c r="J24" s="206"/>
    </row>
    <row r="25" spans="1:17" s="44" customFormat="1" ht="13.5" customHeight="1">
      <c r="B25" s="54" t="s">
        <v>7</v>
      </c>
      <c r="C25" s="54"/>
      <c r="D25" s="105">
        <f>SUM(D19:D24)</f>
        <v>1029.0894000000001</v>
      </c>
      <c r="G25" s="54" t="s">
        <v>8</v>
      </c>
      <c r="H25" s="55"/>
      <c r="I25" s="55"/>
      <c r="J25" s="105">
        <f>SUM(J19:J24)</f>
        <v>1029.0894000000001</v>
      </c>
    </row>
    <row r="26" spans="1:17" s="62" customFormat="1" ht="13.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</row>
    <row r="27" spans="1:17" s="62" customFormat="1" ht="13.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</row>
    <row r="28" spans="1:17" s="62" customFormat="1" ht="13.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</row>
    <row r="29" spans="1:17" s="62" customFormat="1" ht="13.5" customHeight="1">
      <c r="A29" s="44"/>
      <c r="B29" s="48" t="s">
        <v>70</v>
      </c>
      <c r="C29" s="63"/>
      <c r="D29" s="63"/>
      <c r="E29" s="63"/>
      <c r="F29" s="48"/>
      <c r="G29" s="63"/>
      <c r="H29" s="63"/>
      <c r="I29" s="63"/>
      <c r="J29" s="63"/>
      <c r="K29" s="44"/>
      <c r="L29" s="44"/>
      <c r="M29" s="44"/>
      <c r="N29" s="44"/>
      <c r="O29" s="44"/>
      <c r="P29" s="44"/>
      <c r="Q29" s="44"/>
    </row>
    <row r="30" spans="1:17" s="62" customFormat="1" ht="13.5" customHeight="1">
      <c r="A30" s="44"/>
      <c r="B30" s="64"/>
      <c r="D30" s="65" t="s">
        <v>64</v>
      </c>
      <c r="E30" s="65"/>
      <c r="F30" s="65"/>
      <c r="H30" s="65" t="s">
        <v>65</v>
      </c>
      <c r="I30" s="65"/>
      <c r="J30" s="65"/>
      <c r="K30" s="44"/>
      <c r="L30" s="44"/>
      <c r="M30" s="44"/>
      <c r="N30" s="44"/>
      <c r="O30" s="44"/>
      <c r="P30" s="44"/>
      <c r="Q30" s="44"/>
    </row>
    <row r="31" spans="1:17" s="62" customFormat="1" ht="13.5" customHeight="1">
      <c r="A31" s="44"/>
      <c r="B31" s="64"/>
      <c r="D31" s="66" t="s">
        <v>74</v>
      </c>
      <c r="E31" s="66" t="s">
        <v>62</v>
      </c>
      <c r="F31" s="67" t="s">
        <v>75</v>
      </c>
      <c r="H31" s="66" t="s">
        <v>74</v>
      </c>
      <c r="I31" s="66" t="s">
        <v>62</v>
      </c>
      <c r="J31" s="67" t="s">
        <v>75</v>
      </c>
      <c r="K31" s="44"/>
      <c r="L31" s="44"/>
      <c r="M31" s="44"/>
      <c r="N31" s="44"/>
      <c r="O31" s="44"/>
      <c r="P31" s="44"/>
      <c r="Q31" s="44"/>
    </row>
    <row r="32" spans="1:17" s="62" customFormat="1" ht="13.5" customHeight="1">
      <c r="A32" s="44"/>
      <c r="B32" s="104" t="s">
        <v>173</v>
      </c>
      <c r="D32" s="251">
        <f ca="1">+E32*D$39/1000000</f>
        <v>0</v>
      </c>
      <c r="E32" s="253">
        <v>0</v>
      </c>
      <c r="F32" s="204">
        <f t="shared" ref="F32:F37" si="0">+E32/E$37</f>
        <v>0</v>
      </c>
      <c r="H32" s="251">
        <f>+J21+J22+J23</f>
        <v>109.1494</v>
      </c>
      <c r="I32" s="68">
        <f ca="1">+H32*1000000/H$39</f>
        <v>118648.39011239863</v>
      </c>
      <c r="J32" s="204">
        <f t="shared" ref="J32:J37" ca="1" si="1">+I32/I$37</f>
        <v>9.5457654116347906E-2</v>
      </c>
      <c r="K32" s="44"/>
      <c r="L32" s="44"/>
      <c r="M32" s="44"/>
      <c r="N32" s="44"/>
      <c r="O32" s="44"/>
      <c r="P32" s="44"/>
      <c r="Q32" s="44"/>
    </row>
    <row r="33" spans="1:17" s="62" customFormat="1" ht="13.5" customHeight="1">
      <c r="A33" s="44"/>
      <c r="B33" s="104" t="s">
        <v>171</v>
      </c>
      <c r="D33" s="252">
        <f ca="1">+E33*D$39/1000000</f>
        <v>0</v>
      </c>
      <c r="E33" s="253">
        <v>0</v>
      </c>
      <c r="F33" s="204">
        <f t="shared" si="0"/>
        <v>0</v>
      </c>
      <c r="H33" s="252">
        <f>+D21-H32</f>
        <v>119.94000000000007</v>
      </c>
      <c r="I33" s="68">
        <f ca="1">+H33*1000000/H$39</f>
        <v>130378.06813487844</v>
      </c>
      <c r="J33" s="204">
        <f t="shared" ca="1" si="1"/>
        <v>0.10489467678901374</v>
      </c>
      <c r="K33" s="44"/>
      <c r="L33" s="44"/>
      <c r="M33" s="44"/>
      <c r="N33" s="44"/>
      <c r="O33" s="44"/>
      <c r="P33" s="44"/>
      <c r="Q33" s="44"/>
    </row>
    <row r="34" spans="1:17" s="62" customFormat="1" ht="13.5" customHeight="1">
      <c r="A34" s="44"/>
      <c r="B34" s="69" t="s">
        <v>239</v>
      </c>
      <c r="C34" s="259"/>
      <c r="D34" s="203">
        <f ca="1">SUM(D32:D33)</f>
        <v>0</v>
      </c>
      <c r="E34" s="71">
        <f>SUM(E32:E33)</f>
        <v>0</v>
      </c>
      <c r="F34" s="205">
        <f t="shared" si="0"/>
        <v>0</v>
      </c>
      <c r="G34" s="259"/>
      <c r="H34" s="203">
        <f>+SUM(H32:H33)</f>
        <v>229.08940000000007</v>
      </c>
      <c r="I34" s="71">
        <f ca="1">+H34*1000000/H$39</f>
        <v>249026.45824727704</v>
      </c>
      <c r="J34" s="205">
        <f t="shared" ca="1" si="1"/>
        <v>0.20035233090536161</v>
      </c>
      <c r="K34" s="44"/>
      <c r="L34" s="58"/>
      <c r="M34" s="44"/>
      <c r="N34" s="44"/>
      <c r="O34" s="44"/>
      <c r="P34" s="44"/>
      <c r="Q34" s="44"/>
    </row>
    <row r="35" spans="1:17" s="62" customFormat="1" ht="13.5" customHeight="1">
      <c r="A35" s="44"/>
      <c r="B35" s="104" t="s">
        <v>63</v>
      </c>
      <c r="D35" s="252">
        <f>+C11</f>
        <v>919.94</v>
      </c>
      <c r="E35" s="253">
        <v>1000000</v>
      </c>
      <c r="F35" s="204">
        <f t="shared" si="0"/>
        <v>1</v>
      </c>
      <c r="H35" s="202">
        <f>J20</f>
        <v>800</v>
      </c>
      <c r="I35" s="68">
        <f ca="1">+H35*1000000/H$39</f>
        <v>869621.93186512159</v>
      </c>
      <c r="J35" s="204">
        <f t="shared" ca="1" si="1"/>
        <v>0.69964766909463838</v>
      </c>
      <c r="K35" s="44"/>
      <c r="L35" s="44"/>
      <c r="M35" s="44"/>
      <c r="N35" s="44"/>
      <c r="O35" s="44"/>
      <c r="P35" s="44"/>
      <c r="Q35" s="44"/>
    </row>
    <row r="36" spans="1:17" s="62" customFormat="1" ht="13.5" customHeight="1">
      <c r="A36" s="44"/>
      <c r="B36" s="104" t="s">
        <v>244</v>
      </c>
      <c r="D36" s="252">
        <f ca="1">+E36*D$39/1000000</f>
        <v>0</v>
      </c>
      <c r="E36" s="253">
        <v>0</v>
      </c>
      <c r="F36" s="204">
        <f t="shared" si="0"/>
        <v>0</v>
      </c>
      <c r="H36" s="260">
        <v>0</v>
      </c>
      <c r="I36" s="68">
        <f ca="1">SUM(I34:I35)/(1-J5)*J5</f>
        <v>124294.2655680443</v>
      </c>
      <c r="J36" s="204">
        <f t="shared" ca="1" si="1"/>
        <v>0.1</v>
      </c>
      <c r="K36" s="44"/>
      <c r="L36" s="44"/>
      <c r="M36" s="44"/>
      <c r="N36" s="44"/>
      <c r="O36" s="44"/>
      <c r="P36" s="44"/>
      <c r="Q36" s="44"/>
    </row>
    <row r="37" spans="1:17" s="62" customFormat="1" ht="13.5" customHeight="1">
      <c r="A37" s="44"/>
      <c r="B37" s="69" t="s">
        <v>172</v>
      </c>
      <c r="C37" s="70"/>
      <c r="D37" s="203">
        <f ca="1">SUM(D34:D36)</f>
        <v>919.94</v>
      </c>
      <c r="E37" s="71">
        <f>SUM(E34:E36)</f>
        <v>1000000</v>
      </c>
      <c r="F37" s="205">
        <f t="shared" si="0"/>
        <v>1</v>
      </c>
      <c r="G37" s="70"/>
      <c r="H37" s="203">
        <f>SUM(H34:H36)</f>
        <v>1029.0894000000001</v>
      </c>
      <c r="I37" s="71">
        <f ca="1">SUM(I34:I36)</f>
        <v>1242942.6556804429</v>
      </c>
      <c r="J37" s="205">
        <f t="shared" ca="1" si="1"/>
        <v>1</v>
      </c>
      <c r="K37" s="44"/>
      <c r="L37" s="44"/>
      <c r="M37" s="44"/>
      <c r="N37" s="44"/>
      <c r="O37" s="44"/>
      <c r="P37" s="44"/>
      <c r="Q37" s="44"/>
    </row>
    <row r="38" spans="1:17" s="62" customFormat="1" ht="13.5" customHeight="1">
      <c r="A38" s="44"/>
      <c r="B38" s="296"/>
      <c r="D38" s="296"/>
      <c r="E38" s="297"/>
      <c r="F38" s="298"/>
      <c r="G38" s="72"/>
      <c r="H38" s="296"/>
      <c r="I38" s="297"/>
      <c r="J38" s="298"/>
      <c r="K38" s="44"/>
      <c r="L38" s="44"/>
      <c r="M38" s="44"/>
      <c r="N38" s="44"/>
      <c r="O38" s="44"/>
      <c r="P38" s="44"/>
      <c r="Q38" s="44"/>
    </row>
    <row r="39" spans="1:17" s="62" customFormat="1" ht="13.5" customHeight="1">
      <c r="A39" s="44"/>
      <c r="B39" s="44" t="s">
        <v>238</v>
      </c>
      <c r="D39" s="299">
        <f ca="1">+D37*1000000/E37</f>
        <v>919.94</v>
      </c>
      <c r="G39" s="44"/>
      <c r="H39" s="107">
        <f ca="1">+D39</f>
        <v>919.94</v>
      </c>
      <c r="I39" s="107"/>
      <c r="J39" s="44"/>
      <c r="K39" s="44"/>
      <c r="L39" s="44"/>
      <c r="M39" s="44"/>
      <c r="N39" s="44"/>
      <c r="O39" s="44"/>
      <c r="P39" s="44"/>
      <c r="Q39" s="44"/>
    </row>
    <row r="40" spans="1:17" s="62" customFormat="1" ht="13.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</row>
    <row r="41" spans="1:17" s="62" customFormat="1" ht="13.5" customHeight="1">
      <c r="A41" s="44"/>
      <c r="B41" s="44"/>
      <c r="C41" s="44"/>
      <c r="D41" s="44"/>
      <c r="E41" s="44"/>
      <c r="F41" s="44"/>
      <c r="G41" s="44"/>
      <c r="H41" s="107"/>
      <c r="I41" s="44"/>
      <c r="J41" s="44"/>
      <c r="K41" s="44"/>
      <c r="L41" s="44"/>
      <c r="M41" s="44"/>
      <c r="N41" s="44"/>
      <c r="O41" s="44"/>
      <c r="P41" s="44"/>
      <c r="Q41" s="44"/>
    </row>
    <row r="42" spans="1:17" s="44" customFormat="1" ht="13.5" customHeight="1">
      <c r="B42" s="45" t="s">
        <v>3</v>
      </c>
      <c r="C42" s="45"/>
      <c r="D42" s="45"/>
      <c r="E42" s="154"/>
      <c r="F42" s="46"/>
      <c r="G42" s="46"/>
      <c r="H42" s="46"/>
      <c r="I42" s="46"/>
      <c r="J42" s="47" t="s">
        <v>37</v>
      </c>
    </row>
    <row r="43" spans="1:17" s="44" customFormat="1" ht="13.5" customHeight="1">
      <c r="B43" s="48" t="s">
        <v>19</v>
      </c>
      <c r="C43" s="74">
        <v>0</v>
      </c>
      <c r="D43" s="79" t="s">
        <v>44</v>
      </c>
      <c r="E43" s="162" t="s">
        <v>43</v>
      </c>
      <c r="F43" s="74">
        <v>1</v>
      </c>
      <c r="G43" s="74">
        <f>F43+1</f>
        <v>2</v>
      </c>
      <c r="H43" s="74">
        <f>G43+1</f>
        <v>3</v>
      </c>
      <c r="I43" s="74">
        <f>H43+1</f>
        <v>4</v>
      </c>
      <c r="J43" s="74">
        <f>I43+1</f>
        <v>5</v>
      </c>
    </row>
    <row r="44" spans="1:17" s="44" customFormat="1" ht="13.5" customHeight="1">
      <c r="B44" s="44" t="s">
        <v>20</v>
      </c>
      <c r="C44" s="186">
        <v>5</v>
      </c>
      <c r="D44" s="190">
        <f>E44-C44</f>
        <v>100</v>
      </c>
      <c r="E44" s="188">
        <f>+D10</f>
        <v>105</v>
      </c>
      <c r="F44" s="106">
        <f ca="1">F152+E44</f>
        <v>89.351544000000004</v>
      </c>
      <c r="G44" s="106">
        <f ca="1">G152+F44</f>
        <v>75.218049039999997</v>
      </c>
      <c r="H44" s="106">
        <f ca="1">H152+G44</f>
        <v>62.925026758399994</v>
      </c>
      <c r="I44" s="106">
        <f ca="1">I152+H44</f>
        <v>58.710295648335084</v>
      </c>
      <c r="J44" s="106">
        <f ca="1">J152+I44</f>
        <v>66.741612229212876</v>
      </c>
    </row>
    <row r="45" spans="1:17" s="44" customFormat="1" ht="13.5" customHeight="1">
      <c r="B45" s="44" t="s">
        <v>21</v>
      </c>
      <c r="C45" s="191">
        <v>100</v>
      </c>
      <c r="D45" s="192"/>
      <c r="E45" s="193">
        <f>D45+C45</f>
        <v>100</v>
      </c>
      <c r="F45" s="102">
        <f>F97</f>
        <v>105</v>
      </c>
      <c r="G45" s="102">
        <f t="shared" ref="G45:J45" si="2">G97</f>
        <v>110</v>
      </c>
      <c r="H45" s="102">
        <f t="shared" si="2"/>
        <v>115</v>
      </c>
      <c r="I45" s="102">
        <f t="shared" si="2"/>
        <v>120</v>
      </c>
      <c r="J45" s="102">
        <f t="shared" si="2"/>
        <v>125</v>
      </c>
    </row>
    <row r="46" spans="1:17" s="44" customFormat="1" ht="13.5" customHeight="1">
      <c r="B46" s="44" t="s">
        <v>45</v>
      </c>
      <c r="C46" s="191">
        <v>0</v>
      </c>
      <c r="D46" s="192">
        <f>+D13</f>
        <v>0</v>
      </c>
      <c r="E46" s="193">
        <f>D46+C46</f>
        <v>0</v>
      </c>
      <c r="F46" s="102">
        <f>F108</f>
        <v>0</v>
      </c>
      <c r="G46" s="102">
        <f t="shared" ref="G46:J46" si="3">G108</f>
        <v>0</v>
      </c>
      <c r="H46" s="102">
        <f t="shared" si="3"/>
        <v>0</v>
      </c>
      <c r="I46" s="102">
        <f t="shared" si="3"/>
        <v>0</v>
      </c>
      <c r="J46" s="102">
        <f t="shared" si="3"/>
        <v>0</v>
      </c>
    </row>
    <row r="47" spans="1:17" s="44" customFormat="1" ht="13.5" customHeight="1">
      <c r="B47" s="44" t="s">
        <v>46</v>
      </c>
      <c r="C47" s="191">
        <v>0</v>
      </c>
      <c r="D47" s="192"/>
      <c r="E47" s="193">
        <f>D47+C47</f>
        <v>0</v>
      </c>
      <c r="F47" s="189">
        <f>E47</f>
        <v>0</v>
      </c>
      <c r="G47" s="189">
        <f t="shared" ref="G47:J47" si="4">F47</f>
        <v>0</v>
      </c>
      <c r="H47" s="189">
        <f t="shared" si="4"/>
        <v>0</v>
      </c>
      <c r="I47" s="189">
        <f t="shared" si="4"/>
        <v>0</v>
      </c>
      <c r="J47" s="189">
        <f t="shared" si="4"/>
        <v>0</v>
      </c>
    </row>
    <row r="48" spans="1:17" s="44" customFormat="1" ht="13.5" customHeight="1">
      <c r="B48" s="44" t="s">
        <v>95</v>
      </c>
      <c r="C48" s="191">
        <v>20</v>
      </c>
      <c r="D48" s="192"/>
      <c r="E48" s="193">
        <f>D48+C48</f>
        <v>20</v>
      </c>
      <c r="F48" s="189">
        <f ca="1">E48-F136</f>
        <v>21.936609919999999</v>
      </c>
      <c r="G48" s="189">
        <f ca="1">F48-G136</f>
        <v>23.4628537832</v>
      </c>
      <c r="H48" s="189">
        <f ca="1">G48-H136</f>
        <v>24.496502142272</v>
      </c>
      <c r="I48" s="189">
        <f ca="1">H48-I136</f>
        <v>23.845542574716418</v>
      </c>
      <c r="J48" s="189">
        <f ca="1">I48-J136</f>
        <v>20.932592338929098</v>
      </c>
    </row>
    <row r="49" spans="1:17" s="44" customFormat="1" ht="13.5" customHeight="1">
      <c r="B49" s="44" t="s">
        <v>23</v>
      </c>
      <c r="C49" s="191">
        <v>20</v>
      </c>
      <c r="D49" s="194"/>
      <c r="E49" s="193">
        <f>D49+C49</f>
        <v>20</v>
      </c>
      <c r="F49" s="102">
        <f ca="1">F102</f>
        <v>21.426504000000001</v>
      </c>
      <c r="G49" s="102">
        <f t="shared" ref="G49:J49" ca="1" si="5">G102</f>
        <v>23.292171039999999</v>
      </c>
      <c r="H49" s="102">
        <f t="shared" ca="1" si="5"/>
        <v>25.663058278400001</v>
      </c>
      <c r="I49" s="102">
        <f t="shared" ca="1" si="5"/>
        <v>28.589808827264001</v>
      </c>
      <c r="J49" s="102">
        <f t="shared" ca="1" si="5"/>
        <v>32.169244186173444</v>
      </c>
    </row>
    <row r="50" spans="1:17" s="44" customFormat="1" ht="13.5" customHeight="1">
      <c r="B50" s="54" t="s">
        <v>22</v>
      </c>
      <c r="C50" s="105">
        <f>SUM(C44:C49)</f>
        <v>145</v>
      </c>
      <c r="D50" s="195"/>
      <c r="E50" s="196">
        <f>SUM(E44:E49)</f>
        <v>245</v>
      </c>
      <c r="F50" s="105">
        <f ca="1">SUM(F44:F49)</f>
        <v>237.71465791999998</v>
      </c>
      <c r="G50" s="105">
        <f t="shared" ref="G50:J50" ca="1" si="6">SUM(G44:G49)</f>
        <v>231.97307386319997</v>
      </c>
      <c r="H50" s="105">
        <f t="shared" ca="1" si="6"/>
        <v>228.084587179072</v>
      </c>
      <c r="I50" s="105">
        <f t="shared" ca="1" si="6"/>
        <v>231.14564705031552</v>
      </c>
      <c r="J50" s="105">
        <f t="shared" ca="1" si="6"/>
        <v>244.84344875431543</v>
      </c>
    </row>
    <row r="51" spans="1:17" s="62" customFormat="1" ht="13.5" customHeight="1">
      <c r="A51" s="44"/>
      <c r="B51" s="44"/>
      <c r="C51" s="106"/>
      <c r="D51" s="197"/>
      <c r="E51" s="188"/>
      <c r="F51" s="106"/>
      <c r="G51" s="106"/>
      <c r="H51" s="106"/>
      <c r="I51" s="106"/>
      <c r="J51" s="106"/>
      <c r="K51" s="44"/>
      <c r="L51" s="44"/>
      <c r="M51" s="44"/>
      <c r="N51" s="44"/>
      <c r="O51" s="44"/>
      <c r="P51" s="44"/>
      <c r="Q51" s="44"/>
    </row>
    <row r="52" spans="1:17" s="44" customFormat="1" ht="13.5" customHeight="1">
      <c r="B52" s="44" t="s">
        <v>59</v>
      </c>
      <c r="C52" s="186">
        <v>0</v>
      </c>
      <c r="D52" s="197"/>
      <c r="E52" s="188">
        <f>D52+C52</f>
        <v>0</v>
      </c>
      <c r="F52" s="106">
        <f>F112</f>
        <v>0</v>
      </c>
      <c r="G52" s="106">
        <f t="shared" ref="G52:J52" si="7">G112</f>
        <v>0</v>
      </c>
      <c r="H52" s="106">
        <f t="shared" si="7"/>
        <v>0</v>
      </c>
      <c r="I52" s="106">
        <f t="shared" si="7"/>
        <v>0</v>
      </c>
      <c r="J52" s="106">
        <f t="shared" si="7"/>
        <v>0</v>
      </c>
    </row>
    <row r="53" spans="1:17" s="44" customFormat="1" ht="13.5" customHeight="1">
      <c r="B53" s="44" t="s">
        <v>60</v>
      </c>
      <c r="C53" s="191">
        <v>0</v>
      </c>
      <c r="D53" s="194">
        <f>+D9</f>
        <v>0</v>
      </c>
      <c r="E53" s="193">
        <f t="shared" ref="E53:E54" si="8">D53+C53</f>
        <v>0</v>
      </c>
      <c r="F53" s="189">
        <f ca="1">F118</f>
        <v>0</v>
      </c>
      <c r="G53" s="189">
        <f t="shared" ref="G53:J53" ca="1" si="9">G118</f>
        <v>0</v>
      </c>
      <c r="H53" s="189">
        <f t="shared" ca="1" si="9"/>
        <v>0</v>
      </c>
      <c r="I53" s="189">
        <f t="shared" ca="1" si="9"/>
        <v>0</v>
      </c>
      <c r="J53" s="189">
        <f t="shared" ca="1" si="9"/>
        <v>0</v>
      </c>
    </row>
    <row r="54" spans="1:17" s="44" customFormat="1" ht="13.5" customHeight="1">
      <c r="B54" s="44" t="s">
        <v>24</v>
      </c>
      <c r="C54" s="191">
        <v>145</v>
      </c>
      <c r="D54" s="194">
        <f>+H32-J22</f>
        <v>100</v>
      </c>
      <c r="E54" s="193">
        <f t="shared" si="8"/>
        <v>245</v>
      </c>
      <c r="F54" s="102">
        <f ca="1">E54+F90</f>
        <v>237.71465792000001</v>
      </c>
      <c r="G54" s="102">
        <f ca="1">F54+G90</f>
        <v>231.9730738632</v>
      </c>
      <c r="H54" s="102">
        <f ca="1">G54+H90</f>
        <v>228.084587179072</v>
      </c>
      <c r="I54" s="102">
        <f ca="1">H54+I90</f>
        <v>231.14564705031552</v>
      </c>
      <c r="J54" s="102">
        <f ca="1">I54+J90</f>
        <v>244.84344875431543</v>
      </c>
    </row>
    <row r="55" spans="1:17" s="44" customFormat="1" ht="13.5" customHeight="1">
      <c r="B55" s="54" t="s">
        <v>25</v>
      </c>
      <c r="C55" s="105">
        <f>SUM(C52:C54)</f>
        <v>145</v>
      </c>
      <c r="D55" s="195"/>
      <c r="E55" s="198">
        <f>SUM(E52:E54)</f>
        <v>245</v>
      </c>
      <c r="F55" s="105">
        <f ca="1">SUM(F52:F54)</f>
        <v>237.71465792000001</v>
      </c>
      <c r="G55" s="105">
        <f t="shared" ref="G55:J55" ca="1" si="10">SUM(G52:G54)</f>
        <v>231.9730738632</v>
      </c>
      <c r="H55" s="105">
        <f t="shared" ca="1" si="10"/>
        <v>228.084587179072</v>
      </c>
      <c r="I55" s="105">
        <f t="shared" ca="1" si="10"/>
        <v>231.14564705031552</v>
      </c>
      <c r="J55" s="105">
        <f t="shared" ca="1" si="10"/>
        <v>244.84344875431543</v>
      </c>
    </row>
    <row r="56" spans="1:17" s="44" customFormat="1" ht="13.5" customHeight="1">
      <c r="B56" s="80" t="s">
        <v>35</v>
      </c>
      <c r="C56" s="81">
        <f>C50-C55</f>
        <v>0</v>
      </c>
      <c r="D56" s="82"/>
      <c r="E56" s="163">
        <f>E50-E55</f>
        <v>0</v>
      </c>
      <c r="F56" s="81">
        <f ca="1">F50-F55</f>
        <v>0</v>
      </c>
      <c r="G56" s="81">
        <f t="shared" ref="G56:J56" ca="1" si="11">G50-G55</f>
        <v>0</v>
      </c>
      <c r="H56" s="81">
        <f t="shared" ca="1" si="11"/>
        <v>0</v>
      </c>
      <c r="I56" s="81">
        <f t="shared" ca="1" si="11"/>
        <v>0</v>
      </c>
      <c r="J56" s="81">
        <f t="shared" ca="1" si="11"/>
        <v>0</v>
      </c>
    </row>
    <row r="57" spans="1:17" s="44" customFormat="1" ht="13.5" customHeight="1">
      <c r="B57" s="80"/>
      <c r="C57" s="80"/>
      <c r="D57" s="80"/>
      <c r="E57" s="164"/>
      <c r="F57" s="83"/>
      <c r="G57" s="83"/>
      <c r="H57" s="83"/>
      <c r="I57" s="83"/>
      <c r="J57" s="83"/>
    </row>
    <row r="58" spans="1:17" s="62" customFormat="1" ht="13.5" customHeight="1">
      <c r="A58" s="44"/>
      <c r="B58" s="44"/>
      <c r="C58" s="44"/>
      <c r="D58" s="44"/>
      <c r="E58" s="159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1:17" s="62" customFormat="1" ht="13.5" customHeight="1">
      <c r="A59" s="44"/>
      <c r="B59" s="44"/>
      <c r="C59" s="44"/>
      <c r="D59" s="44"/>
      <c r="E59" s="44"/>
      <c r="F59" s="44"/>
      <c r="G59" s="44"/>
      <c r="H59" s="107"/>
      <c r="I59" s="44"/>
      <c r="J59" s="44"/>
      <c r="K59" s="44"/>
      <c r="L59" s="44"/>
      <c r="M59" s="44"/>
      <c r="N59" s="44"/>
      <c r="O59" s="44"/>
      <c r="P59" s="44"/>
      <c r="Q59" s="44"/>
    </row>
    <row r="60" spans="1:17" s="44" customFormat="1" ht="13.5" customHeight="1">
      <c r="B60" s="48" t="s">
        <v>9</v>
      </c>
      <c r="C60" s="73">
        <f>+D60-1</f>
        <v>-2</v>
      </c>
      <c r="D60" s="73">
        <f>+E60-1</f>
        <v>-1</v>
      </c>
      <c r="E60" s="178">
        <v>0</v>
      </c>
      <c r="F60" s="73">
        <v>1</v>
      </c>
      <c r="G60" s="73">
        <f>F60+1</f>
        <v>2</v>
      </c>
      <c r="H60" s="73">
        <f>G60+1</f>
        <v>3</v>
      </c>
      <c r="I60" s="73">
        <f>H60+1</f>
        <v>4</v>
      </c>
      <c r="J60" s="73">
        <f>I60+1</f>
        <v>5</v>
      </c>
    </row>
    <row r="61" spans="1:17" s="44" customFormat="1" ht="13.5" customHeight="1">
      <c r="B61" s="44" t="s">
        <v>10</v>
      </c>
      <c r="C61" s="186">
        <v>19.21</v>
      </c>
      <c r="D61" s="186">
        <v>32.980000000000004</v>
      </c>
      <c r="E61" s="187">
        <v>50.830000000000005</v>
      </c>
      <c r="F61" s="185">
        <f ca="1">'Sensitivities (End)'!F4</f>
        <v>71.325200000000009</v>
      </c>
      <c r="G61" s="185">
        <f ca="1">'Sensitivities (End)'!G4</f>
        <v>93.283351999999994</v>
      </c>
      <c r="H61" s="185">
        <f ca="1">'Sensitivities (End)'!H4</f>
        <v>118.54436191999999</v>
      </c>
      <c r="I61" s="185">
        <f ca="1">'Sensitivities (End)'!I4</f>
        <v>146.33752744319997</v>
      </c>
      <c r="J61" s="185">
        <f ca="1">'Sensitivities (End)'!J4</f>
        <v>178.97176794547195</v>
      </c>
      <c r="K61" s="107"/>
      <c r="M61" s="59"/>
    </row>
    <row r="62" spans="1:17" s="44" customFormat="1" ht="13.5" customHeight="1">
      <c r="B62" s="100" t="s">
        <v>12</v>
      </c>
      <c r="C62" s="179"/>
      <c r="D62" s="179">
        <f t="shared" ref="D62" si="12">D61/C61-1</f>
        <v>0.71681415929203562</v>
      </c>
      <c r="E62" s="180">
        <f>E61/D61-1</f>
        <v>0.54123711340206193</v>
      </c>
      <c r="F62" s="254">
        <f ca="1">F61/E61-1</f>
        <v>0.40321070234113709</v>
      </c>
      <c r="G62" s="254">
        <f t="shared" ref="G62:J62" ca="1" si="13">G61/F61-1</f>
        <v>0.30785966250357499</v>
      </c>
      <c r="H62" s="254">
        <f t="shared" ca="1" si="13"/>
        <v>0.27079869428362735</v>
      </c>
      <c r="I62" s="254">
        <f t="shared" ca="1" si="13"/>
        <v>0.2344537106029243</v>
      </c>
      <c r="J62" s="254">
        <f t="shared" ca="1" si="13"/>
        <v>0.22300664137528736</v>
      </c>
    </row>
    <row r="63" spans="1:17" s="44" customFormat="1" ht="13.5" customHeight="1">
      <c r="B63" s="76"/>
      <c r="C63" s="76"/>
      <c r="D63" s="76"/>
      <c r="E63" s="157"/>
      <c r="F63" s="77"/>
      <c r="G63" s="77"/>
      <c r="H63" s="77"/>
      <c r="I63" s="77"/>
      <c r="J63" s="77"/>
      <c r="K63" s="78"/>
      <c r="L63" s="78"/>
    </row>
    <row r="64" spans="1:17" s="44" customFormat="1" ht="13.5" customHeight="1">
      <c r="B64" s="44" t="s">
        <v>125</v>
      </c>
      <c r="C64" s="186">
        <v>13</v>
      </c>
      <c r="D64" s="186">
        <v>23</v>
      </c>
      <c r="E64" s="187">
        <v>35.799999999999997</v>
      </c>
      <c r="F64" s="103">
        <f ca="1">F65*F$61</f>
        <v>49.927640000000004</v>
      </c>
      <c r="G64" s="103">
        <f t="shared" ref="G64:J64" ca="1" si="14">G65*G$61</f>
        <v>65.298346399999986</v>
      </c>
      <c r="H64" s="103">
        <f t="shared" ca="1" si="14"/>
        <v>82.981053343999989</v>
      </c>
      <c r="I64" s="103">
        <f t="shared" ca="1" si="14"/>
        <v>102.43626921023997</v>
      </c>
      <c r="J64" s="103">
        <f t="shared" ca="1" si="14"/>
        <v>125.28023756183036</v>
      </c>
      <c r="K64" s="78"/>
      <c r="L64" s="78"/>
    </row>
    <row r="65" spans="2:12" s="44" customFormat="1" ht="13.5" customHeight="1">
      <c r="B65" s="100" t="s">
        <v>29</v>
      </c>
      <c r="C65" s="182">
        <f>+C64/C$61</f>
        <v>0.67673086933888593</v>
      </c>
      <c r="D65" s="182">
        <f>+D64/D$61</f>
        <v>0.69739235900545782</v>
      </c>
      <c r="E65" s="183">
        <f>+E64/E$61</f>
        <v>0.70430847924454054</v>
      </c>
      <c r="F65" s="184">
        <v>0.7</v>
      </c>
      <c r="G65" s="184">
        <v>0.7</v>
      </c>
      <c r="H65" s="184">
        <v>0.7</v>
      </c>
      <c r="I65" s="184">
        <v>0.7</v>
      </c>
      <c r="J65" s="184">
        <v>0.7</v>
      </c>
      <c r="K65" s="78"/>
      <c r="L65" s="78"/>
    </row>
    <row r="66" spans="2:12" s="44" customFormat="1" ht="13.5" customHeight="1">
      <c r="B66" s="76"/>
      <c r="C66" s="76"/>
      <c r="D66" s="76"/>
      <c r="E66" s="157"/>
      <c r="F66" s="77"/>
      <c r="G66" s="77"/>
      <c r="H66" s="77"/>
      <c r="I66" s="77"/>
      <c r="J66" s="77"/>
      <c r="K66" s="78"/>
      <c r="L66" s="78"/>
    </row>
    <row r="67" spans="2:12" s="44" customFormat="1" ht="13.5" customHeight="1">
      <c r="B67" s="44" t="s">
        <v>142</v>
      </c>
      <c r="C67" s="186">
        <v>9.56</v>
      </c>
      <c r="D67" s="186">
        <v>15.549999999999999</v>
      </c>
      <c r="E67" s="187">
        <v>20.75</v>
      </c>
      <c r="F67" s="185">
        <f ca="1">'Sensitivities (End)'!F13</f>
        <v>26.34</v>
      </c>
      <c r="G67" s="185">
        <f ca="1">'Sensitivities (End)'!G13</f>
        <v>34.32</v>
      </c>
      <c r="H67" s="185">
        <f ca="1">'Sensitivities (End)'!H13</f>
        <v>39.299999999999997</v>
      </c>
      <c r="I67" s="185">
        <f ca="1">'Sensitivities (End)'!I13</f>
        <v>45.879999999999995</v>
      </c>
      <c r="J67" s="185">
        <f ca="1">'Sensitivities (End)'!J13</f>
        <v>52.46</v>
      </c>
      <c r="L67" s="78"/>
    </row>
    <row r="68" spans="2:12" s="44" customFormat="1" ht="13.5" customHeight="1">
      <c r="B68" s="100" t="s">
        <v>29</v>
      </c>
      <c r="C68" s="179">
        <f t="shared" ref="C68:J68" si="15">+C67/C61</f>
        <v>0.49765747006767308</v>
      </c>
      <c r="D68" s="179">
        <f t="shared" si="15"/>
        <v>0.47149787750151601</v>
      </c>
      <c r="E68" s="180">
        <f t="shared" si="15"/>
        <v>0.40822349006492226</v>
      </c>
      <c r="F68" s="254">
        <f t="shared" ca="1" si="15"/>
        <v>0.36929444291779057</v>
      </c>
      <c r="G68" s="254">
        <f t="shared" ca="1" si="15"/>
        <v>0.36791130747531459</v>
      </c>
      <c r="H68" s="254">
        <f t="shared" ca="1" si="15"/>
        <v>0.33152146051890446</v>
      </c>
      <c r="I68" s="254">
        <f t="shared" ca="1" si="15"/>
        <v>0.31352176575354562</v>
      </c>
      <c r="J68" s="254">
        <f t="shared" ca="1" si="15"/>
        <v>0.2931188566901971</v>
      </c>
      <c r="L68" s="78"/>
    </row>
    <row r="69" spans="2:12" s="44" customFormat="1" ht="13.5" customHeight="1">
      <c r="B69" s="76"/>
      <c r="C69" s="76"/>
      <c r="D69" s="76"/>
      <c r="E69" s="157"/>
      <c r="F69" s="77"/>
      <c r="G69" s="77"/>
      <c r="H69" s="77"/>
      <c r="I69" s="77"/>
      <c r="J69" s="77"/>
      <c r="K69" s="78"/>
      <c r="L69" s="78"/>
    </row>
    <row r="70" spans="2:12" s="44" customFormat="1" ht="13.5" customHeight="1">
      <c r="B70" s="44" t="s">
        <v>143</v>
      </c>
      <c r="C70" s="186">
        <v>10</v>
      </c>
      <c r="D70" s="186">
        <v>15.2</v>
      </c>
      <c r="E70" s="187">
        <v>22.2</v>
      </c>
      <c r="F70" s="103">
        <f ca="1">F71*F$61</f>
        <v>28.530080000000005</v>
      </c>
      <c r="G70" s="103">
        <f t="shared" ref="G70:J70" ca="1" si="16">G71*G$61</f>
        <v>32.649173199999993</v>
      </c>
      <c r="H70" s="103">
        <f t="shared" ca="1" si="16"/>
        <v>41.490526671999994</v>
      </c>
      <c r="I70" s="103">
        <f t="shared" ca="1" si="16"/>
        <v>43.901258232959989</v>
      </c>
      <c r="J70" s="103">
        <f t="shared" ca="1" si="16"/>
        <v>44.742941986367988</v>
      </c>
      <c r="K70" s="78"/>
      <c r="L70" s="78"/>
    </row>
    <row r="71" spans="2:12" s="44" customFormat="1" ht="13.5" customHeight="1">
      <c r="B71" s="100" t="s">
        <v>29</v>
      </c>
      <c r="C71" s="182">
        <f>+C70/C$61</f>
        <v>0.52056220718375845</v>
      </c>
      <c r="D71" s="182">
        <f>+D70/D$61</f>
        <v>0.46088538508186772</v>
      </c>
      <c r="E71" s="183">
        <f>+E70/E$61</f>
        <v>0.43674995081644691</v>
      </c>
      <c r="F71" s="184">
        <v>0.4</v>
      </c>
      <c r="G71" s="184">
        <v>0.35</v>
      </c>
      <c r="H71" s="184">
        <v>0.35</v>
      </c>
      <c r="I71" s="184">
        <v>0.3</v>
      </c>
      <c r="J71" s="184">
        <v>0.25</v>
      </c>
      <c r="K71" s="78"/>
      <c r="L71" s="78"/>
    </row>
    <row r="72" spans="2:12" s="44" customFormat="1" ht="13.5" customHeight="1">
      <c r="E72" s="158"/>
      <c r="F72" s="78"/>
      <c r="G72" s="78"/>
      <c r="H72" s="78"/>
      <c r="I72" s="78"/>
      <c r="J72" s="78"/>
      <c r="K72" s="78"/>
      <c r="L72" s="78"/>
    </row>
    <row r="73" spans="2:12" s="44" customFormat="1" ht="13.5" customHeight="1">
      <c r="B73" s="44" t="s">
        <v>11</v>
      </c>
      <c r="C73" s="103">
        <f t="shared" ref="C73:J73" si="17">+C64-C67-C70</f>
        <v>-6.5600000000000005</v>
      </c>
      <c r="D73" s="103">
        <f t="shared" si="17"/>
        <v>-7.7499999999999982</v>
      </c>
      <c r="E73" s="188">
        <f t="shared" si="17"/>
        <v>-7.1500000000000021</v>
      </c>
      <c r="F73" s="103">
        <f t="shared" ca="1" si="17"/>
        <v>-4.9424400000000013</v>
      </c>
      <c r="G73" s="103">
        <f t="shared" ca="1" si="17"/>
        <v>-1.6708268000000075</v>
      </c>
      <c r="H73" s="103">
        <f t="shared" ca="1" si="17"/>
        <v>2.1905266719999972</v>
      </c>
      <c r="I73" s="103">
        <f t="shared" ca="1" si="17"/>
        <v>12.655010977279986</v>
      </c>
      <c r="J73" s="103">
        <f t="shared" ca="1" si="17"/>
        <v>28.077295575462379</v>
      </c>
      <c r="K73" s="78"/>
      <c r="L73" s="78"/>
    </row>
    <row r="74" spans="2:12" s="44" customFormat="1" ht="13.5" customHeight="1">
      <c r="B74" s="100" t="s">
        <v>29</v>
      </c>
      <c r="C74" s="179">
        <f t="shared" ref="C74:E74" si="18">+C73/C$61</f>
        <v>-0.34148880791254554</v>
      </c>
      <c r="D74" s="179">
        <f t="shared" si="18"/>
        <v>-0.23499090357792593</v>
      </c>
      <c r="E74" s="180">
        <f t="shared" si="18"/>
        <v>-0.14066496163682868</v>
      </c>
      <c r="F74" s="181">
        <f ca="1">+F73/F$61</f>
        <v>-6.9294442917790633E-2</v>
      </c>
      <c r="G74" s="181">
        <f t="shared" ref="G74:J74" ca="1" si="19">+G73/G$61</f>
        <v>-1.7911307475314647E-2</v>
      </c>
      <c r="H74" s="181">
        <f t="shared" ca="1" si="19"/>
        <v>1.847853948109553E-2</v>
      </c>
      <c r="I74" s="181">
        <f t="shared" ca="1" si="19"/>
        <v>8.647823424645433E-2</v>
      </c>
      <c r="J74" s="181">
        <f t="shared" ca="1" si="19"/>
        <v>0.15688114330980293</v>
      </c>
      <c r="K74" s="78"/>
      <c r="L74" s="78"/>
    </row>
    <row r="75" spans="2:12" s="44" customFormat="1" ht="13.5" customHeight="1">
      <c r="E75" s="158"/>
      <c r="F75" s="78"/>
      <c r="G75" s="78"/>
      <c r="H75" s="78"/>
      <c r="I75" s="78"/>
      <c r="J75" s="78"/>
      <c r="K75" s="78"/>
      <c r="L75" s="78"/>
    </row>
    <row r="76" spans="2:12" s="44" customFormat="1" ht="13.5" customHeight="1">
      <c r="B76" s="44" t="s">
        <v>13</v>
      </c>
      <c r="E76" s="156"/>
      <c r="F76" s="103">
        <f ca="1">F77*F$61</f>
        <v>4.2795120000000004</v>
      </c>
      <c r="G76" s="103">
        <f t="shared" ref="G76:J76" ca="1" si="20">G77*G$61</f>
        <v>5.5970011199999998</v>
      </c>
      <c r="H76" s="103">
        <f t="shared" ca="1" si="20"/>
        <v>7.1126617151999989</v>
      </c>
      <c r="I76" s="103">
        <f t="shared" ca="1" si="20"/>
        <v>8.7802516465919975</v>
      </c>
      <c r="J76" s="103">
        <f t="shared" ca="1" si="20"/>
        <v>10.738306076728318</v>
      </c>
      <c r="K76" s="78"/>
      <c r="L76" s="78"/>
    </row>
    <row r="77" spans="2:12" s="44" customFormat="1" ht="13.5" customHeight="1">
      <c r="B77" s="100" t="s">
        <v>29</v>
      </c>
      <c r="C77" s="179"/>
      <c r="D77" s="179"/>
      <c r="E77" s="180"/>
      <c r="F77" s="184">
        <v>0.06</v>
      </c>
      <c r="G77" s="184">
        <v>0.06</v>
      </c>
      <c r="H77" s="184">
        <v>0.06</v>
      </c>
      <c r="I77" s="184">
        <v>0.06</v>
      </c>
      <c r="J77" s="184">
        <v>0.06</v>
      </c>
      <c r="K77" s="78"/>
      <c r="L77" s="78"/>
    </row>
    <row r="78" spans="2:12" s="44" customFormat="1" ht="13.5" customHeight="1">
      <c r="E78" s="158"/>
      <c r="F78" s="78"/>
      <c r="G78" s="78"/>
      <c r="H78" s="78"/>
      <c r="I78" s="78"/>
      <c r="J78" s="78"/>
      <c r="K78" s="78"/>
      <c r="L78" s="78"/>
    </row>
    <row r="79" spans="2:12" s="44" customFormat="1" ht="13.5" customHeight="1">
      <c r="B79" s="44" t="s">
        <v>16</v>
      </c>
      <c r="E79" s="156"/>
      <c r="F79" s="103">
        <f ca="1">F114+F120</f>
        <v>0</v>
      </c>
      <c r="G79" s="103">
        <f t="shared" ref="G79:J79" ca="1" si="21">G114+G120</f>
        <v>0</v>
      </c>
      <c r="H79" s="103">
        <f t="shared" ca="1" si="21"/>
        <v>0</v>
      </c>
      <c r="I79" s="103">
        <f t="shared" ca="1" si="21"/>
        <v>0</v>
      </c>
      <c r="J79" s="103">
        <f t="shared" ca="1" si="21"/>
        <v>0</v>
      </c>
      <c r="K79" s="78"/>
      <c r="L79" s="78"/>
    </row>
    <row r="80" spans="2:12" s="44" customFormat="1" ht="13.5" customHeight="1">
      <c r="E80" s="158"/>
      <c r="F80" s="103"/>
      <c r="G80" s="103"/>
      <c r="H80" s="103"/>
      <c r="I80" s="103"/>
      <c r="J80" s="103"/>
      <c r="K80" s="78"/>
      <c r="L80" s="78"/>
    </row>
    <row r="81" spans="1:17" s="44" customFormat="1" ht="13.5" customHeight="1">
      <c r="B81" s="44" t="s">
        <v>50</v>
      </c>
      <c r="E81" s="156"/>
      <c r="F81" s="103">
        <f>F107</f>
        <v>0</v>
      </c>
      <c r="G81" s="103">
        <f t="shared" ref="G81:J81" si="22">G107</f>
        <v>0</v>
      </c>
      <c r="H81" s="103">
        <f t="shared" si="22"/>
        <v>0</v>
      </c>
      <c r="I81" s="103">
        <f t="shared" si="22"/>
        <v>0</v>
      </c>
      <c r="J81" s="103">
        <f t="shared" si="22"/>
        <v>0</v>
      </c>
      <c r="K81" s="78"/>
      <c r="L81" s="78"/>
    </row>
    <row r="82" spans="1:17" s="44" customFormat="1" ht="13.5" customHeight="1">
      <c r="B82" s="100" t="s">
        <v>29</v>
      </c>
      <c r="C82" s="179"/>
      <c r="D82" s="179"/>
      <c r="E82" s="180"/>
      <c r="F82" s="181">
        <f ca="1">+F81/F$61</f>
        <v>0</v>
      </c>
      <c r="G82" s="181">
        <f t="shared" ref="G82:J82" ca="1" si="23">+G81/G$61</f>
        <v>0</v>
      </c>
      <c r="H82" s="181">
        <f t="shared" ca="1" si="23"/>
        <v>0</v>
      </c>
      <c r="I82" s="181">
        <f t="shared" ca="1" si="23"/>
        <v>0</v>
      </c>
      <c r="J82" s="181">
        <f t="shared" ca="1" si="23"/>
        <v>0</v>
      </c>
      <c r="K82" s="78"/>
      <c r="L82" s="78"/>
    </row>
    <row r="83" spans="1:17" s="44" customFormat="1" ht="13.5" customHeight="1">
      <c r="E83" s="158"/>
      <c r="F83" s="78"/>
      <c r="G83" s="78"/>
      <c r="H83" s="78"/>
      <c r="I83" s="78"/>
      <c r="J83" s="78"/>
      <c r="K83" s="78"/>
      <c r="L83" s="78"/>
    </row>
    <row r="84" spans="1:17" s="44" customFormat="1" ht="13.5" customHeight="1">
      <c r="B84" s="44" t="s">
        <v>15</v>
      </c>
      <c r="E84" s="156"/>
      <c r="F84" s="103">
        <f ca="1">F73-F76-F79-F81</f>
        <v>-9.2219520000000017</v>
      </c>
      <c r="G84" s="103">
        <f t="shared" ref="G84:J84" ca="1" si="24">G73-G76-G79-G81</f>
        <v>-7.2678279200000073</v>
      </c>
      <c r="H84" s="103">
        <f t="shared" ca="1" si="24"/>
        <v>-4.9221350432000017</v>
      </c>
      <c r="I84" s="103">
        <f t="shared" ca="1" si="24"/>
        <v>3.8747593306879882</v>
      </c>
      <c r="J84" s="103">
        <f t="shared" ca="1" si="24"/>
        <v>17.338989498734062</v>
      </c>
      <c r="K84" s="78"/>
      <c r="L84" s="78"/>
    </row>
    <row r="85" spans="1:17" s="44" customFormat="1" ht="13.5" customHeight="1">
      <c r="B85" s="100" t="s">
        <v>29</v>
      </c>
      <c r="C85" s="179"/>
      <c r="D85" s="179"/>
      <c r="E85" s="180"/>
      <c r="F85" s="181">
        <f ca="1">+F84/F$61</f>
        <v>-0.12929444291779063</v>
      </c>
      <c r="G85" s="181">
        <f t="shared" ref="G85:J85" ca="1" si="25">+G84/G$61</f>
        <v>-7.7911307475314648E-2</v>
      </c>
      <c r="H85" s="181">
        <f t="shared" ca="1" si="25"/>
        <v>-4.1521460518904471E-2</v>
      </c>
      <c r="I85" s="181">
        <f t="shared" ca="1" si="25"/>
        <v>2.6478234246454332E-2</v>
      </c>
      <c r="J85" s="181">
        <f t="shared" ca="1" si="25"/>
        <v>9.6881143309802922E-2</v>
      </c>
    </row>
    <row r="86" spans="1:17" s="62" customFormat="1" ht="13.5" customHeight="1">
      <c r="A86" s="44"/>
      <c r="B86" s="44"/>
      <c r="C86" s="44"/>
      <c r="D86" s="44"/>
      <c r="E86" s="159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</row>
    <row r="87" spans="1:17" s="44" customFormat="1" ht="13.5" customHeight="1">
      <c r="B87" s="44" t="s">
        <v>97</v>
      </c>
      <c r="E87" s="160"/>
      <c r="F87" s="106">
        <f ca="1">+F135</f>
        <v>-1.9366099200000002</v>
      </c>
      <c r="G87" s="106">
        <f t="shared" ref="G87:J87" ca="1" si="26">+G135</f>
        <v>-1.5262438632000015</v>
      </c>
      <c r="H87" s="106">
        <f t="shared" ca="1" si="26"/>
        <v>-1.0336483590720003</v>
      </c>
      <c r="I87" s="106">
        <f t="shared" ca="1" si="26"/>
        <v>0.81369945944447752</v>
      </c>
      <c r="J87" s="106">
        <f t="shared" ca="1" si="26"/>
        <v>3.6411877947341527</v>
      </c>
    </row>
    <row r="88" spans="1:17" s="44" customFormat="1" ht="13.5" customHeight="1">
      <c r="B88" s="100" t="s">
        <v>17</v>
      </c>
      <c r="E88" s="160"/>
      <c r="F88" s="254">
        <f>+F137</f>
        <v>0.21</v>
      </c>
      <c r="G88" s="254">
        <f t="shared" ref="G88:J88" si="27">+G137</f>
        <v>0.21</v>
      </c>
      <c r="H88" s="254">
        <f t="shared" si="27"/>
        <v>0.21</v>
      </c>
      <c r="I88" s="254">
        <f t="shared" si="27"/>
        <v>0.21</v>
      </c>
      <c r="J88" s="254">
        <f t="shared" si="27"/>
        <v>0.21</v>
      </c>
    </row>
    <row r="89" spans="1:17" s="44" customFormat="1" ht="13.5" customHeight="1">
      <c r="B89" s="100"/>
      <c r="C89" s="76"/>
      <c r="D89" s="76"/>
      <c r="E89" s="159"/>
      <c r="F89" s="106"/>
      <c r="G89" s="106"/>
      <c r="H89" s="106"/>
      <c r="I89" s="106"/>
      <c r="J89" s="106"/>
    </row>
    <row r="90" spans="1:17" s="44" customFormat="1" ht="13.5" customHeight="1">
      <c r="B90" s="44" t="s">
        <v>14</v>
      </c>
      <c r="E90" s="160"/>
      <c r="F90" s="106">
        <f ca="1">F84-F87</f>
        <v>-7.2853420800000013</v>
      </c>
      <c r="G90" s="106">
        <f t="shared" ref="G90:J90" ca="1" si="28">G84-G87</f>
        <v>-5.7415840568000061</v>
      </c>
      <c r="H90" s="106">
        <f t="shared" ca="1" si="28"/>
        <v>-3.8884866841280017</v>
      </c>
      <c r="I90" s="106">
        <f t="shared" ca="1" si="28"/>
        <v>3.0610598712435104</v>
      </c>
      <c r="J90" s="106">
        <f t="shared" ca="1" si="28"/>
        <v>13.697801703999909</v>
      </c>
    </row>
    <row r="91" spans="1:17" s="44" customFormat="1" ht="13.5" customHeight="1">
      <c r="B91" s="100" t="s">
        <v>29</v>
      </c>
      <c r="C91" s="179"/>
      <c r="D91" s="179"/>
      <c r="E91" s="180"/>
      <c r="F91" s="181">
        <f ca="1">+F90/F$61</f>
        <v>-0.1021426099050546</v>
      </c>
      <c r="G91" s="181">
        <f t="shared" ref="G91:J91" ca="1" si="29">+G90/G$61</f>
        <v>-6.1549932905498574E-2</v>
      </c>
      <c r="H91" s="181">
        <f t="shared" ca="1" si="29"/>
        <v>-3.2801953809934531E-2</v>
      </c>
      <c r="I91" s="181">
        <f t="shared" ca="1" si="29"/>
        <v>2.091780505469892E-2</v>
      </c>
      <c r="J91" s="181">
        <f t="shared" ca="1" si="29"/>
        <v>7.6536103214744314E-2</v>
      </c>
    </row>
    <row r="92" spans="1:17" s="62" customFormat="1" ht="13.5" customHeight="1">
      <c r="A92" s="44"/>
      <c r="B92" s="44"/>
      <c r="C92" s="44"/>
      <c r="D92" s="44"/>
      <c r="E92" s="159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</row>
    <row r="93" spans="1:17" s="62" customFormat="1" ht="13.5" customHeight="1">
      <c r="A93" s="44"/>
      <c r="B93" s="44"/>
      <c r="C93" s="44"/>
      <c r="D93" s="44"/>
      <c r="E93" s="159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</row>
    <row r="94" spans="1:17" s="44" customFormat="1" ht="13.5" customHeight="1">
      <c r="B94" s="48" t="s">
        <v>26</v>
      </c>
      <c r="C94" s="48"/>
      <c r="D94" s="48"/>
      <c r="E94" s="155">
        <v>0</v>
      </c>
      <c r="F94" s="74">
        <v>1</v>
      </c>
      <c r="G94" s="74">
        <f>F94+1</f>
        <v>2</v>
      </c>
      <c r="H94" s="74">
        <f>G94+1</f>
        <v>3</v>
      </c>
      <c r="I94" s="74">
        <f>H94+1</f>
        <v>4</v>
      </c>
      <c r="J94" s="74">
        <f>I94+1</f>
        <v>5</v>
      </c>
    </row>
    <row r="95" spans="1:17" s="44" customFormat="1" ht="13.5" customHeight="1">
      <c r="B95" s="44" t="s">
        <v>33</v>
      </c>
      <c r="E95" s="159"/>
      <c r="F95" s="106">
        <f>E97</f>
        <v>100</v>
      </c>
      <c r="G95" s="106">
        <f t="shared" ref="G95:J95" si="30">F97</f>
        <v>105</v>
      </c>
      <c r="H95" s="106">
        <f t="shared" si="30"/>
        <v>110</v>
      </c>
      <c r="I95" s="106">
        <f t="shared" si="30"/>
        <v>115</v>
      </c>
      <c r="J95" s="106">
        <f t="shared" si="30"/>
        <v>120</v>
      </c>
    </row>
    <row r="96" spans="1:17" s="44" customFormat="1" ht="13.5" customHeight="1">
      <c r="B96" s="96" t="s">
        <v>93</v>
      </c>
      <c r="E96" s="159"/>
      <c r="F96" s="208">
        <v>5</v>
      </c>
      <c r="G96" s="208">
        <v>5</v>
      </c>
      <c r="H96" s="208">
        <v>5</v>
      </c>
      <c r="I96" s="208">
        <v>5</v>
      </c>
      <c r="J96" s="208">
        <v>5</v>
      </c>
      <c r="M96" s="53"/>
    </row>
    <row r="97" spans="1:17" s="44" customFormat="1" ht="13.5" customHeight="1">
      <c r="B97" s="54" t="s">
        <v>34</v>
      </c>
      <c r="C97" s="54"/>
      <c r="D97" s="54"/>
      <c r="E97" s="196">
        <f>E45</f>
        <v>100</v>
      </c>
      <c r="F97" s="105">
        <f>SUM(F95:F96)</f>
        <v>105</v>
      </c>
      <c r="G97" s="105">
        <f t="shared" ref="G97:J97" si="31">SUM(G95:G96)</f>
        <v>110</v>
      </c>
      <c r="H97" s="105">
        <f t="shared" si="31"/>
        <v>115</v>
      </c>
      <c r="I97" s="105">
        <f t="shared" si="31"/>
        <v>120</v>
      </c>
      <c r="J97" s="105">
        <f t="shared" si="31"/>
        <v>125</v>
      </c>
      <c r="M97" s="53"/>
    </row>
    <row r="98" spans="1:17" s="62" customFormat="1" ht="13.5" customHeight="1">
      <c r="A98" s="44"/>
      <c r="B98" s="44"/>
      <c r="C98" s="44"/>
      <c r="D98" s="44"/>
      <c r="E98" s="199"/>
      <c r="F98" s="106"/>
      <c r="G98" s="106"/>
      <c r="H98" s="106"/>
      <c r="I98" s="106"/>
      <c r="J98" s="106"/>
      <c r="K98" s="44"/>
      <c r="L98" s="44"/>
      <c r="M98" s="53"/>
      <c r="N98" s="44"/>
      <c r="O98" s="44"/>
      <c r="P98" s="44"/>
      <c r="Q98" s="44"/>
    </row>
    <row r="99" spans="1:17" s="44" customFormat="1" ht="13.5" customHeight="1">
      <c r="B99" s="44" t="s">
        <v>27</v>
      </c>
      <c r="E99" s="199"/>
      <c r="F99" s="106">
        <f>E102</f>
        <v>20</v>
      </c>
      <c r="G99" s="106">
        <f t="shared" ref="G99:J99" ca="1" si="32">F102</f>
        <v>21.426504000000001</v>
      </c>
      <c r="H99" s="106">
        <f t="shared" ca="1" si="32"/>
        <v>23.292171039999999</v>
      </c>
      <c r="I99" s="106">
        <f t="shared" ca="1" si="32"/>
        <v>25.663058278400001</v>
      </c>
      <c r="J99" s="106">
        <f t="shared" ca="1" si="32"/>
        <v>28.589808827264001</v>
      </c>
      <c r="M99" s="53"/>
    </row>
    <row r="100" spans="1:17" s="44" customFormat="1" ht="13.5" customHeight="1">
      <c r="B100" s="95" t="s">
        <v>87</v>
      </c>
      <c r="E100" s="159"/>
      <c r="F100" s="102">
        <f ca="1">F103*F61</f>
        <v>5.7060160000000009</v>
      </c>
      <c r="G100" s="102">
        <f ca="1">G103*G61</f>
        <v>7.4626681599999998</v>
      </c>
      <c r="H100" s="102">
        <f ca="1">H103*H61</f>
        <v>9.4835489535999997</v>
      </c>
      <c r="I100" s="102">
        <f ca="1">I103*I61</f>
        <v>11.707002195455997</v>
      </c>
      <c r="J100" s="102">
        <f ca="1">J103*J61</f>
        <v>14.317741435637757</v>
      </c>
      <c r="M100" s="53"/>
    </row>
    <row r="101" spans="1:17" s="44" customFormat="1" ht="13.5" customHeight="1">
      <c r="B101" s="95" t="s">
        <v>88</v>
      </c>
      <c r="E101" s="159"/>
      <c r="F101" s="102">
        <f ca="1">F76</f>
        <v>4.2795120000000004</v>
      </c>
      <c r="G101" s="102">
        <f t="shared" ref="G101:J101" ca="1" si="33">G76</f>
        <v>5.5970011199999998</v>
      </c>
      <c r="H101" s="102">
        <f t="shared" ca="1" si="33"/>
        <v>7.1126617151999989</v>
      </c>
      <c r="I101" s="102">
        <f t="shared" ca="1" si="33"/>
        <v>8.7802516465919975</v>
      </c>
      <c r="J101" s="102">
        <f t="shared" ca="1" si="33"/>
        <v>10.738306076728318</v>
      </c>
    </row>
    <row r="102" spans="1:17" s="44" customFormat="1" ht="13.5" customHeight="1">
      <c r="B102" s="54" t="s">
        <v>28</v>
      </c>
      <c r="C102" s="54"/>
      <c r="D102" s="54"/>
      <c r="E102" s="196">
        <f>E49</f>
        <v>20</v>
      </c>
      <c r="F102" s="105">
        <f ca="1">F99+F100-F101</f>
        <v>21.426504000000001</v>
      </c>
      <c r="G102" s="105">
        <f t="shared" ref="G102:J102" ca="1" si="34">G99+G100-G101</f>
        <v>23.292171039999999</v>
      </c>
      <c r="H102" s="105">
        <f t="shared" ca="1" si="34"/>
        <v>25.663058278400001</v>
      </c>
      <c r="I102" s="105">
        <f t="shared" ca="1" si="34"/>
        <v>28.589808827264001</v>
      </c>
      <c r="J102" s="105">
        <f t="shared" ca="1" si="34"/>
        <v>32.169244186173444</v>
      </c>
    </row>
    <row r="103" spans="1:17" s="44" customFormat="1" ht="13.5" customHeight="1">
      <c r="B103" s="76" t="s">
        <v>167</v>
      </c>
      <c r="E103" s="159"/>
      <c r="F103" s="184">
        <v>0.08</v>
      </c>
      <c r="G103" s="184">
        <v>0.08</v>
      </c>
      <c r="H103" s="184">
        <v>0.08</v>
      </c>
      <c r="I103" s="184">
        <v>0.08</v>
      </c>
      <c r="J103" s="184">
        <v>0.08</v>
      </c>
      <c r="M103" s="53"/>
    </row>
    <row r="104" spans="1:17" s="44" customFormat="1" ht="13.5" customHeight="1">
      <c r="B104" s="76" t="s">
        <v>168</v>
      </c>
      <c r="E104" s="159"/>
      <c r="F104" s="254">
        <f>F77</f>
        <v>0.06</v>
      </c>
      <c r="G104" s="254">
        <f>G77</f>
        <v>0.06</v>
      </c>
      <c r="H104" s="254">
        <f>H77</f>
        <v>0.06</v>
      </c>
      <c r="I104" s="254">
        <f>I77</f>
        <v>0.06</v>
      </c>
      <c r="J104" s="254">
        <f>J77</f>
        <v>0.06</v>
      </c>
      <c r="M104" s="53"/>
    </row>
    <row r="105" spans="1:17" s="44" customFormat="1" ht="13.5" customHeight="1">
      <c r="B105" s="59"/>
      <c r="C105" s="59"/>
      <c r="D105" s="59"/>
      <c r="E105" s="229"/>
      <c r="F105" s="201"/>
      <c r="G105" s="201"/>
      <c r="H105" s="201"/>
      <c r="I105" s="201"/>
      <c r="J105" s="201"/>
    </row>
    <row r="106" spans="1:17" s="62" customFormat="1" ht="13.5" customHeight="1">
      <c r="A106" s="44"/>
      <c r="B106" s="44" t="s">
        <v>48</v>
      </c>
      <c r="C106" s="44"/>
      <c r="D106" s="87" t="s">
        <v>169</v>
      </c>
      <c r="E106" s="255" t="s">
        <v>170</v>
      </c>
      <c r="F106" s="106">
        <f>E108</f>
        <v>0</v>
      </c>
      <c r="G106" s="106">
        <f t="shared" ref="G106:J106" si="35">F108</f>
        <v>0</v>
      </c>
      <c r="H106" s="106">
        <f t="shared" si="35"/>
        <v>0</v>
      </c>
      <c r="I106" s="106">
        <f t="shared" si="35"/>
        <v>0</v>
      </c>
      <c r="J106" s="106">
        <f t="shared" si="35"/>
        <v>0</v>
      </c>
      <c r="K106" s="44"/>
      <c r="L106" s="44"/>
      <c r="M106" s="44"/>
      <c r="N106" s="44"/>
      <c r="O106" s="44"/>
      <c r="P106" s="44"/>
      <c r="Q106" s="44"/>
    </row>
    <row r="107" spans="1:17" s="62" customFormat="1" ht="13.5" customHeight="1">
      <c r="A107" s="44"/>
      <c r="B107" s="95" t="s">
        <v>89</v>
      </c>
      <c r="C107" s="44"/>
      <c r="D107" s="101">
        <v>5</v>
      </c>
      <c r="E107" s="256">
        <f>E108/D107</f>
        <v>0</v>
      </c>
      <c r="F107" s="257">
        <f>$E$107</f>
        <v>0</v>
      </c>
      <c r="G107" s="257">
        <f t="shared" ref="G107:J107" si="36">$E$107</f>
        <v>0</v>
      </c>
      <c r="H107" s="257">
        <f t="shared" si="36"/>
        <v>0</v>
      </c>
      <c r="I107" s="257">
        <f t="shared" si="36"/>
        <v>0</v>
      </c>
      <c r="J107" s="257">
        <f t="shared" si="36"/>
        <v>0</v>
      </c>
      <c r="K107" s="44"/>
      <c r="L107" s="44"/>
      <c r="M107" s="44"/>
      <c r="N107" s="44"/>
      <c r="O107" s="44"/>
      <c r="P107" s="44"/>
      <c r="Q107" s="44"/>
    </row>
    <row r="108" spans="1:17" s="62" customFormat="1" ht="13.5" customHeight="1">
      <c r="A108" s="44"/>
      <c r="B108" s="54" t="s">
        <v>49</v>
      </c>
      <c r="C108" s="54"/>
      <c r="D108" s="54"/>
      <c r="E108" s="196">
        <f>E46</f>
        <v>0</v>
      </c>
      <c r="F108" s="105">
        <f>F106-F107</f>
        <v>0</v>
      </c>
      <c r="G108" s="105">
        <f t="shared" ref="G108:J108" si="37">G106-G107</f>
        <v>0</v>
      </c>
      <c r="H108" s="105">
        <f t="shared" si="37"/>
        <v>0</v>
      </c>
      <c r="I108" s="105">
        <f t="shared" si="37"/>
        <v>0</v>
      </c>
      <c r="J108" s="105">
        <f t="shared" si="37"/>
        <v>0</v>
      </c>
      <c r="K108" s="44"/>
      <c r="L108" s="44"/>
      <c r="M108" s="44"/>
      <c r="N108" s="44"/>
      <c r="O108" s="44"/>
      <c r="P108" s="44"/>
      <c r="Q108" s="44"/>
    </row>
    <row r="109" spans="1:17" s="62" customFormat="1" ht="13.5" customHeight="1">
      <c r="A109" s="44"/>
      <c r="B109" s="44"/>
      <c r="C109" s="44"/>
      <c r="D109" s="44"/>
      <c r="E109" s="159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</row>
    <row r="110" spans="1:17" s="44" customFormat="1" ht="13.5" customHeight="1">
      <c r="B110" s="44" t="s">
        <v>165</v>
      </c>
      <c r="E110" s="159"/>
      <c r="F110" s="106">
        <f>E112</f>
        <v>0</v>
      </c>
      <c r="G110" s="106">
        <f t="shared" ref="G110:J110" si="38">F112</f>
        <v>0</v>
      </c>
      <c r="H110" s="106">
        <f t="shared" si="38"/>
        <v>0</v>
      </c>
      <c r="I110" s="106">
        <f t="shared" si="38"/>
        <v>0</v>
      </c>
      <c r="J110" s="106">
        <f t="shared" si="38"/>
        <v>0</v>
      </c>
    </row>
    <row r="111" spans="1:17" s="44" customFormat="1" ht="13.5" customHeight="1">
      <c r="B111" s="95" t="s">
        <v>90</v>
      </c>
      <c r="E111" s="159"/>
      <c r="F111" s="191">
        <v>0</v>
      </c>
      <c r="G111" s="191">
        <v>0</v>
      </c>
      <c r="H111" s="191">
        <v>0</v>
      </c>
      <c r="I111" s="191">
        <v>0</v>
      </c>
      <c r="J111" s="191">
        <v>0</v>
      </c>
    </row>
    <row r="112" spans="1:17" s="44" customFormat="1" ht="13.5" customHeight="1">
      <c r="B112" s="54" t="s">
        <v>166</v>
      </c>
      <c r="C112" s="54"/>
      <c r="D112" s="54"/>
      <c r="E112" s="196">
        <f>E52</f>
        <v>0</v>
      </c>
      <c r="F112" s="105">
        <f>F111+F110</f>
        <v>0</v>
      </c>
      <c r="G112" s="105">
        <f t="shared" ref="G112:J112" si="39">G111+G110</f>
        <v>0</v>
      </c>
      <c r="H112" s="105">
        <f t="shared" si="39"/>
        <v>0</v>
      </c>
      <c r="I112" s="105">
        <f t="shared" si="39"/>
        <v>0</v>
      </c>
      <c r="J112" s="105">
        <f t="shared" si="39"/>
        <v>0</v>
      </c>
    </row>
    <row r="113" spans="1:17" s="44" customFormat="1" ht="13.5" customHeight="1">
      <c r="B113" s="95" t="s">
        <v>164</v>
      </c>
      <c r="E113" s="165"/>
      <c r="F113" s="86">
        <v>0.05</v>
      </c>
      <c r="G113" s="86">
        <v>0.05</v>
      </c>
      <c r="H113" s="86">
        <v>0.05</v>
      </c>
      <c r="I113" s="86">
        <v>0.05</v>
      </c>
      <c r="J113" s="86">
        <v>0.05</v>
      </c>
    </row>
    <row r="114" spans="1:17" s="44" customFormat="1" ht="13.5" customHeight="1">
      <c r="B114" s="54" t="s">
        <v>16</v>
      </c>
      <c r="C114" s="54"/>
      <c r="D114" s="54"/>
      <c r="E114" s="196"/>
      <c r="F114" s="105">
        <f>AVERAGE(E112:F112)*F113</f>
        <v>0</v>
      </c>
      <c r="G114" s="105">
        <f t="shared" ref="G114:J114" si="40">AVERAGE(F112:G112)*G113</f>
        <v>0</v>
      </c>
      <c r="H114" s="105">
        <f t="shared" si="40"/>
        <v>0</v>
      </c>
      <c r="I114" s="105">
        <f t="shared" si="40"/>
        <v>0</v>
      </c>
      <c r="J114" s="105">
        <f t="shared" si="40"/>
        <v>0</v>
      </c>
    </row>
    <row r="115" spans="1:17" s="62" customFormat="1" ht="13.5" customHeight="1">
      <c r="A115" s="44"/>
      <c r="B115" s="44"/>
      <c r="C115" s="44"/>
      <c r="D115" s="44"/>
      <c r="E115" s="159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</row>
    <row r="116" spans="1:17" s="44" customFormat="1" ht="13.5" customHeight="1">
      <c r="B116" s="44" t="s">
        <v>162</v>
      </c>
      <c r="E116" s="159"/>
      <c r="F116" s="106">
        <f>E118</f>
        <v>0</v>
      </c>
      <c r="G116" s="106">
        <f t="shared" ref="G116:J116" ca="1" si="41">F118</f>
        <v>0</v>
      </c>
      <c r="H116" s="106">
        <f t="shared" ca="1" si="41"/>
        <v>0</v>
      </c>
      <c r="I116" s="106">
        <f t="shared" ca="1" si="41"/>
        <v>0</v>
      </c>
      <c r="J116" s="106">
        <f t="shared" ca="1" si="41"/>
        <v>0</v>
      </c>
    </row>
    <row r="117" spans="1:17" s="44" customFormat="1" ht="13.5" customHeight="1">
      <c r="B117" s="95" t="s">
        <v>90</v>
      </c>
      <c r="E117" s="159"/>
      <c r="F117" s="102">
        <f ca="1">-MIN(F116, F147+E44-F122)</f>
        <v>0</v>
      </c>
      <c r="G117" s="102">
        <f ca="1">-MIN(G116, G147+F44-G122)</f>
        <v>0</v>
      </c>
      <c r="H117" s="102">
        <f ca="1">-MIN(H116, H147+G44-H122)</f>
        <v>0</v>
      </c>
      <c r="I117" s="102">
        <f ca="1">-MIN(I116, I147+H44-I122)</f>
        <v>0</v>
      </c>
      <c r="J117" s="102">
        <f ca="1">-MIN(J116, J147+I44-J122)</f>
        <v>0</v>
      </c>
    </row>
    <row r="118" spans="1:17" s="44" customFormat="1" ht="13.5" customHeight="1">
      <c r="B118" s="54" t="s">
        <v>163</v>
      </c>
      <c r="C118" s="54"/>
      <c r="D118" s="54"/>
      <c r="E118" s="196">
        <f>E53</f>
        <v>0</v>
      </c>
      <c r="F118" s="105">
        <f ca="1">SUM(F116:F117)</f>
        <v>0</v>
      </c>
      <c r="G118" s="105">
        <f t="shared" ref="G118:J118" ca="1" si="42">SUM(G116:G117)</f>
        <v>0</v>
      </c>
      <c r="H118" s="105">
        <f t="shared" ca="1" si="42"/>
        <v>0</v>
      </c>
      <c r="I118" s="105">
        <f t="shared" ca="1" si="42"/>
        <v>0</v>
      </c>
      <c r="J118" s="105">
        <f t="shared" ca="1" si="42"/>
        <v>0</v>
      </c>
    </row>
    <row r="119" spans="1:17" s="44" customFormat="1" ht="13.5" customHeight="1">
      <c r="B119" s="95" t="s">
        <v>164</v>
      </c>
      <c r="E119" s="165"/>
      <c r="F119" s="86">
        <v>0.08</v>
      </c>
      <c r="G119" s="86">
        <v>0.08</v>
      </c>
      <c r="H119" s="86">
        <v>0.08</v>
      </c>
      <c r="I119" s="86">
        <v>0.08</v>
      </c>
      <c r="J119" s="86">
        <v>0.08</v>
      </c>
    </row>
    <row r="120" spans="1:17" s="44" customFormat="1" ht="13.5" customHeight="1">
      <c r="B120" s="54" t="s">
        <v>16</v>
      </c>
      <c r="C120" s="54"/>
      <c r="D120" s="54"/>
      <c r="E120" s="196"/>
      <c r="F120" s="105">
        <f ca="1">AVERAGE(E118:F118)*F119</f>
        <v>0</v>
      </c>
      <c r="G120" s="105">
        <f t="shared" ref="G120:J120" ca="1" si="43">AVERAGE(F118:G118)*G119</f>
        <v>0</v>
      </c>
      <c r="H120" s="105">
        <f t="shared" ca="1" si="43"/>
        <v>0</v>
      </c>
      <c r="I120" s="105">
        <f t="shared" ca="1" si="43"/>
        <v>0</v>
      </c>
      <c r="J120" s="105">
        <f t="shared" ca="1" si="43"/>
        <v>0</v>
      </c>
    </row>
    <row r="121" spans="1:17" s="44" customFormat="1" ht="13.5" customHeight="1">
      <c r="B121" s="59"/>
      <c r="C121" s="59"/>
      <c r="D121" s="59"/>
      <c r="E121" s="229"/>
      <c r="F121" s="201"/>
      <c r="G121" s="201"/>
      <c r="H121" s="201"/>
      <c r="I121" s="201"/>
      <c r="J121" s="201"/>
    </row>
    <row r="122" spans="1:17" s="44" customFormat="1" ht="13.5" customHeight="1">
      <c r="B122" s="207" t="s">
        <v>137</v>
      </c>
      <c r="E122" s="159"/>
      <c r="F122" s="258">
        <v>5</v>
      </c>
      <c r="G122" s="258">
        <v>5</v>
      </c>
      <c r="H122" s="258">
        <v>5</v>
      </c>
      <c r="I122" s="258">
        <v>5</v>
      </c>
      <c r="J122" s="258">
        <v>5</v>
      </c>
    </row>
    <row r="123" spans="1:17" s="44" customFormat="1" ht="13.5" customHeight="1">
      <c r="E123" s="165"/>
      <c r="F123" s="84"/>
      <c r="G123" s="84"/>
      <c r="H123" s="84"/>
      <c r="I123" s="84"/>
      <c r="J123" s="84"/>
    </row>
    <row r="124" spans="1:17" s="44" customFormat="1" ht="13.5" customHeight="1">
      <c r="E124" s="165"/>
      <c r="F124" s="84"/>
      <c r="G124" s="84"/>
      <c r="H124" s="84"/>
      <c r="I124" s="84"/>
      <c r="J124" s="84"/>
    </row>
    <row r="125" spans="1:17" s="44" customFormat="1" ht="13.5" customHeight="1">
      <c r="B125" s="44" t="s">
        <v>15</v>
      </c>
      <c r="E125" s="165"/>
      <c r="F125" s="106">
        <f ca="1">+F84</f>
        <v>-9.2219520000000017</v>
      </c>
      <c r="G125" s="106">
        <f t="shared" ref="G125:J125" ca="1" si="44">+G84</f>
        <v>-7.2678279200000073</v>
      </c>
      <c r="H125" s="106">
        <f t="shared" ca="1" si="44"/>
        <v>-4.9221350432000017</v>
      </c>
      <c r="I125" s="106">
        <f t="shared" ca="1" si="44"/>
        <v>3.8747593306879882</v>
      </c>
      <c r="J125" s="106">
        <f t="shared" ca="1" si="44"/>
        <v>17.338989498734062</v>
      </c>
    </row>
    <row r="126" spans="1:17" s="44" customFormat="1" ht="13.5" customHeight="1">
      <c r="B126" s="95" t="s">
        <v>246</v>
      </c>
      <c r="E126" s="165"/>
      <c r="F126" s="102">
        <f ca="1">+F132</f>
        <v>0</v>
      </c>
      <c r="G126" s="102">
        <f t="shared" ref="G126:J126" ca="1" si="45">+G132</f>
        <v>0</v>
      </c>
      <c r="H126" s="102">
        <f t="shared" ca="1" si="45"/>
        <v>0</v>
      </c>
      <c r="I126" s="102">
        <f t="shared" ca="1" si="45"/>
        <v>-3.0998074645503908</v>
      </c>
      <c r="J126" s="102">
        <f t="shared" ca="1" si="45"/>
        <v>-13.871191598987251</v>
      </c>
    </row>
    <row r="127" spans="1:17" s="44" customFormat="1" ht="13.5" customHeight="1">
      <c r="B127" s="54" t="s">
        <v>96</v>
      </c>
      <c r="C127" s="54"/>
      <c r="D127" s="54"/>
      <c r="E127" s="196"/>
      <c r="F127" s="105">
        <f ca="1">SUM(F125:F126)</f>
        <v>-9.2219520000000017</v>
      </c>
      <c r="G127" s="105">
        <f t="shared" ref="G127:J127" ca="1" si="46">SUM(G125:G126)</f>
        <v>-7.2678279200000073</v>
      </c>
      <c r="H127" s="105">
        <f t="shared" ca="1" si="46"/>
        <v>-4.9221350432000017</v>
      </c>
      <c r="I127" s="105">
        <f t="shared" ca="1" si="46"/>
        <v>0.77495186613759737</v>
      </c>
      <c r="J127" s="105">
        <f t="shared" ca="1" si="46"/>
        <v>3.4677978997468113</v>
      </c>
    </row>
    <row r="128" spans="1:17" s="44" customFormat="1" ht="13.5" customHeight="1">
      <c r="B128" s="80" t="s">
        <v>247</v>
      </c>
      <c r="E128" s="165"/>
      <c r="F128" s="302">
        <f ca="1">+F125*80%</f>
        <v>-7.3775616000000017</v>
      </c>
      <c r="G128" s="302">
        <f t="shared" ref="G128:J128" ca="1" si="47">+G125*80%</f>
        <v>-5.8142623360000059</v>
      </c>
      <c r="H128" s="302">
        <f t="shared" ca="1" si="47"/>
        <v>-3.9377080345600017</v>
      </c>
      <c r="I128" s="302">
        <f t="shared" ca="1" si="47"/>
        <v>3.0998074645503908</v>
      </c>
      <c r="J128" s="302">
        <f t="shared" ca="1" si="47"/>
        <v>13.871191598987251</v>
      </c>
    </row>
    <row r="129" spans="2:13" s="44" customFormat="1" ht="13.5" customHeight="1">
      <c r="E129" s="165"/>
      <c r="F129" s="84"/>
      <c r="G129" s="84"/>
      <c r="H129" s="84"/>
      <c r="I129" s="84"/>
      <c r="J129" s="84"/>
    </row>
    <row r="130" spans="2:13" s="44" customFormat="1" ht="13.5" customHeight="1">
      <c r="B130" s="44" t="s">
        <v>91</v>
      </c>
      <c r="E130" s="165"/>
      <c r="F130" s="106">
        <f>+E133</f>
        <v>50</v>
      </c>
      <c r="G130" s="106">
        <f t="shared" ref="G130:J130" ca="1" si="48">+F133</f>
        <v>59.221952000000002</v>
      </c>
      <c r="H130" s="106">
        <f t="shared" ca="1" si="48"/>
        <v>66.489779920000004</v>
      </c>
      <c r="I130" s="106">
        <f t="shared" ca="1" si="48"/>
        <v>71.411914963200005</v>
      </c>
      <c r="J130" s="106">
        <f t="shared" ca="1" si="48"/>
        <v>68.31210749864961</v>
      </c>
    </row>
    <row r="131" spans="2:13" s="44" customFormat="1" ht="13.5" customHeight="1">
      <c r="B131" s="95" t="s">
        <v>248</v>
      </c>
      <c r="E131" s="165"/>
      <c r="F131" s="102">
        <f ca="1">IF(F125&gt;0, 0, -F125)</f>
        <v>9.2219520000000017</v>
      </c>
      <c r="G131" s="102">
        <f t="shared" ref="G131:J131" ca="1" si="49">IF(G125&gt;0, 0, -G125)</f>
        <v>7.2678279200000073</v>
      </c>
      <c r="H131" s="102">
        <f t="shared" ca="1" si="49"/>
        <v>4.9221350432000017</v>
      </c>
      <c r="I131" s="102">
        <f t="shared" ca="1" si="49"/>
        <v>0</v>
      </c>
      <c r="J131" s="102">
        <f t="shared" ca="1" si="49"/>
        <v>0</v>
      </c>
    </row>
    <row r="132" spans="2:13" s="44" customFormat="1" ht="13.5" customHeight="1">
      <c r="B132" s="95" t="s">
        <v>249</v>
      </c>
      <c r="E132" s="165"/>
      <c r="F132" s="102">
        <f ca="1">IF(F125&lt;0, 0, -MIN(F128, SUM(F130:F131)))</f>
        <v>0</v>
      </c>
      <c r="G132" s="102">
        <f t="shared" ref="G132:J132" ca="1" si="50">IF(G125&lt;0, 0, -MIN(G128, SUM(G130:G131)))</f>
        <v>0</v>
      </c>
      <c r="H132" s="102">
        <f t="shared" ca="1" si="50"/>
        <v>0</v>
      </c>
      <c r="I132" s="102">
        <f t="shared" ca="1" si="50"/>
        <v>-3.0998074645503908</v>
      </c>
      <c r="J132" s="102">
        <f t="shared" ca="1" si="50"/>
        <v>-13.871191598987251</v>
      </c>
    </row>
    <row r="133" spans="2:13" s="44" customFormat="1" ht="13.5" customHeight="1">
      <c r="B133" s="54" t="s">
        <v>92</v>
      </c>
      <c r="C133" s="54"/>
      <c r="D133" s="54"/>
      <c r="E133" s="210">
        <v>50</v>
      </c>
      <c r="F133" s="105">
        <f ca="1">SUM(F130:F132)</f>
        <v>59.221952000000002</v>
      </c>
      <c r="G133" s="105">
        <f t="shared" ref="G133:J133" ca="1" si="51">SUM(G130:G132)</f>
        <v>66.489779920000004</v>
      </c>
      <c r="H133" s="105">
        <f t="shared" ca="1" si="51"/>
        <v>71.411914963200005</v>
      </c>
      <c r="I133" s="105">
        <f t="shared" ca="1" si="51"/>
        <v>68.31210749864961</v>
      </c>
      <c r="J133" s="105">
        <f t="shared" ca="1" si="51"/>
        <v>54.440915899662357</v>
      </c>
    </row>
    <row r="134" spans="2:13" s="44" customFormat="1" ht="13.5" customHeight="1">
      <c r="E134" s="165"/>
      <c r="F134" s="84"/>
      <c r="G134" s="84"/>
      <c r="H134" s="84"/>
      <c r="I134" s="84"/>
      <c r="J134" s="84"/>
    </row>
    <row r="135" spans="2:13" s="44" customFormat="1" ht="13.5" customHeight="1">
      <c r="B135" s="44" t="s">
        <v>97</v>
      </c>
      <c r="E135" s="165"/>
      <c r="F135" s="106">
        <f ca="1">+F125*F137</f>
        <v>-1.9366099200000002</v>
      </c>
      <c r="G135" s="106">
        <f ca="1">+G125*G137</f>
        <v>-1.5262438632000015</v>
      </c>
      <c r="H135" s="106">
        <f ca="1">+H125*H137</f>
        <v>-1.0336483590720003</v>
      </c>
      <c r="I135" s="106">
        <f ca="1">+I125*I137</f>
        <v>0.81369945944447752</v>
      </c>
      <c r="J135" s="106">
        <f ca="1">+J125*J137</f>
        <v>3.6411877947341527</v>
      </c>
    </row>
    <row r="136" spans="2:13" s="44" customFormat="1" ht="13.5" customHeight="1">
      <c r="B136" s="59" t="s">
        <v>322</v>
      </c>
      <c r="C136" s="59"/>
      <c r="D136" s="59"/>
      <c r="E136" s="229"/>
      <c r="F136" s="201">
        <f ca="1">-SUM(F131:F132)*F137</f>
        <v>-1.9366099200000002</v>
      </c>
      <c r="G136" s="201">
        <f t="shared" ref="G136:J136" ca="1" si="52">-SUM(G131:G132)*G137</f>
        <v>-1.5262438632000015</v>
      </c>
      <c r="H136" s="201">
        <f t="shared" ca="1" si="52"/>
        <v>-1.0336483590720003</v>
      </c>
      <c r="I136" s="201">
        <f t="shared" ca="1" si="52"/>
        <v>0.65095956755558204</v>
      </c>
      <c r="J136" s="201">
        <f t="shared" ca="1" si="52"/>
        <v>2.9129502357873225</v>
      </c>
    </row>
    <row r="137" spans="2:13" s="44" customFormat="1" ht="13.5" customHeight="1">
      <c r="B137" s="80" t="s">
        <v>94</v>
      </c>
      <c r="E137" s="165"/>
      <c r="F137" s="184">
        <v>0.21</v>
      </c>
      <c r="G137" s="184">
        <v>0.21</v>
      </c>
      <c r="H137" s="184">
        <v>0.21</v>
      </c>
      <c r="I137" s="184">
        <v>0.21</v>
      </c>
      <c r="J137" s="184">
        <v>0.21</v>
      </c>
    </row>
    <row r="138" spans="2:13" s="44" customFormat="1" ht="13.5" customHeight="1">
      <c r="B138" s="59"/>
      <c r="C138" s="59"/>
      <c r="D138" s="59"/>
      <c r="E138" s="229"/>
      <c r="F138" s="201"/>
      <c r="G138" s="201"/>
      <c r="H138" s="201"/>
      <c r="I138" s="201"/>
      <c r="J138" s="201"/>
    </row>
    <row r="139" spans="2:13" s="44" customFormat="1" ht="13.5" customHeight="1">
      <c r="E139" s="165"/>
      <c r="F139" s="84"/>
      <c r="G139" s="84"/>
      <c r="H139" s="84"/>
      <c r="I139" s="84"/>
      <c r="J139" s="84"/>
    </row>
    <row r="140" spans="2:13" s="44" customFormat="1" ht="13.5" customHeight="1">
      <c r="B140" s="48" t="s">
        <v>18</v>
      </c>
      <c r="C140" s="48"/>
      <c r="D140" s="48"/>
      <c r="E140" s="155"/>
      <c r="F140" s="74">
        <v>1</v>
      </c>
      <c r="G140" s="74">
        <f>F140+1</f>
        <v>2</v>
      </c>
      <c r="H140" s="74">
        <f>G140+1</f>
        <v>3</v>
      </c>
      <c r="I140" s="74">
        <f>H140+1</f>
        <v>4</v>
      </c>
      <c r="J140" s="74">
        <f>I140+1</f>
        <v>5</v>
      </c>
    </row>
    <row r="141" spans="2:13" s="44" customFormat="1" ht="13.5" customHeight="1">
      <c r="B141" s="44" t="s">
        <v>14</v>
      </c>
      <c r="E141" s="160"/>
      <c r="F141" s="106">
        <f ca="1">F90</f>
        <v>-7.2853420800000013</v>
      </c>
      <c r="G141" s="106">
        <f ca="1">G90</f>
        <v>-5.7415840568000061</v>
      </c>
      <c r="H141" s="106">
        <f ca="1">H90</f>
        <v>-3.8884866841280017</v>
      </c>
      <c r="I141" s="106">
        <f ca="1">I90</f>
        <v>3.0610598712435104</v>
      </c>
      <c r="J141" s="106">
        <f ca="1">J90</f>
        <v>13.697801703999909</v>
      </c>
    </row>
    <row r="142" spans="2:13" s="44" customFormat="1" ht="13.5" customHeight="1">
      <c r="B142" s="95" t="s">
        <v>82</v>
      </c>
      <c r="E142" s="159"/>
      <c r="F142" s="102">
        <f ca="1">F76</f>
        <v>4.2795120000000004</v>
      </c>
      <c r="G142" s="102">
        <f ca="1">G76</f>
        <v>5.5970011199999998</v>
      </c>
      <c r="H142" s="102">
        <f ca="1">H76</f>
        <v>7.1126617151999989</v>
      </c>
      <c r="I142" s="102">
        <f ca="1">I76</f>
        <v>8.7802516465919975</v>
      </c>
      <c r="J142" s="102">
        <f ca="1">J76</f>
        <v>10.738306076728318</v>
      </c>
      <c r="M142" s="59"/>
    </row>
    <row r="143" spans="2:13" s="44" customFormat="1" ht="13.5" customHeight="1">
      <c r="B143" s="95" t="s">
        <v>83</v>
      </c>
      <c r="E143" s="159"/>
      <c r="F143" s="102">
        <f>F107</f>
        <v>0</v>
      </c>
      <c r="G143" s="102">
        <f>G107</f>
        <v>0</v>
      </c>
      <c r="H143" s="102">
        <f>H107</f>
        <v>0</v>
      </c>
      <c r="I143" s="102">
        <f>I107</f>
        <v>0</v>
      </c>
      <c r="J143" s="102">
        <f>J107</f>
        <v>0</v>
      </c>
      <c r="M143" s="59"/>
    </row>
    <row r="144" spans="2:13" s="44" customFormat="1" ht="13.5" customHeight="1">
      <c r="B144" s="95" t="s">
        <v>84</v>
      </c>
      <c r="E144" s="159"/>
      <c r="F144" s="189">
        <f ca="1">F100</f>
        <v>5.7060160000000009</v>
      </c>
      <c r="G144" s="189">
        <f ca="1">G100</f>
        <v>7.4626681599999998</v>
      </c>
      <c r="H144" s="189">
        <f ca="1">H100</f>
        <v>9.4835489535999997</v>
      </c>
      <c r="I144" s="189">
        <f ca="1">I100</f>
        <v>11.707002195455997</v>
      </c>
      <c r="J144" s="189">
        <f ca="1">J100</f>
        <v>14.317741435637757</v>
      </c>
    </row>
    <row r="145" spans="2:10" s="44" customFormat="1" ht="13.5" customHeight="1">
      <c r="B145" s="95" t="s">
        <v>85</v>
      </c>
      <c r="E145" s="159"/>
      <c r="F145" s="189">
        <f>F96</f>
        <v>5</v>
      </c>
      <c r="G145" s="189">
        <f>G96</f>
        <v>5</v>
      </c>
      <c r="H145" s="189">
        <f>H96</f>
        <v>5</v>
      </c>
      <c r="I145" s="189">
        <f>I96</f>
        <v>5</v>
      </c>
      <c r="J145" s="189">
        <f>J96</f>
        <v>5</v>
      </c>
    </row>
    <row r="146" spans="2:10" s="44" customFormat="1" ht="13.5" customHeight="1">
      <c r="B146" s="95" t="s">
        <v>250</v>
      </c>
      <c r="E146" s="159"/>
      <c r="F146" s="189">
        <f ca="1">F136</f>
        <v>-1.9366099200000002</v>
      </c>
      <c r="G146" s="189">
        <f t="shared" ref="G146:J146" ca="1" si="53">G136</f>
        <v>-1.5262438632000015</v>
      </c>
      <c r="H146" s="189">
        <f t="shared" ca="1" si="53"/>
        <v>-1.0336483590720003</v>
      </c>
      <c r="I146" s="189">
        <f t="shared" ca="1" si="53"/>
        <v>0.65095956755558204</v>
      </c>
      <c r="J146" s="189">
        <f t="shared" ca="1" si="53"/>
        <v>2.9129502357873225</v>
      </c>
    </row>
    <row r="147" spans="2:10" s="44" customFormat="1" ht="13.5" customHeight="1">
      <c r="B147" s="54" t="s">
        <v>30</v>
      </c>
      <c r="C147" s="54"/>
      <c r="D147" s="54"/>
      <c r="E147" s="161"/>
      <c r="F147" s="105">
        <f ca="1">F141+F142+F143-F144-F145+F146</f>
        <v>-15.648456000000001</v>
      </c>
      <c r="G147" s="105">
        <f t="shared" ref="G147:J147" ca="1" si="54">G141+G142+G143-G144-G145+G146</f>
        <v>-14.133494960000007</v>
      </c>
      <c r="H147" s="105">
        <f t="shared" ca="1" si="54"/>
        <v>-12.293022281600003</v>
      </c>
      <c r="I147" s="105">
        <f t="shared" ca="1" si="54"/>
        <v>-4.2147311100649079</v>
      </c>
      <c r="J147" s="105">
        <f t="shared" ca="1" si="54"/>
        <v>8.0313165808777942</v>
      </c>
    </row>
    <row r="148" spans="2:10" s="44" customFormat="1" ht="13.5" customHeight="1">
      <c r="E148" s="159"/>
      <c r="F148" s="106"/>
      <c r="G148" s="106"/>
      <c r="H148" s="106"/>
      <c r="I148" s="106"/>
      <c r="J148" s="106"/>
    </row>
    <row r="149" spans="2:10" s="44" customFormat="1" ht="13.5" customHeight="1">
      <c r="B149" s="95" t="s">
        <v>86</v>
      </c>
      <c r="E149" s="159"/>
      <c r="F149" s="106">
        <f ca="1">F117+F111</f>
        <v>0</v>
      </c>
      <c r="G149" s="106">
        <f ca="1">G117+G111</f>
        <v>0</v>
      </c>
      <c r="H149" s="106">
        <f ca="1">H117+H111</f>
        <v>0</v>
      </c>
      <c r="I149" s="106">
        <f ca="1">I117+I111</f>
        <v>0</v>
      </c>
      <c r="J149" s="106">
        <f ca="1">J117+J111</f>
        <v>0</v>
      </c>
    </row>
    <row r="150" spans="2:10" s="44" customFormat="1" ht="13.5" customHeight="1">
      <c r="B150" s="54" t="s">
        <v>31</v>
      </c>
      <c r="C150" s="54"/>
      <c r="D150" s="54"/>
      <c r="E150" s="161"/>
      <c r="F150" s="105">
        <f ca="1">F149</f>
        <v>0</v>
      </c>
      <c r="G150" s="105">
        <f t="shared" ref="G150:J150" ca="1" si="55">G149</f>
        <v>0</v>
      </c>
      <c r="H150" s="105">
        <f t="shared" ca="1" si="55"/>
        <v>0</v>
      </c>
      <c r="I150" s="105">
        <f t="shared" ca="1" si="55"/>
        <v>0</v>
      </c>
      <c r="J150" s="105">
        <f t="shared" ca="1" si="55"/>
        <v>0</v>
      </c>
    </row>
    <row r="151" spans="2:10" s="44" customFormat="1" ht="13.5" customHeight="1">
      <c r="E151" s="159"/>
      <c r="F151" s="106"/>
      <c r="G151" s="106"/>
      <c r="H151" s="106"/>
      <c r="I151" s="106"/>
      <c r="J151" s="106"/>
    </row>
    <row r="152" spans="2:10" s="44" customFormat="1" ht="13.5" customHeight="1">
      <c r="B152" s="59" t="s">
        <v>32</v>
      </c>
      <c r="E152" s="159"/>
      <c r="F152" s="201">
        <f ca="1">F150+F147</f>
        <v>-15.648456000000001</v>
      </c>
      <c r="G152" s="201">
        <f t="shared" ref="G152:J152" ca="1" si="56">G150+G147</f>
        <v>-14.133494960000007</v>
      </c>
      <c r="H152" s="201">
        <f t="shared" ca="1" si="56"/>
        <v>-12.293022281600003</v>
      </c>
      <c r="I152" s="201">
        <f t="shared" ca="1" si="56"/>
        <v>-4.2147311100649079</v>
      </c>
      <c r="J152" s="201">
        <f t="shared" ca="1" si="56"/>
        <v>8.0313165808777942</v>
      </c>
    </row>
    <row r="153" spans="2:10" s="44" customFormat="1" ht="13.5" customHeight="1">
      <c r="E153" s="159"/>
      <c r="F153" s="61"/>
      <c r="G153" s="61"/>
      <c r="H153" s="61"/>
      <c r="I153" s="61"/>
      <c r="J153" s="61"/>
    </row>
    <row r="154" spans="2:10" s="44" customFormat="1" ht="13.5" customHeight="1">
      <c r="E154" s="159"/>
      <c r="F154" s="61"/>
      <c r="G154" s="61"/>
      <c r="H154" s="61"/>
      <c r="I154" s="61"/>
      <c r="J154" s="61"/>
    </row>
    <row r="155" spans="2:10" s="80" customFormat="1" ht="13.5" customHeight="1">
      <c r="B155" s="45" t="s">
        <v>263</v>
      </c>
      <c r="C155" s="98"/>
      <c r="D155" s="98"/>
      <c r="E155" s="99"/>
      <c r="F155" s="99"/>
      <c r="G155" s="99"/>
      <c r="H155" s="99"/>
      <c r="I155" s="99"/>
      <c r="J155" s="47" t="s">
        <v>37</v>
      </c>
    </row>
    <row r="156" spans="2:10" s="44" customFormat="1" ht="13.5" customHeight="1">
      <c r="B156" s="44" t="s">
        <v>256</v>
      </c>
      <c r="E156" s="159"/>
      <c r="F156" s="320"/>
      <c r="G156" s="320"/>
      <c r="H156" s="301">
        <v>300</v>
      </c>
    </row>
    <row r="157" spans="2:10" s="44" customFormat="1" ht="13.5" customHeight="1">
      <c r="B157" s="96" t="s">
        <v>262</v>
      </c>
      <c r="E157" s="199"/>
      <c r="F157" s="189"/>
      <c r="G157" s="189"/>
      <c r="H157" s="189">
        <f ca="1">+H44</f>
        <v>62.925026758399994</v>
      </c>
      <c r="I157" s="189"/>
      <c r="J157" s="189"/>
    </row>
    <row r="158" spans="2:10" s="44" customFormat="1" ht="13.5" customHeight="1">
      <c r="B158" s="54" t="s">
        <v>255</v>
      </c>
      <c r="C158" s="54"/>
      <c r="D158" s="54"/>
      <c r="E158" s="161"/>
      <c r="F158" s="105"/>
      <c r="G158" s="105"/>
      <c r="H158" s="105">
        <f ca="1">+H156-H157</f>
        <v>237.07497324159999</v>
      </c>
    </row>
    <row r="159" spans="2:10" s="44" customFormat="1" ht="13.5" customHeight="1">
      <c r="E159" s="159"/>
      <c r="F159" s="61"/>
      <c r="G159" s="61"/>
      <c r="H159" s="61"/>
      <c r="I159" s="61"/>
      <c r="J159" s="61"/>
    </row>
    <row r="160" spans="2:10" s="44" customFormat="1" ht="13.5" customHeight="1">
      <c r="B160" s="44" t="s">
        <v>10</v>
      </c>
      <c r="E160" s="159"/>
      <c r="F160" s="61"/>
      <c r="G160" s="61"/>
      <c r="H160" s="106">
        <f ca="1">+H61</f>
        <v>118.54436191999999</v>
      </c>
      <c r="I160" s="61"/>
      <c r="J160" s="61"/>
    </row>
    <row r="161" spans="1:17" s="44" customFormat="1" ht="13.5" customHeight="1">
      <c r="B161" s="44" t="s">
        <v>257</v>
      </c>
      <c r="E161" s="159"/>
      <c r="F161" s="61"/>
      <c r="G161" s="61"/>
      <c r="H161" s="209">
        <f>+C6</f>
        <v>18</v>
      </c>
      <c r="I161" s="61"/>
      <c r="J161" s="61"/>
    </row>
    <row r="162" spans="1:17" s="44" customFormat="1" ht="13.5" customHeight="1">
      <c r="B162" s="54" t="s">
        <v>67</v>
      </c>
      <c r="C162" s="54"/>
      <c r="D162" s="54"/>
      <c r="E162" s="161"/>
      <c r="F162" s="105"/>
      <c r="G162" s="105"/>
      <c r="H162" s="105">
        <f ca="1">+H161*H160</f>
        <v>2133.7985145599996</v>
      </c>
    </row>
    <row r="163" spans="1:17" s="44" customFormat="1" ht="13.5" customHeight="1">
      <c r="B163" s="96" t="s">
        <v>260</v>
      </c>
      <c r="C163" s="59"/>
      <c r="D163" s="59"/>
      <c r="E163" s="318"/>
      <c r="F163" s="201"/>
      <c r="G163" s="201"/>
      <c r="H163" s="189">
        <f ca="1">+H52+H53</f>
        <v>0</v>
      </c>
    </row>
    <row r="164" spans="1:17" s="44" customFormat="1" ht="13.5" customHeight="1">
      <c r="B164" s="96" t="s">
        <v>259</v>
      </c>
      <c r="E164" s="199"/>
      <c r="F164" s="189"/>
      <c r="G164" s="189"/>
      <c r="H164" s="189">
        <f>+H156</f>
        <v>300</v>
      </c>
      <c r="I164" s="189"/>
      <c r="J164" s="189"/>
    </row>
    <row r="165" spans="1:17" s="44" customFormat="1" ht="13.5" customHeight="1">
      <c r="B165" s="54" t="s">
        <v>261</v>
      </c>
      <c r="C165" s="54"/>
      <c r="D165" s="54"/>
      <c r="E165" s="161"/>
      <c r="F165" s="105"/>
      <c r="G165" s="105"/>
      <c r="H165" s="105">
        <f ca="1">+H162-H163+H164</f>
        <v>2433.7985145599996</v>
      </c>
    </row>
    <row r="166" spans="1:17" s="44" customFormat="1" ht="13.5" customHeight="1">
      <c r="B166" s="59"/>
      <c r="C166" s="59"/>
      <c r="D166" s="59"/>
      <c r="E166" s="318"/>
      <c r="F166" s="201"/>
      <c r="G166" s="201"/>
      <c r="H166" s="201"/>
    </row>
    <row r="167" spans="1:17" s="44" customFormat="1" ht="13.5" customHeight="1">
      <c r="B167" s="44" t="s">
        <v>258</v>
      </c>
      <c r="E167" s="159"/>
      <c r="F167" s="61"/>
      <c r="G167" s="61"/>
      <c r="H167" s="319">
        <f ca="1">+H158/H165</f>
        <v>9.7409449394975978E-2</v>
      </c>
      <c r="I167" s="61"/>
      <c r="J167" s="61"/>
    </row>
    <row r="168" spans="1:17" s="44" customFormat="1" ht="13.5" customHeight="1">
      <c r="E168" s="159"/>
      <c r="F168" s="61"/>
      <c r="G168" s="61"/>
      <c r="H168" s="319"/>
      <c r="I168" s="61"/>
      <c r="J168" s="61"/>
    </row>
    <row r="169" spans="1:17" s="44" customFormat="1" ht="13.5" customHeight="1">
      <c r="B169" s="322" t="s">
        <v>264</v>
      </c>
      <c r="E169" s="159"/>
      <c r="F169" s="61"/>
      <c r="G169" s="61"/>
      <c r="H169" s="319"/>
      <c r="I169" s="61"/>
      <c r="J169" s="61"/>
    </row>
    <row r="170" spans="1:17" s="44" customFormat="1" ht="13.5" customHeight="1">
      <c r="E170" s="159"/>
      <c r="F170" s="61"/>
      <c r="G170" s="61"/>
      <c r="H170" s="61"/>
      <c r="I170" s="61"/>
      <c r="J170" s="61"/>
    </row>
    <row r="171" spans="1:17" s="97" customFormat="1" ht="13.5" customHeight="1">
      <c r="A171" s="80"/>
      <c r="B171" s="80"/>
      <c r="C171" s="80"/>
      <c r="D171" s="80"/>
      <c r="E171" s="349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</row>
    <row r="172" spans="1:17" s="80" customFormat="1" ht="13.5" customHeight="1">
      <c r="B172" s="45" t="s">
        <v>36</v>
      </c>
      <c r="C172" s="98"/>
      <c r="D172" s="98"/>
      <c r="E172" s="350"/>
      <c r="F172" s="99"/>
      <c r="G172" s="99"/>
      <c r="H172" s="99"/>
      <c r="I172" s="99"/>
      <c r="J172" s="47" t="s">
        <v>37</v>
      </c>
    </row>
    <row r="173" spans="1:17" s="80" customFormat="1" ht="13.5" customHeight="1" thickBot="1">
      <c r="B173" s="224"/>
      <c r="C173" s="224"/>
      <c r="D173" s="224"/>
      <c r="E173" s="351"/>
      <c r="F173" s="225"/>
      <c r="G173" s="225"/>
      <c r="H173" s="225"/>
      <c r="I173" s="225"/>
      <c r="J173" s="226"/>
    </row>
    <row r="174" spans="1:17" s="44" customFormat="1" ht="13.5" customHeight="1">
      <c r="B174" s="211" t="s">
        <v>114</v>
      </c>
      <c r="C174" s="212"/>
      <c r="D174" s="213"/>
      <c r="E174" s="159"/>
    </row>
    <row r="175" spans="1:17" s="44" customFormat="1" ht="13.5" customHeight="1">
      <c r="B175" s="214" t="s">
        <v>79</v>
      </c>
      <c r="C175" s="220"/>
      <c r="D175" s="324"/>
      <c r="E175" s="159"/>
    </row>
    <row r="176" spans="1:17" s="44" customFormat="1" ht="13.5" customHeight="1">
      <c r="B176" s="216" t="s">
        <v>41</v>
      </c>
      <c r="D176" s="217">
        <f ca="1">J261/(-E261)</f>
        <v>1.488802057225691</v>
      </c>
      <c r="E176" s="159"/>
    </row>
    <row r="177" spans="1:17" s="44" customFormat="1" ht="13.5" customHeight="1">
      <c r="B177" s="216" t="s">
        <v>42</v>
      </c>
      <c r="D177" s="218">
        <f ca="1">L261</f>
        <v>8.2847733984313665E-2</v>
      </c>
      <c r="E177" s="159"/>
    </row>
    <row r="178" spans="1:17" s="44" customFormat="1" ht="13.5" customHeight="1">
      <c r="B178" s="216" t="s">
        <v>77</v>
      </c>
      <c r="D178" s="219">
        <f ca="1">SUM(E261:J261)</f>
        <v>111.97937000859923</v>
      </c>
      <c r="E178" s="159"/>
    </row>
    <row r="179" spans="1:17" s="44" customFormat="1" ht="13.5" customHeight="1">
      <c r="B179" s="216"/>
      <c r="D179" s="219"/>
      <c r="E179" s="159"/>
    </row>
    <row r="180" spans="1:17" s="44" customFormat="1" ht="13.5" customHeight="1">
      <c r="B180" s="214" t="s">
        <v>78</v>
      </c>
      <c r="D180" s="219"/>
      <c r="E180" s="159"/>
    </row>
    <row r="181" spans="1:17" s="44" customFormat="1" ht="13.5" customHeight="1">
      <c r="B181" s="216" t="s">
        <v>41</v>
      </c>
      <c r="D181" s="217">
        <f ca="1">-SUM(H262:J262)/E262</f>
        <v>1.2399832555610719</v>
      </c>
      <c r="E181" s="159"/>
    </row>
    <row r="182" spans="1:17" s="44" customFormat="1" ht="13.5" customHeight="1">
      <c r="B182" s="216" t="s">
        <v>42</v>
      </c>
      <c r="D182" s="218">
        <f ca="1">+L262</f>
        <v>5.3471510146433809E-2</v>
      </c>
      <c r="E182" s="159"/>
    </row>
    <row r="183" spans="1:17" s="44" customFormat="1" ht="13.5" customHeight="1">
      <c r="B183" s="216" t="s">
        <v>77</v>
      </c>
      <c r="D183" s="219">
        <f ca="1">SUM(E262:J262)</f>
        <v>54.977620026532605</v>
      </c>
      <c r="E183" s="159"/>
    </row>
    <row r="184" spans="1:17" s="44" customFormat="1" ht="13.5" customHeight="1">
      <c r="B184" s="216"/>
      <c r="D184" s="215"/>
      <c r="E184" s="159"/>
    </row>
    <row r="185" spans="1:17" s="44" customFormat="1" ht="13.5" customHeight="1">
      <c r="B185" s="214" t="s">
        <v>303</v>
      </c>
      <c r="D185" s="219"/>
      <c r="E185" s="159"/>
    </row>
    <row r="186" spans="1:17" s="44" customFormat="1" ht="13.5" customHeight="1">
      <c r="B186" s="216" t="s">
        <v>41</v>
      </c>
      <c r="D186" s="217">
        <f ca="1">-J263/E263</f>
        <v>3.0081326285055039</v>
      </c>
      <c r="E186" s="159"/>
    </row>
    <row r="187" spans="1:17" s="44" customFormat="1" ht="13.5" customHeight="1">
      <c r="B187" s="216" t="s">
        <v>42</v>
      </c>
      <c r="D187" s="218">
        <f ca="1">L263</f>
        <v>0.24640561289262219</v>
      </c>
      <c r="E187" s="159"/>
    </row>
    <row r="188" spans="1:17" s="44" customFormat="1" ht="13.5" customHeight="1" thickBot="1">
      <c r="B188" s="221" t="s">
        <v>77</v>
      </c>
      <c r="C188" s="222"/>
      <c r="D188" s="223">
        <f ca="1">SUM(E263:J263)</f>
        <v>460.04189898474897</v>
      </c>
      <c r="E188" s="159"/>
    </row>
    <row r="189" spans="1:17" s="44" customFormat="1" ht="13.5" customHeight="1">
      <c r="E189" s="159"/>
    </row>
    <row r="190" spans="1:17" s="62" customFormat="1" ht="13.5" customHeight="1">
      <c r="A190" s="44"/>
      <c r="B190" s="48" t="s">
        <v>265</v>
      </c>
      <c r="C190" s="48"/>
      <c r="D190" s="48"/>
      <c r="E190" s="155">
        <v>0</v>
      </c>
      <c r="F190" s="74">
        <v>1</v>
      </c>
      <c r="G190" s="74">
        <f>F190+1</f>
        <v>2</v>
      </c>
      <c r="H190" s="74">
        <f>G190+1</f>
        <v>3</v>
      </c>
      <c r="I190" s="74">
        <f>H190+1</f>
        <v>4</v>
      </c>
      <c r="J190" s="74">
        <f>I190+1</f>
        <v>5</v>
      </c>
      <c r="K190" s="44"/>
      <c r="L190" s="44"/>
      <c r="M190" s="44"/>
      <c r="N190" s="44"/>
      <c r="O190" s="44"/>
      <c r="P190" s="44"/>
      <c r="Q190" s="44"/>
    </row>
    <row r="191" spans="1:17" s="62" customFormat="1" ht="13.5" customHeight="1">
      <c r="A191" s="44"/>
      <c r="B191" s="44" t="s">
        <v>267</v>
      </c>
      <c r="C191" s="44"/>
      <c r="D191" s="44"/>
      <c r="E191" s="156"/>
      <c r="F191" s="75"/>
      <c r="G191" s="75"/>
      <c r="H191" s="103"/>
      <c r="I191" s="103"/>
      <c r="J191" s="103">
        <f ca="1">J61</f>
        <v>178.97176794547195</v>
      </c>
      <c r="K191" s="44"/>
      <c r="L191" s="44"/>
      <c r="M191" s="44"/>
      <c r="N191" s="44"/>
      <c r="O191" s="44"/>
      <c r="P191" s="44"/>
      <c r="Q191" s="44"/>
    </row>
    <row r="192" spans="1:17" s="62" customFormat="1" ht="13.5" customHeight="1">
      <c r="A192" s="44"/>
      <c r="B192" s="44" t="s">
        <v>38</v>
      </c>
      <c r="C192" s="44"/>
      <c r="D192" s="44"/>
      <c r="E192" s="352"/>
      <c r="F192" s="51"/>
      <c r="G192" s="51"/>
      <c r="H192" s="51"/>
      <c r="I192" s="51"/>
      <c r="J192" s="209">
        <v>8.5</v>
      </c>
      <c r="K192" s="44"/>
      <c r="L192" s="44"/>
      <c r="M192" s="44"/>
      <c r="N192" s="44"/>
      <c r="O192" s="44"/>
      <c r="P192" s="44"/>
      <c r="Q192" s="44"/>
    </row>
    <row r="193" spans="1:17" s="62" customFormat="1" ht="13.5" customHeight="1">
      <c r="A193" s="44"/>
      <c r="B193" s="54" t="s">
        <v>39</v>
      </c>
      <c r="C193" s="54"/>
      <c r="D193" s="54"/>
      <c r="E193" s="353"/>
      <c r="F193" s="55"/>
      <c r="G193" s="55"/>
      <c r="H193" s="105"/>
      <c r="I193" s="105"/>
      <c r="J193" s="105">
        <f ca="1">J192*J191</f>
        <v>1521.2600275365116</v>
      </c>
      <c r="K193" s="44"/>
      <c r="L193" s="44"/>
      <c r="M193" s="44"/>
      <c r="N193" s="44"/>
      <c r="O193" s="44"/>
      <c r="P193" s="44"/>
      <c r="Q193" s="44"/>
    </row>
    <row r="194" spans="1:17" s="62" customFormat="1" ht="13.5" customHeight="1">
      <c r="A194" s="44"/>
      <c r="B194" s="95" t="s">
        <v>69</v>
      </c>
      <c r="C194" s="44"/>
      <c r="D194" s="44"/>
      <c r="E194" s="354"/>
      <c r="F194" s="58"/>
      <c r="G194" s="58"/>
      <c r="H194" s="102"/>
      <c r="I194" s="102"/>
      <c r="J194" s="102">
        <f ca="1">J44</f>
        <v>66.741612229212876</v>
      </c>
      <c r="K194" s="44"/>
      <c r="L194" s="44"/>
      <c r="M194" s="44"/>
      <c r="N194" s="44"/>
      <c r="O194" s="44"/>
      <c r="P194" s="44"/>
      <c r="Q194" s="44"/>
    </row>
    <row r="195" spans="1:17" s="62" customFormat="1" ht="13.5" customHeight="1">
      <c r="A195" s="44"/>
      <c r="B195" s="95" t="s">
        <v>68</v>
      </c>
      <c r="C195" s="44"/>
      <c r="D195" s="44"/>
      <c r="E195" s="354"/>
      <c r="F195" s="58"/>
      <c r="G195" s="58"/>
      <c r="H195" s="102"/>
      <c r="I195" s="102"/>
      <c r="J195" s="102">
        <f ca="1">J52+J53</f>
        <v>0</v>
      </c>
      <c r="K195" s="44"/>
      <c r="L195" s="44"/>
      <c r="M195" s="44"/>
      <c r="N195" s="44"/>
      <c r="O195" s="44"/>
      <c r="P195" s="44"/>
      <c r="Q195" s="44"/>
    </row>
    <row r="196" spans="1:17" s="62" customFormat="1" ht="13.5" customHeight="1">
      <c r="A196" s="44"/>
      <c r="B196" s="54" t="s">
        <v>40</v>
      </c>
      <c r="C196" s="54"/>
      <c r="D196" s="54"/>
      <c r="E196" s="353"/>
      <c r="F196" s="55"/>
      <c r="G196" s="55"/>
      <c r="H196" s="105"/>
      <c r="I196" s="105"/>
      <c r="J196" s="105">
        <f ca="1">J193+J194-J195</f>
        <v>1588.0016397657246</v>
      </c>
      <c r="K196" s="44"/>
      <c r="L196" s="44"/>
      <c r="M196" s="44"/>
      <c r="N196" s="44"/>
      <c r="O196" s="44"/>
      <c r="P196" s="44"/>
      <c r="Q196" s="44"/>
    </row>
    <row r="197" spans="1:17" s="62" customFormat="1" ht="13.5" customHeight="1">
      <c r="A197" s="44"/>
      <c r="B197" s="95" t="s">
        <v>245</v>
      </c>
      <c r="C197" s="59"/>
      <c r="D197" s="59"/>
      <c r="E197" s="355"/>
      <c r="F197" s="60"/>
      <c r="G197" s="60"/>
      <c r="H197" s="201"/>
      <c r="I197" s="201"/>
      <c r="J197" s="102">
        <f ca="1">+I36*H39/1000000</f>
        <v>114.34326666666666</v>
      </c>
      <c r="K197" s="44"/>
      <c r="L197" s="44"/>
      <c r="M197" s="44"/>
      <c r="N197" s="44"/>
      <c r="O197" s="44"/>
      <c r="P197" s="44"/>
      <c r="Q197" s="44"/>
    </row>
    <row r="198" spans="1:17" s="62" customFormat="1" ht="13.5" customHeight="1">
      <c r="A198" s="44"/>
      <c r="B198" s="54" t="s">
        <v>176</v>
      </c>
      <c r="C198" s="54"/>
      <c r="D198" s="54"/>
      <c r="E198" s="353"/>
      <c r="F198" s="55"/>
      <c r="G198" s="55"/>
      <c r="H198" s="105"/>
      <c r="I198" s="105"/>
      <c r="J198" s="105">
        <f ca="1">+J197+J196</f>
        <v>1702.3449064323913</v>
      </c>
      <c r="K198" s="44"/>
      <c r="L198" s="44"/>
      <c r="M198" s="44"/>
      <c r="N198" s="44"/>
      <c r="O198" s="44"/>
      <c r="P198" s="44"/>
      <c r="Q198" s="44"/>
    </row>
    <row r="199" spans="1:17" s="62" customFormat="1" ht="13.5" customHeight="1">
      <c r="A199" s="44"/>
      <c r="B199" s="44" t="s">
        <v>240</v>
      </c>
      <c r="C199" s="59"/>
      <c r="D199" s="59"/>
      <c r="E199" s="355"/>
      <c r="F199" s="60"/>
      <c r="G199" s="60"/>
      <c r="H199" s="201"/>
      <c r="I199" s="201"/>
      <c r="J199" s="84">
        <f ca="1">+J34</f>
        <v>0.20035233090536161</v>
      </c>
      <c r="K199" s="44"/>
      <c r="L199" s="44"/>
      <c r="M199" s="44"/>
      <c r="N199" s="44"/>
      <c r="O199" s="44"/>
      <c r="P199" s="44"/>
      <c r="Q199" s="44"/>
    </row>
    <row r="200" spans="1:17" s="62" customFormat="1" ht="13.5" customHeight="1">
      <c r="A200" s="44"/>
      <c r="B200" s="44" t="s">
        <v>241</v>
      </c>
      <c r="C200" s="59"/>
      <c r="D200" s="59"/>
      <c r="E200" s="355"/>
      <c r="F200" s="60"/>
      <c r="G200" s="60"/>
      <c r="H200" s="201"/>
      <c r="I200" s="201"/>
      <c r="J200" s="300">
        <v>1</v>
      </c>
      <c r="K200" s="44"/>
      <c r="L200" s="44"/>
      <c r="M200" s="44"/>
      <c r="N200" s="44"/>
      <c r="O200" s="44"/>
      <c r="P200" s="44"/>
      <c r="Q200" s="44"/>
    </row>
    <row r="201" spans="1:17" ht="13.5" customHeight="1">
      <c r="B201" s="54" t="s">
        <v>141</v>
      </c>
      <c r="C201" s="54"/>
      <c r="D201" s="54"/>
      <c r="E201" s="353"/>
      <c r="F201" s="55"/>
      <c r="G201" s="55"/>
      <c r="H201" s="105"/>
      <c r="I201" s="105"/>
      <c r="J201" s="105">
        <f ca="1">+J198*J199*J200</f>
        <v>341.0687700085993</v>
      </c>
    </row>
    <row r="202" spans="1:17" ht="13.5" customHeight="1">
      <c r="B202" s="59"/>
      <c r="C202" s="59"/>
      <c r="D202" s="59"/>
      <c r="E202" s="355"/>
      <c r="F202" s="60"/>
      <c r="G202" s="60"/>
      <c r="H202" s="201"/>
      <c r="I202" s="201"/>
      <c r="J202" s="201"/>
    </row>
    <row r="203" spans="1:17">
      <c r="E203" s="112"/>
    </row>
    <row r="204" spans="1:17" s="62" customFormat="1" ht="13.5" customHeight="1">
      <c r="A204" s="44"/>
      <c r="B204" s="48" t="s">
        <v>266</v>
      </c>
      <c r="C204" s="48"/>
      <c r="D204" s="48"/>
      <c r="E204" s="155">
        <v>0</v>
      </c>
      <c r="F204" s="74">
        <v>1</v>
      </c>
      <c r="G204" s="74">
        <f>F204+1</f>
        <v>2</v>
      </c>
      <c r="H204" s="74">
        <f>G204+1</f>
        <v>3</v>
      </c>
      <c r="I204" s="74">
        <f>H204+1</f>
        <v>4</v>
      </c>
      <c r="J204" s="74">
        <f>I204+1</f>
        <v>5</v>
      </c>
      <c r="K204" s="44"/>
      <c r="L204" s="44"/>
      <c r="M204" s="44"/>
      <c r="N204" s="44"/>
      <c r="O204" s="44"/>
      <c r="P204" s="44"/>
      <c r="Q204" s="44"/>
    </row>
    <row r="205" spans="1:17" s="62" customFormat="1" ht="13.5" customHeight="1">
      <c r="A205" s="44"/>
      <c r="B205" s="44" t="s">
        <v>267</v>
      </c>
      <c r="C205" s="44"/>
      <c r="D205" s="44"/>
      <c r="E205" s="156"/>
      <c r="F205" s="75"/>
      <c r="G205" s="75"/>
      <c r="H205" s="103">
        <f ca="1">+H61</f>
        <v>118.54436191999999</v>
      </c>
      <c r="I205" s="103">
        <f ca="1">+I61</f>
        <v>146.33752744319997</v>
      </c>
      <c r="J205" s="103">
        <f ca="1">+J61</f>
        <v>178.97176794547195</v>
      </c>
      <c r="K205" s="44"/>
      <c r="L205" s="44"/>
      <c r="M205" s="44"/>
      <c r="N205" s="44"/>
      <c r="O205" s="44"/>
      <c r="P205" s="44"/>
      <c r="Q205" s="44"/>
    </row>
    <row r="206" spans="1:17" s="62" customFormat="1" ht="13.5" customHeight="1">
      <c r="A206" s="44"/>
      <c r="B206" s="44" t="s">
        <v>38</v>
      </c>
      <c r="C206" s="44"/>
      <c r="D206" s="44"/>
      <c r="E206" s="352"/>
      <c r="F206" s="51"/>
      <c r="G206" s="51"/>
      <c r="H206" s="209">
        <v>8</v>
      </c>
      <c r="I206" s="209">
        <v>8.5</v>
      </c>
      <c r="J206" s="209">
        <v>8.5</v>
      </c>
      <c r="K206" s="44"/>
      <c r="L206" s="44"/>
      <c r="M206" s="44"/>
      <c r="N206" s="44"/>
      <c r="O206" s="44"/>
      <c r="P206" s="44"/>
      <c r="Q206" s="44"/>
    </row>
    <row r="207" spans="1:17" s="62" customFormat="1" ht="13.5" customHeight="1">
      <c r="A207" s="44"/>
      <c r="B207" s="54" t="s">
        <v>39</v>
      </c>
      <c r="C207" s="54"/>
      <c r="D207" s="54"/>
      <c r="E207" s="353"/>
      <c r="F207" s="55"/>
      <c r="G207" s="55"/>
      <c r="H207" s="105">
        <f ca="1">H206*H205</f>
        <v>948.35489535999989</v>
      </c>
      <c r="I207" s="105">
        <f ca="1">I206*I205</f>
        <v>1243.8689832671998</v>
      </c>
      <c r="J207" s="105">
        <f ca="1">J206*J205</f>
        <v>1521.2600275365116</v>
      </c>
      <c r="K207" s="44"/>
      <c r="L207" s="44"/>
      <c r="M207" s="44"/>
      <c r="N207" s="44"/>
      <c r="O207" s="44"/>
      <c r="P207" s="44"/>
      <c r="Q207" s="44"/>
    </row>
    <row r="208" spans="1:17" s="62" customFormat="1" ht="13.5" customHeight="1">
      <c r="A208" s="44"/>
      <c r="B208" s="95" t="s">
        <v>69</v>
      </c>
      <c r="C208" s="44"/>
      <c r="D208" s="44"/>
      <c r="E208" s="354"/>
      <c r="F208" s="58"/>
      <c r="G208" s="58"/>
      <c r="H208" s="102">
        <f ca="1">+H44</f>
        <v>62.925026758399994</v>
      </c>
      <c r="I208" s="102">
        <f ca="1">+I44</f>
        <v>58.710295648335084</v>
      </c>
      <c r="J208" s="102">
        <f ca="1">+J44</f>
        <v>66.741612229212876</v>
      </c>
      <c r="K208" s="44"/>
      <c r="L208" s="44"/>
      <c r="M208" s="44"/>
      <c r="N208" s="44"/>
      <c r="O208" s="44"/>
      <c r="P208" s="44"/>
      <c r="Q208" s="44"/>
    </row>
    <row r="209" spans="1:17" s="62" customFormat="1" ht="13.5" customHeight="1">
      <c r="A209" s="44"/>
      <c r="B209" s="95" t="s">
        <v>68</v>
      </c>
      <c r="C209" s="44"/>
      <c r="D209" s="44"/>
      <c r="E209" s="354"/>
      <c r="F209" s="58"/>
      <c r="G209" s="58"/>
      <c r="H209" s="102">
        <f ca="1">+H52+H53</f>
        <v>0</v>
      </c>
      <c r="I209" s="102">
        <f ca="1">+I52+I53</f>
        <v>0</v>
      </c>
      <c r="J209" s="102">
        <f ca="1">+J52+J53</f>
        <v>0</v>
      </c>
      <c r="K209" s="44"/>
      <c r="L209" s="44"/>
      <c r="M209" s="44"/>
      <c r="N209" s="44"/>
      <c r="O209" s="44"/>
      <c r="P209" s="44"/>
      <c r="Q209" s="44"/>
    </row>
    <row r="210" spans="1:17" s="62" customFormat="1" ht="13.5" customHeight="1">
      <c r="A210" s="44"/>
      <c r="B210" s="54" t="s">
        <v>40</v>
      </c>
      <c r="C210" s="54"/>
      <c r="D210" s="54"/>
      <c r="E210" s="353"/>
      <c r="F210" s="55"/>
      <c r="G210" s="55"/>
      <c r="H210" s="105">
        <f ca="1">H207+H208-H209</f>
        <v>1011.2799221183999</v>
      </c>
      <c r="I210" s="105">
        <f ca="1">I207+I208-I209</f>
        <v>1302.5792789155348</v>
      </c>
      <c r="J210" s="105">
        <f ca="1">J207+J208-J209</f>
        <v>1588.0016397657246</v>
      </c>
      <c r="K210" s="44"/>
      <c r="L210" s="44"/>
      <c r="M210" s="44"/>
      <c r="N210" s="44"/>
      <c r="O210" s="44"/>
      <c r="P210" s="44"/>
      <c r="Q210" s="44"/>
    </row>
    <row r="211" spans="1:17" s="62" customFormat="1" ht="13.5" customHeight="1">
      <c r="A211" s="44"/>
      <c r="B211" s="95" t="s">
        <v>245</v>
      </c>
      <c r="C211" s="59"/>
      <c r="D211" s="59"/>
      <c r="E211" s="355"/>
      <c r="F211" s="60"/>
      <c r="G211" s="60"/>
      <c r="H211" s="102">
        <f ca="1">+$H$39*$I$36/1000000</f>
        <v>114.34326666666666</v>
      </c>
      <c r="I211" s="102">
        <f ca="1">+$H$39*$I$36/1000000</f>
        <v>114.34326666666666</v>
      </c>
      <c r="J211" s="102">
        <f ca="1">+$H$39*$I$36/1000000</f>
        <v>114.34326666666666</v>
      </c>
      <c r="K211" s="44"/>
      <c r="L211" s="44"/>
      <c r="M211" s="44"/>
      <c r="N211" s="44"/>
      <c r="O211" s="44"/>
      <c r="P211" s="44"/>
      <c r="Q211" s="44"/>
    </row>
    <row r="212" spans="1:17" s="62" customFormat="1" ht="13.5" customHeight="1">
      <c r="A212" s="44"/>
      <c r="B212" s="54" t="s">
        <v>176</v>
      </c>
      <c r="C212" s="54"/>
      <c r="D212" s="54"/>
      <c r="E212" s="353"/>
      <c r="F212" s="55"/>
      <c r="G212" s="55"/>
      <c r="H212" s="105">
        <f ca="1">+H211+H210</f>
        <v>1125.6231887850665</v>
      </c>
      <c r="I212" s="105">
        <f ca="1">+I211+I210</f>
        <v>1416.9225455822016</v>
      </c>
      <c r="J212" s="105">
        <f ca="1">+J211+J210</f>
        <v>1702.3449064323913</v>
      </c>
      <c r="K212" s="44"/>
      <c r="L212" s="44"/>
      <c r="M212" s="44"/>
      <c r="N212" s="44"/>
      <c r="O212" s="44"/>
      <c r="P212" s="44"/>
      <c r="Q212" s="44"/>
    </row>
    <row r="213" spans="1:17" s="62" customFormat="1" ht="13.5" customHeight="1">
      <c r="A213" s="44"/>
      <c r="B213" s="44" t="s">
        <v>268</v>
      </c>
      <c r="C213" s="59"/>
      <c r="D213" s="59"/>
      <c r="E213" s="355"/>
      <c r="F213" s="60"/>
      <c r="G213" s="60"/>
      <c r="H213" s="84">
        <f ca="1">+$J$34</f>
        <v>0.20035233090536161</v>
      </c>
      <c r="I213" s="84">
        <f ca="1">+$J$34</f>
        <v>0.20035233090536161</v>
      </c>
      <c r="J213" s="84">
        <f ca="1">+$J$34</f>
        <v>0.20035233090536161</v>
      </c>
      <c r="K213" s="44"/>
      <c r="L213" s="44"/>
      <c r="M213" s="44"/>
      <c r="N213" s="44"/>
      <c r="O213" s="44"/>
      <c r="P213" s="44"/>
      <c r="Q213" s="44"/>
    </row>
    <row r="214" spans="1:17" s="62" customFormat="1" ht="13.5" customHeight="1">
      <c r="A214" s="44"/>
      <c r="B214" s="44" t="s">
        <v>241</v>
      </c>
      <c r="C214" s="59"/>
      <c r="D214" s="59"/>
      <c r="E214" s="355"/>
      <c r="F214" s="60"/>
      <c r="G214" s="60"/>
      <c r="H214" s="300">
        <v>0.33</v>
      </c>
      <c r="I214" s="300">
        <v>0.33</v>
      </c>
      <c r="J214" s="323">
        <f>1-H214-I214</f>
        <v>0.33999999999999991</v>
      </c>
      <c r="K214" s="44"/>
      <c r="L214" s="44"/>
      <c r="M214" s="44"/>
      <c r="N214" s="44"/>
      <c r="O214" s="44"/>
      <c r="P214" s="44"/>
      <c r="Q214" s="44"/>
    </row>
    <row r="215" spans="1:17" ht="13.5" customHeight="1">
      <c r="B215" s="54" t="s">
        <v>141</v>
      </c>
      <c r="C215" s="54"/>
      <c r="D215" s="54"/>
      <c r="E215" s="353"/>
      <c r="F215" s="55"/>
      <c r="G215" s="55"/>
      <c r="H215" s="105">
        <f ca="1">+H212*H213*H214</f>
        <v>74.422005766090606</v>
      </c>
      <c r="I215" s="105">
        <f ca="1">+I212*I213*I214</f>
        <v>93.681632457518347</v>
      </c>
      <c r="J215" s="105">
        <f ca="1">+J212*J213*J214</f>
        <v>115.96338180292373</v>
      </c>
    </row>
    <row r="216" spans="1:17" ht="13.5" customHeight="1">
      <c r="B216" s="59"/>
      <c r="C216" s="59"/>
      <c r="D216" s="59"/>
      <c r="E216" s="355"/>
      <c r="F216" s="60"/>
      <c r="G216" s="60"/>
      <c r="H216" s="201"/>
      <c r="I216" s="201"/>
      <c r="J216" s="201"/>
    </row>
    <row r="217" spans="1:17">
      <c r="E217" s="112"/>
    </row>
    <row r="218" spans="1:17" s="62" customFormat="1" ht="13.5" customHeight="1">
      <c r="A218" s="44"/>
      <c r="B218" s="48" t="s">
        <v>275</v>
      </c>
      <c r="C218" s="48"/>
      <c r="D218" s="48"/>
      <c r="E218" s="155">
        <v>0</v>
      </c>
      <c r="F218" s="74">
        <v>1</v>
      </c>
      <c r="G218" s="74">
        <f>F218+1</f>
        <v>2</v>
      </c>
      <c r="H218" s="74">
        <f>G218+1</f>
        <v>3</v>
      </c>
      <c r="I218" s="74">
        <f>H218+1</f>
        <v>4</v>
      </c>
      <c r="J218" s="74">
        <f>I218+1</f>
        <v>5</v>
      </c>
      <c r="K218" s="44"/>
      <c r="L218" s="44"/>
      <c r="M218" s="44"/>
      <c r="N218" s="44"/>
      <c r="O218" s="44"/>
      <c r="P218" s="44"/>
      <c r="Q218" s="44"/>
    </row>
    <row r="219" spans="1:17" s="62" customFormat="1" ht="13.5" customHeight="1">
      <c r="A219" s="44"/>
      <c r="B219" s="44" t="s">
        <v>267</v>
      </c>
      <c r="C219" s="44"/>
      <c r="D219" s="44"/>
      <c r="E219" s="156"/>
      <c r="F219" s="75"/>
      <c r="G219" s="75"/>
      <c r="H219" s="103"/>
      <c r="I219" s="103"/>
      <c r="J219" s="103">
        <f ca="1">J61</f>
        <v>178.97176794547195</v>
      </c>
      <c r="K219" s="44"/>
      <c r="L219" s="44"/>
      <c r="M219" s="44"/>
      <c r="N219" s="44"/>
      <c r="O219" s="44"/>
      <c r="P219" s="44"/>
      <c r="Q219" s="44"/>
    </row>
    <row r="220" spans="1:17" s="62" customFormat="1" ht="13.5" customHeight="1">
      <c r="A220" s="44"/>
      <c r="B220" s="44" t="s">
        <v>38</v>
      </c>
      <c r="C220" s="44"/>
      <c r="D220" s="44"/>
      <c r="E220" s="352"/>
      <c r="F220" s="51"/>
      <c r="G220" s="51"/>
      <c r="H220" s="51"/>
      <c r="I220" s="51"/>
      <c r="J220" s="209">
        <v>8.5</v>
      </c>
      <c r="K220" s="44"/>
      <c r="L220" s="44"/>
      <c r="M220" s="44"/>
      <c r="N220" s="44"/>
      <c r="O220" s="44"/>
      <c r="P220" s="44"/>
      <c r="Q220" s="44"/>
    </row>
    <row r="221" spans="1:17" s="62" customFormat="1" ht="13.5" customHeight="1">
      <c r="A221" s="44"/>
      <c r="B221" s="54" t="s">
        <v>39</v>
      </c>
      <c r="C221" s="54"/>
      <c r="D221" s="54"/>
      <c r="E221" s="353"/>
      <c r="F221" s="55"/>
      <c r="G221" s="55"/>
      <c r="H221" s="105"/>
      <c r="I221" s="105"/>
      <c r="J221" s="105">
        <f ca="1">J220*J219</f>
        <v>1521.2600275365116</v>
      </c>
      <c r="K221" s="44"/>
      <c r="L221" s="44"/>
      <c r="M221" s="44"/>
      <c r="N221" s="44"/>
      <c r="O221" s="44"/>
      <c r="P221" s="44"/>
      <c r="Q221" s="44"/>
    </row>
    <row r="222" spans="1:17" s="62" customFormat="1" ht="13.5" customHeight="1">
      <c r="A222" s="44"/>
      <c r="B222" s="95" t="s">
        <v>69</v>
      </c>
      <c r="C222" s="44"/>
      <c r="D222" s="44"/>
      <c r="E222" s="354"/>
      <c r="F222" s="58"/>
      <c r="G222" s="58"/>
      <c r="H222" s="102"/>
      <c r="I222" s="102"/>
      <c r="J222" s="102">
        <f ca="1">+J44</f>
        <v>66.741612229212876</v>
      </c>
      <c r="K222" s="44"/>
      <c r="L222" s="44"/>
      <c r="M222" s="44"/>
      <c r="N222" s="44"/>
      <c r="O222" s="44"/>
      <c r="P222" s="44"/>
      <c r="Q222" s="44"/>
    </row>
    <row r="223" spans="1:17" s="62" customFormat="1" ht="13.5" customHeight="1">
      <c r="A223" s="44"/>
      <c r="B223" s="95" t="s">
        <v>68</v>
      </c>
      <c r="C223" s="44"/>
      <c r="D223" s="44"/>
      <c r="E223" s="354"/>
      <c r="F223" s="58"/>
      <c r="G223" s="58"/>
      <c r="H223" s="102"/>
      <c r="I223" s="102"/>
      <c r="J223" s="102">
        <f ca="1">+J52+J53</f>
        <v>0</v>
      </c>
      <c r="K223" s="44"/>
      <c r="L223" s="44"/>
      <c r="M223" s="44"/>
      <c r="N223" s="44"/>
      <c r="O223" s="44"/>
      <c r="P223" s="44"/>
      <c r="Q223" s="44"/>
    </row>
    <row r="224" spans="1:17" s="62" customFormat="1" ht="13.5" customHeight="1">
      <c r="A224" s="44"/>
      <c r="B224" s="54" t="s">
        <v>40</v>
      </c>
      <c r="C224" s="54"/>
      <c r="D224" s="54"/>
      <c r="E224" s="353"/>
      <c r="F224" s="55"/>
      <c r="G224" s="55"/>
      <c r="H224" s="105"/>
      <c r="I224" s="105"/>
      <c r="J224" s="105">
        <f ca="1">J221+J222-J223</f>
        <v>1588.0016397657246</v>
      </c>
      <c r="K224" s="44"/>
      <c r="L224" s="44"/>
      <c r="M224" s="44"/>
      <c r="N224" s="44"/>
      <c r="O224" s="44"/>
      <c r="P224" s="44"/>
      <c r="Q224" s="44"/>
    </row>
    <row r="225" spans="1:17" s="62" customFormat="1" ht="13.5" customHeight="1">
      <c r="A225" s="44"/>
      <c r="B225" s="95" t="s">
        <v>245</v>
      </c>
      <c r="C225" s="59"/>
      <c r="D225" s="59"/>
      <c r="E225" s="355"/>
      <c r="F225" s="60"/>
      <c r="G225" s="60"/>
      <c r="H225" s="102"/>
      <c r="I225" s="102"/>
      <c r="J225" s="102">
        <f ca="1">+$H$39*$I$36/1000000</f>
        <v>114.34326666666666</v>
      </c>
      <c r="K225" s="44"/>
      <c r="L225" s="44"/>
      <c r="M225" s="44"/>
      <c r="N225" s="44"/>
      <c r="O225" s="44"/>
      <c r="P225" s="44"/>
      <c r="Q225" s="44"/>
    </row>
    <row r="226" spans="1:17" s="62" customFormat="1" ht="13.5" customHeight="1">
      <c r="A226" s="44"/>
      <c r="B226" s="54" t="s">
        <v>276</v>
      </c>
      <c r="C226" s="54"/>
      <c r="D226" s="54"/>
      <c r="E226" s="353"/>
      <c r="F226" s="55"/>
      <c r="G226" s="55"/>
      <c r="H226" s="105"/>
      <c r="I226" s="105"/>
      <c r="J226" s="105">
        <f ca="1">+J225+J224</f>
        <v>1702.3449064323913</v>
      </c>
      <c r="K226" s="44"/>
      <c r="L226" s="44"/>
      <c r="M226" s="44"/>
      <c r="N226" s="44"/>
      <c r="O226" s="44"/>
      <c r="P226" s="44"/>
      <c r="Q226" s="44"/>
    </row>
    <row r="227" spans="1:17" s="62" customFormat="1" ht="13.5" customHeight="1">
      <c r="A227" s="44"/>
      <c r="B227" s="59"/>
      <c r="C227" s="59"/>
      <c r="D227" s="59"/>
      <c r="E227" s="355"/>
      <c r="F227" s="60"/>
      <c r="G227" s="60"/>
      <c r="H227" s="201"/>
      <c r="I227" s="201"/>
      <c r="J227" s="201"/>
      <c r="K227" s="44"/>
      <c r="L227" s="44"/>
      <c r="M227" s="44"/>
      <c r="N227" s="44"/>
      <c r="O227" s="44"/>
      <c r="P227" s="44"/>
      <c r="Q227" s="44"/>
    </row>
    <row r="228" spans="1:17" s="62" customFormat="1" ht="13.5" customHeight="1">
      <c r="A228" s="44"/>
      <c r="B228" s="44" t="s">
        <v>279</v>
      </c>
      <c r="C228" s="59"/>
      <c r="D228" s="59"/>
      <c r="E228" s="355"/>
      <c r="F228" s="60"/>
      <c r="G228" s="60"/>
      <c r="H228" s="84"/>
      <c r="I228" s="84"/>
      <c r="J228" s="103">
        <f>+D21</f>
        <v>229.08940000000007</v>
      </c>
      <c r="K228" s="44"/>
      <c r="L228" s="44"/>
      <c r="M228" s="44"/>
      <c r="N228" s="44"/>
      <c r="O228" s="44"/>
      <c r="P228" s="44"/>
      <c r="Q228" s="44"/>
    </row>
    <row r="229" spans="1:17" s="62" customFormat="1" ht="13.5" customHeight="1">
      <c r="A229" s="44"/>
      <c r="B229" s="44" t="s">
        <v>113</v>
      </c>
      <c r="C229" s="59"/>
      <c r="D229" s="59"/>
      <c r="E229" s="355"/>
      <c r="F229" s="60"/>
      <c r="G229" s="60"/>
      <c r="H229" s="356"/>
      <c r="I229" s="356"/>
      <c r="J229" s="209">
        <v>1.5</v>
      </c>
      <c r="K229" s="44"/>
      <c r="L229" s="44"/>
      <c r="M229" s="44"/>
      <c r="N229" s="44"/>
      <c r="O229" s="44"/>
      <c r="P229" s="44"/>
      <c r="Q229" s="44"/>
    </row>
    <row r="230" spans="1:17" ht="13.5" customHeight="1">
      <c r="B230" s="54" t="s">
        <v>280</v>
      </c>
      <c r="C230" s="54"/>
      <c r="D230" s="54"/>
      <c r="E230" s="353"/>
      <c r="F230" s="55"/>
      <c r="G230" s="55"/>
      <c r="H230" s="105"/>
      <c r="I230" s="105"/>
      <c r="J230" s="105">
        <f>+J229*J228</f>
        <v>343.6341000000001</v>
      </c>
    </row>
    <row r="231" spans="1:17" ht="13.5" customHeight="1">
      <c r="B231" s="59"/>
      <c r="C231" s="59"/>
      <c r="D231" s="59"/>
      <c r="E231" s="355"/>
      <c r="F231" s="60"/>
      <c r="G231" s="60"/>
      <c r="H231" s="201"/>
      <c r="I231" s="201"/>
      <c r="J231" s="201"/>
    </row>
    <row r="232" spans="1:17" ht="13.5" customHeight="1">
      <c r="B232" s="44" t="s">
        <v>278</v>
      </c>
      <c r="C232" s="1"/>
      <c r="D232" s="87" t="s">
        <v>283</v>
      </c>
      <c r="E232" s="363" t="s">
        <v>284</v>
      </c>
      <c r="F232" s="103">
        <f ca="1">+$J$232</f>
        <v>229.08940000000007</v>
      </c>
      <c r="G232" s="103">
        <f t="shared" ref="G232:J232" ca="1" si="57">+$J$232</f>
        <v>229.08940000000007</v>
      </c>
      <c r="H232" s="103">
        <f t="shared" ca="1" si="57"/>
        <v>229.08940000000007</v>
      </c>
      <c r="I232" s="103">
        <f t="shared" ca="1" si="57"/>
        <v>229.08940000000007</v>
      </c>
      <c r="J232" s="103">
        <f t="shared" ca="1" si="57"/>
        <v>229.08940000000007</v>
      </c>
    </row>
    <row r="233" spans="1:17" ht="13.5" customHeight="1">
      <c r="B233" s="44" t="s">
        <v>277</v>
      </c>
      <c r="C233" s="1"/>
      <c r="D233" s="357">
        <v>1</v>
      </c>
      <c r="E233" s="362">
        <v>0.08</v>
      </c>
      <c r="F233" s="84">
        <f>+$E$233*$D$233</f>
        <v>0.08</v>
      </c>
      <c r="G233" s="84">
        <f t="shared" ref="G233:J233" si="58">+$E$233*$D$233</f>
        <v>0.08</v>
      </c>
      <c r="H233" s="84">
        <f t="shared" si="58"/>
        <v>0.08</v>
      </c>
      <c r="I233" s="84">
        <f t="shared" si="58"/>
        <v>0.08</v>
      </c>
      <c r="J233" s="84">
        <f t="shared" si="58"/>
        <v>0.08</v>
      </c>
    </row>
    <row r="234" spans="1:17" ht="13.5" customHeight="1">
      <c r="B234" s="54" t="s">
        <v>281</v>
      </c>
      <c r="C234" s="54"/>
      <c r="D234" s="54"/>
      <c r="E234" s="353"/>
      <c r="F234" s="105">
        <f ca="1">+F233*F232</f>
        <v>18.327152000000005</v>
      </c>
      <c r="G234" s="105">
        <f t="shared" ref="G234:J234" ca="1" si="59">+G233*G232</f>
        <v>18.327152000000005</v>
      </c>
      <c r="H234" s="105">
        <f t="shared" ca="1" si="59"/>
        <v>18.327152000000005</v>
      </c>
      <c r="I234" s="105">
        <f t="shared" ca="1" si="59"/>
        <v>18.327152000000005</v>
      </c>
      <c r="J234" s="105">
        <f t="shared" ca="1" si="59"/>
        <v>18.327152000000005</v>
      </c>
    </row>
    <row r="235" spans="1:17" ht="13.5" customHeight="1">
      <c r="B235" s="80" t="s">
        <v>282</v>
      </c>
      <c r="C235" s="80"/>
      <c r="D235" s="80"/>
      <c r="E235" s="164"/>
      <c r="F235" s="83"/>
      <c r="G235" s="83"/>
      <c r="H235" s="200"/>
      <c r="I235" s="200"/>
      <c r="J235" s="200">
        <f ca="1">+SUM(F234:J234)</f>
        <v>91.635760000000033</v>
      </c>
    </row>
    <row r="236" spans="1:17" ht="13.5" customHeight="1">
      <c r="B236" s="59"/>
      <c r="C236" s="59"/>
      <c r="D236" s="59"/>
      <c r="E236" s="355"/>
      <c r="F236" s="60"/>
      <c r="G236" s="60"/>
      <c r="H236" s="201"/>
      <c r="I236" s="201"/>
      <c r="J236" s="201"/>
    </row>
    <row r="237" spans="1:17" ht="13.5" customHeight="1">
      <c r="B237" s="364" t="s">
        <v>292</v>
      </c>
      <c r="C237" s="59"/>
      <c r="D237" s="59"/>
      <c r="E237" s="355"/>
      <c r="F237" s="60"/>
      <c r="G237" s="60"/>
      <c r="H237" s="201"/>
      <c r="I237" s="201"/>
      <c r="J237" s="201"/>
    </row>
    <row r="238" spans="1:17" ht="13.5" customHeight="1">
      <c r="B238" s="44" t="s">
        <v>288</v>
      </c>
      <c r="C238" s="59"/>
      <c r="D238" s="59"/>
      <c r="E238" s="355"/>
      <c r="F238" s="60"/>
      <c r="G238" s="60"/>
      <c r="H238" s="201"/>
      <c r="I238" s="201"/>
      <c r="J238" s="103">
        <f ca="1">+J226</f>
        <v>1702.3449064323913</v>
      </c>
    </row>
    <row r="239" spans="1:17" ht="13.5" customHeight="1">
      <c r="B239" s="95" t="s">
        <v>286</v>
      </c>
      <c r="C239" s="59"/>
      <c r="D239" s="59"/>
      <c r="E239" s="355"/>
      <c r="F239" s="103"/>
      <c r="G239" s="103"/>
      <c r="H239" s="103"/>
      <c r="I239" s="103"/>
      <c r="J239" s="102">
        <f>+J230</f>
        <v>343.6341000000001</v>
      </c>
    </row>
    <row r="240" spans="1:17" ht="13.5" customHeight="1">
      <c r="B240" s="95" t="s">
        <v>287</v>
      </c>
      <c r="C240" s="59"/>
      <c r="D240" s="59"/>
      <c r="E240" s="355"/>
      <c r="F240" s="358"/>
      <c r="G240" s="358"/>
      <c r="H240" s="358"/>
      <c r="I240" s="358"/>
      <c r="J240" s="102">
        <f ca="1">+J235</f>
        <v>91.635760000000033</v>
      </c>
    </row>
    <row r="241" spans="2:10" ht="13.5" customHeight="1">
      <c r="B241" s="54" t="s">
        <v>291</v>
      </c>
      <c r="C241" s="54"/>
      <c r="D241" s="359" t="s">
        <v>283</v>
      </c>
      <c r="E241" s="365" t="s">
        <v>285</v>
      </c>
      <c r="F241" s="105"/>
      <c r="G241" s="105"/>
      <c r="H241" s="105"/>
      <c r="I241" s="105"/>
      <c r="J241" s="105">
        <f ca="1">+J238-J239-J240</f>
        <v>1267.075046432391</v>
      </c>
    </row>
    <row r="242" spans="2:10" ht="13.5" customHeight="1">
      <c r="B242" s="95" t="s">
        <v>290</v>
      </c>
      <c r="C242" s="1"/>
      <c r="D242" s="357">
        <v>1</v>
      </c>
      <c r="E242" s="366">
        <f ca="1">+J34</f>
        <v>0.20035233090536161</v>
      </c>
      <c r="F242" s="358"/>
      <c r="G242" s="358"/>
      <c r="H242" s="358"/>
      <c r="I242" s="358"/>
      <c r="J242" s="102">
        <f ca="1">+J241*D242*E242</f>
        <v>253.86143898474884</v>
      </c>
    </row>
    <row r="243" spans="2:10" ht="13.5" customHeight="1">
      <c r="B243" s="54" t="s">
        <v>294</v>
      </c>
      <c r="C243" s="54"/>
      <c r="D243" s="360"/>
      <c r="E243" s="367"/>
      <c r="F243" s="105"/>
      <c r="G243" s="105"/>
      <c r="H243" s="105"/>
      <c r="I243" s="105"/>
      <c r="J243" s="105">
        <f ca="1">+J241-J242</f>
        <v>1013.2136074476422</v>
      </c>
    </row>
    <row r="244" spans="2:10" ht="13.5" customHeight="1">
      <c r="B244" s="59"/>
      <c r="C244" s="59"/>
      <c r="D244" s="87"/>
      <c r="E244" s="255"/>
      <c r="F244" s="201"/>
      <c r="G244" s="201"/>
      <c r="H244" s="201"/>
      <c r="I244" s="201"/>
      <c r="J244" s="201"/>
    </row>
    <row r="245" spans="2:10" ht="13.5" customHeight="1">
      <c r="B245" s="44" t="s">
        <v>298</v>
      </c>
      <c r="C245" s="59"/>
      <c r="D245" s="361" t="s">
        <v>283</v>
      </c>
      <c r="E245" s="363" t="s">
        <v>300</v>
      </c>
      <c r="F245" s="60"/>
      <c r="G245" s="60"/>
      <c r="H245" s="201"/>
      <c r="I245" s="201"/>
      <c r="J245" s="106">
        <f ca="1">+J242+J240+J239</f>
        <v>689.13129898474904</v>
      </c>
    </row>
    <row r="246" spans="2:10" ht="13.5" customHeight="1">
      <c r="B246" s="44" t="s">
        <v>299</v>
      </c>
      <c r="C246" s="1"/>
      <c r="D246" s="357">
        <v>1</v>
      </c>
      <c r="E246" s="369">
        <v>4</v>
      </c>
      <c r="F246" s="358"/>
      <c r="G246" s="358"/>
      <c r="H246" s="358"/>
      <c r="I246" s="358"/>
      <c r="J246" s="102">
        <f>+D246*E246*J228</f>
        <v>916.35760000000028</v>
      </c>
    </row>
    <row r="247" spans="2:10" ht="13.5" customHeight="1">
      <c r="B247" s="54" t="s">
        <v>301</v>
      </c>
      <c r="C247" s="54"/>
      <c r="D247" s="360"/>
      <c r="E247" s="367"/>
      <c r="F247" s="105"/>
      <c r="G247" s="105"/>
      <c r="H247" s="105"/>
      <c r="I247" s="105"/>
      <c r="J247" s="105">
        <f ca="1">MIN(J245,J246)</f>
        <v>689.13129898474904</v>
      </c>
    </row>
    <row r="248" spans="2:10" ht="13.5" customHeight="1">
      <c r="B248" s="59"/>
      <c r="C248" s="59"/>
      <c r="D248" s="87"/>
      <c r="E248" s="255"/>
      <c r="F248" s="201"/>
      <c r="G248" s="201"/>
      <c r="H248" s="201"/>
      <c r="I248" s="201"/>
      <c r="J248" s="201"/>
    </row>
    <row r="249" spans="2:10" ht="13.5" customHeight="1">
      <c r="B249" s="364" t="s">
        <v>293</v>
      </c>
      <c r="C249" s="59"/>
      <c r="D249" s="59"/>
      <c r="E249" s="355"/>
      <c r="F249" s="60"/>
      <c r="G249" s="60"/>
      <c r="H249" s="201"/>
      <c r="I249" s="201"/>
      <c r="J249" s="201"/>
    </row>
    <row r="250" spans="2:10" ht="13.5" customHeight="1">
      <c r="B250" s="44" t="s">
        <v>288</v>
      </c>
      <c r="C250" s="59"/>
      <c r="D250" s="59"/>
      <c r="E250" s="355"/>
      <c r="F250" s="60"/>
      <c r="G250" s="60"/>
      <c r="H250" s="201"/>
      <c r="I250" s="201"/>
      <c r="J250" s="103">
        <f ca="1">+J226</f>
        <v>1702.3449064323913</v>
      </c>
    </row>
    <row r="251" spans="2:10" ht="13.5" customHeight="1">
      <c r="B251" s="95" t="s">
        <v>287</v>
      </c>
      <c r="C251" s="59"/>
      <c r="D251" s="59"/>
      <c r="E251" s="355"/>
      <c r="F251" s="358"/>
      <c r="G251" s="358"/>
      <c r="H251" s="358"/>
      <c r="I251" s="358"/>
      <c r="J251" s="102">
        <f ca="1">+J235</f>
        <v>91.635760000000033</v>
      </c>
    </row>
    <row r="252" spans="2:10" ht="13.5" customHeight="1">
      <c r="B252" s="54" t="s">
        <v>289</v>
      </c>
      <c r="C252" s="54"/>
      <c r="D252" s="54"/>
      <c r="E252" s="365" t="s">
        <v>285</v>
      </c>
      <c r="F252" s="105"/>
      <c r="G252" s="105"/>
      <c r="H252" s="105"/>
      <c r="I252" s="105"/>
      <c r="J252" s="105">
        <f ca="1">+J250-J251</f>
        <v>1610.7091464323912</v>
      </c>
    </row>
    <row r="253" spans="2:10" ht="13.5" customHeight="1">
      <c r="B253" s="95" t="s">
        <v>295</v>
      </c>
      <c r="C253" s="1"/>
      <c r="D253" s="368"/>
      <c r="E253" s="366">
        <f ca="1">+J34</f>
        <v>0.20035233090536161</v>
      </c>
      <c r="F253" s="358"/>
      <c r="G253" s="358"/>
      <c r="H253" s="358"/>
      <c r="I253" s="358"/>
      <c r="J253" s="102">
        <f ca="1">+E253*J252</f>
        <v>322.70933189831499</v>
      </c>
    </row>
    <row r="254" spans="2:10" ht="13.5" customHeight="1">
      <c r="B254" s="54" t="s">
        <v>294</v>
      </c>
      <c r="C254" s="54"/>
      <c r="D254" s="360"/>
      <c r="E254" s="367"/>
      <c r="F254" s="105"/>
      <c r="G254" s="105"/>
      <c r="H254" s="105"/>
      <c r="I254" s="105"/>
      <c r="J254" s="105">
        <f ca="1">+J252-J253</f>
        <v>1287.9998145340762</v>
      </c>
    </row>
    <row r="255" spans="2:10" ht="13.5" customHeight="1">
      <c r="B255" s="80" t="s">
        <v>296</v>
      </c>
      <c r="C255" s="59"/>
      <c r="D255" s="59"/>
      <c r="E255" s="355"/>
      <c r="F255" s="60"/>
      <c r="G255" s="60"/>
      <c r="H255" s="201"/>
      <c r="I255" s="201"/>
      <c r="J255" s="200">
        <f ca="1">+J253+J251</f>
        <v>414.34509189831499</v>
      </c>
    </row>
    <row r="256" spans="2:10" ht="13.5" customHeight="1">
      <c r="B256" s="44"/>
      <c r="C256" s="59"/>
      <c r="D256" s="59"/>
      <c r="E256" s="355"/>
      <c r="F256" s="60"/>
      <c r="G256" s="60"/>
      <c r="H256" s="201"/>
      <c r="I256" s="201"/>
      <c r="J256" s="106"/>
    </row>
    <row r="257" spans="2:12" ht="13.5" customHeight="1">
      <c r="B257" s="59" t="s">
        <v>297</v>
      </c>
      <c r="C257" s="59"/>
      <c r="D257" s="59"/>
      <c r="E257" s="355"/>
      <c r="F257" s="60"/>
      <c r="G257" s="60"/>
      <c r="H257" s="201"/>
      <c r="I257" s="201"/>
      <c r="J257" s="201">
        <f ca="1">MAX(J255,J247)</f>
        <v>689.13129898474904</v>
      </c>
    </row>
    <row r="258" spans="2:12" ht="13.5" customHeight="1">
      <c r="B258" s="44"/>
      <c r="C258" s="59"/>
      <c r="D258" s="59"/>
      <c r="E258" s="355"/>
      <c r="F258" s="60"/>
      <c r="G258" s="60"/>
      <c r="H258" s="201"/>
      <c r="I258" s="201"/>
      <c r="J258" s="201"/>
    </row>
    <row r="259" spans="2:12" ht="13.5" customHeight="1">
      <c r="B259" s="59"/>
      <c r="C259" s="59"/>
      <c r="D259" s="59"/>
      <c r="E259" s="355"/>
      <c r="F259" s="60"/>
      <c r="G259" s="60"/>
      <c r="H259" s="201"/>
      <c r="I259" s="201"/>
      <c r="J259" s="201"/>
    </row>
    <row r="260" spans="2:12" s="44" customFormat="1" ht="13.5" customHeight="1">
      <c r="B260" s="48" t="s">
        <v>76</v>
      </c>
      <c r="C260" s="48"/>
      <c r="D260" s="48"/>
      <c r="E260" s="155">
        <v>0</v>
      </c>
      <c r="F260" s="74">
        <v>1</v>
      </c>
      <c r="G260" s="74">
        <f>F260+1</f>
        <v>2</v>
      </c>
      <c r="H260" s="74">
        <f>G260+1</f>
        <v>3</v>
      </c>
      <c r="I260" s="74">
        <f>H260+1</f>
        <v>4</v>
      </c>
      <c r="J260" s="74">
        <f>I260+1</f>
        <v>5</v>
      </c>
      <c r="L260" s="137" t="s">
        <v>42</v>
      </c>
    </row>
    <row r="261" spans="2:12" s="44" customFormat="1" ht="13.5" customHeight="1">
      <c r="B261" s="44" t="s">
        <v>80</v>
      </c>
      <c r="E261" s="160">
        <f>-$D$21</f>
        <v>-229.08940000000007</v>
      </c>
      <c r="F261" s="50">
        <v>0</v>
      </c>
      <c r="G261" s="50">
        <v>0</v>
      </c>
      <c r="H261" s="50">
        <v>0</v>
      </c>
      <c r="I261" s="50">
        <v>0</v>
      </c>
      <c r="J261" s="61">
        <f ca="1">+J201</f>
        <v>341.0687700085993</v>
      </c>
      <c r="L261" s="228">
        <f ca="1">IRR(E261:J261)</f>
        <v>8.2847733984313665E-2</v>
      </c>
    </row>
    <row r="262" spans="2:12" s="44" customFormat="1" ht="13.5" customHeight="1">
      <c r="B262" s="44" t="s">
        <v>81</v>
      </c>
      <c r="E262" s="160">
        <f>-$D$21</f>
        <v>-229.08940000000007</v>
      </c>
      <c r="F262" s="50">
        <v>0</v>
      </c>
      <c r="G262" s="50">
        <v>0</v>
      </c>
      <c r="H262" s="61">
        <f ca="1">+H215</f>
        <v>74.422005766090606</v>
      </c>
      <c r="I262" s="61">
        <f ca="1">+I215</f>
        <v>93.681632457518347</v>
      </c>
      <c r="J262" s="61">
        <f ca="1">+J215</f>
        <v>115.96338180292373</v>
      </c>
      <c r="L262" s="228">
        <f ca="1">IRR(E262:J262)</f>
        <v>5.3471510146433809E-2</v>
      </c>
    </row>
    <row r="263" spans="2:12" s="44" customFormat="1" ht="13.5" customHeight="1">
      <c r="B263" s="44" t="s">
        <v>302</v>
      </c>
      <c r="E263" s="160">
        <f>E262</f>
        <v>-229.08940000000007</v>
      </c>
      <c r="F263" s="50">
        <v>0</v>
      </c>
      <c r="G263" s="50">
        <v>0</v>
      </c>
      <c r="H263" s="50">
        <v>0</v>
      </c>
      <c r="I263" s="50">
        <v>0</v>
      </c>
      <c r="J263" s="61">
        <f ca="1">+J257</f>
        <v>689.13129898474904</v>
      </c>
      <c r="L263" s="228">
        <f ca="1">IRR(E263:J263)</f>
        <v>0.24640561289262219</v>
      </c>
    </row>
    <row r="264" spans="2:12">
      <c r="E264" s="112"/>
    </row>
  </sheetData>
  <pageMargins left="0.7" right="0.7" top="0.75" bottom="0.75" header="0.3" footer="0.3"/>
  <pageSetup scale="80" orientation="portrait" r:id="rId1"/>
  <rowBreaks count="3" manualBreakCount="3">
    <brk id="58" max="10" man="1"/>
    <brk id="139" max="10" man="1"/>
    <brk id="170" max="10" man="1"/>
  </rowBreaks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4173-58FE-4362-87A9-28648E534283}">
  <dimension ref="A1:Q264"/>
  <sheetViews>
    <sheetView showGridLines="0" zoomScale="130" zoomScaleNormal="130" zoomScaleSheetLayoutView="130" workbookViewId="0"/>
  </sheetViews>
  <sheetFormatPr defaultColWidth="9.1328125" defaultRowHeight="13.15"/>
  <cols>
    <col min="1" max="1" width="10" style="2" customWidth="1"/>
    <col min="2" max="2" width="25.59765625" style="2" customWidth="1"/>
    <col min="3" max="10" width="11.265625" style="2" customWidth="1"/>
    <col min="11" max="12" width="9.1328125" style="2"/>
    <col min="13" max="17" width="9.1328125" style="2" customWidth="1"/>
    <col min="18" max="20" width="9.1328125" style="1" customWidth="1"/>
    <col min="21" max="16384" width="9.1328125" style="1"/>
  </cols>
  <sheetData>
    <row r="1" spans="2:17">
      <c r="B1" s="15"/>
    </row>
    <row r="2" spans="2:17" s="44" customFormat="1" ht="13.5" customHeight="1">
      <c r="B2" s="45" t="s">
        <v>0</v>
      </c>
      <c r="C2" s="45"/>
      <c r="D2" s="45"/>
      <c r="E2" s="46"/>
      <c r="F2" s="46"/>
      <c r="G2" s="46"/>
      <c r="H2" s="46"/>
      <c r="I2" s="46"/>
      <c r="J2" s="47" t="s">
        <v>37</v>
      </c>
    </row>
    <row r="3" spans="2:17" s="44" customFormat="1" ht="13.5" customHeight="1">
      <c r="B3" s="48" t="s">
        <v>161</v>
      </c>
      <c r="C3" s="48"/>
      <c r="D3" s="48"/>
      <c r="E3" s="48"/>
      <c r="G3" s="48" t="s">
        <v>242</v>
      </c>
      <c r="H3" s="48"/>
      <c r="I3" s="48"/>
      <c r="J3" s="48"/>
    </row>
    <row r="4" spans="2:17" s="44" customFormat="1" ht="13.5" customHeight="1">
      <c r="C4" s="49" t="s">
        <v>64</v>
      </c>
      <c r="D4" s="49" t="s">
        <v>65</v>
      </c>
      <c r="E4" s="49" t="s">
        <v>0</v>
      </c>
      <c r="F4" s="49"/>
      <c r="G4" s="44" t="s">
        <v>61</v>
      </c>
      <c r="J4" s="301">
        <v>731</v>
      </c>
    </row>
    <row r="5" spans="2:17" s="44" customFormat="1" ht="13.5" customHeight="1">
      <c r="B5" s="44" t="s">
        <v>2</v>
      </c>
      <c r="C5" s="103">
        <f>E61</f>
        <v>50.830000000000005</v>
      </c>
      <c r="G5" s="44" t="s">
        <v>243</v>
      </c>
      <c r="J5" s="85">
        <v>0.1</v>
      </c>
      <c r="L5" s="50"/>
    </row>
    <row r="6" spans="2:17" s="44" customFormat="1" ht="13.5" customHeight="1">
      <c r="B6" s="44" t="s">
        <v>1</v>
      </c>
      <c r="C6" s="209">
        <v>18</v>
      </c>
      <c r="D6" s="51"/>
      <c r="L6" s="52"/>
      <c r="Q6" s="53"/>
    </row>
    <row r="7" spans="2:17" s="44" customFormat="1" ht="13.5" customHeight="1">
      <c r="B7" s="54" t="s">
        <v>67</v>
      </c>
      <c r="C7" s="105">
        <f>C5*C6</f>
        <v>914.94</v>
      </c>
      <c r="D7" s="105">
        <f>C7</f>
        <v>914.94</v>
      </c>
      <c r="E7" s="56"/>
      <c r="L7" s="57"/>
      <c r="Q7" s="53"/>
    </row>
    <row r="8" spans="2:17" s="44" customFormat="1" ht="13.5" customHeight="1">
      <c r="B8" s="104" t="s">
        <v>71</v>
      </c>
      <c r="C8" s="102">
        <f>C52</f>
        <v>0</v>
      </c>
      <c r="D8" s="208">
        <f>D52</f>
        <v>0</v>
      </c>
      <c r="G8" s="313" t="str">
        <f>"Active: "&amp;CHOOSE(J8,G9,G10,G11)</f>
        <v>Active: Base case</v>
      </c>
      <c r="H8" s="314"/>
      <c r="I8" s="314"/>
      <c r="J8" s="34">
        <v>2</v>
      </c>
      <c r="L8" s="57"/>
      <c r="Q8" s="53"/>
    </row>
    <row r="9" spans="2:17" s="44" customFormat="1" ht="13.5" customHeight="1">
      <c r="B9" s="104" t="s">
        <v>73</v>
      </c>
      <c r="C9" s="102">
        <f>+C53</f>
        <v>0</v>
      </c>
      <c r="D9" s="208">
        <v>0</v>
      </c>
      <c r="G9" s="311" t="s">
        <v>251</v>
      </c>
      <c r="H9" s="7"/>
      <c r="I9" s="7"/>
      <c r="J9" s="312">
        <v>1</v>
      </c>
      <c r="L9" s="57"/>
      <c r="Q9" s="53"/>
    </row>
    <row r="10" spans="2:17" s="44" customFormat="1" ht="13.5" customHeight="1">
      <c r="B10" s="104" t="s">
        <v>69</v>
      </c>
      <c r="C10" s="102">
        <f>C44</f>
        <v>5</v>
      </c>
      <c r="D10" s="208">
        <v>105</v>
      </c>
      <c r="G10" s="315" t="s">
        <v>52</v>
      </c>
      <c r="H10" s="2"/>
      <c r="I10" s="2"/>
      <c r="J10" s="316">
        <v>2</v>
      </c>
      <c r="L10" s="50"/>
    </row>
    <row r="11" spans="2:17" s="44" customFormat="1" ht="13.5" customHeight="1">
      <c r="B11" s="54" t="s">
        <v>66</v>
      </c>
      <c r="C11" s="105">
        <f>C7-C8+C10-C9</f>
        <v>919.94</v>
      </c>
      <c r="D11" s="105">
        <f>D7-D8+D10-D9</f>
        <v>1019.94</v>
      </c>
      <c r="E11" s="56"/>
      <c r="G11" s="7"/>
      <c r="H11" s="7"/>
      <c r="I11" s="7"/>
      <c r="J11" s="7"/>
    </row>
    <row r="12" spans="2:17" s="44" customFormat="1" ht="13.5" customHeight="1">
      <c r="B12" s="104" t="s">
        <v>236</v>
      </c>
      <c r="C12" s="102"/>
      <c r="D12" s="189">
        <f>+E12*D7</f>
        <v>9.1494</v>
      </c>
      <c r="E12" s="85">
        <v>0.01</v>
      </c>
      <c r="L12" s="50"/>
    </row>
    <row r="13" spans="2:17" s="44" customFormat="1" ht="13.5" customHeight="1">
      <c r="B13" s="104" t="s">
        <v>72</v>
      </c>
      <c r="C13" s="102"/>
      <c r="D13" s="189">
        <f>+E13*D9</f>
        <v>0</v>
      </c>
      <c r="E13" s="85">
        <v>0.02</v>
      </c>
      <c r="L13" s="50"/>
    </row>
    <row r="14" spans="2:17" s="44" customFormat="1" ht="13.5" customHeight="1">
      <c r="B14" s="54" t="s">
        <v>174</v>
      </c>
      <c r="C14" s="105"/>
      <c r="D14" s="105">
        <f>+D11+D12+D13</f>
        <v>1029.0894000000001</v>
      </c>
      <c r="E14" s="56"/>
    </row>
    <row r="15" spans="2:17" s="44" customFormat="1" ht="13.5" customHeight="1">
      <c r="B15" s="59"/>
      <c r="C15" s="201"/>
      <c r="D15" s="201"/>
      <c r="E15" s="321"/>
    </row>
    <row r="16" spans="2:17" s="44" customFormat="1" ht="13.5" customHeight="1">
      <c r="Q16" s="53"/>
    </row>
    <row r="17" spans="1:17" s="44" customFormat="1" ht="13.5" customHeight="1">
      <c r="B17" s="45" t="s">
        <v>4</v>
      </c>
      <c r="C17" s="45"/>
      <c r="D17" s="45"/>
      <c r="E17" s="46"/>
      <c r="F17" s="46"/>
      <c r="G17" s="46"/>
      <c r="H17" s="46"/>
      <c r="I17" s="46"/>
      <c r="J17" s="47" t="s">
        <v>37</v>
      </c>
      <c r="M17" s="59"/>
    </row>
    <row r="18" spans="1:17" s="44" customFormat="1" ht="13.5" customHeight="1">
      <c r="B18" s="48" t="s">
        <v>5</v>
      </c>
      <c r="C18" s="48"/>
      <c r="D18" s="48"/>
      <c r="G18" s="48" t="s">
        <v>6</v>
      </c>
      <c r="H18" s="48"/>
      <c r="I18" s="48"/>
      <c r="J18" s="48"/>
    </row>
    <row r="19" spans="1:17" s="44" customFormat="1" ht="13.5" customHeight="1">
      <c r="B19" s="44" t="s">
        <v>60</v>
      </c>
      <c r="D19" s="103">
        <f>+D9</f>
        <v>0</v>
      </c>
      <c r="G19" s="44" t="s">
        <v>175</v>
      </c>
      <c r="J19" s="106">
        <f>+D35-J20</f>
        <v>96.946000000000026</v>
      </c>
    </row>
    <row r="20" spans="1:17" s="44" customFormat="1" ht="13.5" customHeight="1">
      <c r="B20" s="44" t="s">
        <v>61</v>
      </c>
      <c r="D20" s="206">
        <f>+J20</f>
        <v>731</v>
      </c>
      <c r="G20" s="44" t="s">
        <v>61</v>
      </c>
      <c r="J20" s="206">
        <f>+J4</f>
        <v>731</v>
      </c>
    </row>
    <row r="21" spans="1:17" s="44" customFormat="1" ht="13.5" customHeight="1">
      <c r="B21" s="44" t="s">
        <v>58</v>
      </c>
      <c r="D21" s="206">
        <f>+J25-D20-D19</f>
        <v>206.09540000000004</v>
      </c>
      <c r="G21" s="44" t="s">
        <v>237</v>
      </c>
      <c r="J21" s="206">
        <f>+D10-C10</f>
        <v>100</v>
      </c>
    </row>
    <row r="22" spans="1:17" s="44" customFormat="1" ht="13.5" customHeight="1">
      <c r="D22" s="206"/>
      <c r="G22" s="44" t="s">
        <v>144</v>
      </c>
      <c r="J22" s="206">
        <f>+D12</f>
        <v>9.1494</v>
      </c>
    </row>
    <row r="23" spans="1:17" s="44" customFormat="1" ht="13.5" customHeight="1">
      <c r="D23" s="206"/>
      <c r="G23" s="44" t="s">
        <v>47</v>
      </c>
      <c r="J23" s="206">
        <f>+D13</f>
        <v>0</v>
      </c>
    </row>
    <row r="24" spans="1:17" s="44" customFormat="1" ht="13.5" customHeight="1">
      <c r="D24" s="206"/>
      <c r="J24" s="206"/>
    </row>
    <row r="25" spans="1:17" s="44" customFormat="1" ht="13.5" customHeight="1">
      <c r="B25" s="54" t="s">
        <v>7</v>
      </c>
      <c r="C25" s="54"/>
      <c r="D25" s="105">
        <f>SUM(D19:D24)</f>
        <v>937.09540000000004</v>
      </c>
      <c r="G25" s="54" t="s">
        <v>8</v>
      </c>
      <c r="H25" s="55"/>
      <c r="I25" s="55"/>
      <c r="J25" s="105">
        <f>SUM(J19:J24)</f>
        <v>937.09540000000004</v>
      </c>
    </row>
    <row r="26" spans="1:17" s="62" customFormat="1" ht="13.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</row>
    <row r="27" spans="1:17" s="62" customFormat="1" ht="13.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</row>
    <row r="28" spans="1:17" s="62" customFormat="1" ht="13.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</row>
    <row r="29" spans="1:17" s="62" customFormat="1" ht="13.5" customHeight="1">
      <c r="A29" s="44"/>
      <c r="B29" s="48" t="s">
        <v>323</v>
      </c>
      <c r="C29" s="63"/>
      <c r="D29" s="63"/>
      <c r="E29" s="63"/>
      <c r="F29" s="48"/>
      <c r="G29" s="63"/>
      <c r="H29" s="63"/>
      <c r="I29" s="63"/>
      <c r="J29" s="63"/>
      <c r="K29" s="44"/>
      <c r="L29" s="44"/>
      <c r="M29" s="44"/>
      <c r="N29" s="44"/>
      <c r="O29" s="44"/>
      <c r="P29" s="44"/>
      <c r="Q29" s="44"/>
    </row>
    <row r="30" spans="1:17" s="62" customFormat="1" ht="13.5" customHeight="1">
      <c r="A30" s="44"/>
      <c r="B30" s="64"/>
      <c r="D30" s="65" t="s">
        <v>324</v>
      </c>
      <c r="E30" s="65"/>
      <c r="F30" s="65"/>
      <c r="H30" s="65" t="s">
        <v>65</v>
      </c>
      <c r="I30" s="65"/>
      <c r="J30" s="65"/>
      <c r="K30" s="44"/>
      <c r="L30" s="44"/>
      <c r="M30" s="44"/>
      <c r="N30" s="44"/>
      <c r="O30" s="44"/>
      <c r="P30" s="44"/>
      <c r="Q30" s="44"/>
    </row>
    <row r="31" spans="1:17" s="62" customFormat="1" ht="13.5" customHeight="1">
      <c r="A31" s="44"/>
      <c r="B31" s="64"/>
      <c r="D31" s="66" t="s">
        <v>74</v>
      </c>
      <c r="E31" s="66" t="s">
        <v>325</v>
      </c>
      <c r="F31" s="67" t="s">
        <v>75</v>
      </c>
      <c r="H31" s="66" t="s">
        <v>74</v>
      </c>
      <c r="I31" s="66" t="s">
        <v>325</v>
      </c>
      <c r="J31" s="67" t="s">
        <v>75</v>
      </c>
      <c r="K31" s="44"/>
      <c r="L31" s="44"/>
      <c r="M31" s="44"/>
      <c r="N31" s="44"/>
      <c r="O31" s="44"/>
      <c r="P31" s="44"/>
      <c r="Q31" s="44"/>
    </row>
    <row r="32" spans="1:17" s="62" customFormat="1" ht="13.5" customHeight="1">
      <c r="A32" s="44"/>
      <c r="B32" s="104" t="s">
        <v>173</v>
      </c>
      <c r="D32" s="389">
        <v>0</v>
      </c>
      <c r="E32" s="253">
        <v>0</v>
      </c>
      <c r="F32" s="204">
        <f t="shared" ref="F32:F37" si="0">+E32/E$37</f>
        <v>0</v>
      </c>
      <c r="H32" s="251">
        <f>+J21+J22+J23</f>
        <v>109.1494</v>
      </c>
      <c r="I32" s="68">
        <f>+H32*1000000/H$39</f>
        <v>131831.5445693318</v>
      </c>
      <c r="J32" s="204">
        <f t="shared" ref="J32:J37" si="1">+I32/I$37</f>
        <v>0.10606406012927547</v>
      </c>
      <c r="K32" s="44"/>
      <c r="L32" s="44"/>
      <c r="M32" s="44"/>
      <c r="N32" s="44"/>
      <c r="O32" s="44"/>
      <c r="P32" s="44"/>
      <c r="Q32" s="44"/>
    </row>
    <row r="33" spans="1:17" s="62" customFormat="1" ht="13.5" customHeight="1">
      <c r="A33" s="44"/>
      <c r="B33" s="104" t="s">
        <v>171</v>
      </c>
      <c r="D33" s="260">
        <v>0</v>
      </c>
      <c r="E33" s="253">
        <v>0</v>
      </c>
      <c r="F33" s="204">
        <f t="shared" si="0"/>
        <v>0</v>
      </c>
      <c r="H33" s="252">
        <f>I33*H39/1000000</f>
        <v>96.946000000000055</v>
      </c>
      <c r="I33" s="390">
        <f>E35-I35</f>
        <v>117092.17750916129</v>
      </c>
      <c r="J33" s="204">
        <f t="shared" si="1"/>
        <v>9.4205615177845647E-2</v>
      </c>
      <c r="K33" s="44"/>
      <c r="L33" s="44"/>
      <c r="M33" s="44"/>
      <c r="N33" s="44"/>
      <c r="O33" s="44"/>
      <c r="P33" s="44"/>
      <c r="Q33" s="44"/>
    </row>
    <row r="34" spans="1:17" s="62" customFormat="1" ht="13.5" customHeight="1">
      <c r="A34" s="44"/>
      <c r="B34" s="69" t="s">
        <v>239</v>
      </c>
      <c r="C34" s="259"/>
      <c r="D34" s="203">
        <f>SUM(D32:D33)</f>
        <v>0</v>
      </c>
      <c r="E34" s="71">
        <f>SUM(E32:E33)</f>
        <v>0</v>
      </c>
      <c r="F34" s="205">
        <f t="shared" si="0"/>
        <v>0</v>
      </c>
      <c r="G34" s="259"/>
      <c r="H34" s="203">
        <f>+SUM(H32:H33)</f>
        <v>206.09540000000004</v>
      </c>
      <c r="I34" s="71">
        <f>+H34*1000000/H$39</f>
        <v>248923.72207849307</v>
      </c>
      <c r="J34" s="205">
        <f t="shared" si="1"/>
        <v>0.20026967530712109</v>
      </c>
      <c r="K34" s="44"/>
      <c r="L34" s="44"/>
      <c r="M34" s="44"/>
      <c r="N34" s="44"/>
      <c r="O34" s="44"/>
      <c r="P34" s="44"/>
      <c r="Q34" s="44"/>
    </row>
    <row r="35" spans="1:17" s="62" customFormat="1" ht="13.5" customHeight="1">
      <c r="A35" s="44"/>
      <c r="B35" s="104" t="s">
        <v>63</v>
      </c>
      <c r="D35" s="252">
        <f>E35*D39/1000000</f>
        <v>827.94600000000003</v>
      </c>
      <c r="E35" s="253">
        <v>1000000</v>
      </c>
      <c r="F35" s="204">
        <f t="shared" si="0"/>
        <v>0.90000000000000013</v>
      </c>
      <c r="H35" s="202">
        <f>J20</f>
        <v>731</v>
      </c>
      <c r="I35" s="68">
        <f>+H35*1000000/H$39</f>
        <v>882907.82249083871</v>
      </c>
      <c r="J35" s="204">
        <f t="shared" si="1"/>
        <v>0.71033673070580661</v>
      </c>
      <c r="K35" s="44"/>
      <c r="L35" s="58"/>
      <c r="M35" s="44"/>
      <c r="N35" s="44"/>
      <c r="O35" s="44"/>
      <c r="P35" s="44"/>
      <c r="Q35" s="44"/>
    </row>
    <row r="36" spans="1:17" s="62" customFormat="1" ht="13.5" customHeight="1">
      <c r="A36" s="44"/>
      <c r="B36" s="104" t="s">
        <v>244</v>
      </c>
      <c r="D36" s="260">
        <v>0</v>
      </c>
      <c r="E36" s="253">
        <f>SUM(E34:E35)/(1-J5)*J5</f>
        <v>111111.11111111111</v>
      </c>
      <c r="F36" s="204">
        <f t="shared" si="0"/>
        <v>0.1</v>
      </c>
      <c r="H36" s="260">
        <v>0</v>
      </c>
      <c r="I36" s="68">
        <f>+E36</f>
        <v>111111.11111111111</v>
      </c>
      <c r="J36" s="204">
        <f t="shared" si="1"/>
        <v>8.9393593987072473E-2</v>
      </c>
      <c r="K36" s="44"/>
      <c r="L36" s="44"/>
      <c r="M36" s="44"/>
      <c r="N36" s="44"/>
      <c r="O36" s="44"/>
      <c r="P36" s="44"/>
      <c r="Q36" s="44"/>
    </row>
    <row r="37" spans="1:17" s="62" customFormat="1" ht="13.5" customHeight="1">
      <c r="A37" s="44"/>
      <c r="B37" s="69" t="s">
        <v>172</v>
      </c>
      <c r="C37" s="70"/>
      <c r="D37" s="203">
        <f>SUM(D34:D36)</f>
        <v>827.94600000000003</v>
      </c>
      <c r="E37" s="71">
        <f>SUM(E34:E36)</f>
        <v>1111111.111111111</v>
      </c>
      <c r="F37" s="205">
        <f t="shared" si="0"/>
        <v>1</v>
      </c>
      <c r="G37" s="70"/>
      <c r="H37" s="203">
        <f>SUM(H34:H36)</f>
        <v>937.09540000000004</v>
      </c>
      <c r="I37" s="71">
        <f>SUM(I34:I36)</f>
        <v>1242942.6556804427</v>
      </c>
      <c r="J37" s="205">
        <f t="shared" si="1"/>
        <v>1</v>
      </c>
      <c r="K37" s="44"/>
      <c r="L37" s="44"/>
      <c r="M37" s="44"/>
      <c r="N37" s="44"/>
      <c r="O37" s="44"/>
      <c r="P37" s="44"/>
      <c r="Q37" s="44"/>
    </row>
    <row r="38" spans="1:17" s="62" customFormat="1" ht="13.5" customHeight="1">
      <c r="A38" s="44"/>
      <c r="B38" s="296"/>
      <c r="D38" s="296"/>
      <c r="E38" s="297"/>
      <c r="F38" s="298"/>
      <c r="G38" s="72"/>
      <c r="H38" s="296"/>
      <c r="I38" s="297"/>
      <c r="J38" s="298"/>
      <c r="K38" s="44"/>
      <c r="L38" s="44"/>
      <c r="M38" s="44"/>
      <c r="N38" s="44"/>
      <c r="O38" s="44"/>
      <c r="P38" s="44"/>
      <c r="Q38" s="44"/>
    </row>
    <row r="39" spans="1:17" s="62" customFormat="1" ht="13.5" customHeight="1">
      <c r="A39" s="44"/>
      <c r="B39" s="44" t="s">
        <v>238</v>
      </c>
      <c r="D39" s="299">
        <f>+C11*1000000/E37</f>
        <v>827.94600000000003</v>
      </c>
      <c r="G39" s="44"/>
      <c r="H39" s="107">
        <f>+D39</f>
        <v>827.94600000000003</v>
      </c>
      <c r="I39" s="107"/>
      <c r="J39" s="44"/>
      <c r="K39" s="44"/>
      <c r="L39" s="44"/>
      <c r="M39" s="44"/>
      <c r="N39" s="44"/>
      <c r="O39" s="44"/>
      <c r="P39" s="44"/>
      <c r="Q39" s="44"/>
    </row>
    <row r="40" spans="1:17" s="62" customFormat="1" ht="13.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</row>
    <row r="41" spans="1:17" s="62" customFormat="1" ht="13.5" customHeight="1">
      <c r="A41" s="44"/>
      <c r="B41" s="44"/>
      <c r="C41" s="44"/>
      <c r="D41" s="44"/>
      <c r="E41" s="44"/>
      <c r="F41" s="44"/>
      <c r="G41" s="44"/>
      <c r="H41" s="107"/>
      <c r="I41" s="44"/>
      <c r="J41" s="44"/>
      <c r="K41" s="44"/>
      <c r="L41" s="44"/>
      <c r="M41" s="44"/>
      <c r="N41" s="44"/>
      <c r="O41" s="44"/>
      <c r="P41" s="44"/>
      <c r="Q41" s="44"/>
    </row>
    <row r="42" spans="1:17" s="44" customFormat="1" ht="13.5" customHeight="1">
      <c r="B42" s="45" t="s">
        <v>3</v>
      </c>
      <c r="C42" s="45"/>
      <c r="D42" s="45"/>
      <c r="E42" s="154"/>
      <c r="F42" s="46"/>
      <c r="G42" s="46"/>
      <c r="H42" s="46"/>
      <c r="I42" s="46"/>
      <c r="J42" s="47" t="s">
        <v>37</v>
      </c>
    </row>
    <row r="43" spans="1:17" s="44" customFormat="1" ht="13.5" customHeight="1">
      <c r="B43" s="48" t="s">
        <v>19</v>
      </c>
      <c r="C43" s="74">
        <v>0</v>
      </c>
      <c r="D43" s="79" t="s">
        <v>44</v>
      </c>
      <c r="E43" s="162" t="s">
        <v>43</v>
      </c>
      <c r="F43" s="74">
        <v>1</v>
      </c>
      <c r="G43" s="74">
        <f>F43+1</f>
        <v>2</v>
      </c>
      <c r="H43" s="74">
        <f>G43+1</f>
        <v>3</v>
      </c>
      <c r="I43" s="74">
        <f>H43+1</f>
        <v>4</v>
      </c>
      <c r="J43" s="74">
        <f>I43+1</f>
        <v>5</v>
      </c>
    </row>
    <row r="44" spans="1:17" s="44" customFormat="1" ht="13.5" customHeight="1">
      <c r="B44" s="44" t="s">
        <v>20</v>
      </c>
      <c r="C44" s="186">
        <v>5</v>
      </c>
      <c r="D44" s="190">
        <f>E44-C44</f>
        <v>100</v>
      </c>
      <c r="E44" s="188">
        <f>+D10</f>
        <v>105</v>
      </c>
      <c r="F44" s="106">
        <f ca="1">F152+E44</f>
        <v>89.351544000000004</v>
      </c>
      <c r="G44" s="106">
        <f ca="1">G152+F44</f>
        <v>75.218049039999997</v>
      </c>
      <c r="H44" s="106">
        <f ca="1">H152+G44</f>
        <v>62.925026758399994</v>
      </c>
      <c r="I44" s="106">
        <f ca="1">I152+H44</f>
        <v>58.710295648335084</v>
      </c>
      <c r="J44" s="106">
        <f ca="1">J152+I44</f>
        <v>66.741612229212876</v>
      </c>
    </row>
    <row r="45" spans="1:17" s="44" customFormat="1" ht="13.5" customHeight="1">
      <c r="B45" s="44" t="s">
        <v>21</v>
      </c>
      <c r="C45" s="191">
        <v>100</v>
      </c>
      <c r="D45" s="192"/>
      <c r="E45" s="193">
        <f>D45+C45</f>
        <v>100</v>
      </c>
      <c r="F45" s="102">
        <f>F97</f>
        <v>105</v>
      </c>
      <c r="G45" s="102">
        <f t="shared" ref="G45:J45" si="2">G97</f>
        <v>110</v>
      </c>
      <c r="H45" s="102">
        <f t="shared" si="2"/>
        <v>115</v>
      </c>
      <c r="I45" s="102">
        <f t="shared" si="2"/>
        <v>120</v>
      </c>
      <c r="J45" s="102">
        <f t="shared" si="2"/>
        <v>125</v>
      </c>
    </row>
    <row r="46" spans="1:17" s="44" customFormat="1" ht="13.5" customHeight="1">
      <c r="B46" s="44" t="s">
        <v>45</v>
      </c>
      <c r="C46" s="191">
        <v>0</v>
      </c>
      <c r="D46" s="192">
        <f>+D13</f>
        <v>0</v>
      </c>
      <c r="E46" s="193">
        <f>D46+C46</f>
        <v>0</v>
      </c>
      <c r="F46" s="102">
        <f>F108</f>
        <v>0</v>
      </c>
      <c r="G46" s="102">
        <f t="shared" ref="G46:J46" si="3">G108</f>
        <v>0</v>
      </c>
      <c r="H46" s="102">
        <f t="shared" si="3"/>
        <v>0</v>
      </c>
      <c r="I46" s="102">
        <f t="shared" si="3"/>
        <v>0</v>
      </c>
      <c r="J46" s="102">
        <f t="shared" si="3"/>
        <v>0</v>
      </c>
    </row>
    <row r="47" spans="1:17" s="44" customFormat="1" ht="13.5" customHeight="1">
      <c r="B47" s="44" t="s">
        <v>46</v>
      </c>
      <c r="C47" s="191">
        <v>0</v>
      </c>
      <c r="D47" s="192"/>
      <c r="E47" s="193">
        <f>D47+C47</f>
        <v>0</v>
      </c>
      <c r="F47" s="189">
        <f>E47</f>
        <v>0</v>
      </c>
      <c r="G47" s="189">
        <f t="shared" ref="G47:J47" si="4">F47</f>
        <v>0</v>
      </c>
      <c r="H47" s="189">
        <f t="shared" si="4"/>
        <v>0</v>
      </c>
      <c r="I47" s="189">
        <f t="shared" si="4"/>
        <v>0</v>
      </c>
      <c r="J47" s="189">
        <f t="shared" si="4"/>
        <v>0</v>
      </c>
    </row>
    <row r="48" spans="1:17" s="44" customFormat="1" ht="13.5" customHeight="1">
      <c r="B48" s="44" t="s">
        <v>95</v>
      </c>
      <c r="C48" s="191">
        <v>20</v>
      </c>
      <c r="D48" s="192"/>
      <c r="E48" s="193">
        <f>D48+C48</f>
        <v>20</v>
      </c>
      <c r="F48" s="189">
        <f ca="1">E48-F136</f>
        <v>21.936609919999999</v>
      </c>
      <c r="G48" s="189">
        <f ca="1">F48-G136</f>
        <v>23.4628537832</v>
      </c>
      <c r="H48" s="189">
        <f ca="1">G48-H136</f>
        <v>24.496502142272</v>
      </c>
      <c r="I48" s="189">
        <f ca="1">H48-I136</f>
        <v>23.845542574716418</v>
      </c>
      <c r="J48" s="189">
        <f ca="1">I48-J136</f>
        <v>20.932592338929098</v>
      </c>
    </row>
    <row r="49" spans="1:17" s="44" customFormat="1" ht="13.5" customHeight="1">
      <c r="B49" s="44" t="s">
        <v>23</v>
      </c>
      <c r="C49" s="191">
        <v>20</v>
      </c>
      <c r="D49" s="194"/>
      <c r="E49" s="193">
        <f>D49+C49</f>
        <v>20</v>
      </c>
      <c r="F49" s="102">
        <f ca="1">F102</f>
        <v>21.426504000000001</v>
      </c>
      <c r="G49" s="102">
        <f t="shared" ref="G49:J49" ca="1" si="5">G102</f>
        <v>23.292171039999999</v>
      </c>
      <c r="H49" s="102">
        <f t="shared" ca="1" si="5"/>
        <v>25.663058278400001</v>
      </c>
      <c r="I49" s="102">
        <f t="shared" ca="1" si="5"/>
        <v>28.589808827264001</v>
      </c>
      <c r="J49" s="102">
        <f t="shared" ca="1" si="5"/>
        <v>32.169244186173444</v>
      </c>
    </row>
    <row r="50" spans="1:17" s="44" customFormat="1" ht="13.5" customHeight="1">
      <c r="B50" s="54" t="s">
        <v>22</v>
      </c>
      <c r="C50" s="105">
        <f>SUM(C44:C49)</f>
        <v>145</v>
      </c>
      <c r="D50" s="195"/>
      <c r="E50" s="196">
        <f>SUM(E44:E49)</f>
        <v>245</v>
      </c>
      <c r="F50" s="105">
        <f ca="1">SUM(F44:F49)</f>
        <v>237.71465791999998</v>
      </c>
      <c r="G50" s="105">
        <f t="shared" ref="G50:J50" ca="1" si="6">SUM(G44:G49)</f>
        <v>231.97307386319997</v>
      </c>
      <c r="H50" s="105">
        <f t="shared" ca="1" si="6"/>
        <v>228.084587179072</v>
      </c>
      <c r="I50" s="105">
        <f t="shared" ca="1" si="6"/>
        <v>231.14564705031552</v>
      </c>
      <c r="J50" s="105">
        <f t="shared" ca="1" si="6"/>
        <v>244.84344875431543</v>
      </c>
    </row>
    <row r="51" spans="1:17" s="62" customFormat="1" ht="13.5" customHeight="1">
      <c r="A51" s="44"/>
      <c r="B51" s="44"/>
      <c r="C51" s="106"/>
      <c r="D51" s="197"/>
      <c r="E51" s="188"/>
      <c r="F51" s="106"/>
      <c r="G51" s="106"/>
      <c r="H51" s="106"/>
      <c r="I51" s="106"/>
      <c r="J51" s="106"/>
      <c r="K51" s="44"/>
      <c r="L51" s="44"/>
      <c r="M51" s="44"/>
      <c r="N51" s="44"/>
      <c r="O51" s="44"/>
      <c r="P51" s="44"/>
      <c r="Q51" s="44"/>
    </row>
    <row r="52" spans="1:17" s="44" customFormat="1" ht="13.5" customHeight="1">
      <c r="B52" s="44" t="s">
        <v>59</v>
      </c>
      <c r="C52" s="186">
        <v>0</v>
      </c>
      <c r="D52" s="197"/>
      <c r="E52" s="188">
        <f>D52+C52</f>
        <v>0</v>
      </c>
      <c r="F52" s="106">
        <f>F112</f>
        <v>0</v>
      </c>
      <c r="G52" s="106">
        <f t="shared" ref="G52:J52" si="7">G112</f>
        <v>0</v>
      </c>
      <c r="H52" s="106">
        <f t="shared" si="7"/>
        <v>0</v>
      </c>
      <c r="I52" s="106">
        <f t="shared" si="7"/>
        <v>0</v>
      </c>
      <c r="J52" s="106">
        <f t="shared" si="7"/>
        <v>0</v>
      </c>
    </row>
    <row r="53" spans="1:17" s="44" customFormat="1" ht="13.5" customHeight="1">
      <c r="B53" s="44" t="s">
        <v>60</v>
      </c>
      <c r="C53" s="191">
        <v>0</v>
      </c>
      <c r="D53" s="194">
        <f>+D9</f>
        <v>0</v>
      </c>
      <c r="E53" s="193">
        <f t="shared" ref="E53:E54" si="8">D53+C53</f>
        <v>0</v>
      </c>
      <c r="F53" s="189">
        <f ca="1">F118</f>
        <v>0</v>
      </c>
      <c r="G53" s="189">
        <f t="shared" ref="G53:J53" ca="1" si="9">G118</f>
        <v>0</v>
      </c>
      <c r="H53" s="189">
        <f t="shared" ca="1" si="9"/>
        <v>0</v>
      </c>
      <c r="I53" s="189">
        <f t="shared" ca="1" si="9"/>
        <v>0</v>
      </c>
      <c r="J53" s="189">
        <f t="shared" ca="1" si="9"/>
        <v>0</v>
      </c>
    </row>
    <row r="54" spans="1:17" s="44" customFormat="1" ht="13.5" customHeight="1">
      <c r="B54" s="44" t="s">
        <v>24</v>
      </c>
      <c r="C54" s="191">
        <v>145</v>
      </c>
      <c r="D54" s="194">
        <f>+H32-J22</f>
        <v>100</v>
      </c>
      <c r="E54" s="193">
        <f t="shared" si="8"/>
        <v>245</v>
      </c>
      <c r="F54" s="102">
        <f ca="1">E54+F90</f>
        <v>237.71465792000001</v>
      </c>
      <c r="G54" s="102">
        <f ca="1">F54+G90</f>
        <v>231.9730738632</v>
      </c>
      <c r="H54" s="102">
        <f ca="1">G54+H90</f>
        <v>228.084587179072</v>
      </c>
      <c r="I54" s="102">
        <f ca="1">H54+I90</f>
        <v>231.14564705031552</v>
      </c>
      <c r="J54" s="102">
        <f ca="1">I54+J90</f>
        <v>244.84344875431543</v>
      </c>
    </row>
    <row r="55" spans="1:17" s="44" customFormat="1" ht="13.5" customHeight="1">
      <c r="B55" s="54" t="s">
        <v>25</v>
      </c>
      <c r="C55" s="105">
        <f>SUM(C52:C54)</f>
        <v>145</v>
      </c>
      <c r="D55" s="195"/>
      <c r="E55" s="198">
        <f>SUM(E52:E54)</f>
        <v>245</v>
      </c>
      <c r="F55" s="105">
        <f ca="1">SUM(F52:F54)</f>
        <v>237.71465792000001</v>
      </c>
      <c r="G55" s="105">
        <f t="shared" ref="G55:J55" ca="1" si="10">SUM(G52:G54)</f>
        <v>231.9730738632</v>
      </c>
      <c r="H55" s="105">
        <f t="shared" ca="1" si="10"/>
        <v>228.084587179072</v>
      </c>
      <c r="I55" s="105">
        <f t="shared" ca="1" si="10"/>
        <v>231.14564705031552</v>
      </c>
      <c r="J55" s="105">
        <f t="shared" ca="1" si="10"/>
        <v>244.84344875431543</v>
      </c>
    </row>
    <row r="56" spans="1:17" s="44" customFormat="1" ht="13.5" customHeight="1">
      <c r="B56" s="80" t="s">
        <v>35</v>
      </c>
      <c r="C56" s="81">
        <f>C50-C55</f>
        <v>0</v>
      </c>
      <c r="D56" s="82"/>
      <c r="E56" s="163">
        <f>E50-E55</f>
        <v>0</v>
      </c>
      <c r="F56" s="81">
        <f ca="1">F50-F55</f>
        <v>0</v>
      </c>
      <c r="G56" s="81">
        <f t="shared" ref="G56:J56" ca="1" si="11">G50-G55</f>
        <v>0</v>
      </c>
      <c r="H56" s="81">
        <f t="shared" ca="1" si="11"/>
        <v>0</v>
      </c>
      <c r="I56" s="81">
        <f t="shared" ca="1" si="11"/>
        <v>0</v>
      </c>
      <c r="J56" s="81">
        <f t="shared" ca="1" si="11"/>
        <v>0</v>
      </c>
    </row>
    <row r="57" spans="1:17" s="44" customFormat="1" ht="13.5" customHeight="1">
      <c r="B57" s="80"/>
      <c r="C57" s="80"/>
      <c r="D57" s="80"/>
      <c r="E57" s="164"/>
      <c r="F57" s="83"/>
      <c r="G57" s="83"/>
      <c r="H57" s="83"/>
      <c r="I57" s="83"/>
      <c r="J57" s="83"/>
    </row>
    <row r="58" spans="1:17" s="62" customFormat="1" ht="13.5" customHeight="1">
      <c r="A58" s="44"/>
      <c r="B58" s="44"/>
      <c r="C58" s="44"/>
      <c r="D58" s="44"/>
      <c r="E58" s="159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1:17" s="62" customFormat="1" ht="13.5" customHeight="1">
      <c r="A59" s="44"/>
      <c r="B59" s="44"/>
      <c r="C59" s="44"/>
      <c r="D59" s="44"/>
      <c r="E59" s="44"/>
      <c r="F59" s="44"/>
      <c r="G59" s="44"/>
      <c r="H59" s="107"/>
      <c r="I59" s="44"/>
      <c r="J59" s="44"/>
      <c r="K59" s="44"/>
      <c r="L59" s="44"/>
      <c r="M59" s="44"/>
      <c r="N59" s="44"/>
      <c r="O59" s="44"/>
      <c r="P59" s="44"/>
      <c r="Q59" s="44"/>
    </row>
    <row r="60" spans="1:17" s="44" customFormat="1" ht="13.5" customHeight="1">
      <c r="B60" s="48" t="s">
        <v>9</v>
      </c>
      <c r="C60" s="73">
        <f>+D60-1</f>
        <v>-2</v>
      </c>
      <c r="D60" s="73">
        <f>+E60-1</f>
        <v>-1</v>
      </c>
      <c r="E60" s="178">
        <v>0</v>
      </c>
      <c r="F60" s="73">
        <v>1</v>
      </c>
      <c r="G60" s="73">
        <f>F60+1</f>
        <v>2</v>
      </c>
      <c r="H60" s="73">
        <f>G60+1</f>
        <v>3</v>
      </c>
      <c r="I60" s="73">
        <f>H60+1</f>
        <v>4</v>
      </c>
      <c r="J60" s="73">
        <f>I60+1</f>
        <v>5</v>
      </c>
    </row>
    <row r="61" spans="1:17" s="44" customFormat="1" ht="13.5" customHeight="1">
      <c r="B61" s="44" t="s">
        <v>10</v>
      </c>
      <c r="C61" s="186">
        <v>19.21</v>
      </c>
      <c r="D61" s="186">
        <v>32.980000000000004</v>
      </c>
      <c r="E61" s="187">
        <v>50.830000000000005</v>
      </c>
      <c r="F61" s="185">
        <f ca="1">'Sensitivities (End)'!F4</f>
        <v>71.325200000000009</v>
      </c>
      <c r="G61" s="185">
        <f ca="1">'Sensitivities (End)'!G4</f>
        <v>93.283351999999994</v>
      </c>
      <c r="H61" s="185">
        <f ca="1">'Sensitivities (End)'!H4</f>
        <v>118.54436191999999</v>
      </c>
      <c r="I61" s="185">
        <f ca="1">'Sensitivities (End)'!I4</f>
        <v>146.33752744319997</v>
      </c>
      <c r="J61" s="185">
        <f ca="1">'Sensitivities (End)'!J4</f>
        <v>178.97176794547195</v>
      </c>
      <c r="K61" s="107"/>
      <c r="M61" s="59"/>
    </row>
    <row r="62" spans="1:17" s="44" customFormat="1" ht="13.5" customHeight="1">
      <c r="B62" s="100" t="s">
        <v>12</v>
      </c>
      <c r="C62" s="179"/>
      <c r="D62" s="179">
        <f t="shared" ref="D62" si="12">D61/C61-1</f>
        <v>0.71681415929203562</v>
      </c>
      <c r="E62" s="180">
        <f>E61/D61-1</f>
        <v>0.54123711340206193</v>
      </c>
      <c r="F62" s="254">
        <f ca="1">F61/E61-1</f>
        <v>0.40321070234113709</v>
      </c>
      <c r="G62" s="254">
        <f t="shared" ref="G62:J62" ca="1" si="13">G61/F61-1</f>
        <v>0.30785966250357499</v>
      </c>
      <c r="H62" s="254">
        <f t="shared" ca="1" si="13"/>
        <v>0.27079869428362735</v>
      </c>
      <c r="I62" s="254">
        <f t="shared" ca="1" si="13"/>
        <v>0.2344537106029243</v>
      </c>
      <c r="J62" s="254">
        <f t="shared" ca="1" si="13"/>
        <v>0.22300664137528736</v>
      </c>
    </row>
    <row r="63" spans="1:17" s="44" customFormat="1" ht="13.5" customHeight="1">
      <c r="B63" s="76"/>
      <c r="C63" s="76"/>
      <c r="D63" s="76"/>
      <c r="E63" s="157"/>
      <c r="F63" s="77"/>
      <c r="G63" s="77"/>
      <c r="H63" s="77"/>
      <c r="I63" s="77"/>
      <c r="J63" s="77"/>
      <c r="K63" s="78"/>
      <c r="L63" s="78"/>
    </row>
    <row r="64" spans="1:17" s="44" customFormat="1" ht="13.5" customHeight="1">
      <c r="B64" s="44" t="s">
        <v>125</v>
      </c>
      <c r="C64" s="186">
        <v>13</v>
      </c>
      <c r="D64" s="186">
        <v>23</v>
      </c>
      <c r="E64" s="187">
        <v>35.799999999999997</v>
      </c>
      <c r="F64" s="103">
        <f ca="1">F65*F$61</f>
        <v>49.927640000000004</v>
      </c>
      <c r="G64" s="103">
        <f t="shared" ref="G64:J64" ca="1" si="14">G65*G$61</f>
        <v>65.298346399999986</v>
      </c>
      <c r="H64" s="103">
        <f t="shared" ca="1" si="14"/>
        <v>82.981053343999989</v>
      </c>
      <c r="I64" s="103">
        <f t="shared" ca="1" si="14"/>
        <v>102.43626921023997</v>
      </c>
      <c r="J64" s="103">
        <f t="shared" ca="1" si="14"/>
        <v>125.28023756183036</v>
      </c>
      <c r="K64" s="78"/>
      <c r="L64" s="78"/>
    </row>
    <row r="65" spans="2:12" s="44" customFormat="1" ht="13.5" customHeight="1">
      <c r="B65" s="100" t="s">
        <v>29</v>
      </c>
      <c r="C65" s="182">
        <f>+C64/C$61</f>
        <v>0.67673086933888593</v>
      </c>
      <c r="D65" s="182">
        <f>+D64/D$61</f>
        <v>0.69739235900545782</v>
      </c>
      <c r="E65" s="183">
        <f>+E64/E$61</f>
        <v>0.70430847924454054</v>
      </c>
      <c r="F65" s="184">
        <v>0.7</v>
      </c>
      <c r="G65" s="184">
        <v>0.7</v>
      </c>
      <c r="H65" s="184">
        <v>0.7</v>
      </c>
      <c r="I65" s="184">
        <v>0.7</v>
      </c>
      <c r="J65" s="184">
        <v>0.7</v>
      </c>
      <c r="K65" s="78"/>
      <c r="L65" s="78"/>
    </row>
    <row r="66" spans="2:12" s="44" customFormat="1" ht="13.5" customHeight="1">
      <c r="B66" s="76"/>
      <c r="C66" s="76"/>
      <c r="D66" s="76"/>
      <c r="E66" s="157"/>
      <c r="F66" s="77"/>
      <c r="G66" s="77"/>
      <c r="H66" s="77"/>
      <c r="I66" s="77"/>
      <c r="J66" s="77"/>
      <c r="K66" s="78"/>
      <c r="L66" s="78"/>
    </row>
    <row r="67" spans="2:12" s="44" customFormat="1" ht="13.5" customHeight="1">
      <c r="B67" s="44" t="s">
        <v>142</v>
      </c>
      <c r="C67" s="186">
        <v>9.56</v>
      </c>
      <c r="D67" s="186">
        <v>15.549999999999999</v>
      </c>
      <c r="E67" s="187">
        <v>20.75</v>
      </c>
      <c r="F67" s="185">
        <f ca="1">'Sensitivities (End)'!F13</f>
        <v>26.34</v>
      </c>
      <c r="G67" s="185">
        <f ca="1">'Sensitivities (End)'!G13</f>
        <v>34.32</v>
      </c>
      <c r="H67" s="185">
        <f ca="1">'Sensitivities (End)'!H13</f>
        <v>39.299999999999997</v>
      </c>
      <c r="I67" s="185">
        <f ca="1">'Sensitivities (End)'!I13</f>
        <v>45.879999999999995</v>
      </c>
      <c r="J67" s="185">
        <f ca="1">'Sensitivities (End)'!J13</f>
        <v>52.46</v>
      </c>
      <c r="L67" s="78"/>
    </row>
    <row r="68" spans="2:12" s="44" customFormat="1" ht="13.5" customHeight="1">
      <c r="B68" s="100" t="s">
        <v>29</v>
      </c>
      <c r="C68" s="179">
        <f t="shared" ref="C68:J68" si="15">+C67/C61</f>
        <v>0.49765747006767308</v>
      </c>
      <c r="D68" s="179">
        <f t="shared" si="15"/>
        <v>0.47149787750151601</v>
      </c>
      <c r="E68" s="180">
        <f t="shared" si="15"/>
        <v>0.40822349006492226</v>
      </c>
      <c r="F68" s="254">
        <f t="shared" ca="1" si="15"/>
        <v>0.36929444291779057</v>
      </c>
      <c r="G68" s="254">
        <f t="shared" ca="1" si="15"/>
        <v>0.36791130747531459</v>
      </c>
      <c r="H68" s="254">
        <f t="shared" ca="1" si="15"/>
        <v>0.33152146051890446</v>
      </c>
      <c r="I68" s="254">
        <f t="shared" ca="1" si="15"/>
        <v>0.31352176575354562</v>
      </c>
      <c r="J68" s="254">
        <f t="shared" ca="1" si="15"/>
        <v>0.2931188566901971</v>
      </c>
      <c r="L68" s="78"/>
    </row>
    <row r="69" spans="2:12" s="44" customFormat="1" ht="13.5" customHeight="1">
      <c r="B69" s="76"/>
      <c r="C69" s="76"/>
      <c r="D69" s="76"/>
      <c r="E69" s="157"/>
      <c r="F69" s="77"/>
      <c r="G69" s="77"/>
      <c r="H69" s="77"/>
      <c r="I69" s="77"/>
      <c r="J69" s="77"/>
      <c r="K69" s="78"/>
      <c r="L69" s="78"/>
    </row>
    <row r="70" spans="2:12" s="44" customFormat="1" ht="13.5" customHeight="1">
      <c r="B70" s="44" t="s">
        <v>143</v>
      </c>
      <c r="C70" s="186">
        <v>10</v>
      </c>
      <c r="D70" s="186">
        <v>15.2</v>
      </c>
      <c r="E70" s="187">
        <v>22.2</v>
      </c>
      <c r="F70" s="103">
        <f ca="1">F71*F$61</f>
        <v>28.530080000000005</v>
      </c>
      <c r="G70" s="103">
        <f t="shared" ref="G70:J70" ca="1" si="16">G71*G$61</f>
        <v>32.649173199999993</v>
      </c>
      <c r="H70" s="103">
        <f t="shared" ca="1" si="16"/>
        <v>41.490526671999994</v>
      </c>
      <c r="I70" s="103">
        <f t="shared" ca="1" si="16"/>
        <v>43.901258232959989</v>
      </c>
      <c r="J70" s="103">
        <f t="shared" ca="1" si="16"/>
        <v>44.742941986367988</v>
      </c>
      <c r="K70" s="78"/>
      <c r="L70" s="78"/>
    </row>
    <row r="71" spans="2:12" s="44" customFormat="1" ht="13.5" customHeight="1">
      <c r="B71" s="100" t="s">
        <v>29</v>
      </c>
      <c r="C71" s="182">
        <f>+C70/C$61</f>
        <v>0.52056220718375845</v>
      </c>
      <c r="D71" s="182">
        <f>+D70/D$61</f>
        <v>0.46088538508186772</v>
      </c>
      <c r="E71" s="183">
        <f>+E70/E$61</f>
        <v>0.43674995081644691</v>
      </c>
      <c r="F71" s="184">
        <v>0.4</v>
      </c>
      <c r="G71" s="184">
        <v>0.35</v>
      </c>
      <c r="H71" s="184">
        <v>0.35</v>
      </c>
      <c r="I71" s="184">
        <v>0.3</v>
      </c>
      <c r="J71" s="184">
        <v>0.25</v>
      </c>
      <c r="K71" s="78"/>
      <c r="L71" s="78"/>
    </row>
    <row r="72" spans="2:12" s="44" customFormat="1" ht="13.5" customHeight="1">
      <c r="E72" s="158"/>
      <c r="F72" s="78"/>
      <c r="G72" s="78"/>
      <c r="H72" s="78"/>
      <c r="I72" s="78"/>
      <c r="J72" s="78"/>
      <c r="K72" s="78"/>
      <c r="L72" s="78"/>
    </row>
    <row r="73" spans="2:12" s="44" customFormat="1" ht="13.5" customHeight="1">
      <c r="B73" s="44" t="s">
        <v>11</v>
      </c>
      <c r="C73" s="103">
        <f t="shared" ref="C73:J73" si="17">+C64-C67-C70</f>
        <v>-6.5600000000000005</v>
      </c>
      <c r="D73" s="103">
        <f t="shared" si="17"/>
        <v>-7.7499999999999982</v>
      </c>
      <c r="E73" s="188">
        <f t="shared" si="17"/>
        <v>-7.1500000000000021</v>
      </c>
      <c r="F73" s="103">
        <f t="shared" ca="1" si="17"/>
        <v>-4.9424400000000013</v>
      </c>
      <c r="G73" s="103">
        <f t="shared" ca="1" si="17"/>
        <v>-1.6708268000000075</v>
      </c>
      <c r="H73" s="103">
        <f t="shared" ca="1" si="17"/>
        <v>2.1905266719999972</v>
      </c>
      <c r="I73" s="103">
        <f t="shared" ca="1" si="17"/>
        <v>12.655010977279986</v>
      </c>
      <c r="J73" s="103">
        <f t="shared" ca="1" si="17"/>
        <v>28.077295575462379</v>
      </c>
      <c r="K73" s="78"/>
      <c r="L73" s="78"/>
    </row>
    <row r="74" spans="2:12" s="44" customFormat="1" ht="13.5" customHeight="1">
      <c r="B74" s="100" t="s">
        <v>29</v>
      </c>
      <c r="C74" s="179">
        <f t="shared" ref="C74:E74" si="18">+C73/C$61</f>
        <v>-0.34148880791254554</v>
      </c>
      <c r="D74" s="179">
        <f t="shared" si="18"/>
        <v>-0.23499090357792593</v>
      </c>
      <c r="E74" s="180">
        <f t="shared" si="18"/>
        <v>-0.14066496163682868</v>
      </c>
      <c r="F74" s="181">
        <f ca="1">+F73/F$61</f>
        <v>-6.9294442917790633E-2</v>
      </c>
      <c r="G74" s="181">
        <f t="shared" ref="G74:J74" ca="1" si="19">+G73/G$61</f>
        <v>-1.7911307475314647E-2</v>
      </c>
      <c r="H74" s="181">
        <f t="shared" ca="1" si="19"/>
        <v>1.847853948109553E-2</v>
      </c>
      <c r="I74" s="181">
        <f t="shared" ca="1" si="19"/>
        <v>8.647823424645433E-2</v>
      </c>
      <c r="J74" s="181">
        <f t="shared" ca="1" si="19"/>
        <v>0.15688114330980293</v>
      </c>
      <c r="K74" s="78"/>
      <c r="L74" s="78"/>
    </row>
    <row r="75" spans="2:12" s="44" customFormat="1" ht="13.5" customHeight="1">
      <c r="E75" s="158"/>
      <c r="F75" s="78"/>
      <c r="G75" s="78"/>
      <c r="H75" s="78"/>
      <c r="I75" s="78"/>
      <c r="J75" s="78"/>
      <c r="K75" s="78"/>
      <c r="L75" s="78"/>
    </row>
    <row r="76" spans="2:12" s="44" customFormat="1" ht="13.5" customHeight="1">
      <c r="B76" s="44" t="s">
        <v>13</v>
      </c>
      <c r="E76" s="156"/>
      <c r="F76" s="103">
        <f ca="1">F77*F$61</f>
        <v>4.2795120000000004</v>
      </c>
      <c r="G76" s="103">
        <f t="shared" ref="G76:J76" ca="1" si="20">G77*G$61</f>
        <v>5.5970011199999998</v>
      </c>
      <c r="H76" s="103">
        <f t="shared" ca="1" si="20"/>
        <v>7.1126617151999989</v>
      </c>
      <c r="I76" s="103">
        <f t="shared" ca="1" si="20"/>
        <v>8.7802516465919975</v>
      </c>
      <c r="J76" s="103">
        <f t="shared" ca="1" si="20"/>
        <v>10.738306076728318</v>
      </c>
      <c r="K76" s="78"/>
      <c r="L76" s="78"/>
    </row>
    <row r="77" spans="2:12" s="44" customFormat="1" ht="13.5" customHeight="1">
      <c r="B77" s="100" t="s">
        <v>29</v>
      </c>
      <c r="C77" s="179"/>
      <c r="D77" s="179"/>
      <c r="E77" s="180"/>
      <c r="F77" s="184">
        <v>0.06</v>
      </c>
      <c r="G77" s="184">
        <v>0.06</v>
      </c>
      <c r="H77" s="184">
        <v>0.06</v>
      </c>
      <c r="I77" s="184">
        <v>0.06</v>
      </c>
      <c r="J77" s="184">
        <v>0.06</v>
      </c>
      <c r="K77" s="78"/>
      <c r="L77" s="78"/>
    </row>
    <row r="78" spans="2:12" s="44" customFormat="1" ht="13.5" customHeight="1">
      <c r="E78" s="158"/>
      <c r="F78" s="78"/>
      <c r="G78" s="78"/>
      <c r="H78" s="78"/>
      <c r="I78" s="78"/>
      <c r="J78" s="78"/>
      <c r="K78" s="78"/>
      <c r="L78" s="78"/>
    </row>
    <row r="79" spans="2:12" s="44" customFormat="1" ht="13.5" customHeight="1">
      <c r="B79" s="44" t="s">
        <v>16</v>
      </c>
      <c r="E79" s="156"/>
      <c r="F79" s="103">
        <f ca="1">F114+F120</f>
        <v>0</v>
      </c>
      <c r="G79" s="103">
        <f t="shared" ref="G79:J79" ca="1" si="21">G114+G120</f>
        <v>0</v>
      </c>
      <c r="H79" s="103">
        <f t="shared" ca="1" si="21"/>
        <v>0</v>
      </c>
      <c r="I79" s="103">
        <f t="shared" ca="1" si="21"/>
        <v>0</v>
      </c>
      <c r="J79" s="103">
        <f t="shared" ca="1" si="21"/>
        <v>0</v>
      </c>
      <c r="K79" s="78"/>
      <c r="L79" s="78"/>
    </row>
    <row r="80" spans="2:12" s="44" customFormat="1" ht="13.5" customHeight="1">
      <c r="E80" s="158"/>
      <c r="F80" s="103"/>
      <c r="G80" s="103"/>
      <c r="H80" s="103"/>
      <c r="I80" s="103"/>
      <c r="J80" s="103"/>
      <c r="K80" s="78"/>
      <c r="L80" s="78"/>
    </row>
    <row r="81" spans="1:17" s="44" customFormat="1" ht="13.5" customHeight="1">
      <c r="B81" s="44" t="s">
        <v>50</v>
      </c>
      <c r="E81" s="156"/>
      <c r="F81" s="103">
        <f>F107</f>
        <v>0</v>
      </c>
      <c r="G81" s="103">
        <f t="shared" ref="G81:J81" si="22">G107</f>
        <v>0</v>
      </c>
      <c r="H81" s="103">
        <f t="shared" si="22"/>
        <v>0</v>
      </c>
      <c r="I81" s="103">
        <f t="shared" si="22"/>
        <v>0</v>
      </c>
      <c r="J81" s="103">
        <f t="shared" si="22"/>
        <v>0</v>
      </c>
      <c r="K81" s="78"/>
      <c r="L81" s="78"/>
    </row>
    <row r="82" spans="1:17" s="44" customFormat="1" ht="13.5" customHeight="1">
      <c r="B82" s="100" t="s">
        <v>29</v>
      </c>
      <c r="C82" s="179"/>
      <c r="D82" s="179"/>
      <c r="E82" s="180"/>
      <c r="F82" s="181">
        <f ca="1">+F81/F$61</f>
        <v>0</v>
      </c>
      <c r="G82" s="181">
        <f t="shared" ref="G82:J82" ca="1" si="23">+G81/G$61</f>
        <v>0</v>
      </c>
      <c r="H82" s="181">
        <f t="shared" ca="1" si="23"/>
        <v>0</v>
      </c>
      <c r="I82" s="181">
        <f t="shared" ca="1" si="23"/>
        <v>0</v>
      </c>
      <c r="J82" s="181">
        <f t="shared" ca="1" si="23"/>
        <v>0</v>
      </c>
      <c r="K82" s="78"/>
      <c r="L82" s="78"/>
    </row>
    <row r="83" spans="1:17" s="44" customFormat="1" ht="13.5" customHeight="1">
      <c r="E83" s="158"/>
      <c r="F83" s="78"/>
      <c r="G83" s="78"/>
      <c r="H83" s="78"/>
      <c r="I83" s="78"/>
      <c r="J83" s="78"/>
      <c r="K83" s="78"/>
      <c r="L83" s="78"/>
    </row>
    <row r="84" spans="1:17" s="44" customFormat="1" ht="13.5" customHeight="1">
      <c r="B84" s="44" t="s">
        <v>15</v>
      </c>
      <c r="E84" s="156"/>
      <c r="F84" s="103">
        <f ca="1">F73-F76-F79-F81</f>
        <v>-9.2219520000000017</v>
      </c>
      <c r="G84" s="103">
        <f t="shared" ref="G84:J84" ca="1" si="24">G73-G76-G79-G81</f>
        <v>-7.2678279200000073</v>
      </c>
      <c r="H84" s="103">
        <f t="shared" ca="1" si="24"/>
        <v>-4.9221350432000017</v>
      </c>
      <c r="I84" s="103">
        <f t="shared" ca="1" si="24"/>
        <v>3.8747593306879882</v>
      </c>
      <c r="J84" s="103">
        <f t="shared" ca="1" si="24"/>
        <v>17.338989498734062</v>
      </c>
      <c r="K84" s="78"/>
      <c r="L84" s="78"/>
    </row>
    <row r="85" spans="1:17" s="44" customFormat="1" ht="13.5" customHeight="1">
      <c r="B85" s="100" t="s">
        <v>29</v>
      </c>
      <c r="C85" s="179"/>
      <c r="D85" s="179"/>
      <c r="E85" s="180"/>
      <c r="F85" s="181">
        <f ca="1">+F84/F$61</f>
        <v>-0.12929444291779063</v>
      </c>
      <c r="G85" s="181">
        <f t="shared" ref="G85:J85" ca="1" si="25">+G84/G$61</f>
        <v>-7.7911307475314648E-2</v>
      </c>
      <c r="H85" s="181">
        <f t="shared" ca="1" si="25"/>
        <v>-4.1521460518904471E-2</v>
      </c>
      <c r="I85" s="181">
        <f t="shared" ca="1" si="25"/>
        <v>2.6478234246454332E-2</v>
      </c>
      <c r="J85" s="181">
        <f t="shared" ca="1" si="25"/>
        <v>9.6881143309802922E-2</v>
      </c>
    </row>
    <row r="86" spans="1:17" s="62" customFormat="1" ht="13.5" customHeight="1">
      <c r="A86" s="44"/>
      <c r="B86" s="44"/>
      <c r="C86" s="44"/>
      <c r="D86" s="44"/>
      <c r="E86" s="159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</row>
    <row r="87" spans="1:17" s="44" customFormat="1" ht="13.5" customHeight="1">
      <c r="B87" s="44" t="s">
        <v>97</v>
      </c>
      <c r="E87" s="160"/>
      <c r="F87" s="106">
        <f ca="1">+F135</f>
        <v>-1.9366099200000002</v>
      </c>
      <c r="G87" s="106">
        <f t="shared" ref="G87:J87" ca="1" si="26">+G135</f>
        <v>-1.5262438632000015</v>
      </c>
      <c r="H87" s="106">
        <f t="shared" ca="1" si="26"/>
        <v>-1.0336483590720003</v>
      </c>
      <c r="I87" s="106">
        <f t="shared" ca="1" si="26"/>
        <v>0.81369945944447752</v>
      </c>
      <c r="J87" s="106">
        <f t="shared" ca="1" si="26"/>
        <v>3.6411877947341527</v>
      </c>
    </row>
    <row r="88" spans="1:17" s="44" customFormat="1" ht="13.5" customHeight="1">
      <c r="B88" s="100" t="s">
        <v>17</v>
      </c>
      <c r="E88" s="160"/>
      <c r="F88" s="254">
        <f>+F137</f>
        <v>0.21</v>
      </c>
      <c r="G88" s="254">
        <f t="shared" ref="G88:J88" si="27">+G137</f>
        <v>0.21</v>
      </c>
      <c r="H88" s="254">
        <f t="shared" si="27"/>
        <v>0.21</v>
      </c>
      <c r="I88" s="254">
        <f t="shared" si="27"/>
        <v>0.21</v>
      </c>
      <c r="J88" s="254">
        <f t="shared" si="27"/>
        <v>0.21</v>
      </c>
    </row>
    <row r="89" spans="1:17" s="44" customFormat="1" ht="13.5" customHeight="1">
      <c r="B89" s="100"/>
      <c r="C89" s="76"/>
      <c r="D89" s="76"/>
      <c r="E89" s="159"/>
      <c r="F89" s="106"/>
      <c r="G89" s="106"/>
      <c r="H89" s="106"/>
      <c r="I89" s="106"/>
      <c r="J89" s="106"/>
    </row>
    <row r="90" spans="1:17" s="44" customFormat="1" ht="13.5" customHeight="1">
      <c r="B90" s="44" t="s">
        <v>14</v>
      </c>
      <c r="E90" s="160"/>
      <c r="F90" s="106">
        <f ca="1">F84-F87</f>
        <v>-7.2853420800000013</v>
      </c>
      <c r="G90" s="106">
        <f t="shared" ref="G90:J90" ca="1" si="28">G84-G87</f>
        <v>-5.7415840568000061</v>
      </c>
      <c r="H90" s="106">
        <f t="shared" ca="1" si="28"/>
        <v>-3.8884866841280017</v>
      </c>
      <c r="I90" s="106">
        <f t="shared" ca="1" si="28"/>
        <v>3.0610598712435104</v>
      </c>
      <c r="J90" s="106">
        <f t="shared" ca="1" si="28"/>
        <v>13.697801703999909</v>
      </c>
    </row>
    <row r="91" spans="1:17" s="44" customFormat="1" ht="13.5" customHeight="1">
      <c r="B91" s="100" t="s">
        <v>29</v>
      </c>
      <c r="C91" s="179"/>
      <c r="D91" s="179"/>
      <c r="E91" s="180"/>
      <c r="F91" s="181">
        <f ca="1">+F90/F$61</f>
        <v>-0.1021426099050546</v>
      </c>
      <c r="G91" s="181">
        <f t="shared" ref="G91:J91" ca="1" si="29">+G90/G$61</f>
        <v>-6.1549932905498574E-2</v>
      </c>
      <c r="H91" s="181">
        <f t="shared" ca="1" si="29"/>
        <v>-3.2801953809934531E-2</v>
      </c>
      <c r="I91" s="181">
        <f t="shared" ca="1" si="29"/>
        <v>2.091780505469892E-2</v>
      </c>
      <c r="J91" s="181">
        <f t="shared" ca="1" si="29"/>
        <v>7.6536103214744314E-2</v>
      </c>
    </row>
    <row r="92" spans="1:17" s="62" customFormat="1" ht="13.5" customHeight="1">
      <c r="A92" s="44"/>
      <c r="B92" s="44"/>
      <c r="C92" s="44"/>
      <c r="D92" s="44"/>
      <c r="E92" s="159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</row>
    <row r="93" spans="1:17" s="62" customFormat="1" ht="13.5" customHeight="1">
      <c r="A93" s="44"/>
      <c r="B93" s="44"/>
      <c r="C93" s="44"/>
      <c r="D93" s="44"/>
      <c r="E93" s="159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</row>
    <row r="94" spans="1:17" s="44" customFormat="1" ht="13.5" customHeight="1">
      <c r="B94" s="48" t="s">
        <v>26</v>
      </c>
      <c r="C94" s="48"/>
      <c r="D94" s="48"/>
      <c r="E94" s="155">
        <v>0</v>
      </c>
      <c r="F94" s="74">
        <v>1</v>
      </c>
      <c r="G94" s="74">
        <f>F94+1</f>
        <v>2</v>
      </c>
      <c r="H94" s="74">
        <f>G94+1</f>
        <v>3</v>
      </c>
      <c r="I94" s="74">
        <f>H94+1</f>
        <v>4</v>
      </c>
      <c r="J94" s="74">
        <f>I94+1</f>
        <v>5</v>
      </c>
    </row>
    <row r="95" spans="1:17" s="44" customFormat="1" ht="13.5" customHeight="1">
      <c r="B95" s="44" t="s">
        <v>33</v>
      </c>
      <c r="E95" s="159"/>
      <c r="F95" s="106">
        <f>E97</f>
        <v>100</v>
      </c>
      <c r="G95" s="106">
        <f t="shared" ref="G95:J95" si="30">F97</f>
        <v>105</v>
      </c>
      <c r="H95" s="106">
        <f t="shared" si="30"/>
        <v>110</v>
      </c>
      <c r="I95" s="106">
        <f t="shared" si="30"/>
        <v>115</v>
      </c>
      <c r="J95" s="106">
        <f t="shared" si="30"/>
        <v>120</v>
      </c>
    </row>
    <row r="96" spans="1:17" s="44" customFormat="1" ht="13.5" customHeight="1">
      <c r="B96" s="96" t="s">
        <v>93</v>
      </c>
      <c r="E96" s="159"/>
      <c r="F96" s="208">
        <v>5</v>
      </c>
      <c r="G96" s="208">
        <v>5</v>
      </c>
      <c r="H96" s="208">
        <v>5</v>
      </c>
      <c r="I96" s="208">
        <v>5</v>
      </c>
      <c r="J96" s="208">
        <v>5</v>
      </c>
      <c r="M96" s="53"/>
    </row>
    <row r="97" spans="1:17" s="44" customFormat="1" ht="13.5" customHeight="1">
      <c r="B97" s="54" t="s">
        <v>34</v>
      </c>
      <c r="C97" s="54"/>
      <c r="D97" s="54"/>
      <c r="E97" s="196">
        <f>E45</f>
        <v>100</v>
      </c>
      <c r="F97" s="105">
        <f>SUM(F95:F96)</f>
        <v>105</v>
      </c>
      <c r="G97" s="105">
        <f t="shared" ref="G97:J97" si="31">SUM(G95:G96)</f>
        <v>110</v>
      </c>
      <c r="H97" s="105">
        <f t="shared" si="31"/>
        <v>115</v>
      </c>
      <c r="I97" s="105">
        <f t="shared" si="31"/>
        <v>120</v>
      </c>
      <c r="J97" s="105">
        <f t="shared" si="31"/>
        <v>125</v>
      </c>
      <c r="M97" s="53"/>
    </row>
    <row r="98" spans="1:17" s="62" customFormat="1" ht="13.5" customHeight="1">
      <c r="A98" s="44"/>
      <c r="B98" s="44"/>
      <c r="C98" s="44"/>
      <c r="D98" s="44"/>
      <c r="E98" s="199"/>
      <c r="F98" s="106"/>
      <c r="G98" s="106"/>
      <c r="H98" s="106"/>
      <c r="I98" s="106"/>
      <c r="J98" s="106"/>
      <c r="K98" s="44"/>
      <c r="L98" s="44"/>
      <c r="M98" s="53"/>
      <c r="N98" s="44"/>
      <c r="O98" s="44"/>
      <c r="P98" s="44"/>
      <c r="Q98" s="44"/>
    </row>
    <row r="99" spans="1:17" s="44" customFormat="1" ht="13.5" customHeight="1">
      <c r="B99" s="44" t="s">
        <v>27</v>
      </c>
      <c r="E99" s="199"/>
      <c r="F99" s="106">
        <f>E102</f>
        <v>20</v>
      </c>
      <c r="G99" s="106">
        <f t="shared" ref="G99:J99" ca="1" si="32">F102</f>
        <v>21.426504000000001</v>
      </c>
      <c r="H99" s="106">
        <f t="shared" ca="1" si="32"/>
        <v>23.292171039999999</v>
      </c>
      <c r="I99" s="106">
        <f t="shared" ca="1" si="32"/>
        <v>25.663058278400001</v>
      </c>
      <c r="J99" s="106">
        <f t="shared" ca="1" si="32"/>
        <v>28.589808827264001</v>
      </c>
      <c r="M99" s="53"/>
    </row>
    <row r="100" spans="1:17" s="44" customFormat="1" ht="13.5" customHeight="1">
      <c r="B100" s="95" t="s">
        <v>87</v>
      </c>
      <c r="E100" s="159"/>
      <c r="F100" s="102">
        <f ca="1">F103*F61</f>
        <v>5.7060160000000009</v>
      </c>
      <c r="G100" s="102">
        <f ca="1">G103*G61</f>
        <v>7.4626681599999998</v>
      </c>
      <c r="H100" s="102">
        <f ca="1">H103*H61</f>
        <v>9.4835489535999997</v>
      </c>
      <c r="I100" s="102">
        <f ca="1">I103*I61</f>
        <v>11.707002195455997</v>
      </c>
      <c r="J100" s="102">
        <f ca="1">J103*J61</f>
        <v>14.317741435637757</v>
      </c>
      <c r="M100" s="53"/>
    </row>
    <row r="101" spans="1:17" s="44" customFormat="1" ht="13.5" customHeight="1">
      <c r="B101" s="95" t="s">
        <v>88</v>
      </c>
      <c r="E101" s="159"/>
      <c r="F101" s="102">
        <f ca="1">F76</f>
        <v>4.2795120000000004</v>
      </c>
      <c r="G101" s="102">
        <f t="shared" ref="G101:J101" ca="1" si="33">G76</f>
        <v>5.5970011199999998</v>
      </c>
      <c r="H101" s="102">
        <f t="shared" ca="1" si="33"/>
        <v>7.1126617151999989</v>
      </c>
      <c r="I101" s="102">
        <f t="shared" ca="1" si="33"/>
        <v>8.7802516465919975</v>
      </c>
      <c r="J101" s="102">
        <f t="shared" ca="1" si="33"/>
        <v>10.738306076728318</v>
      </c>
    </row>
    <row r="102" spans="1:17" s="44" customFormat="1" ht="13.5" customHeight="1">
      <c r="B102" s="54" t="s">
        <v>28</v>
      </c>
      <c r="C102" s="54"/>
      <c r="D102" s="54"/>
      <c r="E102" s="196">
        <f>E49</f>
        <v>20</v>
      </c>
      <c r="F102" s="105">
        <f ca="1">F99+F100-F101</f>
        <v>21.426504000000001</v>
      </c>
      <c r="G102" s="105">
        <f t="shared" ref="G102:J102" ca="1" si="34">G99+G100-G101</f>
        <v>23.292171039999999</v>
      </c>
      <c r="H102" s="105">
        <f t="shared" ca="1" si="34"/>
        <v>25.663058278400001</v>
      </c>
      <c r="I102" s="105">
        <f t="shared" ca="1" si="34"/>
        <v>28.589808827264001</v>
      </c>
      <c r="J102" s="105">
        <f t="shared" ca="1" si="34"/>
        <v>32.169244186173444</v>
      </c>
    </row>
    <row r="103" spans="1:17" s="44" customFormat="1" ht="13.5" customHeight="1">
      <c r="B103" s="76" t="s">
        <v>167</v>
      </c>
      <c r="E103" s="159"/>
      <c r="F103" s="184">
        <v>0.08</v>
      </c>
      <c r="G103" s="184">
        <v>0.08</v>
      </c>
      <c r="H103" s="184">
        <v>0.08</v>
      </c>
      <c r="I103" s="184">
        <v>0.08</v>
      </c>
      <c r="J103" s="184">
        <v>0.08</v>
      </c>
      <c r="M103" s="53"/>
    </row>
    <row r="104" spans="1:17" s="44" customFormat="1" ht="13.5" customHeight="1">
      <c r="B104" s="76" t="s">
        <v>168</v>
      </c>
      <c r="E104" s="159"/>
      <c r="F104" s="254">
        <f>F77</f>
        <v>0.06</v>
      </c>
      <c r="G104" s="254">
        <f>G77</f>
        <v>0.06</v>
      </c>
      <c r="H104" s="254">
        <f>H77</f>
        <v>0.06</v>
      </c>
      <c r="I104" s="254">
        <f>I77</f>
        <v>0.06</v>
      </c>
      <c r="J104" s="254">
        <f>J77</f>
        <v>0.06</v>
      </c>
      <c r="M104" s="53"/>
    </row>
    <row r="105" spans="1:17" s="44" customFormat="1" ht="13.5" customHeight="1">
      <c r="B105" s="59"/>
      <c r="C105" s="59"/>
      <c r="D105" s="59"/>
      <c r="E105" s="229"/>
      <c r="F105" s="201"/>
      <c r="G105" s="201"/>
      <c r="H105" s="201"/>
      <c r="I105" s="201"/>
      <c r="J105" s="201"/>
    </row>
    <row r="106" spans="1:17" s="62" customFormat="1" ht="13.5" customHeight="1">
      <c r="A106" s="44"/>
      <c r="B106" s="44" t="s">
        <v>48</v>
      </c>
      <c r="C106" s="44"/>
      <c r="D106" s="87" t="s">
        <v>169</v>
      </c>
      <c r="E106" s="255" t="s">
        <v>170</v>
      </c>
      <c r="F106" s="106">
        <f>E108</f>
        <v>0</v>
      </c>
      <c r="G106" s="106">
        <f t="shared" ref="G106:J106" si="35">F108</f>
        <v>0</v>
      </c>
      <c r="H106" s="106">
        <f t="shared" si="35"/>
        <v>0</v>
      </c>
      <c r="I106" s="106">
        <f t="shared" si="35"/>
        <v>0</v>
      </c>
      <c r="J106" s="106">
        <f t="shared" si="35"/>
        <v>0</v>
      </c>
      <c r="K106" s="44"/>
      <c r="L106" s="44"/>
      <c r="M106" s="44"/>
      <c r="N106" s="44"/>
      <c r="O106" s="44"/>
      <c r="P106" s="44"/>
      <c r="Q106" s="44"/>
    </row>
    <row r="107" spans="1:17" s="62" customFormat="1" ht="13.5" customHeight="1">
      <c r="A107" s="44"/>
      <c r="B107" s="95" t="s">
        <v>89</v>
      </c>
      <c r="C107" s="44"/>
      <c r="D107" s="101">
        <v>5</v>
      </c>
      <c r="E107" s="256">
        <f>E108/D107</f>
        <v>0</v>
      </c>
      <c r="F107" s="257">
        <f>$E$107</f>
        <v>0</v>
      </c>
      <c r="G107" s="257">
        <f t="shared" ref="G107:J107" si="36">$E$107</f>
        <v>0</v>
      </c>
      <c r="H107" s="257">
        <f t="shared" si="36"/>
        <v>0</v>
      </c>
      <c r="I107" s="257">
        <f t="shared" si="36"/>
        <v>0</v>
      </c>
      <c r="J107" s="257">
        <f t="shared" si="36"/>
        <v>0</v>
      </c>
      <c r="K107" s="44"/>
      <c r="L107" s="44"/>
      <c r="M107" s="44"/>
      <c r="N107" s="44"/>
      <c r="O107" s="44"/>
      <c r="P107" s="44"/>
      <c r="Q107" s="44"/>
    </row>
    <row r="108" spans="1:17" s="62" customFormat="1" ht="13.5" customHeight="1">
      <c r="A108" s="44"/>
      <c r="B108" s="54" t="s">
        <v>49</v>
      </c>
      <c r="C108" s="54"/>
      <c r="D108" s="54"/>
      <c r="E108" s="196">
        <f>E46</f>
        <v>0</v>
      </c>
      <c r="F108" s="105">
        <f>F106-F107</f>
        <v>0</v>
      </c>
      <c r="G108" s="105">
        <f t="shared" ref="G108:J108" si="37">G106-G107</f>
        <v>0</v>
      </c>
      <c r="H108" s="105">
        <f t="shared" si="37"/>
        <v>0</v>
      </c>
      <c r="I108" s="105">
        <f t="shared" si="37"/>
        <v>0</v>
      </c>
      <c r="J108" s="105">
        <f t="shared" si="37"/>
        <v>0</v>
      </c>
      <c r="K108" s="44"/>
      <c r="L108" s="44"/>
      <c r="M108" s="44"/>
      <c r="N108" s="44"/>
      <c r="O108" s="44"/>
      <c r="P108" s="44"/>
      <c r="Q108" s="44"/>
    </row>
    <row r="109" spans="1:17" s="62" customFormat="1" ht="13.5" customHeight="1">
      <c r="A109" s="44"/>
      <c r="B109" s="44"/>
      <c r="C109" s="44"/>
      <c r="D109" s="44"/>
      <c r="E109" s="159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</row>
    <row r="110" spans="1:17" s="44" customFormat="1" ht="13.5" customHeight="1">
      <c r="B110" s="44" t="s">
        <v>165</v>
      </c>
      <c r="E110" s="159"/>
      <c r="F110" s="106">
        <f>E112</f>
        <v>0</v>
      </c>
      <c r="G110" s="106">
        <f t="shared" ref="G110:J110" si="38">F112</f>
        <v>0</v>
      </c>
      <c r="H110" s="106">
        <f t="shared" si="38"/>
        <v>0</v>
      </c>
      <c r="I110" s="106">
        <f t="shared" si="38"/>
        <v>0</v>
      </c>
      <c r="J110" s="106">
        <f t="shared" si="38"/>
        <v>0</v>
      </c>
    </row>
    <row r="111" spans="1:17" s="44" customFormat="1" ht="13.5" customHeight="1">
      <c r="B111" s="95" t="s">
        <v>90</v>
      </c>
      <c r="E111" s="159"/>
      <c r="F111" s="191">
        <v>0</v>
      </c>
      <c r="G111" s="191">
        <v>0</v>
      </c>
      <c r="H111" s="191">
        <v>0</v>
      </c>
      <c r="I111" s="191">
        <v>0</v>
      </c>
      <c r="J111" s="191">
        <v>0</v>
      </c>
    </row>
    <row r="112" spans="1:17" s="44" customFormat="1" ht="13.5" customHeight="1">
      <c r="B112" s="54" t="s">
        <v>166</v>
      </c>
      <c r="C112" s="54"/>
      <c r="D112" s="54"/>
      <c r="E112" s="196">
        <f>E52</f>
        <v>0</v>
      </c>
      <c r="F112" s="105">
        <f>F111+F110</f>
        <v>0</v>
      </c>
      <c r="G112" s="105">
        <f t="shared" ref="G112:J112" si="39">G111+G110</f>
        <v>0</v>
      </c>
      <c r="H112" s="105">
        <f t="shared" si="39"/>
        <v>0</v>
      </c>
      <c r="I112" s="105">
        <f t="shared" si="39"/>
        <v>0</v>
      </c>
      <c r="J112" s="105">
        <f t="shared" si="39"/>
        <v>0</v>
      </c>
    </row>
    <row r="113" spans="1:17" s="44" customFormat="1" ht="13.5" customHeight="1">
      <c r="B113" s="95" t="s">
        <v>164</v>
      </c>
      <c r="E113" s="165"/>
      <c r="F113" s="86">
        <v>0.05</v>
      </c>
      <c r="G113" s="86">
        <v>0.05</v>
      </c>
      <c r="H113" s="86">
        <v>0.05</v>
      </c>
      <c r="I113" s="86">
        <v>0.05</v>
      </c>
      <c r="J113" s="86">
        <v>0.05</v>
      </c>
    </row>
    <row r="114" spans="1:17" s="44" customFormat="1" ht="13.5" customHeight="1">
      <c r="B114" s="54" t="s">
        <v>16</v>
      </c>
      <c r="C114" s="54"/>
      <c r="D114" s="54"/>
      <c r="E114" s="196"/>
      <c r="F114" s="105">
        <f>AVERAGE(E112:F112)*F113</f>
        <v>0</v>
      </c>
      <c r="G114" s="105">
        <f t="shared" ref="G114:J114" si="40">AVERAGE(F112:G112)*G113</f>
        <v>0</v>
      </c>
      <c r="H114" s="105">
        <f t="shared" si="40"/>
        <v>0</v>
      </c>
      <c r="I114" s="105">
        <f t="shared" si="40"/>
        <v>0</v>
      </c>
      <c r="J114" s="105">
        <f t="shared" si="40"/>
        <v>0</v>
      </c>
    </row>
    <row r="115" spans="1:17" s="62" customFormat="1" ht="13.5" customHeight="1">
      <c r="A115" s="44"/>
      <c r="B115" s="44"/>
      <c r="C115" s="44"/>
      <c r="D115" s="44"/>
      <c r="E115" s="159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</row>
    <row r="116" spans="1:17" s="44" customFormat="1" ht="13.5" customHeight="1">
      <c r="B116" s="44" t="s">
        <v>162</v>
      </c>
      <c r="E116" s="159"/>
      <c r="F116" s="106">
        <f>E118</f>
        <v>0</v>
      </c>
      <c r="G116" s="106">
        <f t="shared" ref="G116:J116" ca="1" si="41">F118</f>
        <v>0</v>
      </c>
      <c r="H116" s="106">
        <f t="shared" ca="1" si="41"/>
        <v>0</v>
      </c>
      <c r="I116" s="106">
        <f t="shared" ca="1" si="41"/>
        <v>0</v>
      </c>
      <c r="J116" s="106">
        <f t="shared" ca="1" si="41"/>
        <v>0</v>
      </c>
    </row>
    <row r="117" spans="1:17" s="44" customFormat="1" ht="13.5" customHeight="1">
      <c r="B117" s="95" t="s">
        <v>90</v>
      </c>
      <c r="E117" s="159"/>
      <c r="F117" s="102">
        <f ca="1">-MIN(F116, F147+E44-F122)</f>
        <v>0</v>
      </c>
      <c r="G117" s="102">
        <f ca="1">-MIN(G116, G147+F44-G122)</f>
        <v>0</v>
      </c>
      <c r="H117" s="102">
        <f ca="1">-MIN(H116, H147+G44-H122)</f>
        <v>0</v>
      </c>
      <c r="I117" s="102">
        <f ca="1">-MIN(I116, I147+H44-I122)</f>
        <v>0</v>
      </c>
      <c r="J117" s="102">
        <f ca="1">-MIN(J116, J147+I44-J122)</f>
        <v>0</v>
      </c>
    </row>
    <row r="118" spans="1:17" s="44" customFormat="1" ht="13.5" customHeight="1">
      <c r="B118" s="54" t="s">
        <v>163</v>
      </c>
      <c r="C118" s="54"/>
      <c r="D118" s="54"/>
      <c r="E118" s="196">
        <f>E53</f>
        <v>0</v>
      </c>
      <c r="F118" s="105">
        <f ca="1">SUM(F116:F117)</f>
        <v>0</v>
      </c>
      <c r="G118" s="105">
        <f t="shared" ref="G118:J118" ca="1" si="42">SUM(G116:G117)</f>
        <v>0</v>
      </c>
      <c r="H118" s="105">
        <f t="shared" ca="1" si="42"/>
        <v>0</v>
      </c>
      <c r="I118" s="105">
        <f t="shared" ca="1" si="42"/>
        <v>0</v>
      </c>
      <c r="J118" s="105">
        <f t="shared" ca="1" si="42"/>
        <v>0</v>
      </c>
    </row>
    <row r="119" spans="1:17" s="44" customFormat="1" ht="13.5" customHeight="1">
      <c r="B119" s="95" t="s">
        <v>164</v>
      </c>
      <c r="E119" s="165"/>
      <c r="F119" s="86">
        <v>0.08</v>
      </c>
      <c r="G119" s="86">
        <v>0.08</v>
      </c>
      <c r="H119" s="86">
        <v>0.08</v>
      </c>
      <c r="I119" s="86">
        <v>0.08</v>
      </c>
      <c r="J119" s="86">
        <v>0.08</v>
      </c>
    </row>
    <row r="120" spans="1:17" s="44" customFormat="1" ht="13.5" customHeight="1">
      <c r="B120" s="54" t="s">
        <v>16</v>
      </c>
      <c r="C120" s="54"/>
      <c r="D120" s="54"/>
      <c r="E120" s="196"/>
      <c r="F120" s="105">
        <f ca="1">AVERAGE(E118:F118)*F119</f>
        <v>0</v>
      </c>
      <c r="G120" s="105">
        <f t="shared" ref="G120:J120" ca="1" si="43">AVERAGE(F118:G118)*G119</f>
        <v>0</v>
      </c>
      <c r="H120" s="105">
        <f t="shared" ca="1" si="43"/>
        <v>0</v>
      </c>
      <c r="I120" s="105">
        <f t="shared" ca="1" si="43"/>
        <v>0</v>
      </c>
      <c r="J120" s="105">
        <f t="shared" ca="1" si="43"/>
        <v>0</v>
      </c>
    </row>
    <row r="121" spans="1:17" s="44" customFormat="1" ht="13.5" customHeight="1">
      <c r="B121" s="59"/>
      <c r="C121" s="59"/>
      <c r="D121" s="59"/>
      <c r="E121" s="229"/>
      <c r="F121" s="201"/>
      <c r="G121" s="201"/>
      <c r="H121" s="201"/>
      <c r="I121" s="201"/>
      <c r="J121" s="201"/>
    </row>
    <row r="122" spans="1:17" s="44" customFormat="1" ht="13.5" customHeight="1">
      <c r="B122" s="207" t="s">
        <v>137</v>
      </c>
      <c r="E122" s="159"/>
      <c r="F122" s="258">
        <v>5</v>
      </c>
      <c r="G122" s="258">
        <v>5</v>
      </c>
      <c r="H122" s="258">
        <v>5</v>
      </c>
      <c r="I122" s="258">
        <v>5</v>
      </c>
      <c r="J122" s="258">
        <v>5</v>
      </c>
    </row>
    <row r="123" spans="1:17" s="44" customFormat="1" ht="13.5" customHeight="1">
      <c r="E123" s="165"/>
      <c r="F123" s="84"/>
      <c r="G123" s="84"/>
      <c r="H123" s="84"/>
      <c r="I123" s="84"/>
      <c r="J123" s="84"/>
    </row>
    <row r="124" spans="1:17" s="44" customFormat="1" ht="13.5" customHeight="1">
      <c r="E124" s="165"/>
      <c r="F124" s="84"/>
      <c r="G124" s="84"/>
      <c r="H124" s="84"/>
      <c r="I124" s="84"/>
      <c r="J124" s="84"/>
    </row>
    <row r="125" spans="1:17" s="44" customFormat="1" ht="13.5" customHeight="1">
      <c r="B125" s="44" t="s">
        <v>15</v>
      </c>
      <c r="E125" s="165"/>
      <c r="F125" s="106">
        <f ca="1">+F84</f>
        <v>-9.2219520000000017</v>
      </c>
      <c r="G125" s="106">
        <f t="shared" ref="G125:J125" ca="1" si="44">+G84</f>
        <v>-7.2678279200000073</v>
      </c>
      <c r="H125" s="106">
        <f t="shared" ca="1" si="44"/>
        <v>-4.9221350432000017</v>
      </c>
      <c r="I125" s="106">
        <f t="shared" ca="1" si="44"/>
        <v>3.8747593306879882</v>
      </c>
      <c r="J125" s="106">
        <f t="shared" ca="1" si="44"/>
        <v>17.338989498734062</v>
      </c>
    </row>
    <row r="126" spans="1:17" s="44" customFormat="1" ht="13.5" customHeight="1">
      <c r="B126" s="95" t="s">
        <v>246</v>
      </c>
      <c r="E126" s="165"/>
      <c r="F126" s="102">
        <f ca="1">+F132</f>
        <v>0</v>
      </c>
      <c r="G126" s="102">
        <f t="shared" ref="G126:J126" ca="1" si="45">+G132</f>
        <v>0</v>
      </c>
      <c r="H126" s="102">
        <f t="shared" ca="1" si="45"/>
        <v>0</v>
      </c>
      <c r="I126" s="102">
        <f t="shared" ca="1" si="45"/>
        <v>-3.0998074645503908</v>
      </c>
      <c r="J126" s="102">
        <f t="shared" ca="1" si="45"/>
        <v>-13.871191598987251</v>
      </c>
    </row>
    <row r="127" spans="1:17" s="44" customFormat="1" ht="13.5" customHeight="1">
      <c r="B127" s="54" t="s">
        <v>96</v>
      </c>
      <c r="C127" s="54"/>
      <c r="D127" s="54"/>
      <c r="E127" s="196"/>
      <c r="F127" s="105">
        <f ca="1">SUM(F125:F126)</f>
        <v>-9.2219520000000017</v>
      </c>
      <c r="G127" s="105">
        <f t="shared" ref="G127:J127" ca="1" si="46">SUM(G125:G126)</f>
        <v>-7.2678279200000073</v>
      </c>
      <c r="H127" s="105">
        <f t="shared" ca="1" si="46"/>
        <v>-4.9221350432000017</v>
      </c>
      <c r="I127" s="105">
        <f t="shared" ca="1" si="46"/>
        <v>0.77495186613759737</v>
      </c>
      <c r="J127" s="105">
        <f t="shared" ca="1" si="46"/>
        <v>3.4677978997468113</v>
      </c>
    </row>
    <row r="128" spans="1:17" s="44" customFormat="1" ht="13.5" customHeight="1">
      <c r="B128" s="80" t="s">
        <v>247</v>
      </c>
      <c r="E128" s="165"/>
      <c r="F128" s="302">
        <f ca="1">+F125*80%</f>
        <v>-7.3775616000000017</v>
      </c>
      <c r="G128" s="302">
        <f t="shared" ref="G128:J128" ca="1" si="47">+G125*80%</f>
        <v>-5.8142623360000059</v>
      </c>
      <c r="H128" s="302">
        <f t="shared" ca="1" si="47"/>
        <v>-3.9377080345600017</v>
      </c>
      <c r="I128" s="302">
        <f t="shared" ca="1" si="47"/>
        <v>3.0998074645503908</v>
      </c>
      <c r="J128" s="302">
        <f t="shared" ca="1" si="47"/>
        <v>13.871191598987251</v>
      </c>
    </row>
    <row r="129" spans="2:13" s="44" customFormat="1" ht="13.5" customHeight="1">
      <c r="E129" s="165"/>
      <c r="F129" s="84"/>
      <c r="G129" s="84"/>
      <c r="H129" s="84"/>
      <c r="I129" s="84"/>
      <c r="J129" s="84"/>
    </row>
    <row r="130" spans="2:13" s="44" customFormat="1" ht="13.5" customHeight="1">
      <c r="B130" s="44" t="s">
        <v>91</v>
      </c>
      <c r="E130" s="165"/>
      <c r="F130" s="106">
        <f>+E133</f>
        <v>50</v>
      </c>
      <c r="G130" s="106">
        <f t="shared" ref="G130:J130" ca="1" si="48">+F133</f>
        <v>59.221952000000002</v>
      </c>
      <c r="H130" s="106">
        <f t="shared" ca="1" si="48"/>
        <v>66.489779920000004</v>
      </c>
      <c r="I130" s="106">
        <f t="shared" ca="1" si="48"/>
        <v>71.411914963200005</v>
      </c>
      <c r="J130" s="106">
        <f t="shared" ca="1" si="48"/>
        <v>68.31210749864961</v>
      </c>
    </row>
    <row r="131" spans="2:13" s="44" customFormat="1" ht="13.5" customHeight="1">
      <c r="B131" s="95" t="s">
        <v>248</v>
      </c>
      <c r="E131" s="165"/>
      <c r="F131" s="102">
        <f ca="1">IF(F125&gt;0, 0, -F125)</f>
        <v>9.2219520000000017</v>
      </c>
      <c r="G131" s="102">
        <f t="shared" ref="G131:J131" ca="1" si="49">IF(G125&gt;0, 0, -G125)</f>
        <v>7.2678279200000073</v>
      </c>
      <c r="H131" s="102">
        <f t="shared" ca="1" si="49"/>
        <v>4.9221350432000017</v>
      </c>
      <c r="I131" s="102">
        <f t="shared" ca="1" si="49"/>
        <v>0</v>
      </c>
      <c r="J131" s="102">
        <f t="shared" ca="1" si="49"/>
        <v>0</v>
      </c>
    </row>
    <row r="132" spans="2:13" s="44" customFormat="1" ht="13.5" customHeight="1">
      <c r="B132" s="95" t="s">
        <v>249</v>
      </c>
      <c r="E132" s="165"/>
      <c r="F132" s="102">
        <f ca="1">IF(F125&lt;0, 0, -MIN(F128, SUM(F130:F131)))</f>
        <v>0</v>
      </c>
      <c r="G132" s="102">
        <f t="shared" ref="G132:J132" ca="1" si="50">IF(G125&lt;0, 0, -MIN(G128, SUM(G130:G131)))</f>
        <v>0</v>
      </c>
      <c r="H132" s="102">
        <f t="shared" ca="1" si="50"/>
        <v>0</v>
      </c>
      <c r="I132" s="102">
        <f t="shared" ca="1" si="50"/>
        <v>-3.0998074645503908</v>
      </c>
      <c r="J132" s="102">
        <f t="shared" ca="1" si="50"/>
        <v>-13.871191598987251</v>
      </c>
    </row>
    <row r="133" spans="2:13" s="44" customFormat="1" ht="13.5" customHeight="1">
      <c r="B133" s="54" t="s">
        <v>92</v>
      </c>
      <c r="C133" s="54"/>
      <c r="D133" s="54"/>
      <c r="E133" s="210">
        <v>50</v>
      </c>
      <c r="F133" s="105">
        <f ca="1">SUM(F130:F132)</f>
        <v>59.221952000000002</v>
      </c>
      <c r="G133" s="105">
        <f t="shared" ref="G133:J133" ca="1" si="51">SUM(G130:G132)</f>
        <v>66.489779920000004</v>
      </c>
      <c r="H133" s="105">
        <f t="shared" ca="1" si="51"/>
        <v>71.411914963200005</v>
      </c>
      <c r="I133" s="105">
        <f t="shared" ca="1" si="51"/>
        <v>68.31210749864961</v>
      </c>
      <c r="J133" s="105">
        <f t="shared" ca="1" si="51"/>
        <v>54.440915899662357</v>
      </c>
    </row>
    <row r="134" spans="2:13" s="44" customFormat="1" ht="13.5" customHeight="1">
      <c r="E134" s="165"/>
      <c r="F134" s="84"/>
      <c r="G134" s="84"/>
      <c r="H134" s="84"/>
      <c r="I134" s="84"/>
      <c r="J134" s="84"/>
    </row>
    <row r="135" spans="2:13" s="44" customFormat="1" ht="13.5" customHeight="1">
      <c r="B135" s="44" t="s">
        <v>97</v>
      </c>
      <c r="E135" s="165"/>
      <c r="F135" s="106">
        <f ca="1">+F125*F137</f>
        <v>-1.9366099200000002</v>
      </c>
      <c r="G135" s="106">
        <f ca="1">+G125*G137</f>
        <v>-1.5262438632000015</v>
      </c>
      <c r="H135" s="106">
        <f ca="1">+H125*H137</f>
        <v>-1.0336483590720003</v>
      </c>
      <c r="I135" s="106">
        <f ca="1">+I125*I137</f>
        <v>0.81369945944447752</v>
      </c>
      <c r="J135" s="106">
        <f ca="1">+J125*J137</f>
        <v>3.6411877947341527</v>
      </c>
    </row>
    <row r="136" spans="2:13" s="44" customFormat="1" ht="13.5" customHeight="1">
      <c r="B136" s="59" t="s">
        <v>322</v>
      </c>
      <c r="C136" s="59"/>
      <c r="D136" s="59"/>
      <c r="E136" s="229"/>
      <c r="F136" s="201">
        <f ca="1">-SUM(F131:F132)*F137</f>
        <v>-1.9366099200000002</v>
      </c>
      <c r="G136" s="201">
        <f t="shared" ref="G136:J136" ca="1" si="52">-SUM(G131:G132)*G137</f>
        <v>-1.5262438632000015</v>
      </c>
      <c r="H136" s="201">
        <f t="shared" ca="1" si="52"/>
        <v>-1.0336483590720003</v>
      </c>
      <c r="I136" s="201">
        <f t="shared" ca="1" si="52"/>
        <v>0.65095956755558204</v>
      </c>
      <c r="J136" s="201">
        <f t="shared" ca="1" si="52"/>
        <v>2.9129502357873225</v>
      </c>
    </row>
    <row r="137" spans="2:13" s="44" customFormat="1" ht="13.5" customHeight="1">
      <c r="B137" s="80" t="s">
        <v>94</v>
      </c>
      <c r="E137" s="165"/>
      <c r="F137" s="184">
        <v>0.21</v>
      </c>
      <c r="G137" s="184">
        <v>0.21</v>
      </c>
      <c r="H137" s="184">
        <v>0.21</v>
      </c>
      <c r="I137" s="184">
        <v>0.21</v>
      </c>
      <c r="J137" s="184">
        <v>0.21</v>
      </c>
    </row>
    <row r="138" spans="2:13" s="44" customFormat="1" ht="13.5" customHeight="1">
      <c r="B138" s="59"/>
      <c r="C138" s="59"/>
      <c r="D138" s="59"/>
      <c r="E138" s="229"/>
      <c r="F138" s="201"/>
      <c r="G138" s="201"/>
      <c r="H138" s="201"/>
      <c r="I138" s="201"/>
      <c r="J138" s="201"/>
    </row>
    <row r="139" spans="2:13" s="44" customFormat="1" ht="13.5" customHeight="1">
      <c r="E139" s="165"/>
      <c r="F139" s="84"/>
      <c r="G139" s="84"/>
      <c r="H139" s="84"/>
      <c r="I139" s="84"/>
      <c r="J139" s="84"/>
    </row>
    <row r="140" spans="2:13" s="44" customFormat="1" ht="13.5" customHeight="1">
      <c r="B140" s="48" t="s">
        <v>18</v>
      </c>
      <c r="C140" s="48"/>
      <c r="D140" s="48"/>
      <c r="E140" s="155"/>
      <c r="F140" s="74">
        <v>1</v>
      </c>
      <c r="G140" s="74">
        <f>F140+1</f>
        <v>2</v>
      </c>
      <c r="H140" s="74">
        <f>G140+1</f>
        <v>3</v>
      </c>
      <c r="I140" s="74">
        <f>H140+1</f>
        <v>4</v>
      </c>
      <c r="J140" s="74">
        <f>I140+1</f>
        <v>5</v>
      </c>
    </row>
    <row r="141" spans="2:13" s="44" customFormat="1" ht="13.5" customHeight="1">
      <c r="B141" s="44" t="s">
        <v>14</v>
      </c>
      <c r="E141" s="160"/>
      <c r="F141" s="106">
        <f ca="1">F90</f>
        <v>-7.2853420800000013</v>
      </c>
      <c r="G141" s="106">
        <f ca="1">G90</f>
        <v>-5.7415840568000061</v>
      </c>
      <c r="H141" s="106">
        <f ca="1">H90</f>
        <v>-3.8884866841280017</v>
      </c>
      <c r="I141" s="106">
        <f ca="1">I90</f>
        <v>3.0610598712435104</v>
      </c>
      <c r="J141" s="106">
        <f ca="1">J90</f>
        <v>13.697801703999909</v>
      </c>
    </row>
    <row r="142" spans="2:13" s="44" customFormat="1" ht="13.5" customHeight="1">
      <c r="B142" s="95" t="s">
        <v>82</v>
      </c>
      <c r="E142" s="159"/>
      <c r="F142" s="102">
        <f ca="1">F76</f>
        <v>4.2795120000000004</v>
      </c>
      <c r="G142" s="102">
        <f ca="1">G76</f>
        <v>5.5970011199999998</v>
      </c>
      <c r="H142" s="102">
        <f ca="1">H76</f>
        <v>7.1126617151999989</v>
      </c>
      <c r="I142" s="102">
        <f ca="1">I76</f>
        <v>8.7802516465919975</v>
      </c>
      <c r="J142" s="102">
        <f ca="1">J76</f>
        <v>10.738306076728318</v>
      </c>
      <c r="M142" s="59"/>
    </row>
    <row r="143" spans="2:13" s="44" customFormat="1" ht="13.5" customHeight="1">
      <c r="B143" s="95" t="s">
        <v>83</v>
      </c>
      <c r="E143" s="159"/>
      <c r="F143" s="102">
        <f>F107</f>
        <v>0</v>
      </c>
      <c r="G143" s="102">
        <f>G107</f>
        <v>0</v>
      </c>
      <c r="H143" s="102">
        <f>H107</f>
        <v>0</v>
      </c>
      <c r="I143" s="102">
        <f>I107</f>
        <v>0</v>
      </c>
      <c r="J143" s="102">
        <f>J107</f>
        <v>0</v>
      </c>
      <c r="M143" s="59"/>
    </row>
    <row r="144" spans="2:13" s="44" customFormat="1" ht="13.5" customHeight="1">
      <c r="B144" s="95" t="s">
        <v>84</v>
      </c>
      <c r="E144" s="159"/>
      <c r="F144" s="189">
        <f ca="1">F100</f>
        <v>5.7060160000000009</v>
      </c>
      <c r="G144" s="189">
        <f ca="1">G100</f>
        <v>7.4626681599999998</v>
      </c>
      <c r="H144" s="189">
        <f ca="1">H100</f>
        <v>9.4835489535999997</v>
      </c>
      <c r="I144" s="189">
        <f ca="1">I100</f>
        <v>11.707002195455997</v>
      </c>
      <c r="J144" s="189">
        <f ca="1">J100</f>
        <v>14.317741435637757</v>
      </c>
    </row>
    <row r="145" spans="2:10" s="44" customFormat="1" ht="13.5" customHeight="1">
      <c r="B145" s="95" t="s">
        <v>85</v>
      </c>
      <c r="E145" s="159"/>
      <c r="F145" s="189">
        <f>F96</f>
        <v>5</v>
      </c>
      <c r="G145" s="189">
        <f>G96</f>
        <v>5</v>
      </c>
      <c r="H145" s="189">
        <f>H96</f>
        <v>5</v>
      </c>
      <c r="I145" s="189">
        <f>I96</f>
        <v>5</v>
      </c>
      <c r="J145" s="189">
        <f>J96</f>
        <v>5</v>
      </c>
    </row>
    <row r="146" spans="2:10" s="44" customFormat="1" ht="13.5" customHeight="1">
      <c r="B146" s="95" t="s">
        <v>250</v>
      </c>
      <c r="E146" s="159"/>
      <c r="F146" s="189">
        <f ca="1">F136</f>
        <v>-1.9366099200000002</v>
      </c>
      <c r="G146" s="189">
        <f t="shared" ref="G146:J146" ca="1" si="53">G136</f>
        <v>-1.5262438632000015</v>
      </c>
      <c r="H146" s="189">
        <f t="shared" ca="1" si="53"/>
        <v>-1.0336483590720003</v>
      </c>
      <c r="I146" s="189">
        <f t="shared" ca="1" si="53"/>
        <v>0.65095956755558204</v>
      </c>
      <c r="J146" s="189">
        <f t="shared" ca="1" si="53"/>
        <v>2.9129502357873225</v>
      </c>
    </row>
    <row r="147" spans="2:10" s="44" customFormat="1" ht="13.5" customHeight="1">
      <c r="B147" s="54" t="s">
        <v>30</v>
      </c>
      <c r="C147" s="54"/>
      <c r="D147" s="54"/>
      <c r="E147" s="161"/>
      <c r="F147" s="105">
        <f ca="1">F141+F142+F143-F144-F145+F146</f>
        <v>-15.648456000000001</v>
      </c>
      <c r="G147" s="105">
        <f t="shared" ref="G147:J147" ca="1" si="54">G141+G142+G143-G144-G145+G146</f>
        <v>-14.133494960000007</v>
      </c>
      <c r="H147" s="105">
        <f t="shared" ca="1" si="54"/>
        <v>-12.293022281600003</v>
      </c>
      <c r="I147" s="105">
        <f t="shared" ca="1" si="54"/>
        <v>-4.2147311100649079</v>
      </c>
      <c r="J147" s="105">
        <f t="shared" ca="1" si="54"/>
        <v>8.0313165808777942</v>
      </c>
    </row>
    <row r="148" spans="2:10" s="44" customFormat="1" ht="13.5" customHeight="1">
      <c r="E148" s="159"/>
      <c r="F148" s="106"/>
      <c r="G148" s="106"/>
      <c r="H148" s="106"/>
      <c r="I148" s="106"/>
      <c r="J148" s="106"/>
    </row>
    <row r="149" spans="2:10" s="44" customFormat="1" ht="13.5" customHeight="1">
      <c r="B149" s="95" t="s">
        <v>86</v>
      </c>
      <c r="E149" s="159"/>
      <c r="F149" s="106">
        <f ca="1">F117+F111</f>
        <v>0</v>
      </c>
      <c r="G149" s="106">
        <f ca="1">G117+G111</f>
        <v>0</v>
      </c>
      <c r="H149" s="106">
        <f ca="1">H117+H111</f>
        <v>0</v>
      </c>
      <c r="I149" s="106">
        <f ca="1">I117+I111</f>
        <v>0</v>
      </c>
      <c r="J149" s="106">
        <f ca="1">J117+J111</f>
        <v>0</v>
      </c>
    </row>
    <row r="150" spans="2:10" s="44" customFormat="1" ht="13.5" customHeight="1">
      <c r="B150" s="54" t="s">
        <v>31</v>
      </c>
      <c r="C150" s="54"/>
      <c r="D150" s="54"/>
      <c r="E150" s="161"/>
      <c r="F150" s="105">
        <f ca="1">F149</f>
        <v>0</v>
      </c>
      <c r="G150" s="105">
        <f t="shared" ref="G150:J150" ca="1" si="55">G149</f>
        <v>0</v>
      </c>
      <c r="H150" s="105">
        <f t="shared" ca="1" si="55"/>
        <v>0</v>
      </c>
      <c r="I150" s="105">
        <f t="shared" ca="1" si="55"/>
        <v>0</v>
      </c>
      <c r="J150" s="105">
        <f t="shared" ca="1" si="55"/>
        <v>0</v>
      </c>
    </row>
    <row r="151" spans="2:10" s="44" customFormat="1" ht="13.5" customHeight="1">
      <c r="E151" s="159"/>
      <c r="F151" s="106"/>
      <c r="G151" s="106"/>
      <c r="H151" s="106"/>
      <c r="I151" s="106"/>
      <c r="J151" s="106"/>
    </row>
    <row r="152" spans="2:10" s="44" customFormat="1" ht="13.5" customHeight="1">
      <c r="B152" s="59" t="s">
        <v>32</v>
      </c>
      <c r="E152" s="159"/>
      <c r="F152" s="201">
        <f ca="1">F150+F147</f>
        <v>-15.648456000000001</v>
      </c>
      <c r="G152" s="201">
        <f t="shared" ref="G152:J152" ca="1" si="56">G150+G147</f>
        <v>-14.133494960000007</v>
      </c>
      <c r="H152" s="201">
        <f t="shared" ca="1" si="56"/>
        <v>-12.293022281600003</v>
      </c>
      <c r="I152" s="201">
        <f t="shared" ca="1" si="56"/>
        <v>-4.2147311100649079</v>
      </c>
      <c r="J152" s="201">
        <f t="shared" ca="1" si="56"/>
        <v>8.0313165808777942</v>
      </c>
    </row>
    <row r="153" spans="2:10" s="44" customFormat="1" ht="13.5" customHeight="1">
      <c r="E153" s="159"/>
      <c r="F153" s="61"/>
      <c r="G153" s="61"/>
      <c r="H153" s="61"/>
      <c r="I153" s="61"/>
      <c r="J153" s="61"/>
    </row>
    <row r="154" spans="2:10" s="44" customFormat="1" ht="13.5" customHeight="1">
      <c r="E154" s="159"/>
      <c r="F154" s="61"/>
      <c r="G154" s="61"/>
      <c r="H154" s="61"/>
      <c r="I154" s="61"/>
      <c r="J154" s="61"/>
    </row>
    <row r="155" spans="2:10" s="80" customFormat="1" ht="13.5" customHeight="1">
      <c r="B155" s="45" t="s">
        <v>263</v>
      </c>
      <c r="C155" s="98"/>
      <c r="D155" s="98"/>
      <c r="E155" s="99"/>
      <c r="F155" s="99"/>
      <c r="G155" s="99"/>
      <c r="H155" s="99"/>
      <c r="I155" s="99"/>
      <c r="J155" s="47" t="s">
        <v>37</v>
      </c>
    </row>
    <row r="156" spans="2:10" s="44" customFormat="1" ht="13.5" customHeight="1">
      <c r="B156" s="44" t="s">
        <v>256</v>
      </c>
      <c r="E156" s="159"/>
      <c r="F156" s="320"/>
      <c r="G156" s="320"/>
      <c r="H156" s="301">
        <v>300</v>
      </c>
    </row>
    <row r="157" spans="2:10" s="44" customFormat="1" ht="13.5" customHeight="1">
      <c r="B157" s="96" t="s">
        <v>262</v>
      </c>
      <c r="E157" s="199"/>
      <c r="F157" s="189"/>
      <c r="G157" s="189"/>
      <c r="H157" s="189">
        <f ca="1">+H44</f>
        <v>62.925026758399994</v>
      </c>
      <c r="I157" s="189"/>
      <c r="J157" s="189"/>
    </row>
    <row r="158" spans="2:10" s="44" customFormat="1" ht="13.5" customHeight="1">
      <c r="B158" s="54" t="s">
        <v>255</v>
      </c>
      <c r="C158" s="54"/>
      <c r="D158" s="54"/>
      <c r="E158" s="161"/>
      <c r="F158" s="105"/>
      <c r="G158" s="105"/>
      <c r="H158" s="105">
        <f ca="1">+H156-H157</f>
        <v>237.07497324159999</v>
      </c>
    </row>
    <row r="159" spans="2:10" s="44" customFormat="1" ht="13.5" customHeight="1">
      <c r="E159" s="159"/>
      <c r="F159" s="61"/>
      <c r="G159" s="61"/>
      <c r="H159" s="61"/>
      <c r="I159" s="61"/>
      <c r="J159" s="61"/>
    </row>
    <row r="160" spans="2:10" s="44" customFormat="1" ht="13.5" customHeight="1">
      <c r="B160" s="44" t="s">
        <v>10</v>
      </c>
      <c r="E160" s="159"/>
      <c r="F160" s="61"/>
      <c r="G160" s="61"/>
      <c r="H160" s="106">
        <f ca="1">+H61</f>
        <v>118.54436191999999</v>
      </c>
      <c r="I160" s="61"/>
      <c r="J160" s="61"/>
    </row>
    <row r="161" spans="1:17" s="44" customFormat="1" ht="13.5" customHeight="1">
      <c r="B161" s="44" t="s">
        <v>257</v>
      </c>
      <c r="E161" s="159"/>
      <c r="F161" s="61"/>
      <c r="G161" s="61"/>
      <c r="H161" s="209">
        <f>+C6</f>
        <v>18</v>
      </c>
      <c r="I161" s="61"/>
      <c r="J161" s="61"/>
    </row>
    <row r="162" spans="1:17" s="44" customFormat="1" ht="13.5" customHeight="1">
      <c r="B162" s="54" t="s">
        <v>67</v>
      </c>
      <c r="C162" s="54"/>
      <c r="D162" s="54"/>
      <c r="E162" s="161"/>
      <c r="F162" s="105"/>
      <c r="G162" s="105"/>
      <c r="H162" s="105">
        <f ca="1">+H161*H160</f>
        <v>2133.7985145599996</v>
      </c>
    </row>
    <row r="163" spans="1:17" s="44" customFormat="1" ht="13.5" customHeight="1">
      <c r="B163" s="96" t="s">
        <v>260</v>
      </c>
      <c r="C163" s="59"/>
      <c r="D163" s="59"/>
      <c r="E163" s="318"/>
      <c r="F163" s="201"/>
      <c r="G163" s="201"/>
      <c r="H163" s="189">
        <f ca="1">+H52+H53</f>
        <v>0</v>
      </c>
    </row>
    <row r="164" spans="1:17" s="44" customFormat="1" ht="13.5" customHeight="1">
      <c r="B164" s="96" t="s">
        <v>259</v>
      </c>
      <c r="E164" s="199"/>
      <c r="F164" s="189"/>
      <c r="G164" s="189"/>
      <c r="H164" s="189">
        <f>+H156</f>
        <v>300</v>
      </c>
      <c r="I164" s="189"/>
      <c r="J164" s="189"/>
    </row>
    <row r="165" spans="1:17" s="44" customFormat="1" ht="13.5" customHeight="1">
      <c r="B165" s="54" t="s">
        <v>261</v>
      </c>
      <c r="C165" s="54"/>
      <c r="D165" s="54"/>
      <c r="E165" s="161"/>
      <c r="F165" s="105"/>
      <c r="G165" s="105"/>
      <c r="H165" s="105">
        <f ca="1">+H162-H163+H164</f>
        <v>2433.7985145599996</v>
      </c>
    </row>
    <row r="166" spans="1:17" s="44" customFormat="1" ht="13.5" customHeight="1">
      <c r="B166" s="59"/>
      <c r="C166" s="59"/>
      <c r="D166" s="59"/>
      <c r="E166" s="318"/>
      <c r="F166" s="201"/>
      <c r="G166" s="201"/>
      <c r="H166" s="201"/>
    </row>
    <row r="167" spans="1:17" s="44" customFormat="1" ht="13.5" customHeight="1">
      <c r="B167" s="44" t="s">
        <v>258</v>
      </c>
      <c r="E167" s="159"/>
      <c r="F167" s="61"/>
      <c r="G167" s="61"/>
      <c r="H167" s="319">
        <f ca="1">+H158/H165</f>
        <v>9.7409449394975978E-2</v>
      </c>
      <c r="I167" s="61"/>
      <c r="J167" s="61"/>
    </row>
    <row r="168" spans="1:17" s="44" customFormat="1" ht="13.5" customHeight="1">
      <c r="E168" s="159"/>
      <c r="F168" s="61"/>
      <c r="G168" s="61"/>
      <c r="H168" s="319"/>
      <c r="I168" s="61"/>
      <c r="J168" s="61"/>
    </row>
    <row r="169" spans="1:17" s="44" customFormat="1" ht="13.5" customHeight="1">
      <c r="B169" s="322" t="s">
        <v>264</v>
      </c>
      <c r="E169" s="159"/>
      <c r="F169" s="61"/>
      <c r="G169" s="61"/>
      <c r="H169" s="319"/>
      <c r="I169" s="61"/>
      <c r="J169" s="61"/>
    </row>
    <row r="170" spans="1:17" s="44" customFormat="1" ht="13.5" customHeight="1">
      <c r="E170" s="159"/>
      <c r="F170" s="61"/>
      <c r="G170" s="61"/>
      <c r="H170" s="61"/>
      <c r="I170" s="61"/>
      <c r="J170" s="61"/>
    </row>
    <row r="171" spans="1:17" s="97" customFormat="1" ht="13.5" customHeight="1">
      <c r="A171" s="80"/>
      <c r="B171" s="80"/>
      <c r="C171" s="80"/>
      <c r="D171" s="80"/>
      <c r="E171" s="349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</row>
    <row r="172" spans="1:17" s="80" customFormat="1" ht="13.5" customHeight="1">
      <c r="B172" s="45" t="s">
        <v>36</v>
      </c>
      <c r="C172" s="98"/>
      <c r="D172" s="98"/>
      <c r="E172" s="350"/>
      <c r="F172" s="99"/>
      <c r="G172" s="99"/>
      <c r="H172" s="99"/>
      <c r="I172" s="99"/>
      <c r="J172" s="47" t="s">
        <v>37</v>
      </c>
    </row>
    <row r="173" spans="1:17" s="80" customFormat="1" ht="13.5" customHeight="1" thickBot="1">
      <c r="B173" s="224"/>
      <c r="C173" s="224"/>
      <c r="D173" s="224"/>
      <c r="E173" s="351"/>
      <c r="F173" s="225"/>
      <c r="G173" s="225"/>
      <c r="H173" s="225"/>
      <c r="I173" s="225"/>
      <c r="J173" s="226"/>
    </row>
    <row r="174" spans="1:17" s="44" customFormat="1" ht="13.5" customHeight="1">
      <c r="B174" s="211" t="s">
        <v>114</v>
      </c>
      <c r="C174" s="212"/>
      <c r="D174" s="213"/>
      <c r="E174" s="159"/>
    </row>
    <row r="175" spans="1:17" s="44" customFormat="1" ht="13.5" customHeight="1">
      <c r="B175" s="214" t="s">
        <v>79</v>
      </c>
      <c r="C175" s="220"/>
      <c r="D175" s="324"/>
      <c r="E175" s="159"/>
    </row>
    <row r="176" spans="1:17" s="44" customFormat="1" ht="13.5" customHeight="1">
      <c r="B176" s="216" t="s">
        <v>41</v>
      </c>
      <c r="D176" s="217">
        <f ca="1">J261/(-E261)</f>
        <v>1.6325069909045071</v>
      </c>
      <c r="E176" s="159"/>
    </row>
    <row r="177" spans="1:17" s="44" customFormat="1" ht="13.5" customHeight="1">
      <c r="B177" s="216" t="s">
        <v>42</v>
      </c>
      <c r="D177" s="218">
        <f ca="1">L261</f>
        <v>0.10298856484640107</v>
      </c>
      <c r="E177" s="159"/>
    </row>
    <row r="178" spans="1:17" s="44" customFormat="1" ht="13.5" customHeight="1">
      <c r="B178" s="216" t="s">
        <v>77</v>
      </c>
      <c r="D178" s="219">
        <f ca="1">SUM(E261:J261)</f>
        <v>130.35678129326078</v>
      </c>
      <c r="E178" s="159"/>
    </row>
    <row r="179" spans="1:17" s="44" customFormat="1" ht="13.5" customHeight="1">
      <c r="B179" s="216"/>
      <c r="D179" s="219"/>
      <c r="E179" s="159"/>
    </row>
    <row r="180" spans="1:17" s="44" customFormat="1" ht="13.5" customHeight="1">
      <c r="B180" s="214" t="s">
        <v>78</v>
      </c>
      <c r="D180" s="219"/>
      <c r="E180" s="159"/>
    </row>
    <row r="181" spans="1:17" s="44" customFormat="1" ht="13.5" customHeight="1">
      <c r="B181" s="216" t="s">
        <v>41</v>
      </c>
      <c r="D181" s="217">
        <f ca="1">-SUM(H262:J262)/E262</f>
        <v>1.3560416557215971</v>
      </c>
      <c r="E181" s="159"/>
    </row>
    <row r="182" spans="1:17" s="44" customFormat="1" ht="13.5" customHeight="1">
      <c r="B182" s="216" t="s">
        <v>42</v>
      </c>
      <c r="D182" s="218">
        <f ca="1">+L262</f>
        <v>7.664149995674796E-2</v>
      </c>
      <c r="E182" s="159"/>
    </row>
    <row r="183" spans="1:17" s="44" customFormat="1" ht="13.5" customHeight="1">
      <c r="B183" s="216" t="s">
        <v>77</v>
      </c>
      <c r="D183" s="219">
        <f ca="1">SUM(E262:J262)</f>
        <v>73.37854745260482</v>
      </c>
      <c r="E183" s="159"/>
    </row>
    <row r="184" spans="1:17" s="44" customFormat="1" ht="13.5" customHeight="1">
      <c r="B184" s="216"/>
      <c r="D184" s="215"/>
      <c r="E184" s="159"/>
    </row>
    <row r="185" spans="1:17" s="44" customFormat="1" ht="13.5" customHeight="1">
      <c r="B185" s="214" t="s">
        <v>303</v>
      </c>
      <c r="D185" s="219"/>
      <c r="E185" s="159"/>
    </row>
    <row r="186" spans="1:17" s="44" customFormat="1" ht="13.5" customHeight="1">
      <c r="B186" s="216" t="s">
        <v>41</v>
      </c>
      <c r="D186" s="217">
        <f ca="1">-J263/E263</f>
        <v>3.1876848737579908</v>
      </c>
      <c r="E186" s="159"/>
    </row>
    <row r="187" spans="1:17" s="44" customFormat="1" ht="13.5" customHeight="1">
      <c r="B187" s="216" t="s">
        <v>42</v>
      </c>
      <c r="D187" s="218">
        <f ca="1">L263</f>
        <v>0.26094190038476284</v>
      </c>
      <c r="E187" s="159"/>
    </row>
    <row r="188" spans="1:17" s="44" customFormat="1" ht="13.5" customHeight="1" thickBot="1">
      <c r="B188" s="221" t="s">
        <v>77</v>
      </c>
      <c r="C188" s="222"/>
      <c r="D188" s="223">
        <f ca="1">SUM(E263:J263)</f>
        <v>450.87178913110267</v>
      </c>
      <c r="E188" s="159"/>
    </row>
    <row r="189" spans="1:17" s="44" customFormat="1" ht="13.5" customHeight="1">
      <c r="E189" s="159"/>
    </row>
    <row r="190" spans="1:17" s="62" customFormat="1" ht="13.5" customHeight="1">
      <c r="A190" s="44"/>
      <c r="B190" s="48" t="s">
        <v>265</v>
      </c>
      <c r="C190" s="48"/>
      <c r="D190" s="48"/>
      <c r="E190" s="155">
        <v>0</v>
      </c>
      <c r="F190" s="74">
        <v>1</v>
      </c>
      <c r="G190" s="74">
        <f>F190+1</f>
        <v>2</v>
      </c>
      <c r="H190" s="74">
        <f>G190+1</f>
        <v>3</v>
      </c>
      <c r="I190" s="74">
        <f>H190+1</f>
        <v>4</v>
      </c>
      <c r="J190" s="74">
        <f>I190+1</f>
        <v>5</v>
      </c>
      <c r="K190" s="44"/>
      <c r="L190" s="44"/>
      <c r="M190" s="44"/>
      <c r="N190" s="44"/>
      <c r="O190" s="44"/>
      <c r="P190" s="44"/>
      <c r="Q190" s="44"/>
    </row>
    <row r="191" spans="1:17" s="62" customFormat="1" ht="13.5" customHeight="1">
      <c r="A191" s="44"/>
      <c r="B191" s="44" t="s">
        <v>267</v>
      </c>
      <c r="C191" s="44"/>
      <c r="D191" s="44"/>
      <c r="E191" s="156"/>
      <c r="F191" s="75"/>
      <c r="G191" s="75"/>
      <c r="H191" s="103"/>
      <c r="I191" s="103"/>
      <c r="J191" s="103">
        <f ca="1">J61</f>
        <v>178.97176794547195</v>
      </c>
      <c r="K191" s="44"/>
      <c r="L191" s="44"/>
      <c r="M191" s="44"/>
      <c r="N191" s="44"/>
      <c r="O191" s="44"/>
      <c r="P191" s="44"/>
      <c r="Q191" s="44"/>
    </row>
    <row r="192" spans="1:17" s="62" customFormat="1" ht="13.5" customHeight="1">
      <c r="A192" s="44"/>
      <c r="B192" s="44" t="s">
        <v>38</v>
      </c>
      <c r="C192" s="44"/>
      <c r="D192" s="44"/>
      <c r="E192" s="352"/>
      <c r="F192" s="51"/>
      <c r="G192" s="51"/>
      <c r="H192" s="51"/>
      <c r="I192" s="51"/>
      <c r="J192" s="209">
        <v>8.5</v>
      </c>
      <c r="K192" s="44"/>
      <c r="L192" s="44"/>
      <c r="M192" s="44"/>
      <c r="N192" s="44"/>
      <c r="O192" s="44"/>
      <c r="P192" s="44"/>
      <c r="Q192" s="44"/>
    </row>
    <row r="193" spans="1:17" s="62" customFormat="1" ht="13.5" customHeight="1">
      <c r="A193" s="44"/>
      <c r="B193" s="54" t="s">
        <v>39</v>
      </c>
      <c r="C193" s="54"/>
      <c r="D193" s="54"/>
      <c r="E193" s="353"/>
      <c r="F193" s="55"/>
      <c r="G193" s="55"/>
      <c r="H193" s="105"/>
      <c r="I193" s="105"/>
      <c r="J193" s="105">
        <f ca="1">J192*J191</f>
        <v>1521.2600275365116</v>
      </c>
      <c r="K193" s="44"/>
      <c r="L193" s="44"/>
      <c r="M193" s="44"/>
      <c r="N193" s="44"/>
      <c r="O193" s="44"/>
      <c r="P193" s="44"/>
      <c r="Q193" s="44"/>
    </row>
    <row r="194" spans="1:17" s="62" customFormat="1" ht="13.5" customHeight="1">
      <c r="A194" s="44"/>
      <c r="B194" s="95" t="s">
        <v>69</v>
      </c>
      <c r="C194" s="44"/>
      <c r="D194" s="44"/>
      <c r="E194" s="354"/>
      <c r="F194" s="58"/>
      <c r="G194" s="58"/>
      <c r="H194" s="102"/>
      <c r="I194" s="102"/>
      <c r="J194" s="102">
        <f ca="1">J44</f>
        <v>66.741612229212876</v>
      </c>
      <c r="K194" s="44"/>
      <c r="L194" s="44"/>
      <c r="M194" s="44"/>
      <c r="N194" s="44"/>
      <c r="O194" s="44"/>
      <c r="P194" s="44"/>
      <c r="Q194" s="44"/>
    </row>
    <row r="195" spans="1:17" s="62" customFormat="1" ht="13.5" customHeight="1">
      <c r="A195" s="44"/>
      <c r="B195" s="95" t="s">
        <v>68</v>
      </c>
      <c r="C195" s="44"/>
      <c r="D195" s="44"/>
      <c r="E195" s="354"/>
      <c r="F195" s="58"/>
      <c r="G195" s="58"/>
      <c r="H195" s="102"/>
      <c r="I195" s="102"/>
      <c r="J195" s="102">
        <f ca="1">J52+J53</f>
        <v>0</v>
      </c>
      <c r="K195" s="44"/>
      <c r="L195" s="44"/>
      <c r="M195" s="44"/>
      <c r="N195" s="44"/>
      <c r="O195" s="44"/>
      <c r="P195" s="44"/>
      <c r="Q195" s="44"/>
    </row>
    <row r="196" spans="1:17" s="62" customFormat="1" ht="13.5" customHeight="1">
      <c r="A196" s="44"/>
      <c r="B196" s="54" t="s">
        <v>40</v>
      </c>
      <c r="C196" s="54"/>
      <c r="D196" s="54"/>
      <c r="E196" s="353"/>
      <c r="F196" s="55"/>
      <c r="G196" s="55"/>
      <c r="H196" s="105"/>
      <c r="I196" s="105"/>
      <c r="J196" s="105">
        <f ca="1">J193+J194-J195</f>
        <v>1588.0016397657246</v>
      </c>
      <c r="K196" s="44"/>
      <c r="L196" s="44"/>
      <c r="M196" s="44"/>
      <c r="N196" s="44"/>
      <c r="O196" s="44"/>
      <c r="P196" s="44"/>
      <c r="Q196" s="44"/>
    </row>
    <row r="197" spans="1:17" s="62" customFormat="1" ht="13.5" customHeight="1">
      <c r="A197" s="44"/>
      <c r="B197" s="95" t="s">
        <v>245</v>
      </c>
      <c r="C197" s="59"/>
      <c r="D197" s="59"/>
      <c r="E197" s="355"/>
      <c r="F197" s="60"/>
      <c r="G197" s="60"/>
      <c r="H197" s="201"/>
      <c r="I197" s="201"/>
      <c r="J197" s="102">
        <f>+I36*H39/1000000</f>
        <v>91.994</v>
      </c>
      <c r="K197" s="44"/>
      <c r="L197" s="44"/>
      <c r="M197" s="44"/>
      <c r="N197" s="44"/>
      <c r="O197" s="44"/>
      <c r="P197" s="44"/>
      <c r="Q197" s="44"/>
    </row>
    <row r="198" spans="1:17" s="62" customFormat="1" ht="13.5" customHeight="1">
      <c r="A198" s="44"/>
      <c r="B198" s="54" t="s">
        <v>176</v>
      </c>
      <c r="C198" s="54"/>
      <c r="D198" s="54"/>
      <c r="E198" s="353"/>
      <c r="F198" s="55"/>
      <c r="G198" s="55"/>
      <c r="H198" s="105"/>
      <c r="I198" s="105"/>
      <c r="J198" s="105">
        <f ca="1">+J197+J196</f>
        <v>1679.9956397657245</v>
      </c>
      <c r="K198" s="44"/>
      <c r="L198" s="44"/>
      <c r="M198" s="44"/>
      <c r="N198" s="44"/>
      <c r="O198" s="44"/>
      <c r="P198" s="44"/>
      <c r="Q198" s="44"/>
    </row>
    <row r="199" spans="1:17" s="62" customFormat="1" ht="13.5" customHeight="1">
      <c r="A199" s="44"/>
      <c r="B199" s="44" t="s">
        <v>240</v>
      </c>
      <c r="C199" s="59"/>
      <c r="D199" s="59"/>
      <c r="E199" s="355"/>
      <c r="F199" s="60"/>
      <c r="G199" s="60"/>
      <c r="H199" s="201"/>
      <c r="I199" s="201"/>
      <c r="J199" s="84">
        <f>+J34</f>
        <v>0.20026967530712109</v>
      </c>
      <c r="K199" s="44"/>
      <c r="L199" s="44"/>
      <c r="M199" s="44"/>
      <c r="N199" s="44"/>
      <c r="O199" s="44"/>
      <c r="P199" s="44"/>
      <c r="Q199" s="44"/>
    </row>
    <row r="200" spans="1:17" s="62" customFormat="1" ht="13.5" customHeight="1">
      <c r="A200" s="44"/>
      <c r="B200" s="44" t="s">
        <v>241</v>
      </c>
      <c r="C200" s="59"/>
      <c r="D200" s="59"/>
      <c r="E200" s="355"/>
      <c r="F200" s="60"/>
      <c r="G200" s="60"/>
      <c r="H200" s="201"/>
      <c r="I200" s="201"/>
      <c r="J200" s="300">
        <v>1</v>
      </c>
      <c r="K200" s="44"/>
      <c r="L200" s="44"/>
      <c r="M200" s="44"/>
      <c r="N200" s="44"/>
      <c r="O200" s="44"/>
      <c r="P200" s="44"/>
      <c r="Q200" s="44"/>
    </row>
    <row r="201" spans="1:17" ht="13.5" customHeight="1">
      <c r="B201" s="54" t="s">
        <v>141</v>
      </c>
      <c r="C201" s="54"/>
      <c r="D201" s="54"/>
      <c r="E201" s="353"/>
      <c r="F201" s="55"/>
      <c r="G201" s="55"/>
      <c r="H201" s="105"/>
      <c r="I201" s="105"/>
      <c r="J201" s="105">
        <f ca="1">+J198*J199*J200</f>
        <v>336.45218129326082</v>
      </c>
    </row>
    <row r="202" spans="1:17" ht="13.5" customHeight="1">
      <c r="B202" s="59"/>
      <c r="C202" s="59"/>
      <c r="D202" s="59"/>
      <c r="E202" s="355"/>
      <c r="F202" s="60"/>
      <c r="G202" s="60"/>
      <c r="H202" s="201"/>
      <c r="I202" s="201"/>
      <c r="J202" s="201"/>
    </row>
    <row r="203" spans="1:17">
      <c r="E203" s="112"/>
    </row>
    <row r="204" spans="1:17" s="62" customFormat="1" ht="13.5" customHeight="1">
      <c r="A204" s="44"/>
      <c r="B204" s="48" t="s">
        <v>266</v>
      </c>
      <c r="C204" s="48"/>
      <c r="D204" s="48"/>
      <c r="E204" s="155">
        <v>0</v>
      </c>
      <c r="F204" s="74">
        <v>1</v>
      </c>
      <c r="G204" s="74">
        <f>F204+1</f>
        <v>2</v>
      </c>
      <c r="H204" s="74">
        <f>G204+1</f>
        <v>3</v>
      </c>
      <c r="I204" s="74">
        <f>H204+1</f>
        <v>4</v>
      </c>
      <c r="J204" s="74">
        <f>I204+1</f>
        <v>5</v>
      </c>
      <c r="K204" s="44"/>
      <c r="L204" s="44"/>
      <c r="M204" s="44"/>
      <c r="N204" s="44"/>
      <c r="O204" s="44"/>
      <c r="P204" s="44"/>
      <c r="Q204" s="44"/>
    </row>
    <row r="205" spans="1:17" s="62" customFormat="1" ht="13.5" customHeight="1">
      <c r="A205" s="44"/>
      <c r="B205" s="44" t="s">
        <v>267</v>
      </c>
      <c r="C205" s="44"/>
      <c r="D205" s="44"/>
      <c r="E205" s="156"/>
      <c r="F205" s="75"/>
      <c r="G205" s="75"/>
      <c r="H205" s="103">
        <f ca="1">+H61</f>
        <v>118.54436191999999</v>
      </c>
      <c r="I205" s="103">
        <f ca="1">+I61</f>
        <v>146.33752744319997</v>
      </c>
      <c r="J205" s="103">
        <f ca="1">+J61</f>
        <v>178.97176794547195</v>
      </c>
      <c r="K205" s="44"/>
      <c r="L205" s="44"/>
      <c r="M205" s="44"/>
      <c r="N205" s="44"/>
      <c r="O205" s="44"/>
      <c r="P205" s="44"/>
      <c r="Q205" s="44"/>
    </row>
    <row r="206" spans="1:17" s="62" customFormat="1" ht="13.5" customHeight="1">
      <c r="A206" s="44"/>
      <c r="B206" s="44" t="s">
        <v>38</v>
      </c>
      <c r="C206" s="44"/>
      <c r="D206" s="44"/>
      <c r="E206" s="352"/>
      <c r="F206" s="51"/>
      <c r="G206" s="51"/>
      <c r="H206" s="209">
        <v>8</v>
      </c>
      <c r="I206" s="209">
        <v>8.5</v>
      </c>
      <c r="J206" s="209">
        <v>8.5</v>
      </c>
      <c r="K206" s="44"/>
      <c r="L206" s="44"/>
      <c r="M206" s="44"/>
      <c r="N206" s="44"/>
      <c r="O206" s="44"/>
      <c r="P206" s="44"/>
      <c r="Q206" s="44"/>
    </row>
    <row r="207" spans="1:17" s="62" customFormat="1" ht="13.5" customHeight="1">
      <c r="A207" s="44"/>
      <c r="B207" s="54" t="s">
        <v>39</v>
      </c>
      <c r="C207" s="54"/>
      <c r="D207" s="54"/>
      <c r="E207" s="353"/>
      <c r="F207" s="55"/>
      <c r="G207" s="55"/>
      <c r="H207" s="105">
        <f ca="1">H206*H205</f>
        <v>948.35489535999989</v>
      </c>
      <c r="I207" s="105">
        <f ca="1">I206*I205</f>
        <v>1243.8689832671998</v>
      </c>
      <c r="J207" s="105">
        <f ca="1">J206*J205</f>
        <v>1521.2600275365116</v>
      </c>
      <c r="K207" s="44"/>
      <c r="L207" s="44"/>
      <c r="M207" s="44"/>
      <c r="N207" s="44"/>
      <c r="O207" s="44"/>
      <c r="P207" s="44"/>
      <c r="Q207" s="44"/>
    </row>
    <row r="208" spans="1:17" s="62" customFormat="1" ht="13.5" customHeight="1">
      <c r="A208" s="44"/>
      <c r="B208" s="95" t="s">
        <v>69</v>
      </c>
      <c r="C208" s="44"/>
      <c r="D208" s="44"/>
      <c r="E208" s="354"/>
      <c r="F208" s="58"/>
      <c r="G208" s="58"/>
      <c r="H208" s="102">
        <f ca="1">+H44</f>
        <v>62.925026758399994</v>
      </c>
      <c r="I208" s="102">
        <f ca="1">+I44</f>
        <v>58.710295648335084</v>
      </c>
      <c r="J208" s="102">
        <f ca="1">+J44</f>
        <v>66.741612229212876</v>
      </c>
      <c r="K208" s="44"/>
      <c r="L208" s="44"/>
      <c r="M208" s="44"/>
      <c r="N208" s="44"/>
      <c r="O208" s="44"/>
      <c r="P208" s="44"/>
      <c r="Q208" s="44"/>
    </row>
    <row r="209" spans="1:17" s="62" customFormat="1" ht="13.5" customHeight="1">
      <c r="A209" s="44"/>
      <c r="B209" s="95" t="s">
        <v>68</v>
      </c>
      <c r="C209" s="44"/>
      <c r="D209" s="44"/>
      <c r="E209" s="354"/>
      <c r="F209" s="58"/>
      <c r="G209" s="58"/>
      <c r="H209" s="102">
        <f ca="1">+H52+H53</f>
        <v>0</v>
      </c>
      <c r="I209" s="102">
        <f ca="1">+I52+I53</f>
        <v>0</v>
      </c>
      <c r="J209" s="102">
        <f ca="1">+J52+J53</f>
        <v>0</v>
      </c>
      <c r="K209" s="44"/>
      <c r="L209" s="44"/>
      <c r="M209" s="44"/>
      <c r="N209" s="44"/>
      <c r="O209" s="44"/>
      <c r="P209" s="44"/>
      <c r="Q209" s="44"/>
    </row>
    <row r="210" spans="1:17" s="62" customFormat="1" ht="13.5" customHeight="1">
      <c r="A210" s="44"/>
      <c r="B210" s="54" t="s">
        <v>40</v>
      </c>
      <c r="C210" s="54"/>
      <c r="D210" s="54"/>
      <c r="E210" s="353"/>
      <c r="F210" s="55"/>
      <c r="G210" s="55"/>
      <c r="H210" s="105">
        <f ca="1">H207+H208-H209</f>
        <v>1011.2799221183999</v>
      </c>
      <c r="I210" s="105">
        <f ca="1">I207+I208-I209</f>
        <v>1302.5792789155348</v>
      </c>
      <c r="J210" s="105">
        <f ca="1">J207+J208-J209</f>
        <v>1588.0016397657246</v>
      </c>
      <c r="K210" s="44"/>
      <c r="L210" s="44"/>
      <c r="M210" s="44"/>
      <c r="N210" s="44"/>
      <c r="O210" s="44"/>
      <c r="P210" s="44"/>
      <c r="Q210" s="44"/>
    </row>
    <row r="211" spans="1:17" s="62" customFormat="1" ht="13.5" customHeight="1">
      <c r="A211" s="44"/>
      <c r="B211" s="95" t="s">
        <v>245</v>
      </c>
      <c r="C211" s="59"/>
      <c r="D211" s="59"/>
      <c r="E211" s="355"/>
      <c r="F211" s="60"/>
      <c r="G211" s="60"/>
      <c r="H211" s="102">
        <f>+$H$39*$I$36/1000000</f>
        <v>91.994</v>
      </c>
      <c r="I211" s="102">
        <f>+$H$39*$I$36/1000000</f>
        <v>91.994</v>
      </c>
      <c r="J211" s="102">
        <f>+$H$39*$I$36/1000000</f>
        <v>91.994</v>
      </c>
      <c r="K211" s="44"/>
      <c r="L211" s="44"/>
      <c r="M211" s="44"/>
      <c r="N211" s="44"/>
      <c r="O211" s="44"/>
      <c r="P211" s="44"/>
      <c r="Q211" s="44"/>
    </row>
    <row r="212" spans="1:17" s="62" customFormat="1" ht="13.5" customHeight="1">
      <c r="A212" s="44"/>
      <c r="B212" s="54" t="s">
        <v>176</v>
      </c>
      <c r="C212" s="54"/>
      <c r="D212" s="54"/>
      <c r="E212" s="353"/>
      <c r="F212" s="55"/>
      <c r="G212" s="55"/>
      <c r="H212" s="105">
        <f ca="1">+H211+H210</f>
        <v>1103.2739221183999</v>
      </c>
      <c r="I212" s="105">
        <f ca="1">+I211+I210</f>
        <v>1394.5732789155347</v>
      </c>
      <c r="J212" s="105">
        <f ca="1">+J211+J210</f>
        <v>1679.9956397657245</v>
      </c>
      <c r="K212" s="44"/>
      <c r="L212" s="44"/>
      <c r="M212" s="44"/>
      <c r="N212" s="44"/>
      <c r="O212" s="44"/>
      <c r="P212" s="44"/>
      <c r="Q212" s="44"/>
    </row>
    <row r="213" spans="1:17" s="62" customFormat="1" ht="13.5" customHeight="1">
      <c r="A213" s="44"/>
      <c r="B213" s="44" t="s">
        <v>268</v>
      </c>
      <c r="C213" s="59"/>
      <c r="D213" s="59"/>
      <c r="E213" s="355"/>
      <c r="F213" s="60"/>
      <c r="G213" s="60"/>
      <c r="H213" s="84">
        <f>+$J$34</f>
        <v>0.20026967530712109</v>
      </c>
      <c r="I213" s="84">
        <f>+$J$34</f>
        <v>0.20026967530712109</v>
      </c>
      <c r="J213" s="84">
        <f>+$J$34</f>
        <v>0.20026967530712109</v>
      </c>
      <c r="K213" s="44"/>
      <c r="L213" s="44"/>
      <c r="M213" s="44"/>
      <c r="N213" s="44"/>
      <c r="O213" s="44"/>
      <c r="P213" s="44"/>
      <c r="Q213" s="44"/>
    </row>
    <row r="214" spans="1:17" s="62" customFormat="1" ht="13.5" customHeight="1">
      <c r="A214" s="44"/>
      <c r="B214" s="44" t="s">
        <v>241</v>
      </c>
      <c r="C214" s="59"/>
      <c r="D214" s="59"/>
      <c r="E214" s="355"/>
      <c r="F214" s="60"/>
      <c r="G214" s="60"/>
      <c r="H214" s="300">
        <v>0.33</v>
      </c>
      <c r="I214" s="300">
        <v>0.33</v>
      </c>
      <c r="J214" s="323">
        <f>1-H214-I214</f>
        <v>0.33999999999999991</v>
      </c>
      <c r="K214" s="44"/>
      <c r="L214" s="44"/>
      <c r="M214" s="44"/>
      <c r="N214" s="44"/>
      <c r="O214" s="44"/>
      <c r="P214" s="44"/>
      <c r="Q214" s="44"/>
    </row>
    <row r="215" spans="1:17" ht="13.5" customHeight="1">
      <c r="B215" s="54" t="s">
        <v>141</v>
      </c>
      <c r="C215" s="54"/>
      <c r="D215" s="54"/>
      <c r="E215" s="353"/>
      <c r="F215" s="55"/>
      <c r="G215" s="55"/>
      <c r="H215" s="105">
        <f ca="1">+H212*H213*H214</f>
        <v>72.914262351963771</v>
      </c>
      <c r="I215" s="105">
        <f ca="1">+I212*I213*I214</f>
        <v>92.165943460932439</v>
      </c>
      <c r="J215" s="105">
        <f ca="1">+J212*J213*J214</f>
        <v>114.39374163970865</v>
      </c>
    </row>
    <row r="216" spans="1:17" ht="13.5" customHeight="1">
      <c r="B216" s="59"/>
      <c r="C216" s="59"/>
      <c r="D216" s="59"/>
      <c r="E216" s="355"/>
      <c r="F216" s="60"/>
      <c r="G216" s="60"/>
      <c r="H216" s="201"/>
      <c r="I216" s="201"/>
      <c r="J216" s="201"/>
    </row>
    <row r="217" spans="1:17">
      <c r="E217" s="112"/>
    </row>
    <row r="218" spans="1:17" s="62" customFormat="1" ht="13.5" customHeight="1">
      <c r="A218" s="44"/>
      <c r="B218" s="48" t="s">
        <v>275</v>
      </c>
      <c r="C218" s="48"/>
      <c r="D218" s="48"/>
      <c r="E218" s="155">
        <v>0</v>
      </c>
      <c r="F218" s="74">
        <v>1</v>
      </c>
      <c r="G218" s="74">
        <f>F218+1</f>
        <v>2</v>
      </c>
      <c r="H218" s="74">
        <f>G218+1</f>
        <v>3</v>
      </c>
      <c r="I218" s="74">
        <f>H218+1</f>
        <v>4</v>
      </c>
      <c r="J218" s="74">
        <f>I218+1</f>
        <v>5</v>
      </c>
      <c r="K218" s="44"/>
      <c r="L218" s="44"/>
      <c r="M218" s="44"/>
      <c r="N218" s="44"/>
      <c r="O218" s="44"/>
      <c r="P218" s="44"/>
      <c r="Q218" s="44"/>
    </row>
    <row r="219" spans="1:17" s="62" customFormat="1" ht="13.5" customHeight="1">
      <c r="A219" s="44"/>
      <c r="B219" s="44" t="s">
        <v>267</v>
      </c>
      <c r="C219" s="44"/>
      <c r="D219" s="44"/>
      <c r="E219" s="156"/>
      <c r="F219" s="75"/>
      <c r="G219" s="75"/>
      <c r="H219" s="103"/>
      <c r="I219" s="103"/>
      <c r="J219" s="103">
        <f ca="1">J61</f>
        <v>178.97176794547195</v>
      </c>
      <c r="K219" s="44"/>
      <c r="L219" s="44"/>
      <c r="M219" s="44"/>
      <c r="N219" s="44"/>
      <c r="O219" s="44"/>
      <c r="P219" s="44"/>
      <c r="Q219" s="44"/>
    </row>
    <row r="220" spans="1:17" s="62" customFormat="1" ht="13.5" customHeight="1">
      <c r="A220" s="44"/>
      <c r="B220" s="44" t="s">
        <v>38</v>
      </c>
      <c r="C220" s="44"/>
      <c r="D220" s="44"/>
      <c r="E220" s="352"/>
      <c r="F220" s="51"/>
      <c r="G220" s="51"/>
      <c r="H220" s="51"/>
      <c r="I220" s="51"/>
      <c r="J220" s="209">
        <v>8.5</v>
      </c>
      <c r="K220" s="44"/>
      <c r="L220" s="44"/>
      <c r="M220" s="44"/>
      <c r="N220" s="44"/>
      <c r="O220" s="44"/>
      <c r="P220" s="44"/>
      <c r="Q220" s="44"/>
    </row>
    <row r="221" spans="1:17" s="62" customFormat="1" ht="13.5" customHeight="1">
      <c r="A221" s="44"/>
      <c r="B221" s="54" t="s">
        <v>39</v>
      </c>
      <c r="C221" s="54"/>
      <c r="D221" s="54"/>
      <c r="E221" s="353"/>
      <c r="F221" s="55"/>
      <c r="G221" s="55"/>
      <c r="H221" s="105"/>
      <c r="I221" s="105"/>
      <c r="J221" s="105">
        <f ca="1">J220*J219</f>
        <v>1521.2600275365116</v>
      </c>
      <c r="K221" s="44"/>
      <c r="L221" s="44"/>
      <c r="M221" s="44"/>
      <c r="N221" s="44"/>
      <c r="O221" s="44"/>
      <c r="P221" s="44"/>
      <c r="Q221" s="44"/>
    </row>
    <row r="222" spans="1:17" s="62" customFormat="1" ht="13.5" customHeight="1">
      <c r="A222" s="44"/>
      <c r="B222" s="95" t="s">
        <v>69</v>
      </c>
      <c r="C222" s="44"/>
      <c r="D222" s="44"/>
      <c r="E222" s="354"/>
      <c r="F222" s="58"/>
      <c r="G222" s="58"/>
      <c r="H222" s="102"/>
      <c r="I222" s="102"/>
      <c r="J222" s="102">
        <f ca="1">+J44</f>
        <v>66.741612229212876</v>
      </c>
      <c r="K222" s="44"/>
      <c r="L222" s="44"/>
      <c r="M222" s="44"/>
      <c r="N222" s="44"/>
      <c r="O222" s="44"/>
      <c r="P222" s="44"/>
      <c r="Q222" s="44"/>
    </row>
    <row r="223" spans="1:17" s="62" customFormat="1" ht="13.5" customHeight="1">
      <c r="A223" s="44"/>
      <c r="B223" s="95" t="s">
        <v>68</v>
      </c>
      <c r="C223" s="44"/>
      <c r="D223" s="44"/>
      <c r="E223" s="354"/>
      <c r="F223" s="58"/>
      <c r="G223" s="58"/>
      <c r="H223" s="102"/>
      <c r="I223" s="102"/>
      <c r="J223" s="102">
        <f ca="1">+J52+J53</f>
        <v>0</v>
      </c>
      <c r="K223" s="44"/>
      <c r="L223" s="44"/>
      <c r="M223" s="44"/>
      <c r="N223" s="44"/>
      <c r="O223" s="44"/>
      <c r="P223" s="44"/>
      <c r="Q223" s="44"/>
    </row>
    <row r="224" spans="1:17" s="62" customFormat="1" ht="13.5" customHeight="1">
      <c r="A224" s="44"/>
      <c r="B224" s="54" t="s">
        <v>40</v>
      </c>
      <c r="C224" s="54"/>
      <c r="D224" s="54"/>
      <c r="E224" s="353"/>
      <c r="F224" s="55"/>
      <c r="G224" s="55"/>
      <c r="H224" s="105"/>
      <c r="I224" s="105"/>
      <c r="J224" s="105">
        <f ca="1">J221+J222-J223</f>
        <v>1588.0016397657246</v>
      </c>
      <c r="K224" s="44"/>
      <c r="L224" s="44"/>
      <c r="M224" s="44"/>
      <c r="N224" s="44"/>
      <c r="O224" s="44"/>
      <c r="P224" s="44"/>
      <c r="Q224" s="44"/>
    </row>
    <row r="225" spans="1:17" s="62" customFormat="1" ht="13.5" customHeight="1">
      <c r="A225" s="44"/>
      <c r="B225" s="95" t="s">
        <v>245</v>
      </c>
      <c r="C225" s="59"/>
      <c r="D225" s="59"/>
      <c r="E225" s="355"/>
      <c r="F225" s="60"/>
      <c r="G225" s="60"/>
      <c r="H225" s="102"/>
      <c r="I225" s="102"/>
      <c r="J225" s="102">
        <f>+$H$39*$I$36/1000000</f>
        <v>91.994</v>
      </c>
      <c r="K225" s="44"/>
      <c r="L225" s="44"/>
      <c r="M225" s="44"/>
      <c r="N225" s="44"/>
      <c r="O225" s="44"/>
      <c r="P225" s="44"/>
      <c r="Q225" s="44"/>
    </row>
    <row r="226" spans="1:17" s="62" customFormat="1" ht="13.5" customHeight="1">
      <c r="A226" s="44"/>
      <c r="B226" s="54" t="s">
        <v>276</v>
      </c>
      <c r="C226" s="54"/>
      <c r="D226" s="54"/>
      <c r="E226" s="353"/>
      <c r="F226" s="55"/>
      <c r="G226" s="55"/>
      <c r="H226" s="105"/>
      <c r="I226" s="105"/>
      <c r="J226" s="105">
        <f ca="1">+J225+J224</f>
        <v>1679.9956397657245</v>
      </c>
      <c r="K226" s="44"/>
      <c r="L226" s="44"/>
      <c r="M226" s="44"/>
      <c r="N226" s="44"/>
      <c r="O226" s="44"/>
      <c r="P226" s="44"/>
      <c r="Q226" s="44"/>
    </row>
    <row r="227" spans="1:17" s="62" customFormat="1" ht="13.5" customHeight="1">
      <c r="A227" s="44"/>
      <c r="B227" s="59"/>
      <c r="C227" s="59"/>
      <c r="D227" s="59"/>
      <c r="E227" s="355"/>
      <c r="F227" s="60"/>
      <c r="G227" s="60"/>
      <c r="H227" s="201"/>
      <c r="I227" s="201"/>
      <c r="J227" s="201"/>
      <c r="K227" s="44"/>
      <c r="L227" s="44"/>
      <c r="M227" s="44"/>
      <c r="N227" s="44"/>
      <c r="O227" s="44"/>
      <c r="P227" s="44"/>
      <c r="Q227" s="44"/>
    </row>
    <row r="228" spans="1:17" s="62" customFormat="1" ht="13.5" customHeight="1">
      <c r="A228" s="44"/>
      <c r="B228" s="44" t="s">
        <v>279</v>
      </c>
      <c r="C228" s="59"/>
      <c r="D228" s="59"/>
      <c r="E228" s="355"/>
      <c r="F228" s="60"/>
      <c r="G228" s="60"/>
      <c r="H228" s="84"/>
      <c r="I228" s="84"/>
      <c r="J228" s="103">
        <f>+D21</f>
        <v>206.09540000000004</v>
      </c>
      <c r="K228" s="44"/>
      <c r="L228" s="44"/>
      <c r="M228" s="44"/>
      <c r="N228" s="44"/>
      <c r="O228" s="44"/>
      <c r="P228" s="44"/>
      <c r="Q228" s="44"/>
    </row>
    <row r="229" spans="1:17" s="62" customFormat="1" ht="13.5" customHeight="1">
      <c r="A229" s="44"/>
      <c r="B229" s="44" t="s">
        <v>113</v>
      </c>
      <c r="C229" s="59"/>
      <c r="D229" s="59"/>
      <c r="E229" s="355"/>
      <c r="F229" s="60"/>
      <c r="G229" s="60"/>
      <c r="H229" s="356"/>
      <c r="I229" s="356"/>
      <c r="J229" s="209">
        <v>1.5</v>
      </c>
      <c r="K229" s="44"/>
      <c r="L229" s="44"/>
      <c r="M229" s="44"/>
      <c r="N229" s="44"/>
      <c r="O229" s="44"/>
      <c r="P229" s="44"/>
      <c r="Q229" s="44"/>
    </row>
    <row r="230" spans="1:17" ht="13.5" customHeight="1">
      <c r="B230" s="54" t="s">
        <v>280</v>
      </c>
      <c r="C230" s="54"/>
      <c r="D230" s="54"/>
      <c r="E230" s="353"/>
      <c r="F230" s="55"/>
      <c r="G230" s="55"/>
      <c r="H230" s="105"/>
      <c r="I230" s="105"/>
      <c r="J230" s="105">
        <f>+J229*J228</f>
        <v>309.14310000000006</v>
      </c>
    </row>
    <row r="231" spans="1:17" ht="13.5" customHeight="1">
      <c r="B231" s="59"/>
      <c r="C231" s="59"/>
      <c r="D231" s="59"/>
      <c r="E231" s="355"/>
      <c r="F231" s="60"/>
      <c r="G231" s="60"/>
      <c r="H231" s="201"/>
      <c r="I231" s="201"/>
      <c r="J231" s="201"/>
    </row>
    <row r="232" spans="1:17" ht="13.5" customHeight="1">
      <c r="B232" s="44" t="s">
        <v>278</v>
      </c>
      <c r="C232" s="1"/>
      <c r="D232" s="87" t="s">
        <v>283</v>
      </c>
      <c r="E232" s="363" t="s">
        <v>284</v>
      </c>
      <c r="F232" s="103">
        <f ca="1">+$J$232</f>
        <v>229.08940000000007</v>
      </c>
      <c r="G232" s="103">
        <f t="shared" ref="G232:J232" ca="1" si="57">+$J$232</f>
        <v>229.08940000000007</v>
      </c>
      <c r="H232" s="103">
        <f t="shared" ca="1" si="57"/>
        <v>229.08940000000007</v>
      </c>
      <c r="I232" s="103">
        <f t="shared" ca="1" si="57"/>
        <v>229.08940000000007</v>
      </c>
      <c r="J232" s="103">
        <f t="shared" ca="1" si="57"/>
        <v>229.08940000000007</v>
      </c>
    </row>
    <row r="233" spans="1:17" ht="13.5" customHeight="1">
      <c r="B233" s="44" t="s">
        <v>277</v>
      </c>
      <c r="C233" s="1"/>
      <c r="D233" s="357">
        <v>1</v>
      </c>
      <c r="E233" s="362">
        <v>0.08</v>
      </c>
      <c r="F233" s="84">
        <f>+$E$233*$D$233</f>
        <v>0.08</v>
      </c>
      <c r="G233" s="84">
        <f t="shared" ref="G233:J233" si="58">+$E$233*$D$233</f>
        <v>0.08</v>
      </c>
      <c r="H233" s="84">
        <f t="shared" si="58"/>
        <v>0.08</v>
      </c>
      <c r="I233" s="84">
        <f t="shared" si="58"/>
        <v>0.08</v>
      </c>
      <c r="J233" s="84">
        <f t="shared" si="58"/>
        <v>0.08</v>
      </c>
    </row>
    <row r="234" spans="1:17" ht="13.5" customHeight="1">
      <c r="B234" s="54" t="s">
        <v>281</v>
      </c>
      <c r="C234" s="54"/>
      <c r="D234" s="54"/>
      <c r="E234" s="353"/>
      <c r="F234" s="105">
        <f ca="1">+F233*F232</f>
        <v>18.327152000000005</v>
      </c>
      <c r="G234" s="105">
        <f t="shared" ref="G234:J234" ca="1" si="59">+G233*G232</f>
        <v>18.327152000000005</v>
      </c>
      <c r="H234" s="105">
        <f t="shared" ca="1" si="59"/>
        <v>18.327152000000005</v>
      </c>
      <c r="I234" s="105">
        <f t="shared" ca="1" si="59"/>
        <v>18.327152000000005</v>
      </c>
      <c r="J234" s="105">
        <f t="shared" ca="1" si="59"/>
        <v>18.327152000000005</v>
      </c>
    </row>
    <row r="235" spans="1:17" ht="13.5" customHeight="1">
      <c r="B235" s="80" t="s">
        <v>282</v>
      </c>
      <c r="C235" s="80"/>
      <c r="D235" s="80"/>
      <c r="E235" s="164"/>
      <c r="F235" s="83"/>
      <c r="G235" s="83"/>
      <c r="H235" s="200"/>
      <c r="I235" s="200"/>
      <c r="J235" s="200">
        <f ca="1">+SUM(F234:J234)</f>
        <v>91.635760000000033</v>
      </c>
    </row>
    <row r="236" spans="1:17" ht="13.5" customHeight="1">
      <c r="B236" s="59"/>
      <c r="C236" s="59"/>
      <c r="D236" s="59"/>
      <c r="E236" s="355"/>
      <c r="F236" s="60"/>
      <c r="G236" s="60"/>
      <c r="H236" s="201"/>
      <c r="I236" s="201"/>
      <c r="J236" s="201"/>
    </row>
    <row r="237" spans="1:17" ht="13.5" customHeight="1">
      <c r="B237" s="364" t="s">
        <v>292</v>
      </c>
      <c r="C237" s="59"/>
      <c r="D237" s="59"/>
      <c r="E237" s="355"/>
      <c r="F237" s="60"/>
      <c r="G237" s="60"/>
      <c r="H237" s="201"/>
      <c r="I237" s="201"/>
      <c r="J237" s="201"/>
    </row>
    <row r="238" spans="1:17" ht="13.5" customHeight="1">
      <c r="B238" s="44" t="s">
        <v>288</v>
      </c>
      <c r="C238" s="59"/>
      <c r="D238" s="59"/>
      <c r="E238" s="355"/>
      <c r="F238" s="60"/>
      <c r="G238" s="60"/>
      <c r="H238" s="201"/>
      <c r="I238" s="201"/>
      <c r="J238" s="103">
        <f ca="1">+J226</f>
        <v>1679.9956397657245</v>
      </c>
    </row>
    <row r="239" spans="1:17" ht="13.5" customHeight="1">
      <c r="B239" s="95" t="s">
        <v>286</v>
      </c>
      <c r="C239" s="59"/>
      <c r="D239" s="59"/>
      <c r="E239" s="355"/>
      <c r="F239" s="103"/>
      <c r="G239" s="103"/>
      <c r="H239" s="103"/>
      <c r="I239" s="103"/>
      <c r="J239" s="102">
        <f>+J230</f>
        <v>309.14310000000006</v>
      </c>
    </row>
    <row r="240" spans="1:17" ht="13.5" customHeight="1">
      <c r="B240" s="95" t="s">
        <v>287</v>
      </c>
      <c r="C240" s="59"/>
      <c r="D240" s="59"/>
      <c r="E240" s="355"/>
      <c r="F240" s="358"/>
      <c r="G240" s="358"/>
      <c r="H240" s="358"/>
      <c r="I240" s="358"/>
      <c r="J240" s="102">
        <f ca="1">+J235</f>
        <v>91.635760000000033</v>
      </c>
    </row>
    <row r="241" spans="2:10" ht="13.5" customHeight="1">
      <c r="B241" s="54" t="s">
        <v>291</v>
      </c>
      <c r="C241" s="54"/>
      <c r="D241" s="359" t="s">
        <v>283</v>
      </c>
      <c r="E241" s="365" t="s">
        <v>285</v>
      </c>
      <c r="F241" s="105"/>
      <c r="G241" s="105"/>
      <c r="H241" s="105"/>
      <c r="I241" s="105"/>
      <c r="J241" s="105">
        <f ca="1">+J238-J239-J240</f>
        <v>1279.2167797657244</v>
      </c>
    </row>
    <row r="242" spans="2:10" ht="13.5" customHeight="1">
      <c r="B242" s="95" t="s">
        <v>290</v>
      </c>
      <c r="C242" s="1"/>
      <c r="D242" s="357">
        <v>1</v>
      </c>
      <c r="E242" s="366">
        <f>+J34</f>
        <v>0.20026967530712109</v>
      </c>
      <c r="F242" s="358"/>
      <c r="G242" s="358"/>
      <c r="H242" s="358"/>
      <c r="I242" s="358"/>
      <c r="J242" s="102">
        <f ca="1">+J241*D242*E242</f>
        <v>256.18832913110265</v>
      </c>
    </row>
    <row r="243" spans="2:10" ht="13.5" customHeight="1">
      <c r="B243" s="54" t="s">
        <v>294</v>
      </c>
      <c r="C243" s="54"/>
      <c r="D243" s="360"/>
      <c r="E243" s="367"/>
      <c r="F243" s="105"/>
      <c r="G243" s="105"/>
      <c r="H243" s="105"/>
      <c r="I243" s="105"/>
      <c r="J243" s="105">
        <f ca="1">+J241-J242</f>
        <v>1023.0284506346218</v>
      </c>
    </row>
    <row r="244" spans="2:10" ht="13.5" customHeight="1">
      <c r="B244" s="59"/>
      <c r="C244" s="59"/>
      <c r="D244" s="87"/>
      <c r="E244" s="255"/>
      <c r="F244" s="201"/>
      <c r="G244" s="201"/>
      <c r="H244" s="201"/>
      <c r="I244" s="201"/>
      <c r="J244" s="201"/>
    </row>
    <row r="245" spans="2:10" ht="13.5" customHeight="1">
      <c r="B245" s="44" t="s">
        <v>298</v>
      </c>
      <c r="C245" s="59"/>
      <c r="D245" s="361" t="s">
        <v>283</v>
      </c>
      <c r="E245" s="363" t="s">
        <v>300</v>
      </c>
      <c r="F245" s="60"/>
      <c r="G245" s="60"/>
      <c r="H245" s="201"/>
      <c r="I245" s="201"/>
      <c r="J245" s="106">
        <f ca="1">+J242+J240+J239</f>
        <v>656.96718913110271</v>
      </c>
    </row>
    <row r="246" spans="2:10" ht="13.5" customHeight="1">
      <c r="B246" s="44" t="s">
        <v>299</v>
      </c>
      <c r="C246" s="1"/>
      <c r="D246" s="357">
        <v>1</v>
      </c>
      <c r="E246" s="369">
        <v>4</v>
      </c>
      <c r="F246" s="358"/>
      <c r="G246" s="358"/>
      <c r="H246" s="358"/>
      <c r="I246" s="358"/>
      <c r="J246" s="102">
        <f>+D246*E246*J228</f>
        <v>824.38160000000016</v>
      </c>
    </row>
    <row r="247" spans="2:10" ht="13.5" customHeight="1">
      <c r="B247" s="54" t="s">
        <v>301</v>
      </c>
      <c r="C247" s="54"/>
      <c r="D247" s="360"/>
      <c r="E247" s="367"/>
      <c r="F247" s="105"/>
      <c r="G247" s="105"/>
      <c r="H247" s="105"/>
      <c r="I247" s="105"/>
      <c r="J247" s="105">
        <f ca="1">MIN(J245,J246)</f>
        <v>656.96718913110271</v>
      </c>
    </row>
    <row r="248" spans="2:10" ht="13.5" customHeight="1">
      <c r="B248" s="59"/>
      <c r="C248" s="59"/>
      <c r="D248" s="87"/>
      <c r="E248" s="255"/>
      <c r="F248" s="201"/>
      <c r="G248" s="201"/>
      <c r="H248" s="201"/>
      <c r="I248" s="201"/>
      <c r="J248" s="201"/>
    </row>
    <row r="249" spans="2:10" ht="13.5" customHeight="1">
      <c r="B249" s="364" t="s">
        <v>293</v>
      </c>
      <c r="C249" s="59"/>
      <c r="D249" s="59"/>
      <c r="E249" s="355"/>
      <c r="F249" s="60"/>
      <c r="G249" s="60"/>
      <c r="H249" s="201"/>
      <c r="I249" s="201"/>
      <c r="J249" s="201"/>
    </row>
    <row r="250" spans="2:10" ht="13.5" customHeight="1">
      <c r="B250" s="44" t="s">
        <v>288</v>
      </c>
      <c r="C250" s="59"/>
      <c r="D250" s="59"/>
      <c r="E250" s="355"/>
      <c r="F250" s="60"/>
      <c r="G250" s="60"/>
      <c r="H250" s="201"/>
      <c r="I250" s="201"/>
      <c r="J250" s="103">
        <f ca="1">+J226</f>
        <v>1679.9956397657245</v>
      </c>
    </row>
    <row r="251" spans="2:10" ht="13.5" customHeight="1">
      <c r="B251" s="95" t="s">
        <v>287</v>
      </c>
      <c r="C251" s="59"/>
      <c r="D251" s="59"/>
      <c r="E251" s="355"/>
      <c r="F251" s="358"/>
      <c r="G251" s="358"/>
      <c r="H251" s="358"/>
      <c r="I251" s="358"/>
      <c r="J251" s="102">
        <f ca="1">+J235</f>
        <v>91.635760000000033</v>
      </c>
    </row>
    <row r="252" spans="2:10" ht="13.5" customHeight="1">
      <c r="B252" s="54" t="s">
        <v>289</v>
      </c>
      <c r="C252" s="54"/>
      <c r="D252" s="54"/>
      <c r="E252" s="365" t="s">
        <v>285</v>
      </c>
      <c r="F252" s="105"/>
      <c r="G252" s="105"/>
      <c r="H252" s="105"/>
      <c r="I252" s="105"/>
      <c r="J252" s="105">
        <f ca="1">+J250-J251</f>
        <v>1588.3598797657244</v>
      </c>
    </row>
    <row r="253" spans="2:10" ht="13.5" customHeight="1">
      <c r="B253" s="95" t="s">
        <v>295</v>
      </c>
      <c r="C253" s="1"/>
      <c r="D253" s="368"/>
      <c r="E253" s="366">
        <f>+J34</f>
        <v>0.20026967530712109</v>
      </c>
      <c r="F253" s="358"/>
      <c r="G253" s="358"/>
      <c r="H253" s="358"/>
      <c r="I253" s="358"/>
      <c r="J253" s="102">
        <f ca="1">+E253*J252</f>
        <v>318.10031739153953</v>
      </c>
    </row>
    <row r="254" spans="2:10" ht="13.5" customHeight="1">
      <c r="B254" s="54" t="s">
        <v>294</v>
      </c>
      <c r="C254" s="54"/>
      <c r="D254" s="360"/>
      <c r="E254" s="367"/>
      <c r="F254" s="105"/>
      <c r="G254" s="105"/>
      <c r="H254" s="105"/>
      <c r="I254" s="105"/>
      <c r="J254" s="105">
        <f ca="1">+J252-J253</f>
        <v>1270.259562374185</v>
      </c>
    </row>
    <row r="255" spans="2:10" ht="13.5" customHeight="1">
      <c r="B255" s="80" t="s">
        <v>296</v>
      </c>
      <c r="C255" s="59"/>
      <c r="D255" s="59"/>
      <c r="E255" s="355"/>
      <c r="F255" s="60"/>
      <c r="G255" s="60"/>
      <c r="H255" s="201"/>
      <c r="I255" s="201"/>
      <c r="J255" s="200">
        <f ca="1">+J253+J251</f>
        <v>409.73607739153954</v>
      </c>
    </row>
    <row r="256" spans="2:10" ht="13.5" customHeight="1">
      <c r="B256" s="44"/>
      <c r="C256" s="59"/>
      <c r="D256" s="59"/>
      <c r="E256" s="355"/>
      <c r="F256" s="60"/>
      <c r="G256" s="60"/>
      <c r="H256" s="201"/>
      <c r="I256" s="201"/>
      <c r="J256" s="106"/>
    </row>
    <row r="257" spans="2:12" ht="13.5" customHeight="1">
      <c r="B257" s="59" t="s">
        <v>297</v>
      </c>
      <c r="C257" s="59"/>
      <c r="D257" s="59"/>
      <c r="E257" s="355"/>
      <c r="F257" s="60"/>
      <c r="G257" s="60"/>
      <c r="H257" s="201"/>
      <c r="I257" s="201"/>
      <c r="J257" s="201">
        <f ca="1">MAX(J255,J247)</f>
        <v>656.96718913110271</v>
      </c>
    </row>
    <row r="258" spans="2:12" ht="13.5" customHeight="1">
      <c r="B258" s="44"/>
      <c r="C258" s="59"/>
      <c r="D258" s="59"/>
      <c r="E258" s="355"/>
      <c r="F258" s="60"/>
      <c r="G258" s="60"/>
      <c r="H258" s="201"/>
      <c r="I258" s="201"/>
      <c r="J258" s="201"/>
    </row>
    <row r="259" spans="2:12" ht="13.5" customHeight="1">
      <c r="B259" s="59"/>
      <c r="C259" s="59"/>
      <c r="D259" s="59"/>
      <c r="E259" s="355"/>
      <c r="F259" s="60"/>
      <c r="G259" s="60"/>
      <c r="H259" s="201"/>
      <c r="I259" s="201"/>
      <c r="J259" s="201"/>
    </row>
    <row r="260" spans="2:12" s="44" customFormat="1" ht="13.5" customHeight="1">
      <c r="B260" s="48" t="s">
        <v>76</v>
      </c>
      <c r="C260" s="48"/>
      <c r="D260" s="48"/>
      <c r="E260" s="155">
        <v>0</v>
      </c>
      <c r="F260" s="74">
        <v>1</v>
      </c>
      <c r="G260" s="74">
        <f>F260+1</f>
        <v>2</v>
      </c>
      <c r="H260" s="74">
        <f>G260+1</f>
        <v>3</v>
      </c>
      <c r="I260" s="74">
        <f>H260+1</f>
        <v>4</v>
      </c>
      <c r="J260" s="74">
        <f>I260+1</f>
        <v>5</v>
      </c>
      <c r="L260" s="137" t="s">
        <v>42</v>
      </c>
    </row>
    <row r="261" spans="2:12" s="44" customFormat="1" ht="13.5" customHeight="1">
      <c r="B261" s="44" t="s">
        <v>80</v>
      </c>
      <c r="E261" s="160">
        <f>-$D$21</f>
        <v>-206.09540000000004</v>
      </c>
      <c r="F261" s="50">
        <v>0</v>
      </c>
      <c r="G261" s="50">
        <v>0</v>
      </c>
      <c r="H261" s="50">
        <v>0</v>
      </c>
      <c r="I261" s="50">
        <v>0</v>
      </c>
      <c r="J261" s="61">
        <f ca="1">+J201</f>
        <v>336.45218129326082</v>
      </c>
      <c r="L261" s="228">
        <f ca="1">IRR(E261:J261)</f>
        <v>0.10298856484640107</v>
      </c>
    </row>
    <row r="262" spans="2:12" s="44" customFormat="1" ht="13.5" customHeight="1">
      <c r="B262" s="44" t="s">
        <v>81</v>
      </c>
      <c r="E262" s="160">
        <f>-$D$21</f>
        <v>-206.09540000000004</v>
      </c>
      <c r="F262" s="50">
        <v>0</v>
      </c>
      <c r="G262" s="50">
        <v>0</v>
      </c>
      <c r="H262" s="61">
        <f ca="1">+H215</f>
        <v>72.914262351963771</v>
      </c>
      <c r="I262" s="61">
        <f ca="1">+I215</f>
        <v>92.165943460932439</v>
      </c>
      <c r="J262" s="61">
        <f ca="1">+J215</f>
        <v>114.39374163970865</v>
      </c>
      <c r="L262" s="228">
        <f ca="1">IRR(E262:J262)</f>
        <v>7.664149995674796E-2</v>
      </c>
    </row>
    <row r="263" spans="2:12" s="44" customFormat="1" ht="13.5" customHeight="1">
      <c r="B263" s="44" t="s">
        <v>302</v>
      </c>
      <c r="E263" s="160">
        <f>E262</f>
        <v>-206.09540000000004</v>
      </c>
      <c r="F263" s="50">
        <v>0</v>
      </c>
      <c r="G263" s="50">
        <v>0</v>
      </c>
      <c r="H263" s="50">
        <v>0</v>
      </c>
      <c r="I263" s="50">
        <v>0</v>
      </c>
      <c r="J263" s="61">
        <f ca="1">+J257</f>
        <v>656.96718913110271</v>
      </c>
      <c r="L263" s="228">
        <f ca="1">IRR(E263:J263)</f>
        <v>0.26094190038476284</v>
      </c>
    </row>
    <row r="264" spans="2:12">
      <c r="E264" s="112"/>
    </row>
  </sheetData>
  <pageMargins left="0.7" right="0.7" top="0.75" bottom="0.75" header="0.3" footer="0.3"/>
  <pageSetup scale="80" orientation="portrait" r:id="rId1"/>
  <rowBreaks count="3" manualBreakCount="3">
    <brk id="58" max="10" man="1"/>
    <brk id="139" max="10" man="1"/>
    <brk id="170" max="10" man="1"/>
  </rowBreaks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7161-9E0C-4BAC-B6A3-D2109C6F9356}">
  <dimension ref="A1:S154"/>
  <sheetViews>
    <sheetView showGridLines="0" zoomScale="140" zoomScaleNormal="140" zoomScaleSheetLayoutView="130" workbookViewId="0"/>
  </sheetViews>
  <sheetFormatPr defaultColWidth="9.1328125" defaultRowHeight="13.15"/>
  <cols>
    <col min="1" max="1" width="6.3984375" style="2" customWidth="1"/>
    <col min="2" max="2" width="22" style="2" customWidth="1"/>
    <col min="3" max="7" width="9.73046875" style="2" customWidth="1"/>
    <col min="8" max="8" width="10.265625" style="2" bestFit="1" customWidth="1"/>
    <col min="9" max="14" width="9.1328125" style="2"/>
    <col min="15" max="16384" width="9.1328125" style="1"/>
  </cols>
  <sheetData>
    <row r="1" spans="1:19" s="2" customFormat="1">
      <c r="B1" s="15"/>
    </row>
    <row r="2" spans="1:19" s="2" customFormat="1">
      <c r="B2" s="3" t="s">
        <v>130</v>
      </c>
      <c r="C2" s="3"/>
      <c r="D2" s="3"/>
      <c r="E2" s="3"/>
      <c r="F2" s="3"/>
      <c r="G2" s="3"/>
      <c r="H2" s="126"/>
      <c r="I2" s="4"/>
      <c r="J2" s="4"/>
      <c r="K2" s="4"/>
      <c r="L2" s="4"/>
      <c r="M2" s="19" t="s">
        <v>37</v>
      </c>
    </row>
    <row r="3" spans="1:19" s="2" customFormat="1">
      <c r="B3" s="5" t="s">
        <v>104</v>
      </c>
      <c r="C3" s="10"/>
      <c r="D3" s="10"/>
      <c r="E3" s="10"/>
      <c r="F3" s="108">
        <v>-2</v>
      </c>
      <c r="G3" s="108">
        <v>-1</v>
      </c>
      <c r="H3" s="89">
        <v>0</v>
      </c>
      <c r="I3" s="10">
        <v>1</v>
      </c>
      <c r="J3" s="10">
        <f>I3+1</f>
        <v>2</v>
      </c>
      <c r="K3" s="10">
        <f>J3+1</f>
        <v>3</v>
      </c>
      <c r="L3" s="10">
        <f>K3+1</f>
        <v>4</v>
      </c>
      <c r="M3" s="10">
        <f>L3+1</f>
        <v>5</v>
      </c>
    </row>
    <row r="4" spans="1:19" s="2" customFormat="1">
      <c r="B4" s="2" t="s">
        <v>102</v>
      </c>
      <c r="F4" s="246">
        <v>12</v>
      </c>
      <c r="G4" s="94">
        <f>+F8</f>
        <v>22.6</v>
      </c>
      <c r="H4" s="125">
        <f t="shared" ref="H4:M4" si="0">+G8</f>
        <v>38.800000000000004</v>
      </c>
      <c r="I4" s="94">
        <f t="shared" si="0"/>
        <v>59.800000000000004</v>
      </c>
      <c r="J4" s="94">
        <f t="shared" si="0"/>
        <v>83.912000000000006</v>
      </c>
      <c r="K4" s="94">
        <f t="shared" si="0"/>
        <v>109.74512</v>
      </c>
      <c r="L4" s="94">
        <f t="shared" si="0"/>
        <v>139.46395519999999</v>
      </c>
      <c r="M4" s="94">
        <f t="shared" si="0"/>
        <v>172.16179699199998</v>
      </c>
    </row>
    <row r="5" spans="1:19" s="2" customFormat="1">
      <c r="B5" s="21" t="s">
        <v>103</v>
      </c>
      <c r="F5" s="36">
        <f>+F112</f>
        <v>12</v>
      </c>
      <c r="G5" s="36">
        <f t="shared" ref="G5:M5" si="1">+G112</f>
        <v>18</v>
      </c>
      <c r="H5" s="115">
        <f t="shared" si="1"/>
        <v>24</v>
      </c>
      <c r="I5" s="36">
        <f t="shared" si="1"/>
        <v>30</v>
      </c>
      <c r="J5" s="36">
        <f t="shared" si="1"/>
        <v>33.6</v>
      </c>
      <c r="K5" s="36">
        <f t="shared" si="1"/>
        <v>39.200000000000003</v>
      </c>
      <c r="L5" s="36">
        <f t="shared" si="1"/>
        <v>44.2</v>
      </c>
      <c r="M5" s="36">
        <f t="shared" si="1"/>
        <v>52</v>
      </c>
      <c r="O5" s="9"/>
      <c r="P5" s="9"/>
      <c r="Q5" s="9"/>
      <c r="R5" s="261"/>
      <c r="S5" s="262"/>
    </row>
    <row r="6" spans="1:19" s="2" customFormat="1">
      <c r="B6" s="21" t="s">
        <v>106</v>
      </c>
      <c r="F6" s="36">
        <f>-F85</f>
        <v>-1.4000000000000001</v>
      </c>
      <c r="G6" s="36">
        <f t="shared" ref="G6:M6" si="2">-G85</f>
        <v>-1.8</v>
      </c>
      <c r="H6" s="115">
        <f t="shared" si="2"/>
        <v>-3</v>
      </c>
      <c r="I6" s="36">
        <f t="shared" si="2"/>
        <v>-5.8879999999999999</v>
      </c>
      <c r="J6" s="36">
        <f t="shared" si="2"/>
        <v>-7.7668800000000022</v>
      </c>
      <c r="K6" s="36">
        <f t="shared" si="2"/>
        <v>-9.4811648000000037</v>
      </c>
      <c r="L6" s="36">
        <f t="shared" si="2"/>
        <v>-11.502158208000008</v>
      </c>
      <c r="M6" s="36">
        <f t="shared" si="2"/>
        <v>-13.606775879680008</v>
      </c>
      <c r="R6" s="262"/>
      <c r="S6" s="263"/>
    </row>
    <row r="7" spans="1:19" s="2" customFormat="1">
      <c r="B7" s="21" t="s">
        <v>107</v>
      </c>
      <c r="F7" s="36">
        <f>+F98</f>
        <v>0</v>
      </c>
      <c r="G7" s="36">
        <f t="shared" ref="G7:M7" si="3">+G98</f>
        <v>0</v>
      </c>
      <c r="H7" s="115">
        <f t="shared" si="3"/>
        <v>0</v>
      </c>
      <c r="I7" s="36">
        <f t="shared" si="3"/>
        <v>0</v>
      </c>
      <c r="J7" s="36">
        <f t="shared" si="3"/>
        <v>0</v>
      </c>
      <c r="K7" s="36">
        <f t="shared" si="3"/>
        <v>0</v>
      </c>
      <c r="L7" s="36">
        <f t="shared" si="3"/>
        <v>0</v>
      </c>
      <c r="M7" s="36">
        <f t="shared" si="3"/>
        <v>0</v>
      </c>
      <c r="R7" s="263"/>
      <c r="S7" s="263"/>
    </row>
    <row r="8" spans="1:19" s="8" customFormat="1" ht="12.75">
      <c r="B8" s="43" t="s">
        <v>109</v>
      </c>
      <c r="C8" s="88"/>
      <c r="D8" s="88"/>
      <c r="E8" s="88"/>
      <c r="F8" s="131">
        <f>SUM(F4:F7)</f>
        <v>22.6</v>
      </c>
      <c r="G8" s="131">
        <f t="shared" ref="G8:M8" si="4">SUM(G4:G7)</f>
        <v>38.800000000000004</v>
      </c>
      <c r="H8" s="132">
        <f t="shared" si="4"/>
        <v>59.800000000000004</v>
      </c>
      <c r="I8" s="131">
        <f t="shared" si="4"/>
        <v>83.912000000000006</v>
      </c>
      <c r="J8" s="131">
        <f t="shared" si="4"/>
        <v>109.74512</v>
      </c>
      <c r="K8" s="131">
        <f t="shared" si="4"/>
        <v>139.46395519999999</v>
      </c>
      <c r="L8" s="131">
        <f t="shared" si="4"/>
        <v>172.16179699199998</v>
      </c>
      <c r="M8" s="131">
        <f t="shared" si="4"/>
        <v>210.55502111231996</v>
      </c>
      <c r="R8" s="263"/>
      <c r="S8" s="263"/>
    </row>
    <row r="9" spans="1:19" s="128" customFormat="1">
      <c r="A9" s="8"/>
      <c r="B9" s="15"/>
      <c r="C9" s="8"/>
      <c r="D9" s="8"/>
      <c r="E9" s="8"/>
      <c r="F9" s="172"/>
      <c r="G9" s="172"/>
      <c r="H9" s="173"/>
      <c r="I9" s="172"/>
      <c r="J9" s="172"/>
      <c r="K9" s="172"/>
      <c r="L9" s="172"/>
      <c r="M9" s="172"/>
      <c r="N9" s="8"/>
      <c r="R9" s="263"/>
    </row>
    <row r="10" spans="1:19">
      <c r="B10" s="138" t="s">
        <v>132</v>
      </c>
      <c r="F10" s="234">
        <v>0.85</v>
      </c>
      <c r="G10" s="234">
        <v>0.85</v>
      </c>
      <c r="H10" s="235">
        <v>0.85</v>
      </c>
      <c r="I10" s="234">
        <v>0.85</v>
      </c>
      <c r="J10" s="234">
        <v>0.85</v>
      </c>
      <c r="K10" s="234">
        <v>0.85</v>
      </c>
      <c r="L10" s="234">
        <v>0.85</v>
      </c>
      <c r="M10" s="234">
        <v>0.85</v>
      </c>
    </row>
    <row r="11" spans="1:19">
      <c r="B11" s="43" t="s">
        <v>122</v>
      </c>
      <c r="C11" s="7"/>
      <c r="D11" s="7"/>
      <c r="E11" s="7"/>
      <c r="F11" s="129">
        <f>+F10*F8</f>
        <v>19.21</v>
      </c>
      <c r="G11" s="129">
        <f>+G10*G8</f>
        <v>32.980000000000004</v>
      </c>
      <c r="H11" s="130">
        <f>+H10*H8</f>
        <v>50.830000000000005</v>
      </c>
      <c r="I11" s="129">
        <f t="shared" ref="I11:M11" si="5">+I10*I8</f>
        <v>71.325200000000009</v>
      </c>
      <c r="J11" s="129">
        <f t="shared" si="5"/>
        <v>93.283351999999994</v>
      </c>
      <c r="K11" s="129">
        <f t="shared" si="5"/>
        <v>118.54436191999999</v>
      </c>
      <c r="L11" s="129">
        <f t="shared" si="5"/>
        <v>146.33752744319997</v>
      </c>
      <c r="M11" s="129">
        <f t="shared" si="5"/>
        <v>178.97176794547195</v>
      </c>
    </row>
    <row r="12" spans="1:19">
      <c r="B12" s="171" t="s">
        <v>12</v>
      </c>
      <c r="F12" s="166"/>
      <c r="G12" s="307">
        <f>+IFERROR(G11/F11-1, "n/a")</f>
        <v>0.71681415929203562</v>
      </c>
      <c r="H12" s="308">
        <f t="shared" ref="H12" si="6">+IFERROR(H11/G11-1, "n/a")</f>
        <v>0.54123711340206193</v>
      </c>
      <c r="I12" s="309">
        <f t="shared" ref="I12" si="7">+IFERROR(I11/H11-1, "n/a")</f>
        <v>0.40321070234113709</v>
      </c>
      <c r="J12" s="309">
        <f t="shared" ref="J12" si="8">+IFERROR(J11/I11-1, "n/a")</f>
        <v>0.30785966250357499</v>
      </c>
      <c r="K12" s="309">
        <f t="shared" ref="K12" si="9">+IFERROR(K11/J11-1, "n/a")</f>
        <v>0.27079869428362735</v>
      </c>
      <c r="L12" s="309">
        <f t="shared" ref="L12" si="10">+IFERROR(L11/K11-1, "n/a")</f>
        <v>0.2344537106029243</v>
      </c>
      <c r="M12" s="309">
        <f t="shared" ref="M12" si="11">+IFERROR(M11/L11-1, "n/a")</f>
        <v>0.22300664137528736</v>
      </c>
    </row>
    <row r="13" spans="1:19">
      <c r="H13" s="90"/>
      <c r="I13" s="16"/>
      <c r="J13" s="16"/>
      <c r="K13" s="16"/>
      <c r="L13" s="16"/>
      <c r="M13" s="16"/>
    </row>
    <row r="14" spans="1:19" s="2" customFormat="1">
      <c r="C14" s="35"/>
      <c r="D14" s="35"/>
      <c r="E14" s="35"/>
      <c r="H14" s="112"/>
    </row>
    <row r="15" spans="1:19" s="2" customFormat="1">
      <c r="B15" s="3" t="s">
        <v>131</v>
      </c>
      <c r="C15" s="3"/>
      <c r="D15" s="3"/>
      <c r="E15" s="3"/>
      <c r="F15" s="3"/>
      <c r="G15" s="3"/>
      <c r="H15" s="126"/>
      <c r="I15" s="4"/>
      <c r="J15" s="4"/>
      <c r="K15" s="4"/>
      <c r="L15" s="4"/>
      <c r="M15" s="19" t="s">
        <v>37</v>
      </c>
    </row>
    <row r="16" spans="1:19" s="2" customFormat="1">
      <c r="B16" s="5" t="s">
        <v>100</v>
      </c>
      <c r="C16" s="10"/>
      <c r="D16" s="10"/>
      <c r="E16" s="10"/>
      <c r="F16" s="108">
        <f t="shared" ref="F16:M16" si="12">+F$3</f>
        <v>-2</v>
      </c>
      <c r="G16" s="108">
        <f t="shared" si="12"/>
        <v>-1</v>
      </c>
      <c r="H16" s="89">
        <f t="shared" si="12"/>
        <v>0</v>
      </c>
      <c r="I16" s="10">
        <f t="shared" si="12"/>
        <v>1</v>
      </c>
      <c r="J16" s="10">
        <f t="shared" si="12"/>
        <v>2</v>
      </c>
      <c r="K16" s="10">
        <f t="shared" si="12"/>
        <v>3</v>
      </c>
      <c r="L16" s="10">
        <f t="shared" si="12"/>
        <v>4</v>
      </c>
      <c r="M16" s="10">
        <f t="shared" si="12"/>
        <v>5</v>
      </c>
    </row>
    <row r="17" spans="2:15" s="2" customFormat="1">
      <c r="C17" s="117" t="s">
        <v>232</v>
      </c>
      <c r="D17" s="117"/>
      <c r="E17" s="35"/>
      <c r="F17" s="116"/>
      <c r="G17" s="116"/>
      <c r="H17" s="91"/>
      <c r="I17" s="35"/>
      <c r="J17" s="35"/>
      <c r="K17" s="35"/>
      <c r="L17" s="35"/>
      <c r="M17" s="35"/>
    </row>
    <row r="18" spans="2:15" s="2" customFormat="1">
      <c r="B18" s="2" t="s">
        <v>129</v>
      </c>
      <c r="C18" s="152" t="s">
        <v>99</v>
      </c>
      <c r="D18" s="245"/>
      <c r="E18" s="35"/>
      <c r="F18" s="14">
        <v>53</v>
      </c>
      <c r="G18" s="14">
        <v>48</v>
      </c>
      <c r="H18" s="90">
        <v>45</v>
      </c>
      <c r="I18" s="16">
        <f>H18*I34</f>
        <v>43.199999999999996</v>
      </c>
      <c r="J18" s="16">
        <f t="shared" ref="J18:M18" si="13">I18*J34</f>
        <v>41.471999999999994</v>
      </c>
      <c r="K18" s="16">
        <f t="shared" si="13"/>
        <v>39.813119999999991</v>
      </c>
      <c r="L18" s="16">
        <f t="shared" si="13"/>
        <v>38.220595199999991</v>
      </c>
      <c r="M18" s="16">
        <f t="shared" si="13"/>
        <v>36.691771391999993</v>
      </c>
    </row>
    <row r="19" spans="2:15" s="2" customFormat="1">
      <c r="B19" s="113">
        <v>-2</v>
      </c>
      <c r="C19" s="143">
        <f>+F120</f>
        <v>60</v>
      </c>
      <c r="D19" s="245"/>
      <c r="F19" s="140">
        <f>+$C19</f>
        <v>60</v>
      </c>
      <c r="G19" s="14">
        <v>56</v>
      </c>
      <c r="H19" s="90">
        <v>54</v>
      </c>
      <c r="I19" s="16">
        <f t="shared" ref="I19:M19" si="14">H19*I35</f>
        <v>50.76</v>
      </c>
      <c r="J19" s="16">
        <f t="shared" si="14"/>
        <v>48.729599999999998</v>
      </c>
      <c r="K19" s="16">
        <f t="shared" si="14"/>
        <v>46.780415999999995</v>
      </c>
      <c r="L19" s="16">
        <f t="shared" si="14"/>
        <v>44.909199359999995</v>
      </c>
      <c r="M19" s="16">
        <f t="shared" si="14"/>
        <v>43.112831385599996</v>
      </c>
    </row>
    <row r="20" spans="2:15" s="2" customFormat="1">
      <c r="B20" s="113">
        <v>-1</v>
      </c>
      <c r="C20" s="143">
        <f>+G120</f>
        <v>90</v>
      </c>
      <c r="D20" s="124"/>
      <c r="F20" s="16"/>
      <c r="G20" s="140">
        <f>+$C20</f>
        <v>90</v>
      </c>
      <c r="H20" s="90">
        <v>80</v>
      </c>
      <c r="I20" s="16">
        <f t="shared" ref="I20:M20" si="15">H20*I36</f>
        <v>73.600000000000009</v>
      </c>
      <c r="J20" s="16">
        <f t="shared" si="15"/>
        <v>69.183999999999997</v>
      </c>
      <c r="K20" s="16">
        <f t="shared" si="15"/>
        <v>66.416640000000001</v>
      </c>
      <c r="L20" s="16">
        <f t="shared" si="15"/>
        <v>63.759974399999997</v>
      </c>
      <c r="M20" s="16">
        <f t="shared" si="15"/>
        <v>61.209575423999993</v>
      </c>
    </row>
    <row r="21" spans="2:15" s="2" customFormat="1">
      <c r="B21" s="113">
        <v>0</v>
      </c>
      <c r="C21" s="143">
        <f>+H120</f>
        <v>120</v>
      </c>
      <c r="D21" s="124"/>
      <c r="F21" s="16"/>
      <c r="G21" s="16"/>
      <c r="H21" s="176">
        <f>+$C21</f>
        <v>120</v>
      </c>
      <c r="I21" s="16">
        <f t="shared" ref="I21:M21" si="16">H21*I37</f>
        <v>102</v>
      </c>
      <c r="J21" s="16">
        <f t="shared" si="16"/>
        <v>93.84</v>
      </c>
      <c r="K21" s="16">
        <f t="shared" si="16"/>
        <v>88.209599999999995</v>
      </c>
      <c r="L21" s="16">
        <f t="shared" si="16"/>
        <v>84.681215999999992</v>
      </c>
      <c r="M21" s="16">
        <f t="shared" si="16"/>
        <v>81.293967359999996</v>
      </c>
      <c r="O21" s="38"/>
    </row>
    <row r="22" spans="2:15" s="2" customFormat="1">
      <c r="B22" s="113">
        <v>1</v>
      </c>
      <c r="C22" s="143">
        <f>+I120</f>
        <v>150</v>
      </c>
      <c r="D22" s="124"/>
      <c r="F22" s="14"/>
      <c r="G22" s="14"/>
      <c r="H22" s="176"/>
      <c r="I22" s="140">
        <f>+$C22</f>
        <v>150</v>
      </c>
      <c r="J22" s="16">
        <f t="shared" ref="J22:M22" si="17">I22*J38</f>
        <v>127.5</v>
      </c>
      <c r="K22" s="16">
        <f t="shared" si="17"/>
        <v>117.30000000000001</v>
      </c>
      <c r="L22" s="16">
        <f t="shared" si="17"/>
        <v>110.262</v>
      </c>
      <c r="M22" s="16">
        <f t="shared" si="17"/>
        <v>105.85151999999999</v>
      </c>
    </row>
    <row r="23" spans="2:15" s="2" customFormat="1">
      <c r="B23" s="113">
        <v>2</v>
      </c>
      <c r="C23" s="143">
        <f>+J120</f>
        <v>168</v>
      </c>
      <c r="D23" s="124"/>
      <c r="F23" s="16"/>
      <c r="G23" s="16"/>
      <c r="H23" s="109"/>
      <c r="I23" s="16"/>
      <c r="J23" s="140">
        <f>+$C23</f>
        <v>168</v>
      </c>
      <c r="K23" s="16">
        <f t="shared" ref="K23:M23" si="18">J23*K39</f>
        <v>142.79999999999998</v>
      </c>
      <c r="L23" s="16">
        <f t="shared" si="18"/>
        <v>131.37599999999998</v>
      </c>
      <c r="M23" s="16">
        <f t="shared" si="18"/>
        <v>123.49343999999996</v>
      </c>
      <c r="N23" s="39"/>
    </row>
    <row r="24" spans="2:15" s="2" customFormat="1">
      <c r="B24" s="113">
        <v>3</v>
      </c>
      <c r="C24" s="143">
        <f>+K120</f>
        <v>196</v>
      </c>
      <c r="D24" s="124"/>
      <c r="F24" s="16"/>
      <c r="G24" s="16"/>
      <c r="H24" s="109"/>
      <c r="I24" s="16"/>
      <c r="J24" s="16"/>
      <c r="K24" s="140">
        <f>+$C24</f>
        <v>196</v>
      </c>
      <c r="L24" s="16">
        <f t="shared" ref="L24:M24" si="19">K24*L40</f>
        <v>166.6</v>
      </c>
      <c r="M24" s="16">
        <f t="shared" si="19"/>
        <v>153.27199999999999</v>
      </c>
      <c r="N24" s="39"/>
    </row>
    <row r="25" spans="2:15" s="2" customFormat="1">
      <c r="B25" s="113">
        <v>4</v>
      </c>
      <c r="C25" s="143">
        <f>+L120</f>
        <v>221</v>
      </c>
      <c r="D25" s="124"/>
      <c r="F25" s="16"/>
      <c r="G25" s="16"/>
      <c r="H25" s="109"/>
      <c r="I25" s="16"/>
      <c r="J25" s="16"/>
      <c r="K25" s="16"/>
      <c r="L25" s="140">
        <f>+$C25</f>
        <v>221</v>
      </c>
      <c r="M25" s="16">
        <f t="shared" ref="M25" si="20">L25*M41</f>
        <v>187.85</v>
      </c>
      <c r="N25" s="39"/>
      <c r="O25" s="39"/>
    </row>
    <row r="26" spans="2:15" s="2" customFormat="1">
      <c r="B26" s="113">
        <v>5</v>
      </c>
      <c r="C26" s="143">
        <f>+M120</f>
        <v>260</v>
      </c>
      <c r="D26" s="124"/>
      <c r="F26" s="16"/>
      <c r="G26" s="16"/>
      <c r="H26" s="109"/>
      <c r="I26" s="16"/>
      <c r="J26" s="16"/>
      <c r="K26" s="16"/>
      <c r="L26" s="16"/>
      <c r="M26" s="140">
        <f>+$C26</f>
        <v>260</v>
      </c>
    </row>
    <row r="27" spans="2:15" s="2" customFormat="1">
      <c r="B27" s="43" t="s">
        <v>57</v>
      </c>
      <c r="C27" s="43"/>
      <c r="D27" s="43"/>
      <c r="E27" s="43"/>
      <c r="F27" s="141">
        <f t="shared" ref="F27:M27" si="21">SUM(F18:F26)</f>
        <v>113</v>
      </c>
      <c r="G27" s="141">
        <f t="shared" si="21"/>
        <v>194</v>
      </c>
      <c r="H27" s="142">
        <f t="shared" si="21"/>
        <v>299</v>
      </c>
      <c r="I27" s="141">
        <f t="shared" si="21"/>
        <v>419.56</v>
      </c>
      <c r="J27" s="141">
        <f t="shared" si="21"/>
        <v>548.72559999999999</v>
      </c>
      <c r="K27" s="141">
        <f t="shared" si="21"/>
        <v>697.31977599999993</v>
      </c>
      <c r="L27" s="141">
        <f t="shared" si="21"/>
        <v>860.80898495999998</v>
      </c>
      <c r="M27" s="141">
        <f t="shared" si="21"/>
        <v>1052.7751055616</v>
      </c>
    </row>
    <row r="28" spans="2:15" s="2" customFormat="1">
      <c r="F28" s="36"/>
      <c r="G28" s="36"/>
      <c r="H28" s="115"/>
      <c r="I28" s="36"/>
      <c r="J28" s="36"/>
      <c r="K28" s="36"/>
      <c r="L28" s="36"/>
      <c r="M28" s="36"/>
    </row>
    <row r="29" spans="2:15" s="2" customFormat="1">
      <c r="F29" s="36"/>
      <c r="G29" s="36"/>
      <c r="H29" s="115"/>
      <c r="I29" s="36"/>
      <c r="J29" s="36"/>
      <c r="K29" s="36"/>
      <c r="L29" s="36"/>
      <c r="M29" s="36"/>
    </row>
    <row r="30" spans="2:15" s="2" customFormat="1">
      <c r="B30" s="292" t="s">
        <v>158</v>
      </c>
      <c r="C30" s="293"/>
      <c r="D30" s="293"/>
      <c r="E30" s="293" t="s">
        <v>157</v>
      </c>
      <c r="F30" s="294" t="s">
        <v>154</v>
      </c>
      <c r="G30" s="294" t="s">
        <v>156</v>
      </c>
      <c r="H30" s="294" t="s">
        <v>155</v>
      </c>
      <c r="I30" s="295" t="s">
        <v>159</v>
      </c>
      <c r="K30" s="36"/>
      <c r="L30" s="36"/>
      <c r="M30" s="36"/>
    </row>
    <row r="31" spans="2:15" s="2" customFormat="1">
      <c r="B31" s="247" t="s">
        <v>160</v>
      </c>
      <c r="C31" s="248"/>
      <c r="D31" s="248"/>
      <c r="E31" s="249">
        <v>0.85</v>
      </c>
      <c r="F31" s="249">
        <v>0.92</v>
      </c>
      <c r="G31" s="249">
        <v>0.94</v>
      </c>
      <c r="H31" s="249">
        <v>0.96</v>
      </c>
      <c r="I31" s="250">
        <v>0.96</v>
      </c>
      <c r="K31" s="36"/>
      <c r="L31" s="36"/>
      <c r="M31" s="36"/>
    </row>
    <row r="32" spans="2:15" s="2" customFormat="1">
      <c r="H32" s="90"/>
      <c r="I32" s="16"/>
      <c r="J32" s="16"/>
      <c r="K32" s="16"/>
      <c r="L32" s="16"/>
      <c r="M32" s="16"/>
    </row>
    <row r="33" spans="2:13" s="2" customFormat="1">
      <c r="B33" s="5" t="s">
        <v>98</v>
      </c>
      <c r="C33" s="10"/>
      <c r="D33" s="10"/>
      <c r="E33" s="10"/>
      <c r="F33" s="108">
        <f t="shared" ref="F33:M33" si="22">+F$3</f>
        <v>-2</v>
      </c>
      <c r="G33" s="108">
        <f t="shared" si="22"/>
        <v>-1</v>
      </c>
      <c r="H33" s="89">
        <f t="shared" si="22"/>
        <v>0</v>
      </c>
      <c r="I33" s="10">
        <f t="shared" si="22"/>
        <v>1</v>
      </c>
      <c r="J33" s="10">
        <f t="shared" si="22"/>
        <v>2</v>
      </c>
      <c r="K33" s="10">
        <f t="shared" si="22"/>
        <v>3</v>
      </c>
      <c r="L33" s="10">
        <f t="shared" si="22"/>
        <v>4</v>
      </c>
      <c r="M33" s="10">
        <f t="shared" si="22"/>
        <v>5</v>
      </c>
    </row>
    <row r="34" spans="2:13" s="2" customFormat="1">
      <c r="B34" s="113" t="str">
        <f t="shared" ref="B34:B42" si="23">+B18</f>
        <v>Before Year -2</v>
      </c>
      <c r="F34" s="119"/>
      <c r="G34" s="119">
        <f>+G18/F18</f>
        <v>0.90566037735849059</v>
      </c>
      <c r="H34" s="123">
        <f t="shared" ref="H34:H36" si="24">+H18/G18</f>
        <v>0.9375</v>
      </c>
      <c r="I34" s="238">
        <v>0.96</v>
      </c>
      <c r="J34" s="238">
        <v>0.96</v>
      </c>
      <c r="K34" s="238">
        <v>0.96</v>
      </c>
      <c r="L34" s="238">
        <v>0.96</v>
      </c>
      <c r="M34" s="238">
        <v>0.96</v>
      </c>
    </row>
    <row r="35" spans="2:13" s="2" customFormat="1">
      <c r="B35" s="113">
        <f t="shared" si="23"/>
        <v>-2</v>
      </c>
      <c r="F35" s="18"/>
      <c r="G35" s="119">
        <f>+G19/F19</f>
        <v>0.93333333333333335</v>
      </c>
      <c r="H35" s="123">
        <f t="shared" si="24"/>
        <v>0.9642857142857143</v>
      </c>
      <c r="I35" s="238">
        <v>0.94</v>
      </c>
      <c r="J35" s="238">
        <v>0.96</v>
      </c>
      <c r="K35" s="238">
        <v>0.96</v>
      </c>
      <c r="L35" s="238">
        <v>0.96</v>
      </c>
      <c r="M35" s="238">
        <v>0.96</v>
      </c>
    </row>
    <row r="36" spans="2:13" s="2" customFormat="1">
      <c r="B36" s="113">
        <f t="shared" si="23"/>
        <v>-1</v>
      </c>
      <c r="F36" s="18"/>
      <c r="G36" s="18"/>
      <c r="H36" s="123">
        <f t="shared" si="24"/>
        <v>0.88888888888888884</v>
      </c>
      <c r="I36" s="238">
        <v>0.92</v>
      </c>
      <c r="J36" s="238">
        <v>0.94</v>
      </c>
      <c r="K36" s="238">
        <v>0.96</v>
      </c>
      <c r="L36" s="238">
        <v>0.96</v>
      </c>
      <c r="M36" s="238">
        <v>0.96</v>
      </c>
    </row>
    <row r="37" spans="2:13" s="2" customFormat="1">
      <c r="B37" s="113">
        <f t="shared" si="23"/>
        <v>0</v>
      </c>
      <c r="F37" s="18"/>
      <c r="G37" s="18"/>
      <c r="H37" s="121"/>
      <c r="I37" s="238">
        <v>0.85</v>
      </c>
      <c r="J37" s="238">
        <v>0.92</v>
      </c>
      <c r="K37" s="238">
        <v>0.94</v>
      </c>
      <c r="L37" s="238">
        <v>0.96</v>
      </c>
      <c r="M37" s="238">
        <v>0.96</v>
      </c>
    </row>
    <row r="38" spans="2:13" s="2" customFormat="1">
      <c r="B38" s="113">
        <f t="shared" si="23"/>
        <v>1</v>
      </c>
      <c r="F38" s="18"/>
      <c r="G38" s="18"/>
      <c r="H38" s="121"/>
      <c r="I38" s="120"/>
      <c r="J38" s="238">
        <v>0.85</v>
      </c>
      <c r="K38" s="238">
        <v>0.92</v>
      </c>
      <c r="L38" s="238">
        <v>0.94</v>
      </c>
      <c r="M38" s="238">
        <v>0.96</v>
      </c>
    </row>
    <row r="39" spans="2:13" s="2" customFormat="1">
      <c r="B39" s="113">
        <f t="shared" si="23"/>
        <v>2</v>
      </c>
      <c r="F39" s="18"/>
      <c r="G39" s="18"/>
      <c r="H39" s="121"/>
      <c r="I39" s="120"/>
      <c r="J39" s="39"/>
      <c r="K39" s="238">
        <v>0.85</v>
      </c>
      <c r="L39" s="238">
        <v>0.92</v>
      </c>
      <c r="M39" s="238">
        <v>0.94</v>
      </c>
    </row>
    <row r="40" spans="2:13" s="2" customFormat="1">
      <c r="B40" s="113">
        <f t="shared" si="23"/>
        <v>3</v>
      </c>
      <c r="F40" s="18"/>
      <c r="G40" s="18"/>
      <c r="H40" s="121"/>
      <c r="I40" s="120"/>
      <c r="J40" s="39"/>
      <c r="K40" s="39"/>
      <c r="L40" s="238">
        <v>0.85</v>
      </c>
      <c r="M40" s="238">
        <v>0.92</v>
      </c>
    </row>
    <row r="41" spans="2:13" s="2" customFormat="1">
      <c r="B41" s="113">
        <f t="shared" si="23"/>
        <v>4</v>
      </c>
      <c r="F41" s="18"/>
      <c r="G41" s="18"/>
      <c r="H41" s="121"/>
      <c r="I41" s="120"/>
      <c r="J41" s="39"/>
      <c r="K41" s="39"/>
      <c r="L41" s="39"/>
      <c r="M41" s="238">
        <v>0.85</v>
      </c>
    </row>
    <row r="42" spans="2:13" s="2" customFormat="1">
      <c r="B42" s="113">
        <f t="shared" si="23"/>
        <v>5</v>
      </c>
      <c r="F42" s="18"/>
      <c r="G42" s="18"/>
      <c r="H42" s="121"/>
      <c r="I42" s="120"/>
      <c r="J42" s="39"/>
      <c r="K42" s="39"/>
      <c r="L42" s="39"/>
      <c r="M42" s="39"/>
    </row>
    <row r="43" spans="2:13" s="2" customFormat="1">
      <c r="B43" s="7" t="s">
        <v>57</v>
      </c>
      <c r="C43" s="7"/>
      <c r="D43" s="7"/>
      <c r="E43" s="7"/>
      <c r="F43" s="37"/>
      <c r="G43" s="37"/>
      <c r="H43" s="111"/>
      <c r="I43" s="37"/>
      <c r="J43" s="37"/>
      <c r="K43" s="37"/>
      <c r="L43" s="37"/>
      <c r="M43" s="37"/>
    </row>
    <row r="44" spans="2:13" s="2" customFormat="1">
      <c r="H44" s="90"/>
      <c r="I44" s="16"/>
      <c r="J44" s="16"/>
      <c r="K44" s="16"/>
      <c r="L44" s="16"/>
      <c r="M44" s="16"/>
    </row>
    <row r="45" spans="2:13" s="2" customFormat="1">
      <c r="C45" s="35"/>
      <c r="D45" s="35"/>
      <c r="E45" s="35"/>
      <c r="F45" s="35"/>
      <c r="G45" s="35"/>
      <c r="H45" s="91"/>
      <c r="I45" s="35"/>
      <c r="J45" s="35"/>
      <c r="K45" s="35"/>
      <c r="L45" s="35"/>
      <c r="M45" s="35"/>
    </row>
    <row r="46" spans="2:13" s="2" customFormat="1">
      <c r="B46" s="5" t="s">
        <v>117</v>
      </c>
      <c r="C46" s="10"/>
      <c r="D46" s="10"/>
      <c r="E46" s="10"/>
      <c r="F46" s="108">
        <f t="shared" ref="F46:M46" si="25">+F$3</f>
        <v>-2</v>
      </c>
      <c r="G46" s="108">
        <f t="shared" si="25"/>
        <v>-1</v>
      </c>
      <c r="H46" s="89">
        <f t="shared" si="25"/>
        <v>0</v>
      </c>
      <c r="I46" s="10">
        <f t="shared" si="25"/>
        <v>1</v>
      </c>
      <c r="J46" s="10">
        <f t="shared" si="25"/>
        <v>2</v>
      </c>
      <c r="K46" s="10">
        <f t="shared" si="25"/>
        <v>3</v>
      </c>
      <c r="L46" s="10">
        <f t="shared" si="25"/>
        <v>4</v>
      </c>
      <c r="M46" s="10">
        <f t="shared" si="25"/>
        <v>5</v>
      </c>
    </row>
    <row r="47" spans="2:13" s="2" customFormat="1">
      <c r="B47" s="113" t="str">
        <f t="shared" ref="B47:B55" si="26">+B34</f>
        <v>Before Year -2</v>
      </c>
      <c r="F47" s="14">
        <v>7</v>
      </c>
      <c r="G47" s="16">
        <f>+F18-G18</f>
        <v>5</v>
      </c>
      <c r="H47" s="109">
        <f t="shared" ref="H47:H49" si="27">+G18-H18</f>
        <v>3</v>
      </c>
      <c r="I47" s="16">
        <f t="shared" ref="I47:I50" si="28">+H18-I18</f>
        <v>1.8000000000000043</v>
      </c>
      <c r="J47" s="16">
        <f t="shared" ref="J47:J51" si="29">+I18-J18</f>
        <v>1.7280000000000015</v>
      </c>
      <c r="K47" s="16">
        <f t="shared" ref="K47:K52" si="30">+J18-K18</f>
        <v>1.6588800000000035</v>
      </c>
      <c r="L47" s="16">
        <f t="shared" ref="L47:L53" si="31">+K18-L18</f>
        <v>1.5925247999999996</v>
      </c>
      <c r="M47" s="16">
        <f t="shared" ref="M47:M54" si="32">+L18-M18</f>
        <v>1.5288238079999985</v>
      </c>
    </row>
    <row r="48" spans="2:13" s="2" customFormat="1">
      <c r="B48" s="113">
        <f t="shared" si="26"/>
        <v>-2</v>
      </c>
      <c r="F48" s="16"/>
      <c r="G48" s="16">
        <f t="shared" ref="G48" si="33">+F19-G19</f>
        <v>4</v>
      </c>
      <c r="H48" s="109">
        <f t="shared" si="27"/>
        <v>2</v>
      </c>
      <c r="I48" s="16">
        <f t="shared" si="28"/>
        <v>3.240000000000002</v>
      </c>
      <c r="J48" s="16">
        <f t="shared" si="29"/>
        <v>2.0304000000000002</v>
      </c>
      <c r="K48" s="16">
        <f t="shared" si="30"/>
        <v>1.9491840000000025</v>
      </c>
      <c r="L48" s="16">
        <f t="shared" si="31"/>
        <v>1.8712166400000001</v>
      </c>
      <c r="M48" s="16">
        <f t="shared" si="32"/>
        <v>1.796367974399999</v>
      </c>
    </row>
    <row r="49" spans="2:17" s="2" customFormat="1">
      <c r="B49" s="113">
        <f t="shared" si="26"/>
        <v>-1</v>
      </c>
      <c r="F49" s="16"/>
      <c r="G49" s="16"/>
      <c r="H49" s="109">
        <f t="shared" si="27"/>
        <v>10</v>
      </c>
      <c r="I49" s="16">
        <f t="shared" si="28"/>
        <v>6.3999999999999915</v>
      </c>
      <c r="J49" s="16">
        <f t="shared" si="29"/>
        <v>4.416000000000011</v>
      </c>
      <c r="K49" s="16">
        <f t="shared" si="30"/>
        <v>2.7673599999999965</v>
      </c>
      <c r="L49" s="16">
        <f t="shared" si="31"/>
        <v>2.6566656000000037</v>
      </c>
      <c r="M49" s="16">
        <f t="shared" si="32"/>
        <v>2.5503989760000039</v>
      </c>
    </row>
    <row r="50" spans="2:17" s="2" customFormat="1">
      <c r="B50" s="113">
        <f t="shared" si="26"/>
        <v>0</v>
      </c>
      <c r="F50" s="14"/>
      <c r="G50" s="14"/>
      <c r="H50" s="90"/>
      <c r="I50" s="16">
        <f t="shared" si="28"/>
        <v>18</v>
      </c>
      <c r="J50" s="16">
        <f t="shared" si="29"/>
        <v>8.1599999999999966</v>
      </c>
      <c r="K50" s="16">
        <f t="shared" si="30"/>
        <v>5.6304000000000087</v>
      </c>
      <c r="L50" s="16">
        <f t="shared" si="31"/>
        <v>3.5283840000000026</v>
      </c>
      <c r="M50" s="16">
        <f t="shared" si="32"/>
        <v>3.3872486399999957</v>
      </c>
      <c r="N50" s="122"/>
    </row>
    <row r="51" spans="2:17" s="2" customFormat="1">
      <c r="B51" s="113">
        <f t="shared" si="26"/>
        <v>1</v>
      </c>
      <c r="F51" s="14"/>
      <c r="G51" s="14"/>
      <c r="H51" s="90"/>
      <c r="I51" s="14"/>
      <c r="J51" s="16">
        <f t="shared" si="29"/>
        <v>22.5</v>
      </c>
      <c r="K51" s="16">
        <f t="shared" si="30"/>
        <v>10.199999999999989</v>
      </c>
      <c r="L51" s="16">
        <f t="shared" si="31"/>
        <v>7.0380000000000109</v>
      </c>
      <c r="M51" s="16">
        <f t="shared" si="32"/>
        <v>4.4104800000000068</v>
      </c>
      <c r="N51" s="122"/>
    </row>
    <row r="52" spans="2:17" s="2" customFormat="1">
      <c r="B52" s="113">
        <f t="shared" si="26"/>
        <v>2</v>
      </c>
      <c r="F52" s="16"/>
      <c r="G52" s="16"/>
      <c r="H52" s="109"/>
      <c r="I52" s="16"/>
      <c r="J52" s="14"/>
      <c r="K52" s="16">
        <f t="shared" si="30"/>
        <v>25.200000000000017</v>
      </c>
      <c r="L52" s="16">
        <f t="shared" si="31"/>
        <v>11.424000000000007</v>
      </c>
      <c r="M52" s="16">
        <f t="shared" si="32"/>
        <v>7.8825600000000122</v>
      </c>
      <c r="N52" s="122"/>
      <c r="O52" s="122"/>
    </row>
    <row r="53" spans="2:17" s="2" customFormat="1">
      <c r="B53" s="113">
        <f t="shared" si="26"/>
        <v>3</v>
      </c>
      <c r="F53" s="16"/>
      <c r="G53" s="16"/>
      <c r="H53" s="109"/>
      <c r="I53" s="16"/>
      <c r="J53" s="16"/>
      <c r="K53" s="14"/>
      <c r="L53" s="16">
        <f t="shared" si="31"/>
        <v>29.400000000000006</v>
      </c>
      <c r="M53" s="16">
        <f t="shared" si="32"/>
        <v>13.328000000000003</v>
      </c>
      <c r="N53" s="122"/>
      <c r="O53" s="122"/>
      <c r="P53" s="122"/>
    </row>
    <row r="54" spans="2:17" s="2" customFormat="1">
      <c r="B54" s="113">
        <f t="shared" si="26"/>
        <v>4</v>
      </c>
      <c r="F54" s="16"/>
      <c r="G54" s="16"/>
      <c r="H54" s="109"/>
      <c r="I54" s="16"/>
      <c r="J54" s="16"/>
      <c r="K54" s="16"/>
      <c r="L54" s="14"/>
      <c r="M54" s="16">
        <f t="shared" si="32"/>
        <v>33.150000000000006</v>
      </c>
      <c r="N54" s="122"/>
      <c r="O54" s="122"/>
      <c r="P54" s="122"/>
      <c r="Q54" s="122"/>
    </row>
    <row r="55" spans="2:17" s="2" customFormat="1">
      <c r="B55" s="113">
        <f t="shared" si="26"/>
        <v>5</v>
      </c>
      <c r="F55" s="16"/>
      <c r="G55" s="16"/>
      <c r="H55" s="109"/>
      <c r="I55" s="16"/>
      <c r="J55" s="16"/>
      <c r="K55" s="16"/>
      <c r="L55" s="16"/>
      <c r="M55" s="14"/>
    </row>
    <row r="56" spans="2:17" s="8" customFormat="1" ht="12.75">
      <c r="B56" s="43" t="s">
        <v>57</v>
      </c>
      <c r="C56" s="43"/>
      <c r="D56" s="43"/>
      <c r="E56" s="43"/>
      <c r="F56" s="141">
        <f t="shared" ref="F56:M56" si="34">SUM(F47:F55)</f>
        <v>7</v>
      </c>
      <c r="G56" s="141">
        <f t="shared" si="34"/>
        <v>9</v>
      </c>
      <c r="H56" s="142">
        <f t="shared" si="34"/>
        <v>15</v>
      </c>
      <c r="I56" s="141">
        <f t="shared" si="34"/>
        <v>29.439999999999998</v>
      </c>
      <c r="J56" s="141">
        <f t="shared" si="34"/>
        <v>38.834400000000009</v>
      </c>
      <c r="K56" s="141">
        <f t="shared" si="34"/>
        <v>47.405824000000017</v>
      </c>
      <c r="L56" s="141">
        <f t="shared" si="34"/>
        <v>57.510791040000029</v>
      </c>
      <c r="M56" s="141">
        <f t="shared" si="34"/>
        <v>68.033879398400018</v>
      </c>
    </row>
    <row r="57" spans="2:17" s="8" customFormat="1" ht="12.75">
      <c r="F57" s="266"/>
      <c r="G57" s="266"/>
      <c r="H57" s="267"/>
      <c r="I57" s="266"/>
      <c r="J57" s="266"/>
      <c r="K57" s="266"/>
      <c r="L57" s="266"/>
      <c r="M57" s="266"/>
    </row>
    <row r="58" spans="2:17" s="2" customFormat="1">
      <c r="H58" s="90"/>
      <c r="I58" s="16"/>
      <c r="J58" s="16"/>
      <c r="K58" s="16"/>
      <c r="L58" s="16"/>
      <c r="M58" s="16"/>
    </row>
    <row r="59" spans="2:17" s="2" customFormat="1">
      <c r="B59" s="292" t="s">
        <v>178</v>
      </c>
      <c r="C59" s="293"/>
      <c r="D59" s="293"/>
      <c r="E59" s="293" t="s">
        <v>157</v>
      </c>
      <c r="F59" s="294" t="s">
        <v>154</v>
      </c>
      <c r="G59" s="294" t="s">
        <v>156</v>
      </c>
      <c r="H59" s="294" t="s">
        <v>155</v>
      </c>
      <c r="I59" s="295" t="s">
        <v>159</v>
      </c>
      <c r="K59" s="36"/>
      <c r="L59" s="36"/>
      <c r="M59" s="36"/>
    </row>
    <row r="60" spans="2:17" s="2" customFormat="1">
      <c r="B60" s="247" t="s">
        <v>179</v>
      </c>
      <c r="C60" s="248"/>
      <c r="D60" s="248"/>
      <c r="E60" s="264">
        <v>0.2</v>
      </c>
      <c r="F60" s="264">
        <v>0.2</v>
      </c>
      <c r="G60" s="264">
        <v>0.2</v>
      </c>
      <c r="H60" s="264">
        <v>0.2</v>
      </c>
      <c r="I60" s="265">
        <v>0.2</v>
      </c>
      <c r="K60" s="36"/>
      <c r="L60" s="36"/>
      <c r="M60" s="36"/>
    </row>
    <row r="61" spans="2:17">
      <c r="C61" s="35"/>
      <c r="D61" s="35"/>
      <c r="E61" s="35"/>
      <c r="F61" s="35"/>
      <c r="G61" s="35"/>
      <c r="H61" s="91"/>
      <c r="I61" s="35"/>
      <c r="J61" s="35"/>
      <c r="K61" s="35"/>
      <c r="L61" s="35"/>
      <c r="M61" s="35"/>
    </row>
    <row r="62" spans="2:17">
      <c r="B62" s="5" t="s">
        <v>101</v>
      </c>
      <c r="C62" s="10"/>
      <c r="D62" s="10"/>
      <c r="E62" s="108">
        <v>-3</v>
      </c>
      <c r="F62" s="108">
        <f t="shared" ref="F62:M62" si="35">+F$3</f>
        <v>-2</v>
      </c>
      <c r="G62" s="108">
        <f t="shared" si="35"/>
        <v>-1</v>
      </c>
      <c r="H62" s="89">
        <f t="shared" si="35"/>
        <v>0</v>
      </c>
      <c r="I62" s="10">
        <f t="shared" si="35"/>
        <v>1</v>
      </c>
      <c r="J62" s="10">
        <f t="shared" si="35"/>
        <v>2</v>
      </c>
      <c r="K62" s="10">
        <f t="shared" si="35"/>
        <v>3</v>
      </c>
      <c r="L62" s="10">
        <f t="shared" si="35"/>
        <v>4</v>
      </c>
      <c r="M62" s="10">
        <f t="shared" si="35"/>
        <v>5</v>
      </c>
    </row>
    <row r="63" spans="2:17">
      <c r="B63" s="113" t="str">
        <f t="shared" ref="B63:B71" si="36">+B47</f>
        <v>Before Year -2</v>
      </c>
      <c r="E63" s="92">
        <v>0.2</v>
      </c>
      <c r="F63" s="92">
        <v>0.2</v>
      </c>
      <c r="G63" s="92">
        <v>0.2</v>
      </c>
      <c r="H63" s="93">
        <v>0.2</v>
      </c>
      <c r="I63" s="236">
        <v>0.2</v>
      </c>
      <c r="J63" s="236">
        <v>0.2</v>
      </c>
      <c r="K63" s="236">
        <v>0.2</v>
      </c>
      <c r="L63" s="236">
        <v>0.2</v>
      </c>
      <c r="M63" s="236">
        <v>0.2</v>
      </c>
    </row>
    <row r="64" spans="2:17">
      <c r="B64" s="113">
        <f t="shared" si="36"/>
        <v>-2</v>
      </c>
      <c r="F64" s="146">
        <v>0.2</v>
      </c>
      <c r="G64" s="146">
        <v>0.2</v>
      </c>
      <c r="H64" s="147">
        <v>0.2</v>
      </c>
      <c r="I64" s="237">
        <v>0.2</v>
      </c>
      <c r="J64" s="237">
        <v>0.2</v>
      </c>
      <c r="K64" s="237">
        <v>0.2</v>
      </c>
      <c r="L64" s="237">
        <v>0.2</v>
      </c>
      <c r="M64" s="237">
        <v>0.2</v>
      </c>
    </row>
    <row r="65" spans="1:16">
      <c r="B65" s="113">
        <f t="shared" si="36"/>
        <v>-1</v>
      </c>
      <c r="E65" s="13"/>
      <c r="F65" s="146"/>
      <c r="G65" s="146">
        <v>0.2</v>
      </c>
      <c r="H65" s="147">
        <v>0.2</v>
      </c>
      <c r="I65" s="237">
        <v>0.2</v>
      </c>
      <c r="J65" s="237">
        <v>0.2</v>
      </c>
      <c r="K65" s="237">
        <v>0.2</v>
      </c>
      <c r="L65" s="237">
        <v>0.2</v>
      </c>
      <c r="M65" s="237">
        <v>0.2</v>
      </c>
    </row>
    <row r="66" spans="1:16">
      <c r="B66" s="113">
        <f t="shared" si="36"/>
        <v>0</v>
      </c>
      <c r="F66" s="146"/>
      <c r="G66" s="146"/>
      <c r="H66" s="147">
        <v>0.2</v>
      </c>
      <c r="I66" s="237">
        <v>0.2</v>
      </c>
      <c r="J66" s="237">
        <v>0.2</v>
      </c>
      <c r="K66" s="237">
        <v>0.2</v>
      </c>
      <c r="L66" s="237">
        <v>0.2</v>
      </c>
      <c r="M66" s="237">
        <v>0.2</v>
      </c>
    </row>
    <row r="67" spans="1:16">
      <c r="B67" s="113">
        <f t="shared" si="36"/>
        <v>1</v>
      </c>
      <c r="F67" s="146"/>
      <c r="G67" s="146"/>
      <c r="H67" s="147"/>
      <c r="I67" s="237">
        <v>0.2</v>
      </c>
      <c r="J67" s="237">
        <v>0.2</v>
      </c>
      <c r="K67" s="237">
        <v>0.2</v>
      </c>
      <c r="L67" s="237">
        <v>0.2</v>
      </c>
      <c r="M67" s="237">
        <v>0.2</v>
      </c>
    </row>
    <row r="68" spans="1:16">
      <c r="B68" s="113">
        <f t="shared" si="36"/>
        <v>2</v>
      </c>
      <c r="F68" s="148"/>
      <c r="G68" s="148"/>
      <c r="H68" s="149"/>
      <c r="I68" s="148"/>
      <c r="J68" s="237">
        <v>0.2</v>
      </c>
      <c r="K68" s="237">
        <v>0.2</v>
      </c>
      <c r="L68" s="237">
        <v>0.2</v>
      </c>
      <c r="M68" s="237">
        <v>0.2</v>
      </c>
      <c r="N68" s="14"/>
    </row>
    <row r="69" spans="1:16">
      <c r="B69" s="113">
        <f t="shared" si="36"/>
        <v>3</v>
      </c>
      <c r="F69" s="148"/>
      <c r="G69" s="148"/>
      <c r="H69" s="149"/>
      <c r="I69" s="148"/>
      <c r="J69" s="148"/>
      <c r="K69" s="237">
        <v>0.2</v>
      </c>
      <c r="L69" s="237">
        <v>0.2</v>
      </c>
      <c r="M69" s="237">
        <v>0.2</v>
      </c>
      <c r="N69" s="14"/>
    </row>
    <row r="70" spans="1:16">
      <c r="B70" s="113">
        <f t="shared" si="36"/>
        <v>4</v>
      </c>
      <c r="E70" s="14"/>
      <c r="F70" s="148"/>
      <c r="G70" s="148"/>
      <c r="H70" s="149"/>
      <c r="I70" s="148"/>
      <c r="J70" s="148"/>
      <c r="K70" s="148"/>
      <c r="L70" s="237">
        <v>0.2</v>
      </c>
      <c r="M70" s="237">
        <v>0.2</v>
      </c>
      <c r="N70" s="14"/>
      <c r="O70" s="14"/>
    </row>
    <row r="71" spans="1:16">
      <c r="B71" s="113">
        <f t="shared" si="36"/>
        <v>5</v>
      </c>
      <c r="F71" s="148"/>
      <c r="G71" s="148"/>
      <c r="H71" s="149"/>
      <c r="I71" s="148"/>
      <c r="J71" s="148"/>
      <c r="K71" s="148"/>
      <c r="L71" s="148"/>
      <c r="M71" s="237">
        <v>0.2</v>
      </c>
      <c r="N71" s="14"/>
      <c r="O71" s="14"/>
      <c r="P71" s="14"/>
    </row>
    <row r="72" spans="1:16" s="128" customFormat="1">
      <c r="A72" s="8"/>
      <c r="B72" s="43" t="s">
        <v>105</v>
      </c>
      <c r="C72" s="43"/>
      <c r="D72" s="43"/>
      <c r="E72" s="43"/>
      <c r="F72" s="243">
        <f t="shared" ref="F72:M72" si="37">+IFERROR(F111/F27, "n/a")</f>
        <v>0.2</v>
      </c>
      <c r="G72" s="243">
        <f t="shared" si="37"/>
        <v>0.2</v>
      </c>
      <c r="H72" s="244">
        <f t="shared" si="37"/>
        <v>0.19999999999999998</v>
      </c>
      <c r="I72" s="243">
        <f t="shared" si="37"/>
        <v>0.2</v>
      </c>
      <c r="J72" s="243">
        <f t="shared" si="37"/>
        <v>0.20000000000000004</v>
      </c>
      <c r="K72" s="243">
        <f t="shared" si="37"/>
        <v>0.20000000000000004</v>
      </c>
      <c r="L72" s="243">
        <f t="shared" si="37"/>
        <v>0.2</v>
      </c>
      <c r="M72" s="243">
        <f t="shared" si="37"/>
        <v>0.2</v>
      </c>
      <c r="N72" s="8"/>
    </row>
    <row r="73" spans="1:16">
      <c r="H73" s="90"/>
      <c r="I73" s="16"/>
      <c r="J73" s="16"/>
      <c r="K73" s="16"/>
      <c r="L73" s="16"/>
      <c r="M73" s="16"/>
    </row>
    <row r="74" spans="1:16">
      <c r="C74" s="35"/>
      <c r="D74" s="35"/>
      <c r="E74" s="35"/>
      <c r="F74" s="35"/>
      <c r="G74" s="35"/>
      <c r="H74" s="91"/>
      <c r="I74" s="35"/>
      <c r="J74" s="35"/>
      <c r="K74" s="35"/>
      <c r="L74" s="35"/>
      <c r="M74" s="35"/>
    </row>
    <row r="75" spans="1:16">
      <c r="B75" s="5" t="s">
        <v>108</v>
      </c>
      <c r="C75" s="10"/>
      <c r="D75" s="10"/>
      <c r="E75" s="10"/>
      <c r="F75" s="108">
        <f t="shared" ref="F75:M75" si="38">+F$3</f>
        <v>-2</v>
      </c>
      <c r="G75" s="108">
        <f t="shared" si="38"/>
        <v>-1</v>
      </c>
      <c r="H75" s="89">
        <f t="shared" si="38"/>
        <v>0</v>
      </c>
      <c r="I75" s="10">
        <f t="shared" si="38"/>
        <v>1</v>
      </c>
      <c r="J75" s="10">
        <f t="shared" si="38"/>
        <v>2</v>
      </c>
      <c r="K75" s="10">
        <f t="shared" si="38"/>
        <v>3</v>
      </c>
      <c r="L75" s="10">
        <f t="shared" si="38"/>
        <v>4</v>
      </c>
      <c r="M75" s="10">
        <f t="shared" si="38"/>
        <v>5</v>
      </c>
    </row>
    <row r="76" spans="1:16">
      <c r="B76" s="113" t="str">
        <f t="shared" ref="B76:B84" si="39">+B47</f>
        <v>Before Year -2</v>
      </c>
      <c r="F76" s="94">
        <f>+F47*E63</f>
        <v>1.4000000000000001</v>
      </c>
      <c r="G76" s="94">
        <f t="shared" ref="G76:M76" si="40">+G47*F63</f>
        <v>1</v>
      </c>
      <c r="H76" s="125">
        <f t="shared" si="40"/>
        <v>0.60000000000000009</v>
      </c>
      <c r="I76" s="94">
        <f t="shared" si="40"/>
        <v>0.36000000000000087</v>
      </c>
      <c r="J76" s="94">
        <f t="shared" si="40"/>
        <v>0.34560000000000035</v>
      </c>
      <c r="K76" s="94">
        <f t="shared" si="40"/>
        <v>0.33177600000000074</v>
      </c>
      <c r="L76" s="94">
        <f t="shared" si="40"/>
        <v>0.31850495999999995</v>
      </c>
      <c r="M76" s="94">
        <f t="shared" si="40"/>
        <v>0.30576476159999971</v>
      </c>
    </row>
    <row r="77" spans="1:16">
      <c r="B77" s="113">
        <f t="shared" si="39"/>
        <v>-2</v>
      </c>
      <c r="F77" s="36"/>
      <c r="G77" s="36">
        <f t="shared" ref="G77:M83" si="41">+G48*F64</f>
        <v>0.8</v>
      </c>
      <c r="H77" s="115">
        <f t="shared" si="41"/>
        <v>0.4</v>
      </c>
      <c r="I77" s="36">
        <f t="shared" si="41"/>
        <v>0.64800000000000046</v>
      </c>
      <c r="J77" s="36">
        <f t="shared" si="41"/>
        <v>0.40608000000000005</v>
      </c>
      <c r="K77" s="36">
        <f t="shared" si="41"/>
        <v>0.38983680000000054</v>
      </c>
      <c r="L77" s="36">
        <f t="shared" si="41"/>
        <v>0.37424332800000004</v>
      </c>
      <c r="M77" s="36">
        <f t="shared" si="41"/>
        <v>0.35927359487999982</v>
      </c>
    </row>
    <row r="78" spans="1:16">
      <c r="B78" s="113">
        <f t="shared" si="39"/>
        <v>-1</v>
      </c>
      <c r="F78" s="36"/>
      <c r="G78" s="36"/>
      <c r="H78" s="115">
        <f t="shared" si="41"/>
        <v>2</v>
      </c>
      <c r="I78" s="36">
        <f t="shared" si="41"/>
        <v>1.2799999999999985</v>
      </c>
      <c r="J78" s="36">
        <f t="shared" si="41"/>
        <v>0.88320000000000221</v>
      </c>
      <c r="K78" s="36">
        <f t="shared" si="41"/>
        <v>0.5534719999999993</v>
      </c>
      <c r="L78" s="36">
        <f t="shared" si="41"/>
        <v>0.53133312000000077</v>
      </c>
      <c r="M78" s="36">
        <f t="shared" si="41"/>
        <v>0.5100797952000008</v>
      </c>
      <c r="N78" s="94"/>
    </row>
    <row r="79" spans="1:16">
      <c r="B79" s="113">
        <f t="shared" si="39"/>
        <v>0</v>
      </c>
      <c r="F79" s="27"/>
      <c r="G79" s="36"/>
      <c r="H79" s="115"/>
      <c r="I79" s="36">
        <f t="shared" si="41"/>
        <v>3.6</v>
      </c>
      <c r="J79" s="36">
        <f t="shared" si="41"/>
        <v>1.6319999999999995</v>
      </c>
      <c r="K79" s="36">
        <f t="shared" si="41"/>
        <v>1.1260800000000017</v>
      </c>
      <c r="L79" s="36">
        <f t="shared" si="41"/>
        <v>0.70567680000000055</v>
      </c>
      <c r="M79" s="36">
        <f t="shared" si="41"/>
        <v>0.67744972799999914</v>
      </c>
      <c r="N79" s="36"/>
    </row>
    <row r="80" spans="1:16">
      <c r="B80" s="113">
        <f t="shared" si="39"/>
        <v>1</v>
      </c>
      <c r="F80" s="118"/>
      <c r="G80" s="27"/>
      <c r="H80" s="115"/>
      <c r="I80" s="36"/>
      <c r="J80" s="36">
        <f t="shared" si="41"/>
        <v>4.5</v>
      </c>
      <c r="K80" s="36">
        <f t="shared" si="41"/>
        <v>2.0399999999999978</v>
      </c>
      <c r="L80" s="36">
        <f t="shared" si="41"/>
        <v>1.4076000000000022</v>
      </c>
      <c r="M80" s="36">
        <f t="shared" si="41"/>
        <v>0.88209600000000143</v>
      </c>
      <c r="N80" s="36"/>
    </row>
    <row r="81" spans="1:19">
      <c r="B81" s="113">
        <f t="shared" si="39"/>
        <v>2</v>
      </c>
      <c r="F81" s="118"/>
      <c r="G81" s="118"/>
      <c r="H81" s="114"/>
      <c r="I81" s="36"/>
      <c r="J81" s="36"/>
      <c r="K81" s="36">
        <f t="shared" si="41"/>
        <v>5.0400000000000036</v>
      </c>
      <c r="L81" s="36">
        <f t="shared" si="41"/>
        <v>2.2848000000000015</v>
      </c>
      <c r="M81" s="36">
        <f t="shared" si="41"/>
        <v>1.5765120000000026</v>
      </c>
      <c r="N81" s="36"/>
      <c r="O81" s="36"/>
    </row>
    <row r="82" spans="1:19">
      <c r="B82" s="113">
        <f t="shared" si="39"/>
        <v>3</v>
      </c>
      <c r="F82" s="17"/>
      <c r="G82" s="17"/>
      <c r="H82" s="109"/>
      <c r="I82" s="39"/>
      <c r="J82" s="36"/>
      <c r="K82" s="36"/>
      <c r="L82" s="36">
        <f t="shared" si="41"/>
        <v>5.8800000000000017</v>
      </c>
      <c r="M82" s="36">
        <f t="shared" si="41"/>
        <v>2.6656000000000009</v>
      </c>
      <c r="N82" s="36"/>
      <c r="O82" s="36"/>
      <c r="P82" s="36"/>
    </row>
    <row r="83" spans="1:19">
      <c r="B83" s="113">
        <f t="shared" si="39"/>
        <v>4</v>
      </c>
      <c r="F83" s="17"/>
      <c r="G83" s="17"/>
      <c r="H83" s="109"/>
      <c r="I83" s="39"/>
      <c r="J83" s="39"/>
      <c r="K83" s="36"/>
      <c r="L83" s="36"/>
      <c r="M83" s="36">
        <f t="shared" si="41"/>
        <v>6.6300000000000017</v>
      </c>
      <c r="N83" s="36"/>
      <c r="O83" s="36"/>
      <c r="P83" s="36"/>
      <c r="Q83" s="36"/>
    </row>
    <row r="84" spans="1:19">
      <c r="B84" s="113">
        <f t="shared" si="39"/>
        <v>5</v>
      </c>
      <c r="F84" s="17"/>
      <c r="G84" s="17"/>
      <c r="H84" s="109"/>
      <c r="I84" s="39"/>
      <c r="J84" s="39"/>
      <c r="K84" s="39"/>
      <c r="L84" s="36"/>
      <c r="M84" s="36"/>
      <c r="N84" s="36"/>
      <c r="O84" s="36"/>
      <c r="P84" s="36"/>
      <c r="Q84" s="36"/>
      <c r="R84" s="36"/>
      <c r="S84" s="36"/>
    </row>
    <row r="85" spans="1:19" s="128" customFormat="1">
      <c r="A85" s="8"/>
      <c r="B85" s="43" t="s">
        <v>57</v>
      </c>
      <c r="C85" s="43"/>
      <c r="D85" s="43"/>
      <c r="E85" s="43"/>
      <c r="F85" s="129">
        <f t="shared" ref="F85:M85" si="42">SUM(F76:F84)</f>
        <v>1.4000000000000001</v>
      </c>
      <c r="G85" s="129">
        <f t="shared" si="42"/>
        <v>1.8</v>
      </c>
      <c r="H85" s="130">
        <f t="shared" si="42"/>
        <v>3</v>
      </c>
      <c r="I85" s="129">
        <f t="shared" si="42"/>
        <v>5.8879999999999999</v>
      </c>
      <c r="J85" s="129">
        <f t="shared" si="42"/>
        <v>7.7668800000000022</v>
      </c>
      <c r="K85" s="129">
        <f t="shared" si="42"/>
        <v>9.4811648000000037</v>
      </c>
      <c r="L85" s="129">
        <f t="shared" si="42"/>
        <v>11.502158208000008</v>
      </c>
      <c r="M85" s="129">
        <f t="shared" si="42"/>
        <v>13.606775879680008</v>
      </c>
      <c r="N85" s="8"/>
    </row>
    <row r="86" spans="1:19">
      <c r="F86" s="94"/>
      <c r="G86" s="94"/>
      <c r="H86" s="125"/>
      <c r="I86" s="94"/>
      <c r="J86" s="94"/>
      <c r="K86" s="94"/>
      <c r="L86" s="94"/>
      <c r="M86" s="94"/>
    </row>
    <row r="87" spans="1:19">
      <c r="H87" s="90"/>
      <c r="I87" s="16"/>
      <c r="J87" s="16"/>
      <c r="K87" s="16"/>
      <c r="L87" s="16"/>
      <c r="M87" s="16"/>
    </row>
    <row r="88" spans="1:19">
      <c r="B88" s="5" t="s">
        <v>118</v>
      </c>
      <c r="C88" s="10"/>
      <c r="D88" s="10"/>
      <c r="E88" s="10"/>
      <c r="F88" s="108">
        <f t="shared" ref="F88:M88" si="43">+F$3</f>
        <v>-2</v>
      </c>
      <c r="G88" s="108">
        <f t="shared" si="43"/>
        <v>-1</v>
      </c>
      <c r="H88" s="89">
        <f t="shared" si="43"/>
        <v>0</v>
      </c>
      <c r="I88" s="10">
        <f t="shared" si="43"/>
        <v>1</v>
      </c>
      <c r="J88" s="10">
        <f t="shared" si="43"/>
        <v>2</v>
      </c>
      <c r="K88" s="10">
        <f t="shared" si="43"/>
        <v>3</v>
      </c>
      <c r="L88" s="10">
        <f t="shared" si="43"/>
        <v>4</v>
      </c>
      <c r="M88" s="10">
        <f t="shared" si="43"/>
        <v>5</v>
      </c>
    </row>
    <row r="89" spans="1:19">
      <c r="B89" s="113" t="str">
        <f t="shared" ref="B89:B97" si="44">+B34</f>
        <v>Before Year -2</v>
      </c>
      <c r="F89" s="94">
        <f>+F18*(F63-E63)</f>
        <v>0</v>
      </c>
      <c r="G89" s="94">
        <f>+G18*(G63-F63)</f>
        <v>0</v>
      </c>
      <c r="H89" s="125">
        <f>+H18*(H63-G63)</f>
        <v>0</v>
      </c>
      <c r="I89" s="94">
        <f t="shared" ref="I89:M89" si="45">+I18*(I63-H63)</f>
        <v>0</v>
      </c>
      <c r="J89" s="94">
        <f t="shared" si="45"/>
        <v>0</v>
      </c>
      <c r="K89" s="94">
        <f t="shared" si="45"/>
        <v>0</v>
      </c>
      <c r="L89" s="94">
        <f t="shared" si="45"/>
        <v>0</v>
      </c>
      <c r="M89" s="94">
        <f t="shared" si="45"/>
        <v>0</v>
      </c>
    </row>
    <row r="90" spans="1:19">
      <c r="B90" s="113">
        <f t="shared" si="44"/>
        <v>-2</v>
      </c>
      <c r="F90" s="36"/>
      <c r="G90" s="36">
        <f t="shared" ref="G90:M90" si="46">+G19*(G64-F64)</f>
        <v>0</v>
      </c>
      <c r="H90" s="115">
        <f t="shared" si="46"/>
        <v>0</v>
      </c>
      <c r="I90" s="36">
        <f t="shared" si="46"/>
        <v>0</v>
      </c>
      <c r="J90" s="36">
        <f t="shared" si="46"/>
        <v>0</v>
      </c>
      <c r="K90" s="36">
        <f t="shared" si="46"/>
        <v>0</v>
      </c>
      <c r="L90" s="36">
        <f t="shared" si="46"/>
        <v>0</v>
      </c>
      <c r="M90" s="36">
        <f t="shared" si="46"/>
        <v>0</v>
      </c>
    </row>
    <row r="91" spans="1:19">
      <c r="B91" s="113">
        <f t="shared" si="44"/>
        <v>-1</v>
      </c>
      <c r="F91" s="36"/>
      <c r="G91" s="36"/>
      <c r="H91" s="115">
        <f t="shared" ref="H91:M91" si="47">+H20*(H65-G65)</f>
        <v>0</v>
      </c>
      <c r="I91" s="36">
        <f t="shared" si="47"/>
        <v>0</v>
      </c>
      <c r="J91" s="36">
        <f t="shared" si="47"/>
        <v>0</v>
      </c>
      <c r="K91" s="36">
        <f t="shared" si="47"/>
        <v>0</v>
      </c>
      <c r="L91" s="36">
        <f t="shared" si="47"/>
        <v>0</v>
      </c>
      <c r="M91" s="36">
        <f t="shared" si="47"/>
        <v>0</v>
      </c>
    </row>
    <row r="92" spans="1:19">
      <c r="B92" s="113">
        <f t="shared" si="44"/>
        <v>0</v>
      </c>
      <c r="F92" s="36"/>
      <c r="G92" s="36"/>
      <c r="H92" s="115"/>
      <c r="I92" s="36">
        <f t="shared" ref="I92:M92" si="48">+I21*(I66-H66)</f>
        <v>0</v>
      </c>
      <c r="J92" s="36">
        <f t="shared" si="48"/>
        <v>0</v>
      </c>
      <c r="K92" s="36">
        <f t="shared" si="48"/>
        <v>0</v>
      </c>
      <c r="L92" s="36">
        <f t="shared" si="48"/>
        <v>0</v>
      </c>
      <c r="M92" s="36">
        <f t="shared" si="48"/>
        <v>0</v>
      </c>
    </row>
    <row r="93" spans="1:19">
      <c r="B93" s="113">
        <f t="shared" si="44"/>
        <v>1</v>
      </c>
      <c r="F93" s="36"/>
      <c r="G93" s="36"/>
      <c r="H93" s="115"/>
      <c r="I93" s="36"/>
      <c r="J93" s="36">
        <f t="shared" ref="J93:M93" si="49">+J22*(J67-I67)</f>
        <v>0</v>
      </c>
      <c r="K93" s="36">
        <f t="shared" si="49"/>
        <v>0</v>
      </c>
      <c r="L93" s="36">
        <f t="shared" si="49"/>
        <v>0</v>
      </c>
      <c r="M93" s="36">
        <f t="shared" si="49"/>
        <v>0</v>
      </c>
    </row>
    <row r="94" spans="1:19">
      <c r="B94" s="113">
        <f t="shared" si="44"/>
        <v>2</v>
      </c>
      <c r="F94" s="36"/>
      <c r="G94" s="36"/>
      <c r="H94" s="115"/>
      <c r="I94" s="36"/>
      <c r="J94" s="36"/>
      <c r="K94" s="36">
        <f t="shared" ref="K94:M94" si="50">+K23*(K68-J68)</f>
        <v>0</v>
      </c>
      <c r="L94" s="36">
        <f t="shared" si="50"/>
        <v>0</v>
      </c>
      <c r="M94" s="36">
        <f t="shared" si="50"/>
        <v>0</v>
      </c>
      <c r="N94" s="14"/>
    </row>
    <row r="95" spans="1:19">
      <c r="B95" s="113">
        <f t="shared" si="44"/>
        <v>3</v>
      </c>
      <c r="F95" s="36"/>
      <c r="G95" s="36"/>
      <c r="H95" s="115"/>
      <c r="I95" s="36"/>
      <c r="J95" s="36"/>
      <c r="K95" s="36"/>
      <c r="L95" s="36">
        <f t="shared" ref="L95:M95" si="51">+L24*(L69-K69)</f>
        <v>0</v>
      </c>
      <c r="M95" s="36">
        <f t="shared" si="51"/>
        <v>0</v>
      </c>
      <c r="N95" s="14"/>
    </row>
    <row r="96" spans="1:19">
      <c r="B96" s="113">
        <f t="shared" si="44"/>
        <v>4</v>
      </c>
      <c r="F96" s="36"/>
      <c r="G96" s="36"/>
      <c r="H96" s="115"/>
      <c r="I96" s="36"/>
      <c r="J96" s="36"/>
      <c r="K96" s="36"/>
      <c r="L96" s="36"/>
      <c r="M96" s="36">
        <f t="shared" ref="M96" si="52">+M25*(M70-L70)</f>
        <v>0</v>
      </c>
      <c r="N96" s="14"/>
      <c r="O96" s="14"/>
    </row>
    <row r="97" spans="1:19">
      <c r="B97" s="113">
        <f t="shared" si="44"/>
        <v>5</v>
      </c>
      <c r="F97" s="36"/>
      <c r="G97" s="36"/>
      <c r="H97" s="115"/>
      <c r="I97" s="36"/>
      <c r="J97" s="36"/>
      <c r="K97" s="36"/>
      <c r="L97" s="36"/>
      <c r="M97" s="36"/>
      <c r="N97" s="14"/>
      <c r="O97" s="14"/>
      <c r="P97" s="14"/>
    </row>
    <row r="98" spans="1:19" s="128" customFormat="1">
      <c r="A98" s="8"/>
      <c r="B98" s="43" t="s">
        <v>57</v>
      </c>
      <c r="C98" s="43"/>
      <c r="D98" s="43"/>
      <c r="E98" s="43"/>
      <c r="F98" s="129">
        <f t="shared" ref="F98:M98" si="53">SUM(F89:F97)</f>
        <v>0</v>
      </c>
      <c r="G98" s="129">
        <f t="shared" si="53"/>
        <v>0</v>
      </c>
      <c r="H98" s="130">
        <f t="shared" si="53"/>
        <v>0</v>
      </c>
      <c r="I98" s="129">
        <f t="shared" si="53"/>
        <v>0</v>
      </c>
      <c r="J98" s="129">
        <f t="shared" si="53"/>
        <v>0</v>
      </c>
      <c r="K98" s="129">
        <f t="shared" si="53"/>
        <v>0</v>
      </c>
      <c r="L98" s="129">
        <f t="shared" si="53"/>
        <v>0</v>
      </c>
      <c r="M98" s="129">
        <f t="shared" si="53"/>
        <v>0</v>
      </c>
      <c r="N98" s="8"/>
    </row>
    <row r="99" spans="1:19">
      <c r="H99" s="90"/>
      <c r="I99" s="16"/>
      <c r="J99" s="16"/>
      <c r="K99" s="16"/>
      <c r="L99" s="16"/>
      <c r="M99" s="16"/>
    </row>
    <row r="100" spans="1:19">
      <c r="C100" s="35"/>
      <c r="D100" s="35"/>
      <c r="E100" s="35"/>
      <c r="F100" s="35"/>
      <c r="G100" s="35"/>
      <c r="H100" s="91"/>
      <c r="I100" s="35"/>
      <c r="J100" s="35"/>
      <c r="K100" s="35"/>
      <c r="L100" s="35"/>
      <c r="M100" s="35"/>
    </row>
    <row r="101" spans="1:19">
      <c r="B101" s="5" t="s">
        <v>121</v>
      </c>
      <c r="C101" s="10"/>
      <c r="D101" s="10"/>
      <c r="E101" s="10"/>
      <c r="F101" s="108">
        <f t="shared" ref="F101:M101" si="54">+F$3</f>
        <v>-2</v>
      </c>
      <c r="G101" s="108">
        <f t="shared" si="54"/>
        <v>-1</v>
      </c>
      <c r="H101" s="89">
        <f t="shared" si="54"/>
        <v>0</v>
      </c>
      <c r="I101" s="10">
        <f t="shared" si="54"/>
        <v>1</v>
      </c>
      <c r="J101" s="10">
        <f t="shared" si="54"/>
        <v>2</v>
      </c>
      <c r="K101" s="10">
        <f t="shared" si="54"/>
        <v>3</v>
      </c>
      <c r="L101" s="10">
        <f t="shared" si="54"/>
        <v>4</v>
      </c>
      <c r="M101" s="10">
        <f t="shared" si="54"/>
        <v>5</v>
      </c>
    </row>
    <row r="102" spans="1:19">
      <c r="B102" s="113" t="str">
        <f t="shared" ref="B102:B110" si="55">+B63</f>
        <v>Before Year -2</v>
      </c>
      <c r="F102" s="94">
        <f>+F63*F18</f>
        <v>10.600000000000001</v>
      </c>
      <c r="G102" s="94">
        <f t="shared" ref="G102:M102" si="56">+G63*G18</f>
        <v>9.6000000000000014</v>
      </c>
      <c r="H102" s="125">
        <f t="shared" si="56"/>
        <v>9</v>
      </c>
      <c r="I102" s="94">
        <f t="shared" si="56"/>
        <v>8.6399999999999988</v>
      </c>
      <c r="J102" s="94">
        <f t="shared" si="56"/>
        <v>8.2943999999999996</v>
      </c>
      <c r="K102" s="94">
        <f t="shared" si="56"/>
        <v>7.9626239999999981</v>
      </c>
      <c r="L102" s="94">
        <f t="shared" si="56"/>
        <v>7.6441190399999988</v>
      </c>
      <c r="M102" s="94">
        <f t="shared" si="56"/>
        <v>7.3383542783999989</v>
      </c>
    </row>
    <row r="103" spans="1:19">
      <c r="B103" s="113">
        <f t="shared" si="55"/>
        <v>-2</v>
      </c>
      <c r="F103" s="36">
        <f t="shared" ref="F103:M103" si="57">+F64*F19</f>
        <v>12</v>
      </c>
      <c r="G103" s="36">
        <f t="shared" si="57"/>
        <v>11.200000000000001</v>
      </c>
      <c r="H103" s="115">
        <f t="shared" si="57"/>
        <v>10.8</v>
      </c>
      <c r="I103" s="36">
        <f t="shared" si="57"/>
        <v>10.152000000000001</v>
      </c>
      <c r="J103" s="36">
        <f t="shared" si="57"/>
        <v>9.7459199999999999</v>
      </c>
      <c r="K103" s="36">
        <f t="shared" si="57"/>
        <v>9.3560831999999987</v>
      </c>
      <c r="L103" s="36">
        <f t="shared" si="57"/>
        <v>8.9818398720000001</v>
      </c>
      <c r="M103" s="36">
        <f t="shared" si="57"/>
        <v>8.6225662771199989</v>
      </c>
      <c r="N103" s="94"/>
    </row>
    <row r="104" spans="1:19">
      <c r="B104" s="113">
        <f t="shared" si="55"/>
        <v>-1</v>
      </c>
      <c r="F104" s="27"/>
      <c r="G104" s="36">
        <f t="shared" ref="G104:M104" si="58">+G65*G20</f>
        <v>18</v>
      </c>
      <c r="H104" s="115">
        <f t="shared" si="58"/>
        <v>16</v>
      </c>
      <c r="I104" s="36">
        <f t="shared" si="58"/>
        <v>14.720000000000002</v>
      </c>
      <c r="J104" s="36">
        <f t="shared" si="58"/>
        <v>13.8368</v>
      </c>
      <c r="K104" s="36">
        <f t="shared" si="58"/>
        <v>13.283328000000001</v>
      </c>
      <c r="L104" s="36">
        <f t="shared" si="58"/>
        <v>12.75199488</v>
      </c>
      <c r="M104" s="36">
        <f t="shared" si="58"/>
        <v>12.241915084799999</v>
      </c>
      <c r="N104" s="36"/>
    </row>
    <row r="105" spans="1:19">
      <c r="B105" s="113">
        <f t="shared" si="55"/>
        <v>0</v>
      </c>
      <c r="F105" s="27"/>
      <c r="G105" s="27"/>
      <c r="H105" s="115">
        <f t="shared" ref="H105:M105" si="59">+H66*H21</f>
        <v>24</v>
      </c>
      <c r="I105" s="36">
        <f t="shared" si="59"/>
        <v>20.400000000000002</v>
      </c>
      <c r="J105" s="36">
        <f t="shared" si="59"/>
        <v>18.768000000000001</v>
      </c>
      <c r="K105" s="36">
        <f t="shared" si="59"/>
        <v>17.641919999999999</v>
      </c>
      <c r="L105" s="36">
        <f t="shared" si="59"/>
        <v>16.9362432</v>
      </c>
      <c r="M105" s="36">
        <f t="shared" si="59"/>
        <v>16.258793472000001</v>
      </c>
      <c r="N105" s="36"/>
    </row>
    <row r="106" spans="1:19">
      <c r="B106" s="113">
        <f t="shared" si="55"/>
        <v>1</v>
      </c>
      <c r="F106" s="27"/>
      <c r="G106" s="27"/>
      <c r="H106" s="114"/>
      <c r="I106" s="36">
        <f t="shared" ref="I106:M106" si="60">+I67*I22</f>
        <v>30</v>
      </c>
      <c r="J106" s="36">
        <f t="shared" si="60"/>
        <v>25.5</v>
      </c>
      <c r="K106" s="36">
        <f t="shared" si="60"/>
        <v>23.460000000000004</v>
      </c>
      <c r="L106" s="36">
        <f t="shared" si="60"/>
        <v>22.052400000000002</v>
      </c>
      <c r="M106" s="36">
        <f t="shared" si="60"/>
        <v>21.170304000000002</v>
      </c>
      <c r="N106" s="36"/>
      <c r="O106" s="36"/>
    </row>
    <row r="107" spans="1:19">
      <c r="B107" s="113">
        <f t="shared" si="55"/>
        <v>2</v>
      </c>
      <c r="F107" s="36"/>
      <c r="G107" s="36"/>
      <c r="H107" s="115"/>
      <c r="I107" s="36"/>
      <c r="J107" s="36">
        <f t="shared" ref="J107:M107" si="61">+J68*J23</f>
        <v>33.6</v>
      </c>
      <c r="K107" s="36">
        <f t="shared" si="61"/>
        <v>28.56</v>
      </c>
      <c r="L107" s="36">
        <f t="shared" si="61"/>
        <v>26.275199999999998</v>
      </c>
      <c r="M107" s="36">
        <f t="shared" si="61"/>
        <v>24.698687999999994</v>
      </c>
      <c r="N107" s="36"/>
      <c r="O107" s="36"/>
      <c r="P107" s="36"/>
    </row>
    <row r="108" spans="1:19">
      <c r="B108" s="113">
        <f t="shared" si="55"/>
        <v>3</v>
      </c>
      <c r="F108" s="36"/>
      <c r="G108" s="36"/>
      <c r="H108" s="115"/>
      <c r="I108" s="36"/>
      <c r="J108" s="36"/>
      <c r="K108" s="36">
        <f t="shared" ref="K108:M108" si="62">+K69*K24</f>
        <v>39.200000000000003</v>
      </c>
      <c r="L108" s="36">
        <f t="shared" si="62"/>
        <v>33.32</v>
      </c>
      <c r="M108" s="36">
        <f t="shared" si="62"/>
        <v>30.654399999999999</v>
      </c>
      <c r="N108" s="36"/>
      <c r="O108" s="36"/>
      <c r="P108" s="36"/>
      <c r="Q108" s="36"/>
    </row>
    <row r="109" spans="1:19">
      <c r="B109" s="113">
        <f t="shared" si="55"/>
        <v>4</v>
      </c>
      <c r="F109" s="36"/>
      <c r="G109" s="36"/>
      <c r="H109" s="115"/>
      <c r="I109" s="36"/>
      <c r="J109" s="36"/>
      <c r="K109" s="36"/>
      <c r="L109" s="36">
        <f t="shared" ref="L109:M109" si="63">+L70*L25</f>
        <v>44.2</v>
      </c>
      <c r="M109" s="36">
        <f t="shared" si="63"/>
        <v>37.57</v>
      </c>
      <c r="N109" s="36"/>
      <c r="O109" s="36"/>
      <c r="P109" s="36"/>
      <c r="Q109" s="36"/>
      <c r="R109" s="36"/>
      <c r="S109" s="36"/>
    </row>
    <row r="110" spans="1:19">
      <c r="B110" s="113">
        <f t="shared" si="55"/>
        <v>5</v>
      </c>
      <c r="F110" s="36"/>
      <c r="G110" s="36"/>
      <c r="H110" s="115"/>
      <c r="I110" s="36"/>
      <c r="J110" s="36"/>
      <c r="K110" s="36"/>
      <c r="L110" s="36"/>
      <c r="M110" s="36">
        <f t="shared" ref="M110" si="64">+M71*M26</f>
        <v>52</v>
      </c>
      <c r="N110" s="36"/>
      <c r="O110" s="36"/>
      <c r="P110" s="36"/>
      <c r="Q110" s="36"/>
      <c r="R110" s="36"/>
      <c r="S110" s="36"/>
    </row>
    <row r="111" spans="1:19" s="128" customFormat="1">
      <c r="A111" s="8"/>
      <c r="B111" s="43" t="s">
        <v>123</v>
      </c>
      <c r="C111" s="43"/>
      <c r="D111" s="43"/>
      <c r="E111" s="43"/>
      <c r="F111" s="129">
        <f t="shared" ref="F111:M111" si="65">SUM(F102:F110)</f>
        <v>22.6</v>
      </c>
      <c r="G111" s="129">
        <f t="shared" si="65"/>
        <v>38.800000000000004</v>
      </c>
      <c r="H111" s="130">
        <f t="shared" si="65"/>
        <v>59.8</v>
      </c>
      <c r="I111" s="129">
        <f t="shared" si="65"/>
        <v>83.912000000000006</v>
      </c>
      <c r="J111" s="129">
        <f t="shared" si="65"/>
        <v>109.74512000000001</v>
      </c>
      <c r="K111" s="129">
        <f t="shared" si="65"/>
        <v>139.46395520000002</v>
      </c>
      <c r="L111" s="129">
        <f t="shared" si="65"/>
        <v>172.16179699200001</v>
      </c>
      <c r="M111" s="129">
        <f t="shared" si="65"/>
        <v>210.55502111231999</v>
      </c>
      <c r="N111" s="8"/>
    </row>
    <row r="112" spans="1:19" s="128" customFormat="1">
      <c r="A112" s="8"/>
      <c r="B112" s="15" t="s">
        <v>253</v>
      </c>
      <c r="C112" s="8"/>
      <c r="D112" s="8"/>
      <c r="E112" s="8"/>
      <c r="F112" s="30">
        <f>+F103</f>
        <v>12</v>
      </c>
      <c r="G112" s="30">
        <f>+G104</f>
        <v>18</v>
      </c>
      <c r="H112" s="305">
        <f>+H105</f>
        <v>24</v>
      </c>
      <c r="I112" s="30">
        <f>+I106</f>
        <v>30</v>
      </c>
      <c r="J112" s="30">
        <f>+J107</f>
        <v>33.6</v>
      </c>
      <c r="K112" s="30">
        <f>+K108</f>
        <v>39.200000000000003</v>
      </c>
      <c r="L112" s="30">
        <f>+L109</f>
        <v>44.2</v>
      </c>
      <c r="M112" s="30">
        <f>+M110</f>
        <v>52</v>
      </c>
      <c r="N112" s="8"/>
    </row>
    <row r="113" spans="1:14" s="128" customFormat="1">
      <c r="A113" s="8"/>
      <c r="B113" s="8"/>
      <c r="C113" s="8"/>
      <c r="D113" s="8"/>
      <c r="E113" s="8"/>
      <c r="F113" s="133"/>
      <c r="G113" s="133"/>
      <c r="H113" s="134"/>
      <c r="I113" s="133"/>
      <c r="J113" s="133"/>
      <c r="K113" s="133"/>
      <c r="L113" s="133"/>
      <c r="M113" s="133"/>
      <c r="N113" s="8"/>
    </row>
    <row r="114" spans="1:14" s="128" customFormat="1">
      <c r="A114" s="8"/>
      <c r="B114" s="8"/>
      <c r="C114" s="8"/>
      <c r="D114" s="8"/>
      <c r="E114" s="8"/>
      <c r="F114" s="133"/>
      <c r="G114" s="133"/>
      <c r="H114" s="134"/>
      <c r="I114" s="133"/>
      <c r="J114" s="133"/>
      <c r="K114" s="133"/>
      <c r="L114" s="133"/>
      <c r="M114" s="133"/>
      <c r="N114" s="8"/>
    </row>
    <row r="115" spans="1:14" s="2" customFormat="1">
      <c r="B115" s="3" t="s">
        <v>177</v>
      </c>
      <c r="C115" s="3"/>
      <c r="D115" s="3"/>
      <c r="E115" s="3"/>
      <c r="F115" s="3"/>
      <c r="G115" s="3"/>
      <c r="H115" s="126"/>
      <c r="I115" s="4"/>
      <c r="J115" s="4"/>
      <c r="K115" s="4"/>
      <c r="L115" s="4"/>
      <c r="M115" s="19" t="s">
        <v>37</v>
      </c>
    </row>
    <row r="116" spans="1:14">
      <c r="B116" s="138" t="s">
        <v>151</v>
      </c>
      <c r="F116" s="230">
        <v>16</v>
      </c>
      <c r="G116" s="230">
        <v>24</v>
      </c>
      <c r="H116" s="231">
        <v>32</v>
      </c>
      <c r="I116" s="230">
        <v>40</v>
      </c>
      <c r="J116" s="230">
        <v>48</v>
      </c>
      <c r="K116" s="230">
        <v>56</v>
      </c>
      <c r="L116" s="230">
        <v>68</v>
      </c>
      <c r="M116" s="230">
        <v>80</v>
      </c>
    </row>
    <row r="117" spans="1:14">
      <c r="B117" s="138" t="s">
        <v>148</v>
      </c>
      <c r="F117" s="230">
        <v>4</v>
      </c>
      <c r="G117" s="230">
        <v>5</v>
      </c>
      <c r="H117" s="231">
        <v>5</v>
      </c>
      <c r="I117" s="230">
        <v>6</v>
      </c>
      <c r="J117" s="230">
        <v>8</v>
      </c>
      <c r="K117" s="230">
        <v>10</v>
      </c>
      <c r="L117" s="230">
        <v>12</v>
      </c>
      <c r="M117" s="230">
        <v>14</v>
      </c>
    </row>
    <row r="118" spans="1:14">
      <c r="B118" s="138" t="s">
        <v>146</v>
      </c>
      <c r="F118" s="230">
        <v>8</v>
      </c>
      <c r="G118" s="230">
        <v>20</v>
      </c>
      <c r="H118" s="231">
        <v>30</v>
      </c>
      <c r="I118" s="230">
        <v>40</v>
      </c>
      <c r="J118" s="230">
        <v>60</v>
      </c>
      <c r="K118" s="230">
        <v>65</v>
      </c>
      <c r="L118" s="230">
        <v>70</v>
      </c>
      <c r="M118" s="230">
        <v>75</v>
      </c>
    </row>
    <row r="119" spans="1:14">
      <c r="B119" s="138" t="s">
        <v>152</v>
      </c>
      <c r="F119" s="232">
        <v>3.75</v>
      </c>
      <c r="G119" s="232">
        <v>3.75</v>
      </c>
      <c r="H119" s="233">
        <v>3.75</v>
      </c>
      <c r="I119" s="232">
        <v>3.75</v>
      </c>
      <c r="J119" s="232">
        <v>3.5</v>
      </c>
      <c r="K119" s="232">
        <v>3.5</v>
      </c>
      <c r="L119" s="232">
        <v>3.25</v>
      </c>
      <c r="M119" s="232">
        <v>3.25</v>
      </c>
    </row>
    <row r="120" spans="1:14">
      <c r="B120" s="138" t="s">
        <v>127</v>
      </c>
      <c r="F120" s="16">
        <f>+F119*F116</f>
        <v>60</v>
      </c>
      <c r="G120" s="16">
        <f t="shared" ref="G120:M120" si="66">+G119*G116</f>
        <v>90</v>
      </c>
      <c r="H120" s="109">
        <f t="shared" si="66"/>
        <v>120</v>
      </c>
      <c r="I120" s="16">
        <f t="shared" si="66"/>
        <v>150</v>
      </c>
      <c r="J120" s="16">
        <f t="shared" si="66"/>
        <v>168</v>
      </c>
      <c r="K120" s="16">
        <f t="shared" si="66"/>
        <v>196</v>
      </c>
      <c r="L120" s="16">
        <f t="shared" si="66"/>
        <v>221</v>
      </c>
      <c r="M120" s="16">
        <f t="shared" si="66"/>
        <v>260</v>
      </c>
    </row>
    <row r="121" spans="1:14" s="128" customFormat="1">
      <c r="A121" s="8"/>
      <c r="B121" s="8"/>
      <c r="C121" s="8"/>
      <c r="D121" s="8"/>
      <c r="E121" s="8"/>
      <c r="F121" s="139"/>
      <c r="G121" s="139"/>
      <c r="H121" s="167"/>
      <c r="I121" s="139"/>
      <c r="J121" s="139"/>
      <c r="K121" s="139"/>
      <c r="L121" s="139"/>
      <c r="M121" s="139"/>
      <c r="N121" s="8"/>
    </row>
    <row r="122" spans="1:14">
      <c r="B122" s="138" t="s">
        <v>147</v>
      </c>
      <c r="F122" s="239">
        <v>400000</v>
      </c>
      <c r="G122" s="239">
        <v>400000</v>
      </c>
      <c r="H122" s="240">
        <v>400000</v>
      </c>
      <c r="I122" s="239">
        <v>400000</v>
      </c>
      <c r="J122" s="239">
        <v>400000</v>
      </c>
      <c r="K122" s="239">
        <v>400000</v>
      </c>
      <c r="L122" s="239">
        <v>400000</v>
      </c>
      <c r="M122" s="239">
        <v>400000</v>
      </c>
    </row>
    <row r="123" spans="1:14">
      <c r="B123" s="138" t="s">
        <v>149</v>
      </c>
      <c r="F123" s="239">
        <v>300000</v>
      </c>
      <c r="G123" s="239">
        <v>300000</v>
      </c>
      <c r="H123" s="240">
        <v>300000</v>
      </c>
      <c r="I123" s="239">
        <v>300000</v>
      </c>
      <c r="J123" s="239">
        <v>300000</v>
      </c>
      <c r="K123" s="239">
        <v>300000</v>
      </c>
      <c r="L123" s="239">
        <v>300000</v>
      </c>
      <c r="M123" s="239">
        <v>300000</v>
      </c>
    </row>
    <row r="124" spans="1:14">
      <c r="B124" s="138" t="s">
        <v>145</v>
      </c>
      <c r="F124" s="239">
        <v>200000</v>
      </c>
      <c r="G124" s="239">
        <v>200000</v>
      </c>
      <c r="H124" s="240">
        <v>200000</v>
      </c>
      <c r="I124" s="239">
        <v>200000</v>
      </c>
      <c r="J124" s="239">
        <v>200000</v>
      </c>
      <c r="K124" s="239">
        <v>200000</v>
      </c>
      <c r="L124" s="239">
        <v>200000</v>
      </c>
      <c r="M124" s="239">
        <v>200000</v>
      </c>
    </row>
    <row r="125" spans="1:14">
      <c r="B125" s="138" t="s">
        <v>150</v>
      </c>
      <c r="F125" s="241">
        <v>0.3</v>
      </c>
      <c r="G125" s="241">
        <v>0.3</v>
      </c>
      <c r="H125" s="242">
        <v>0.3</v>
      </c>
      <c r="I125" s="241">
        <v>0.3</v>
      </c>
      <c r="J125" s="241">
        <v>0.3</v>
      </c>
      <c r="K125" s="241">
        <v>0.3</v>
      </c>
      <c r="L125" s="241">
        <v>0.3</v>
      </c>
      <c r="M125" s="241">
        <v>0.3</v>
      </c>
    </row>
    <row r="126" spans="1:14">
      <c r="F126" s="127"/>
      <c r="G126" s="127"/>
      <c r="H126" s="110"/>
      <c r="I126" s="127"/>
      <c r="J126" s="127"/>
      <c r="K126" s="127"/>
      <c r="L126" s="127"/>
      <c r="M126" s="127"/>
    </row>
    <row r="127" spans="1:14" s="2" customFormat="1">
      <c r="B127" s="3" t="s">
        <v>140</v>
      </c>
      <c r="C127" s="3"/>
      <c r="D127" s="3"/>
      <c r="E127" s="3"/>
      <c r="F127" s="3"/>
      <c r="G127" s="3"/>
      <c r="H127" s="126"/>
      <c r="I127" s="4"/>
      <c r="J127" s="4"/>
      <c r="K127" s="4"/>
      <c r="L127" s="4"/>
      <c r="M127" s="19" t="s">
        <v>37</v>
      </c>
    </row>
    <row r="128" spans="1:14">
      <c r="B128" s="5" t="s">
        <v>136</v>
      </c>
      <c r="C128" s="10"/>
      <c r="D128" s="10"/>
      <c r="E128" s="10"/>
      <c r="F128" s="108">
        <f t="shared" ref="F128:M128" si="67">+F$3</f>
        <v>-2</v>
      </c>
      <c r="G128" s="108">
        <f t="shared" si="67"/>
        <v>-1</v>
      </c>
      <c r="H128" s="89">
        <f t="shared" si="67"/>
        <v>0</v>
      </c>
      <c r="I128" s="10">
        <f t="shared" si="67"/>
        <v>1</v>
      </c>
      <c r="J128" s="10">
        <f t="shared" si="67"/>
        <v>2</v>
      </c>
      <c r="K128" s="10">
        <f t="shared" si="67"/>
        <v>3</v>
      </c>
      <c r="L128" s="10">
        <f t="shared" si="67"/>
        <v>4</v>
      </c>
      <c r="M128" s="10">
        <f t="shared" si="67"/>
        <v>5</v>
      </c>
    </row>
    <row r="129" spans="1:14">
      <c r="B129" s="2" t="s">
        <v>115</v>
      </c>
      <c r="F129" s="127">
        <f>+F116*F122/1000000</f>
        <v>6.4</v>
      </c>
      <c r="G129" s="127">
        <f>+G116*G122/1000000</f>
        <v>9.6</v>
      </c>
      <c r="H129" s="110">
        <f>+H116*H122/1000000</f>
        <v>12.8</v>
      </c>
      <c r="I129" s="127">
        <f t="shared" ref="I129:M129" si="68">+I116*I122/1000000</f>
        <v>16</v>
      </c>
      <c r="J129" s="127">
        <f t="shared" si="68"/>
        <v>19.2</v>
      </c>
      <c r="K129" s="127">
        <f t="shared" si="68"/>
        <v>22.4</v>
      </c>
      <c r="L129" s="127">
        <f t="shared" si="68"/>
        <v>27.2</v>
      </c>
      <c r="M129" s="127">
        <f t="shared" si="68"/>
        <v>32</v>
      </c>
    </row>
    <row r="130" spans="1:14">
      <c r="B130" s="2" t="s">
        <v>116</v>
      </c>
      <c r="F130" s="36">
        <f>+(F117*F123/1000000)+(F117*F123/1000000*F125)</f>
        <v>1.56</v>
      </c>
      <c r="G130" s="36">
        <f>+(G117*G123/1000000)+(G117*G123/1000000*G125)</f>
        <v>1.95</v>
      </c>
      <c r="H130" s="115">
        <f>+(H117*H123/1000000)+(H117*H123/1000000*H125)</f>
        <v>1.95</v>
      </c>
      <c r="I130" s="36">
        <f t="shared" ref="I130:M130" si="69">+(I117*I123/1000000)+(I117*I123/1000000*I125)</f>
        <v>2.34</v>
      </c>
      <c r="J130" s="36">
        <f t="shared" si="69"/>
        <v>3.12</v>
      </c>
      <c r="K130" s="36">
        <f t="shared" si="69"/>
        <v>3.9</v>
      </c>
      <c r="L130" s="36">
        <f t="shared" si="69"/>
        <v>4.68</v>
      </c>
      <c r="M130" s="36">
        <f t="shared" si="69"/>
        <v>5.46</v>
      </c>
    </row>
    <row r="131" spans="1:14">
      <c r="B131" s="2" t="s">
        <v>119</v>
      </c>
      <c r="F131" s="36">
        <f>+F118*F124/1000000</f>
        <v>1.6</v>
      </c>
      <c r="G131" s="36">
        <f>+G118*G124/1000000</f>
        <v>4</v>
      </c>
      <c r="H131" s="115">
        <f>+H118*H124/1000000</f>
        <v>6</v>
      </c>
      <c r="I131" s="36">
        <f t="shared" ref="I131:M131" si="70">+I118*I124/1000000</f>
        <v>8</v>
      </c>
      <c r="J131" s="36">
        <f t="shared" si="70"/>
        <v>12</v>
      </c>
      <c r="K131" s="36">
        <f t="shared" si="70"/>
        <v>13</v>
      </c>
      <c r="L131" s="36">
        <f t="shared" si="70"/>
        <v>14</v>
      </c>
      <c r="M131" s="36">
        <f t="shared" si="70"/>
        <v>15</v>
      </c>
    </row>
    <row r="132" spans="1:14" s="128" customFormat="1">
      <c r="A132" s="8"/>
      <c r="B132" s="43" t="s">
        <v>139</v>
      </c>
      <c r="C132" s="43"/>
      <c r="D132" s="43"/>
      <c r="E132" s="43"/>
      <c r="F132" s="129">
        <f t="shared" ref="F132:H132" si="71">+SUM(F129:F131)</f>
        <v>9.56</v>
      </c>
      <c r="G132" s="129">
        <f t="shared" si="71"/>
        <v>15.549999999999999</v>
      </c>
      <c r="H132" s="130">
        <f t="shared" si="71"/>
        <v>20.75</v>
      </c>
      <c r="I132" s="129">
        <f t="shared" ref="I132:M132" si="72">+SUM(I129:I131)</f>
        <v>26.34</v>
      </c>
      <c r="J132" s="129">
        <f t="shared" si="72"/>
        <v>34.32</v>
      </c>
      <c r="K132" s="129">
        <f t="shared" si="72"/>
        <v>39.299999999999997</v>
      </c>
      <c r="L132" s="129">
        <f t="shared" si="72"/>
        <v>45.879999999999995</v>
      </c>
      <c r="M132" s="129">
        <f t="shared" si="72"/>
        <v>52.46</v>
      </c>
      <c r="N132" s="8"/>
    </row>
    <row r="133" spans="1:14" s="128" customFormat="1">
      <c r="A133" s="8"/>
      <c r="B133" s="15" t="s">
        <v>153</v>
      </c>
      <c r="C133" s="8"/>
      <c r="D133" s="8"/>
      <c r="E133" s="8"/>
      <c r="F133" s="153">
        <f>+F132/F120</f>
        <v>0.15933333333333335</v>
      </c>
      <c r="G133" s="153">
        <f>+G132/G120</f>
        <v>0.17277777777777775</v>
      </c>
      <c r="H133" s="168">
        <f>+H132/H120</f>
        <v>0.17291666666666666</v>
      </c>
      <c r="I133" s="153">
        <f t="shared" ref="I133:M133" si="73">+I132/I120</f>
        <v>0.17560000000000001</v>
      </c>
      <c r="J133" s="153">
        <f t="shared" si="73"/>
        <v>0.20428571428571429</v>
      </c>
      <c r="K133" s="153">
        <f t="shared" si="73"/>
        <v>0.20051020408163264</v>
      </c>
      <c r="L133" s="153">
        <f t="shared" si="73"/>
        <v>0.20760180995475111</v>
      </c>
      <c r="M133" s="153">
        <f t="shared" si="73"/>
        <v>0.20176923076923078</v>
      </c>
      <c r="N133" s="8"/>
    </row>
    <row r="134" spans="1:14" s="128" customFormat="1">
      <c r="A134" s="8"/>
      <c r="B134" s="15"/>
      <c r="C134" s="8"/>
      <c r="D134" s="8"/>
      <c r="E134" s="8"/>
      <c r="F134" s="153"/>
      <c r="G134" s="153"/>
      <c r="H134" s="168"/>
      <c r="I134" s="153"/>
      <c r="J134" s="153"/>
      <c r="K134" s="153"/>
      <c r="L134" s="153"/>
      <c r="M134" s="153"/>
      <c r="N134" s="8"/>
    </row>
    <row r="135" spans="1:14">
      <c r="B135" s="6" t="s">
        <v>135</v>
      </c>
      <c r="C135" s="35"/>
      <c r="D135" s="35"/>
      <c r="E135" s="35"/>
      <c r="F135" s="116"/>
      <c r="G135" s="116"/>
      <c r="H135" s="91"/>
      <c r="I135" s="35"/>
      <c r="J135" s="35"/>
      <c r="K135" s="35"/>
      <c r="L135" s="35"/>
      <c r="M135" s="35"/>
    </row>
    <row r="136" spans="1:14">
      <c r="B136" s="2" t="s">
        <v>230</v>
      </c>
      <c r="F136" s="40"/>
      <c r="G136" s="127">
        <f>+G152*G151*G148</f>
        <v>1.7512297015025942</v>
      </c>
      <c r="H136" s="110">
        <f t="shared" ref="H136:M136" si="74">+H152*H151*H148</f>
        <v>1.821811266312545</v>
      </c>
      <c r="I136" s="127">
        <f t="shared" si="74"/>
        <v>1.421875</v>
      </c>
      <c r="J136" s="127">
        <f t="shared" si="74"/>
        <v>1.5125352780009471</v>
      </c>
      <c r="K136" s="127">
        <f t="shared" si="74"/>
        <v>1.6205094125143771</v>
      </c>
      <c r="L136" s="127">
        <f t="shared" si="74"/>
        <v>1.6975034923811045</v>
      </c>
      <c r="M136" s="127">
        <f t="shared" si="74"/>
        <v>1.7713712485611122</v>
      </c>
    </row>
    <row r="137" spans="1:14" s="128" customFormat="1">
      <c r="A137" s="8"/>
      <c r="B137" s="138" t="s">
        <v>110</v>
      </c>
      <c r="C137" s="2"/>
      <c r="D137" s="2"/>
      <c r="E137" s="2"/>
      <c r="F137" s="145"/>
      <c r="G137" s="145">
        <f>+G133</f>
        <v>0.17277777777777775</v>
      </c>
      <c r="H137" s="144">
        <f t="shared" ref="H137:M137" si="75">+H133</f>
        <v>0.17291666666666666</v>
      </c>
      <c r="I137" s="145">
        <f t="shared" si="75"/>
        <v>0.17560000000000001</v>
      </c>
      <c r="J137" s="145">
        <f t="shared" si="75"/>
        <v>0.20428571428571429</v>
      </c>
      <c r="K137" s="145">
        <f t="shared" si="75"/>
        <v>0.20051020408163264</v>
      </c>
      <c r="L137" s="145">
        <f t="shared" si="75"/>
        <v>0.20760180995475111</v>
      </c>
      <c r="M137" s="145">
        <f t="shared" si="75"/>
        <v>0.20176923076923078</v>
      </c>
      <c r="N137" s="8"/>
    </row>
    <row r="138" spans="1:14">
      <c r="B138" s="2" t="s">
        <v>235</v>
      </c>
      <c r="F138" s="170"/>
      <c r="G138" s="169">
        <f>+G136/G137</f>
        <v>10.135734606767427</v>
      </c>
      <c r="H138" s="177">
        <f t="shared" ref="H138:M138" si="76">+H136/H137</f>
        <v>10.535775997952067</v>
      </c>
      <c r="I138" s="169">
        <f t="shared" si="76"/>
        <v>8.097238041002278</v>
      </c>
      <c r="J138" s="169">
        <f t="shared" si="76"/>
        <v>7.4040188433612792</v>
      </c>
      <c r="K138" s="169">
        <f t="shared" si="76"/>
        <v>8.0819298944737383</v>
      </c>
      <c r="L138" s="169">
        <f t="shared" si="76"/>
        <v>8.1767278076770733</v>
      </c>
      <c r="M138" s="169">
        <f t="shared" si="76"/>
        <v>8.7791941407908709</v>
      </c>
    </row>
    <row r="139" spans="1:14">
      <c r="B139" s="2" t="s">
        <v>120</v>
      </c>
      <c r="F139" s="36"/>
      <c r="G139" s="36">
        <f>+G133/(G152*G151)*12</f>
        <v>14.864898550724636</v>
      </c>
      <c r="H139" s="115">
        <f t="shared" ref="H139:M139" si="77">+H133/(H152*H151)*12</f>
        <v>14.730761173184359</v>
      </c>
      <c r="I139" s="36">
        <f t="shared" si="77"/>
        <v>15.051428571428573</v>
      </c>
      <c r="J139" s="36">
        <f t="shared" si="77"/>
        <v>17.510204081632654</v>
      </c>
      <c r="K139" s="36">
        <f t="shared" si="77"/>
        <v>17.186588921282802</v>
      </c>
      <c r="L139" s="36">
        <f t="shared" si="77"/>
        <v>17.794440853264383</v>
      </c>
      <c r="M139" s="36">
        <f t="shared" si="77"/>
        <v>17.294505494505497</v>
      </c>
    </row>
    <row r="140" spans="1:14">
      <c r="F140" s="36"/>
      <c r="G140" s="36"/>
      <c r="H140" s="115"/>
      <c r="I140" s="36"/>
      <c r="J140" s="36"/>
      <c r="K140" s="36"/>
      <c r="L140" s="36"/>
      <c r="M140" s="36"/>
    </row>
    <row r="141" spans="1:14">
      <c r="B141" s="2" t="s">
        <v>111</v>
      </c>
      <c r="F141" s="170"/>
      <c r="G141" s="42">
        <f>G12+'Model (End)'!D74</f>
        <v>0.48182325571410967</v>
      </c>
      <c r="H141" s="136">
        <f>H12+'Model (End)'!E74</f>
        <v>0.40057215176523325</v>
      </c>
      <c r="I141" s="42">
        <f ca="1">I12+'Model (End)'!F74</f>
        <v>0.33391625942334646</v>
      </c>
      <c r="J141" s="42">
        <f ca="1">J12+'Model (End)'!G74</f>
        <v>0.28994835502826033</v>
      </c>
      <c r="K141" s="42">
        <f ca="1">K12+'Model (End)'!H74</f>
        <v>0.28927723376472286</v>
      </c>
      <c r="L141" s="42">
        <f ca="1">L12+'Model (End)'!I74</f>
        <v>0.32093194484937865</v>
      </c>
      <c r="M141" s="42">
        <f ca="1">M12+'Model (End)'!J74</f>
        <v>0.37988778468509032</v>
      </c>
    </row>
    <row r="142" spans="1:14">
      <c r="B142" s="2" t="s">
        <v>126</v>
      </c>
      <c r="F142" s="170"/>
      <c r="G142" s="41">
        <f>+(G111-G112)/F111</f>
        <v>0.92035398230088505</v>
      </c>
      <c r="H142" s="135">
        <f t="shared" ref="H142:M142" si="78">+(H111-H112)/G111</f>
        <v>0.92268041237113385</v>
      </c>
      <c r="I142" s="41">
        <f t="shared" si="78"/>
        <v>0.90153846153846173</v>
      </c>
      <c r="J142" s="41">
        <f t="shared" si="78"/>
        <v>0.90744017542187072</v>
      </c>
      <c r="K142" s="41">
        <f t="shared" si="78"/>
        <v>0.91360741324990125</v>
      </c>
      <c r="L142" s="41">
        <f t="shared" si="78"/>
        <v>0.91752594287530997</v>
      </c>
      <c r="M142" s="41">
        <f t="shared" si="78"/>
        <v>0.92096518439388564</v>
      </c>
    </row>
    <row r="143" spans="1:14">
      <c r="B143" s="2" t="s">
        <v>124</v>
      </c>
      <c r="F143" s="170"/>
      <c r="G143" s="169">
        <f>(G11-F11)/F132</f>
        <v>1.4403765690376571</v>
      </c>
      <c r="H143" s="177">
        <f t="shared" ref="H143:M143" si="79">(H11-G11)/G132</f>
        <v>1.1479099678456592</v>
      </c>
      <c r="I143" s="169">
        <f t="shared" si="79"/>
        <v>0.987720481927711</v>
      </c>
      <c r="J143" s="169">
        <f t="shared" si="79"/>
        <v>0.83364282460136618</v>
      </c>
      <c r="K143" s="169">
        <f t="shared" si="79"/>
        <v>0.73604341258741235</v>
      </c>
      <c r="L143" s="169">
        <f t="shared" si="79"/>
        <v>0.70720522959796417</v>
      </c>
      <c r="M143" s="169">
        <f t="shared" si="79"/>
        <v>0.71129556456564913</v>
      </c>
    </row>
    <row r="144" spans="1:14">
      <c r="B144" s="2" t="s">
        <v>138</v>
      </c>
      <c r="F144" s="170"/>
      <c r="G144" s="41">
        <f>+G150/G132</f>
        <v>1.157556270096463</v>
      </c>
      <c r="H144" s="135">
        <f t="shared" ref="H144:M144" si="80">+H150/H132</f>
        <v>1.1566265060240963</v>
      </c>
      <c r="I144" s="41">
        <f t="shared" si="80"/>
        <v>1.1389521640091116</v>
      </c>
      <c r="J144" s="41">
        <f t="shared" si="80"/>
        <v>0.97902097902097907</v>
      </c>
      <c r="K144" s="41">
        <f t="shared" si="80"/>
        <v>0.99745547073791363</v>
      </c>
      <c r="L144" s="41">
        <f t="shared" si="80"/>
        <v>0.96338273757628612</v>
      </c>
      <c r="M144" s="41">
        <f t="shared" si="80"/>
        <v>0.99123141441097973</v>
      </c>
    </row>
    <row r="145" spans="1:14">
      <c r="H145" s="112"/>
    </row>
    <row r="146" spans="1:14">
      <c r="B146" s="6" t="s">
        <v>134</v>
      </c>
      <c r="F146" s="41"/>
      <c r="G146" s="41"/>
      <c r="H146" s="135"/>
      <c r="I146" s="41"/>
      <c r="J146" s="41"/>
      <c r="K146" s="41"/>
      <c r="L146" s="41"/>
      <c r="M146" s="41"/>
    </row>
    <row r="147" spans="1:14">
      <c r="B147" s="2" t="s">
        <v>231</v>
      </c>
      <c r="C147" s="35"/>
      <c r="F147" s="116"/>
      <c r="G147" s="287">
        <f>+G56/F27</f>
        <v>7.9646017699115043E-2</v>
      </c>
      <c r="H147" s="288">
        <f t="shared" ref="H147:M147" si="81">+H56/G27</f>
        <v>7.7319587628865982E-2</v>
      </c>
      <c r="I147" s="287">
        <f t="shared" si="81"/>
        <v>9.8461538461538448E-2</v>
      </c>
      <c r="J147" s="287">
        <f t="shared" si="81"/>
        <v>9.2559824578129488E-2</v>
      </c>
      <c r="K147" s="287">
        <f t="shared" si="81"/>
        <v>8.639258675009881E-2</v>
      </c>
      <c r="L147" s="287">
        <f t="shared" si="81"/>
        <v>8.2474057124689998E-2</v>
      </c>
      <c r="M147" s="287">
        <f t="shared" si="81"/>
        <v>7.9034815606114306E-2</v>
      </c>
    </row>
    <row r="148" spans="1:14">
      <c r="B148" s="2" t="s">
        <v>128</v>
      </c>
      <c r="C148" s="35"/>
      <c r="F148" s="116"/>
      <c r="G148" s="36">
        <f>1/G147</f>
        <v>12.555555555555555</v>
      </c>
      <c r="H148" s="115">
        <f t="shared" ref="H148:M148" si="82">1/H147</f>
        <v>12.933333333333334</v>
      </c>
      <c r="I148" s="36">
        <f t="shared" si="82"/>
        <v>10.156250000000002</v>
      </c>
      <c r="J148" s="36">
        <f t="shared" si="82"/>
        <v>10.803823414292481</v>
      </c>
      <c r="K148" s="36">
        <f t="shared" si="82"/>
        <v>11.575067232245551</v>
      </c>
      <c r="L148" s="36">
        <f t="shared" si="82"/>
        <v>12.12502494557932</v>
      </c>
      <c r="M148" s="36">
        <f t="shared" si="82"/>
        <v>12.652651775436517</v>
      </c>
    </row>
    <row r="149" spans="1:14">
      <c r="B149" s="2" t="s">
        <v>233</v>
      </c>
      <c r="F149" s="36">
        <f>+F120</f>
        <v>60</v>
      </c>
      <c r="G149" s="36">
        <f t="shared" ref="G149:M149" si="83">+G120</f>
        <v>90</v>
      </c>
      <c r="H149" s="115">
        <f t="shared" si="83"/>
        <v>120</v>
      </c>
      <c r="I149" s="36">
        <f t="shared" si="83"/>
        <v>150</v>
      </c>
      <c r="J149" s="36">
        <f t="shared" si="83"/>
        <v>168</v>
      </c>
      <c r="K149" s="36">
        <f t="shared" si="83"/>
        <v>196</v>
      </c>
      <c r="L149" s="36">
        <f t="shared" si="83"/>
        <v>221</v>
      </c>
      <c r="M149" s="36">
        <f t="shared" si="83"/>
        <v>260</v>
      </c>
    </row>
    <row r="150" spans="1:14">
      <c r="B150" s="2" t="s">
        <v>234</v>
      </c>
      <c r="F150" s="127">
        <f>+F112</f>
        <v>12</v>
      </c>
      <c r="G150" s="127">
        <f t="shared" ref="G150:M150" si="84">+G112</f>
        <v>18</v>
      </c>
      <c r="H150" s="110">
        <f t="shared" si="84"/>
        <v>24</v>
      </c>
      <c r="I150" s="127">
        <f t="shared" si="84"/>
        <v>30</v>
      </c>
      <c r="J150" s="127">
        <f t="shared" si="84"/>
        <v>33.6</v>
      </c>
      <c r="K150" s="127">
        <f t="shared" si="84"/>
        <v>39.200000000000003</v>
      </c>
      <c r="L150" s="127">
        <f t="shared" si="84"/>
        <v>44.2</v>
      </c>
      <c r="M150" s="127">
        <f t="shared" si="84"/>
        <v>52</v>
      </c>
    </row>
    <row r="151" spans="1:14">
      <c r="B151" s="138" t="s">
        <v>133</v>
      </c>
      <c r="F151" s="174">
        <f>+'Model (End)'!C65</f>
        <v>0.67673086933888593</v>
      </c>
      <c r="G151" s="174">
        <f>+'Model (End)'!D65</f>
        <v>0.69739235900545782</v>
      </c>
      <c r="H151" s="175">
        <f>+'Model (End)'!E65</f>
        <v>0.70430847924454054</v>
      </c>
      <c r="I151" s="174">
        <f>+'Model (End)'!F65</f>
        <v>0.7</v>
      </c>
      <c r="J151" s="174">
        <f>+'Model (End)'!G65</f>
        <v>0.7</v>
      </c>
      <c r="K151" s="174">
        <f>+'Model (End)'!H65</f>
        <v>0.7</v>
      </c>
      <c r="L151" s="174">
        <f>+'Model (End)'!I65</f>
        <v>0.7</v>
      </c>
      <c r="M151" s="174">
        <f>+'Model (End)'!J65</f>
        <v>0.7</v>
      </c>
    </row>
    <row r="152" spans="1:14" s="128" customFormat="1">
      <c r="A152" s="8"/>
      <c r="B152" s="2" t="s">
        <v>254</v>
      </c>
      <c r="C152" s="2"/>
      <c r="D152" s="2"/>
      <c r="E152" s="2"/>
      <c r="F152" s="150">
        <f>+F64</f>
        <v>0.2</v>
      </c>
      <c r="G152" s="150">
        <f>+G65</f>
        <v>0.2</v>
      </c>
      <c r="H152" s="151">
        <f>+H66</f>
        <v>0.2</v>
      </c>
      <c r="I152" s="150">
        <f>+I67</f>
        <v>0.2</v>
      </c>
      <c r="J152" s="150">
        <f>+J68</f>
        <v>0.2</v>
      </c>
      <c r="K152" s="150">
        <f>+K69</f>
        <v>0.2</v>
      </c>
      <c r="L152" s="150">
        <f>+L70</f>
        <v>0.2</v>
      </c>
      <c r="M152" s="150">
        <f>+M71</f>
        <v>0.2</v>
      </c>
      <c r="N152" s="8"/>
    </row>
    <row r="153" spans="1:14" s="128" customFormat="1">
      <c r="A153" s="8"/>
      <c r="B153" s="2"/>
      <c r="C153" s="2"/>
      <c r="D153" s="2"/>
      <c r="E153" s="2"/>
      <c r="F153" s="148"/>
      <c r="G153" s="148"/>
      <c r="H153" s="148"/>
      <c r="I153" s="148"/>
      <c r="J153" s="148"/>
      <c r="K153" s="148"/>
      <c r="L153" s="148"/>
      <c r="M153" s="148"/>
      <c r="N153" s="8"/>
    </row>
    <row r="154" spans="1:14">
      <c r="B154" s="15" t="s">
        <v>112</v>
      </c>
    </row>
  </sheetData>
  <pageMargins left="0.7" right="0.7" top="0.75" bottom="0.75" header="0.3" footer="0.3"/>
  <pageSetup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E356-5115-43D4-A6A7-28F6DF017E30}">
  <dimension ref="A1:K21"/>
  <sheetViews>
    <sheetView showGridLines="0" zoomScale="150" zoomScaleNormal="150" zoomScaleSheetLayoutView="140" workbookViewId="0"/>
  </sheetViews>
  <sheetFormatPr defaultColWidth="9.1328125" defaultRowHeight="13.15"/>
  <cols>
    <col min="1" max="1" width="6.3984375" style="2" customWidth="1"/>
    <col min="2" max="2" width="22" style="2" customWidth="1"/>
    <col min="3" max="4" width="9.73046875" style="2" customWidth="1"/>
    <col min="5" max="10" width="11.86328125" style="2" customWidth="1"/>
    <col min="11" max="11" width="9.1328125" style="2"/>
    <col min="12" max="16384" width="9.1328125" style="1"/>
  </cols>
  <sheetData>
    <row r="1" spans="2:10">
      <c r="B1" s="15"/>
    </row>
    <row r="2" spans="2:10" s="2" customFormat="1">
      <c r="B2" s="3" t="s">
        <v>51</v>
      </c>
      <c r="C2" s="3"/>
      <c r="D2" s="3"/>
      <c r="E2" s="4"/>
      <c r="F2" s="4"/>
      <c r="G2" s="4"/>
      <c r="H2" s="4"/>
      <c r="I2" s="4"/>
      <c r="J2" s="19" t="s">
        <v>37</v>
      </c>
    </row>
    <row r="3" spans="2:10" s="2" customFormat="1">
      <c r="B3" s="5"/>
      <c r="C3" s="10"/>
      <c r="D3" s="10"/>
      <c r="E3" s="89">
        <v>0</v>
      </c>
      <c r="F3" s="10">
        <v>1</v>
      </c>
      <c r="G3" s="10">
        <f>F3+1</f>
        <v>2</v>
      </c>
      <c r="H3" s="10">
        <f>G3+1</f>
        <v>3</v>
      </c>
      <c r="I3" s="10">
        <f>H3+1</f>
        <v>4</v>
      </c>
      <c r="J3" s="10">
        <f>I3+1</f>
        <v>5</v>
      </c>
    </row>
    <row r="4" spans="2:10" s="2" customFormat="1">
      <c r="B4" s="20" t="s">
        <v>54</v>
      </c>
      <c r="C4" s="22"/>
      <c r="D4" s="20"/>
      <c r="E4" s="306">
        <f>'Model (End)'!E61</f>
        <v>50.830000000000005</v>
      </c>
      <c r="F4" s="26">
        <f ca="1">+OFFSET(F4, 'Model (End)'!$J$8, 0)</f>
        <v>71.325200000000009</v>
      </c>
      <c r="G4" s="26">
        <f ca="1">+OFFSET(G4, 'Model (End)'!$J$8, 0)</f>
        <v>93.283351999999994</v>
      </c>
      <c r="H4" s="26">
        <f ca="1">+OFFSET(H4, 'Model (End)'!$J$8, 0)</f>
        <v>118.54436191999999</v>
      </c>
      <c r="I4" s="26">
        <f ca="1">+OFFSET(I4, 'Model (End)'!$J$8, 0)</f>
        <v>146.33752744319997</v>
      </c>
      <c r="J4" s="26">
        <f ca="1">+OFFSET(J4, 'Model (End)'!$J$8, 0)</f>
        <v>178.97176794547195</v>
      </c>
    </row>
    <row r="5" spans="2:10" s="2" customFormat="1">
      <c r="B5" s="21" t="str">
        <f>+'Model (End)'!$G$9</f>
        <v>Management case</v>
      </c>
      <c r="D5" s="11"/>
      <c r="E5" s="115">
        <f>+E4</f>
        <v>50.830000000000005</v>
      </c>
      <c r="F5" s="27">
        <v>71.162000000000006</v>
      </c>
      <c r="G5" s="27">
        <v>99.626800000000003</v>
      </c>
      <c r="H5" s="27">
        <v>139.47752</v>
      </c>
      <c r="I5" s="27">
        <v>195.26852799999998</v>
      </c>
      <c r="J5" s="27">
        <v>273.37593919999995</v>
      </c>
    </row>
    <row r="6" spans="2:10" s="2" customFormat="1">
      <c r="B6" s="21" t="str">
        <f>+'Model (End)'!$G$10</f>
        <v>Base case</v>
      </c>
      <c r="D6" s="11"/>
      <c r="E6" s="115">
        <f>+E5</f>
        <v>50.830000000000005</v>
      </c>
      <c r="F6" s="310">
        <f>+'Cohorts (End)'!I11</f>
        <v>71.325200000000009</v>
      </c>
      <c r="G6" s="310">
        <f>+'Cohorts (End)'!J11</f>
        <v>93.283351999999994</v>
      </c>
      <c r="H6" s="310">
        <f>+'Cohorts (End)'!K11</f>
        <v>118.54436191999999</v>
      </c>
      <c r="I6" s="310">
        <f>+'Cohorts (End)'!L11</f>
        <v>146.33752744319997</v>
      </c>
      <c r="J6" s="310">
        <f>+'Cohorts (End)'!M11</f>
        <v>178.97176794547195</v>
      </c>
    </row>
    <row r="7" spans="2:10">
      <c r="E7" s="112"/>
    </row>
    <row r="8" spans="2:10">
      <c r="B8" s="28" t="s">
        <v>55</v>
      </c>
      <c r="D8" s="11" t="s">
        <v>56</v>
      </c>
      <c r="E8" s="112"/>
    </row>
    <row r="9" spans="2:10">
      <c r="B9" s="11" t="str">
        <f>+'Model (End)'!$G$9</f>
        <v>Management case</v>
      </c>
      <c r="D9" s="32">
        <f>((J5/E5)^(1/5)-1)</f>
        <v>0.39999999999999991</v>
      </c>
      <c r="E9" s="303"/>
      <c r="F9" s="31">
        <f t="shared" ref="F9:J10" si="0">+F5/E5-1</f>
        <v>0.39999999999999991</v>
      </c>
      <c r="G9" s="31">
        <f t="shared" si="0"/>
        <v>0.39999999999999991</v>
      </c>
      <c r="H9" s="31">
        <f t="shared" si="0"/>
        <v>0.39999999999999991</v>
      </c>
      <c r="I9" s="31">
        <f t="shared" si="0"/>
        <v>0.39999999999999991</v>
      </c>
      <c r="J9" s="31">
        <f t="shared" si="0"/>
        <v>0.39999999999999991</v>
      </c>
    </row>
    <row r="10" spans="2:10">
      <c r="B10" s="11" t="str">
        <f>+'Model (End)'!$G$10</f>
        <v>Base case</v>
      </c>
      <c r="D10" s="33">
        <f>((J6/E6)^(1/5)-1)</f>
        <v>0.28627220090185079</v>
      </c>
      <c r="E10" s="303"/>
      <c r="F10" s="31">
        <f t="shared" si="0"/>
        <v>0.40321070234113709</v>
      </c>
      <c r="G10" s="31">
        <f t="shared" si="0"/>
        <v>0.30785966250357499</v>
      </c>
      <c r="H10" s="31">
        <f t="shared" si="0"/>
        <v>0.27079869428362735</v>
      </c>
      <c r="I10" s="31">
        <f t="shared" si="0"/>
        <v>0.2344537106029243</v>
      </c>
      <c r="J10" s="31">
        <f t="shared" si="0"/>
        <v>0.22300664137528736</v>
      </c>
    </row>
    <row r="11" spans="2:10">
      <c r="B11" s="11"/>
      <c r="D11" s="317"/>
      <c r="E11" s="303"/>
      <c r="F11" s="31"/>
      <c r="G11" s="31"/>
      <c r="H11" s="31"/>
      <c r="I11" s="31"/>
      <c r="J11" s="31"/>
    </row>
    <row r="12" spans="2:10">
      <c r="B12" s="21"/>
      <c r="C12" s="29"/>
      <c r="E12" s="304"/>
      <c r="F12" s="24"/>
      <c r="G12" s="24"/>
      <c r="H12" s="24"/>
      <c r="I12" s="24"/>
      <c r="J12" s="24"/>
    </row>
    <row r="13" spans="2:10" s="2" customFormat="1">
      <c r="B13" s="20" t="s">
        <v>252</v>
      </c>
      <c r="C13" s="22"/>
      <c r="D13" s="20"/>
      <c r="E13" s="306">
        <f>+'Model (End)'!E67</f>
        <v>20.75</v>
      </c>
      <c r="F13" s="26">
        <f ca="1">+OFFSET(F13, 'Model (End)'!$J$8, 0)</f>
        <v>26.34</v>
      </c>
      <c r="G13" s="26">
        <f ca="1">+OFFSET(G13, 'Model (End)'!$J$8, 0)</f>
        <v>34.32</v>
      </c>
      <c r="H13" s="26">
        <f ca="1">+OFFSET(H13, 'Model (End)'!$J$8, 0)</f>
        <v>39.299999999999997</v>
      </c>
      <c r="I13" s="26">
        <f ca="1">+OFFSET(I13, 'Model (End)'!$J$8, 0)</f>
        <v>45.879999999999995</v>
      </c>
      <c r="J13" s="26">
        <f ca="1">+OFFSET(J13, 'Model (End)'!$J$8, 0)</f>
        <v>52.46</v>
      </c>
    </row>
    <row r="14" spans="2:10" s="2" customFormat="1">
      <c r="B14" s="21" t="str">
        <f>+'Model (End)'!$G$9</f>
        <v>Management case</v>
      </c>
      <c r="D14" s="11"/>
      <c r="E14" s="115">
        <f>+E13</f>
        <v>20.75</v>
      </c>
      <c r="F14" s="27">
        <v>28.464800000000004</v>
      </c>
      <c r="G14" s="27">
        <v>37.858184000000001</v>
      </c>
      <c r="H14" s="27">
        <v>50.211907199999999</v>
      </c>
      <c r="I14" s="27">
        <v>66.39129951999999</v>
      </c>
      <c r="J14" s="27">
        <v>87.480300543999988</v>
      </c>
    </row>
    <row r="15" spans="2:10" s="2" customFormat="1">
      <c r="B15" s="21" t="str">
        <f>+'Model (End)'!$G$10</f>
        <v>Base case</v>
      </c>
      <c r="D15" s="11"/>
      <c r="E15" s="115">
        <f>+E14</f>
        <v>20.75</v>
      </c>
      <c r="F15" s="310">
        <f>'Cohorts (End)'!I132</f>
        <v>26.34</v>
      </c>
      <c r="G15" s="310">
        <f>'Cohorts (End)'!J132</f>
        <v>34.32</v>
      </c>
      <c r="H15" s="310">
        <f>'Cohorts (End)'!K132</f>
        <v>39.299999999999997</v>
      </c>
      <c r="I15" s="310">
        <f>'Cohorts (End)'!L132</f>
        <v>45.879999999999995</v>
      </c>
      <c r="J15" s="310">
        <f>'Cohorts (End)'!M132</f>
        <v>52.46</v>
      </c>
    </row>
    <row r="16" spans="2:10">
      <c r="E16" s="112"/>
    </row>
    <row r="17" spans="2:10">
      <c r="B17" s="28" t="s">
        <v>29</v>
      </c>
      <c r="D17" s="11" t="s">
        <v>56</v>
      </c>
      <c r="E17" s="112"/>
    </row>
    <row r="18" spans="2:10">
      <c r="B18" s="11" t="str">
        <f>+'Model (End)'!$G$9</f>
        <v>Management case</v>
      </c>
      <c r="D18" s="32">
        <f>((J14/E14)^(1/5)-1)</f>
        <v>0.33345521155426305</v>
      </c>
      <c r="E18" s="303"/>
      <c r="F18" s="31">
        <f t="shared" ref="F18:J19" si="1">+F14/F5</f>
        <v>0.4</v>
      </c>
      <c r="G18" s="31">
        <f t="shared" si="1"/>
        <v>0.38</v>
      </c>
      <c r="H18" s="31">
        <f t="shared" si="1"/>
        <v>0.36</v>
      </c>
      <c r="I18" s="31">
        <f t="shared" si="1"/>
        <v>0.33999999999999997</v>
      </c>
      <c r="J18" s="31">
        <f t="shared" si="1"/>
        <v>0.32</v>
      </c>
    </row>
    <row r="19" spans="2:10">
      <c r="B19" s="11" t="str">
        <f>+'Model (End)'!$G$10</f>
        <v>Base case</v>
      </c>
      <c r="D19" s="33">
        <f>((J15/E15)^(1/5)-1)</f>
        <v>0.20382133805075653</v>
      </c>
      <c r="E19" s="303"/>
      <c r="F19" s="31">
        <f t="shared" si="1"/>
        <v>0.36929444291779057</v>
      </c>
      <c r="G19" s="31">
        <f t="shared" si="1"/>
        <v>0.36791130747531459</v>
      </c>
      <c r="H19" s="31">
        <f t="shared" si="1"/>
        <v>0.33152146051890446</v>
      </c>
      <c r="I19" s="31">
        <f t="shared" si="1"/>
        <v>0.31352176575354562</v>
      </c>
      <c r="J19" s="31">
        <f t="shared" si="1"/>
        <v>0.2931188566901971</v>
      </c>
    </row>
    <row r="20" spans="2:10" s="2" customFormat="1">
      <c r="B20" s="21"/>
      <c r="C20" s="23"/>
      <c r="E20" s="25"/>
      <c r="F20" s="25"/>
      <c r="G20" s="25"/>
      <c r="H20" s="25"/>
      <c r="I20" s="25"/>
      <c r="J20" s="25"/>
    </row>
    <row r="21" spans="2:10" s="2" customFormat="1"/>
  </sheetData>
  <pageMargins left="0.7" right="0.7" top="0.75" bottom="0.75" header="0.3" footer="0.3"/>
  <pageSetup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60EC-FD2E-48E3-A5A7-243F648F5FBE}">
  <dimension ref="A1:AC75"/>
  <sheetViews>
    <sheetView showGridLines="0" zoomScale="120" zoomScaleNormal="120" zoomScaleSheetLayoutView="130" workbookViewId="0"/>
  </sheetViews>
  <sheetFormatPr defaultColWidth="9.1328125" defaultRowHeight="13.15"/>
  <cols>
    <col min="1" max="1" width="10" style="2" customWidth="1"/>
    <col min="2" max="2" width="18.265625" style="2" customWidth="1"/>
    <col min="3" max="3" width="9.59765625" style="2" customWidth="1"/>
    <col min="4" max="4" width="2.73046875" style="2" customWidth="1"/>
    <col min="5" max="5" width="10.1328125" style="2" customWidth="1"/>
    <col min="6" max="7" width="11.265625" style="2" customWidth="1"/>
    <col min="8" max="8" width="1.86328125" style="2" customWidth="1"/>
    <col min="9" max="11" width="11.265625" style="2" customWidth="1"/>
    <col min="12" max="12" width="2.86328125" style="2" customWidth="1"/>
    <col min="13" max="13" width="11.265625" style="2" customWidth="1"/>
    <col min="14" max="15" width="9.1328125" style="2"/>
    <col min="16" max="16" width="2.3984375" style="2" customWidth="1"/>
    <col min="17" max="20" width="9.1328125" style="2" customWidth="1"/>
    <col min="21" max="21" width="2.3984375" style="2" customWidth="1"/>
    <col min="22" max="24" width="9.1328125" style="2" customWidth="1"/>
    <col min="25" max="25" width="2.3984375" style="2" customWidth="1"/>
    <col min="26" max="29" width="9.1328125" style="2"/>
    <col min="30" max="16384" width="9.1328125" style="1"/>
  </cols>
  <sheetData>
    <row r="1" spans="1:29">
      <c r="B1" s="15"/>
      <c r="C1" s="15"/>
      <c r="D1" s="15"/>
    </row>
    <row r="2" spans="1:29" s="44" customFormat="1" ht="13.5" customHeight="1">
      <c r="B2" s="45" t="s">
        <v>180</v>
      </c>
      <c r="C2" s="45"/>
      <c r="D2" s="45"/>
      <c r="E2" s="45"/>
      <c r="F2" s="45"/>
      <c r="G2" s="46"/>
      <c r="H2" s="46"/>
      <c r="I2" s="46"/>
      <c r="J2" s="46"/>
      <c r="K2" s="46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 t="s">
        <v>37</v>
      </c>
    </row>
    <row r="3" spans="1:29" s="44" customFormat="1" ht="13.5" customHeight="1">
      <c r="E3" s="289" t="s">
        <v>190</v>
      </c>
      <c r="F3" s="290"/>
      <c r="G3" s="290"/>
      <c r="H3" s="290"/>
      <c r="I3" s="290"/>
      <c r="J3" s="290"/>
      <c r="K3" s="291"/>
      <c r="M3" s="289" t="s">
        <v>191</v>
      </c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1"/>
    </row>
    <row r="4" spans="1:29" s="44" customFormat="1" ht="13.5" customHeight="1">
      <c r="C4" s="227" t="s">
        <v>187</v>
      </c>
      <c r="D4" s="227"/>
      <c r="E4" s="268" t="s">
        <v>183</v>
      </c>
      <c r="F4" s="268"/>
      <c r="G4" s="268"/>
      <c r="I4" s="268" t="s">
        <v>186</v>
      </c>
      <c r="J4" s="268"/>
      <c r="K4" s="268"/>
      <c r="M4" s="268" t="s">
        <v>10</v>
      </c>
      <c r="N4" s="268"/>
      <c r="O4" s="268"/>
      <c r="Q4" s="268" t="s">
        <v>189</v>
      </c>
      <c r="R4" s="268"/>
      <c r="S4" s="268"/>
      <c r="T4" s="268"/>
      <c r="V4" s="268" t="s">
        <v>11</v>
      </c>
      <c r="W4" s="268"/>
      <c r="X4" s="268"/>
      <c r="Z4" s="268" t="s">
        <v>53</v>
      </c>
      <c r="AA4" s="268"/>
      <c r="AB4" s="268"/>
      <c r="AC4" s="268"/>
    </row>
    <row r="5" spans="1:29" s="44" customFormat="1" ht="13.5" customHeight="1" thickBot="1">
      <c r="B5" s="271"/>
      <c r="C5" s="272" t="s">
        <v>188</v>
      </c>
      <c r="D5" s="272"/>
      <c r="E5" s="272" t="s">
        <v>181</v>
      </c>
      <c r="F5" s="272" t="s">
        <v>182</v>
      </c>
      <c r="G5" s="272" t="s">
        <v>269</v>
      </c>
      <c r="H5" s="272"/>
      <c r="I5" s="272" t="s">
        <v>181</v>
      </c>
      <c r="J5" s="272" t="s">
        <v>182</v>
      </c>
      <c r="K5" s="272" t="s">
        <v>269</v>
      </c>
      <c r="L5" s="271"/>
      <c r="M5" s="272" t="s">
        <v>181</v>
      </c>
      <c r="N5" s="272" t="s">
        <v>182</v>
      </c>
      <c r="O5" s="272" t="s">
        <v>269</v>
      </c>
      <c r="P5" s="272"/>
      <c r="Q5" s="272" t="s">
        <v>181</v>
      </c>
      <c r="R5" s="272" t="s">
        <v>182</v>
      </c>
      <c r="S5" s="272" t="s">
        <v>269</v>
      </c>
      <c r="T5" s="272" t="s">
        <v>56</v>
      </c>
      <c r="U5" s="272"/>
      <c r="V5" s="272" t="s">
        <v>181</v>
      </c>
      <c r="W5" s="272" t="s">
        <v>182</v>
      </c>
      <c r="X5" s="272" t="s">
        <v>269</v>
      </c>
      <c r="Y5" s="272"/>
      <c r="Z5" s="272" t="s">
        <v>181</v>
      </c>
      <c r="AA5" s="272" t="s">
        <v>182</v>
      </c>
      <c r="AB5" s="272" t="s">
        <v>269</v>
      </c>
      <c r="AC5" s="272" t="s">
        <v>184</v>
      </c>
    </row>
    <row r="6" spans="1:29" s="44" customFormat="1" ht="4.5" customHeight="1">
      <c r="B6" s="227"/>
      <c r="C6" s="227"/>
      <c r="D6" s="227"/>
      <c r="E6" s="270"/>
      <c r="F6" s="270"/>
      <c r="G6" s="270"/>
      <c r="H6" s="270"/>
      <c r="I6" s="227"/>
      <c r="J6" s="227"/>
      <c r="K6" s="227"/>
      <c r="L6" s="227"/>
      <c r="M6" s="227"/>
    </row>
    <row r="7" spans="1:29" s="44" customFormat="1" ht="13.5" customHeight="1">
      <c r="B7" s="44" t="s">
        <v>205</v>
      </c>
      <c r="C7" s="50">
        <v>9536</v>
      </c>
      <c r="D7" s="276"/>
      <c r="E7" s="278">
        <f>+$C7/M7</f>
        <v>18.163809523809523</v>
      </c>
      <c r="F7" s="278">
        <f t="shared" ref="F7:F14" si="0">+$C7/N7</f>
        <v>10.684593837535013</v>
      </c>
      <c r="G7" s="278">
        <f t="shared" ref="G7:G14" si="1">+$C7/O7</f>
        <v>6.677871148459384</v>
      </c>
      <c r="H7" s="278"/>
      <c r="I7" s="278">
        <f t="shared" ref="I7:K14" si="2">+$C7/V7</f>
        <v>-181.63809523809525</v>
      </c>
      <c r="J7" s="278">
        <f t="shared" si="2"/>
        <v>-213.69187675070029</v>
      </c>
      <c r="K7" s="278">
        <f t="shared" si="2"/>
        <v>333.89355742296914</v>
      </c>
      <c r="M7" s="50">
        <v>525</v>
      </c>
      <c r="N7" s="75">
        <f t="shared" ref="N7:O14" si="3">+M7*(1+R7)</f>
        <v>892.5</v>
      </c>
      <c r="O7" s="75">
        <f t="shared" si="3"/>
        <v>1428</v>
      </c>
      <c r="Q7" s="277">
        <v>0.87</v>
      </c>
      <c r="R7" s="277">
        <v>0.7</v>
      </c>
      <c r="S7" s="277">
        <v>0.6</v>
      </c>
      <c r="T7" s="326">
        <f>(O7/M7)^(1/2)-1</f>
        <v>0.64924225024706428</v>
      </c>
      <c r="V7" s="75">
        <f t="shared" ref="V7:X14" si="4">+Z7*M7</f>
        <v>-52.5</v>
      </c>
      <c r="W7" s="75">
        <f t="shared" si="4"/>
        <v>-44.625</v>
      </c>
      <c r="X7" s="75">
        <f t="shared" si="4"/>
        <v>28.560000000000002</v>
      </c>
      <c r="Z7" s="277">
        <v>-0.1</v>
      </c>
      <c r="AA7" s="277">
        <v>-0.05</v>
      </c>
      <c r="AB7" s="277">
        <v>0.02</v>
      </c>
      <c r="AC7" s="325">
        <f>AVERAGE(Z7:AB7)</f>
        <v>-4.3333333333333342E-2</v>
      </c>
    </row>
    <row r="8" spans="1:29" s="44" customFormat="1" ht="13.5" customHeight="1">
      <c r="A8" s="325"/>
      <c r="B8" s="44" t="s">
        <v>204</v>
      </c>
      <c r="C8" s="50">
        <v>5551</v>
      </c>
      <c r="D8" s="275"/>
      <c r="E8" s="278">
        <f t="shared" ref="E8:E14" si="5">+$C8/M8</f>
        <v>4.6258333333333335</v>
      </c>
      <c r="F8" s="278">
        <f t="shared" si="0"/>
        <v>4.130208333333333</v>
      </c>
      <c r="G8" s="278">
        <f t="shared" si="1"/>
        <v>3.7891819571865435</v>
      </c>
      <c r="H8" s="278"/>
      <c r="I8" s="278">
        <f t="shared" si="2"/>
        <v>14.017676767676768</v>
      </c>
      <c r="J8" s="278">
        <f t="shared" si="2"/>
        <v>11.800595238095237</v>
      </c>
      <c r="K8" s="278">
        <f t="shared" si="2"/>
        <v>10.826234163390124</v>
      </c>
      <c r="M8" s="50">
        <v>1200</v>
      </c>
      <c r="N8" s="75">
        <f t="shared" si="3"/>
        <v>1344.0000000000002</v>
      </c>
      <c r="O8" s="75">
        <f t="shared" si="3"/>
        <v>1464.9600000000003</v>
      </c>
      <c r="Q8" s="277">
        <v>0.08</v>
      </c>
      <c r="R8" s="277">
        <v>0.12</v>
      </c>
      <c r="S8" s="277">
        <v>0.09</v>
      </c>
      <c r="T8" s="326">
        <f t="shared" ref="T8:T14" si="6">(O8/M8)^(1/2)-1</f>
        <v>0.1048981853546509</v>
      </c>
      <c r="V8" s="75">
        <f t="shared" si="4"/>
        <v>396</v>
      </c>
      <c r="W8" s="75">
        <f t="shared" si="4"/>
        <v>470.40000000000003</v>
      </c>
      <c r="X8" s="75">
        <f t="shared" si="4"/>
        <v>512.7360000000001</v>
      </c>
      <c r="Z8" s="277">
        <v>0.33</v>
      </c>
      <c r="AA8" s="277">
        <v>0.35</v>
      </c>
      <c r="AB8" s="277">
        <v>0.35</v>
      </c>
      <c r="AC8" s="325">
        <f t="shared" ref="AC8:AC14" si="7">AVERAGE(Z8:AB8)</f>
        <v>0.34333333333333327</v>
      </c>
    </row>
    <row r="9" spans="1:29" s="44" customFormat="1" ht="13.5" customHeight="1">
      <c r="A9" s="325"/>
      <c r="B9" s="44" t="s">
        <v>203</v>
      </c>
      <c r="C9" s="50">
        <v>5078</v>
      </c>
      <c r="D9" s="275"/>
      <c r="E9" s="278">
        <f t="shared" si="5"/>
        <v>15.295180722891565</v>
      </c>
      <c r="F9" s="278">
        <f t="shared" si="0"/>
        <v>8.4973226238286479</v>
      </c>
      <c r="G9" s="278">
        <f t="shared" si="1"/>
        <v>4.998425072840381</v>
      </c>
      <c r="H9" s="278"/>
      <c r="I9" s="278">
        <f t="shared" si="2"/>
        <v>-38.23795180722891</v>
      </c>
      <c r="J9" s="278">
        <f t="shared" si="2"/>
        <v>-28.324408746095493</v>
      </c>
      <c r="K9" s="278">
        <f t="shared" si="2"/>
        <v>-24.992125364201907</v>
      </c>
      <c r="M9" s="50">
        <v>332</v>
      </c>
      <c r="N9" s="75">
        <f t="shared" si="3"/>
        <v>597.6</v>
      </c>
      <c r="O9" s="75">
        <f t="shared" si="3"/>
        <v>1015.92</v>
      </c>
      <c r="Q9" s="277">
        <v>0.92</v>
      </c>
      <c r="R9" s="277">
        <v>0.8</v>
      </c>
      <c r="S9" s="277">
        <v>0.7</v>
      </c>
      <c r="T9" s="326">
        <f t="shared" si="6"/>
        <v>0.74928556845359018</v>
      </c>
      <c r="V9" s="75">
        <f t="shared" si="4"/>
        <v>-132.80000000000001</v>
      </c>
      <c r="W9" s="75">
        <f t="shared" si="4"/>
        <v>-179.28</v>
      </c>
      <c r="X9" s="75">
        <f t="shared" si="4"/>
        <v>-203.184</v>
      </c>
      <c r="Z9" s="277">
        <v>-0.4</v>
      </c>
      <c r="AA9" s="277">
        <v>-0.3</v>
      </c>
      <c r="AB9" s="277">
        <v>-0.2</v>
      </c>
      <c r="AC9" s="325">
        <f t="shared" si="7"/>
        <v>-0.3</v>
      </c>
    </row>
    <row r="10" spans="1:29" s="44" customFormat="1" ht="13.5" customHeight="1">
      <c r="A10" s="325"/>
      <c r="B10" s="44" t="s">
        <v>202</v>
      </c>
      <c r="C10" s="50">
        <v>896</v>
      </c>
      <c r="D10" s="275"/>
      <c r="E10" s="278">
        <f t="shared" si="5"/>
        <v>11.487179487179487</v>
      </c>
      <c r="F10" s="278">
        <f t="shared" si="0"/>
        <v>7.6074036338936999</v>
      </c>
      <c r="G10" s="278">
        <f t="shared" si="1"/>
        <v>5.3953217261657453</v>
      </c>
      <c r="H10" s="278"/>
      <c r="I10" s="278">
        <f t="shared" si="2"/>
        <v>-45.948717948717949</v>
      </c>
      <c r="J10" s="278">
        <f t="shared" si="2"/>
        <v>-36.225731589970003</v>
      </c>
      <c r="K10" s="278">
        <f t="shared" si="2"/>
        <v>-28.39643013771445</v>
      </c>
      <c r="M10" s="50">
        <v>78</v>
      </c>
      <c r="N10" s="75">
        <f t="shared" si="3"/>
        <v>117.78</v>
      </c>
      <c r="O10" s="75">
        <f t="shared" si="3"/>
        <v>166.06979999999999</v>
      </c>
      <c r="Q10" s="277">
        <v>0.66</v>
      </c>
      <c r="R10" s="277">
        <v>0.51</v>
      </c>
      <c r="S10" s="277">
        <v>0.41</v>
      </c>
      <c r="T10" s="326">
        <f t="shared" si="6"/>
        <v>0.45914358443574699</v>
      </c>
      <c r="V10" s="75">
        <f t="shared" si="4"/>
        <v>-19.5</v>
      </c>
      <c r="W10" s="75">
        <f t="shared" si="4"/>
        <v>-24.733799999999999</v>
      </c>
      <c r="X10" s="75">
        <f t="shared" si="4"/>
        <v>-31.553261999999997</v>
      </c>
      <c r="Z10" s="277">
        <v>-0.25</v>
      </c>
      <c r="AA10" s="277">
        <v>-0.21</v>
      </c>
      <c r="AB10" s="277">
        <v>-0.19</v>
      </c>
      <c r="AC10" s="325">
        <f t="shared" si="7"/>
        <v>-0.21666666666666665</v>
      </c>
    </row>
    <row r="11" spans="1:29" s="328" customFormat="1" ht="13.5" customHeight="1">
      <c r="A11" s="327"/>
      <c r="B11" s="328" t="s">
        <v>201</v>
      </c>
      <c r="C11" s="329">
        <v>7412</v>
      </c>
      <c r="D11" s="330"/>
      <c r="E11" s="331">
        <f t="shared" si="5"/>
        <v>12.332778702163061</v>
      </c>
      <c r="F11" s="331">
        <f t="shared" si="0"/>
        <v>10.108835001773</v>
      </c>
      <c r="G11" s="331">
        <f t="shared" si="1"/>
        <v>8.0870680014184</v>
      </c>
      <c r="H11" s="331"/>
      <c r="I11" s="331">
        <f t="shared" si="2"/>
        <v>-246.65557404326123</v>
      </c>
      <c r="J11" s="331">
        <f t="shared" si="2"/>
        <v>336.9611667257667</v>
      </c>
      <c r="K11" s="331">
        <f t="shared" si="2"/>
        <v>80.870680014183989</v>
      </c>
      <c r="M11" s="329">
        <v>601</v>
      </c>
      <c r="N11" s="332">
        <f t="shared" si="3"/>
        <v>733.22</v>
      </c>
      <c r="O11" s="332">
        <f t="shared" si="3"/>
        <v>916.52500000000009</v>
      </c>
      <c r="Q11" s="333">
        <v>0.27</v>
      </c>
      <c r="R11" s="333">
        <v>0.22</v>
      </c>
      <c r="S11" s="333">
        <v>0.25</v>
      </c>
      <c r="T11" s="334">
        <f t="shared" si="6"/>
        <v>0.23490890352284688</v>
      </c>
      <c r="V11" s="332">
        <f t="shared" si="4"/>
        <v>-30.05</v>
      </c>
      <c r="W11" s="332">
        <f t="shared" si="4"/>
        <v>21.996600000000001</v>
      </c>
      <c r="X11" s="332">
        <f t="shared" si="4"/>
        <v>91.652500000000018</v>
      </c>
      <c r="Z11" s="333">
        <v>-0.05</v>
      </c>
      <c r="AA11" s="333">
        <v>0.03</v>
      </c>
      <c r="AB11" s="333">
        <v>0.1</v>
      </c>
      <c r="AC11" s="327">
        <f t="shared" si="7"/>
        <v>2.6666666666666668E-2</v>
      </c>
    </row>
    <row r="12" spans="1:29" s="328" customFormat="1" ht="13.5" customHeight="1">
      <c r="A12" s="327"/>
      <c r="B12" s="328" t="s">
        <v>200</v>
      </c>
      <c r="C12" s="329">
        <v>4301</v>
      </c>
      <c r="D12" s="330"/>
      <c r="E12" s="331">
        <f t="shared" si="5"/>
        <v>14.336666666666666</v>
      </c>
      <c r="F12" s="331">
        <f t="shared" si="0"/>
        <v>10.779448621553884</v>
      </c>
      <c r="G12" s="331">
        <f t="shared" si="1"/>
        <v>8.6235588972431074</v>
      </c>
      <c r="H12" s="331"/>
      <c r="I12" s="331">
        <f t="shared" si="2"/>
        <v>119.47222222222223</v>
      </c>
      <c r="J12" s="331">
        <f t="shared" si="2"/>
        <v>71.862990810359236</v>
      </c>
      <c r="K12" s="331">
        <f t="shared" si="2"/>
        <v>53.897243107769427</v>
      </c>
      <c r="M12" s="329">
        <v>300</v>
      </c>
      <c r="N12" s="332">
        <f t="shared" si="3"/>
        <v>399</v>
      </c>
      <c r="O12" s="332">
        <f t="shared" si="3"/>
        <v>498.75</v>
      </c>
      <c r="Q12" s="333">
        <v>0.35</v>
      </c>
      <c r="R12" s="333">
        <v>0.33</v>
      </c>
      <c r="S12" s="333">
        <v>0.25</v>
      </c>
      <c r="T12" s="334">
        <f t="shared" si="6"/>
        <v>0.28937969582276279</v>
      </c>
      <c r="V12" s="332">
        <f t="shared" si="4"/>
        <v>36</v>
      </c>
      <c r="W12" s="332">
        <f t="shared" si="4"/>
        <v>59.849999999999994</v>
      </c>
      <c r="X12" s="332">
        <f t="shared" si="4"/>
        <v>79.8</v>
      </c>
      <c r="Z12" s="333">
        <v>0.12</v>
      </c>
      <c r="AA12" s="333">
        <v>0.15</v>
      </c>
      <c r="AB12" s="333">
        <v>0.16</v>
      </c>
      <c r="AC12" s="327">
        <f t="shared" si="7"/>
        <v>0.14333333333333334</v>
      </c>
    </row>
    <row r="13" spans="1:29" s="44" customFormat="1" ht="13.5" customHeight="1">
      <c r="A13" s="325"/>
      <c r="B13" s="44" t="s">
        <v>199</v>
      </c>
      <c r="C13" s="50">
        <v>5523</v>
      </c>
      <c r="D13" s="275"/>
      <c r="E13" s="278">
        <f t="shared" si="5"/>
        <v>24.990950226244344</v>
      </c>
      <c r="F13" s="278">
        <f t="shared" si="0"/>
        <v>12.190707427436266</v>
      </c>
      <c r="G13" s="278">
        <f t="shared" si="1"/>
        <v>6.5895715823979817</v>
      </c>
      <c r="H13" s="278"/>
      <c r="I13" s="278">
        <f t="shared" si="2"/>
        <v>-131.53131698023338</v>
      </c>
      <c r="J13" s="278">
        <f t="shared" si="2"/>
        <v>-67.72615237464592</v>
      </c>
      <c r="K13" s="278">
        <f t="shared" si="2"/>
        <v>-38.762185778811649</v>
      </c>
      <c r="M13" s="50">
        <v>221</v>
      </c>
      <c r="N13" s="75">
        <f t="shared" si="3"/>
        <v>453.04999999999995</v>
      </c>
      <c r="O13" s="75">
        <f t="shared" si="3"/>
        <v>838.14249999999993</v>
      </c>
      <c r="Q13" s="277">
        <v>1.08</v>
      </c>
      <c r="R13" s="277">
        <v>1.05</v>
      </c>
      <c r="S13" s="277">
        <v>0.85</v>
      </c>
      <c r="T13" s="326">
        <f t="shared" si="6"/>
        <v>0.94743420941504453</v>
      </c>
      <c r="V13" s="75">
        <f t="shared" si="4"/>
        <v>-41.99</v>
      </c>
      <c r="W13" s="75">
        <f t="shared" si="4"/>
        <v>-81.548999999999992</v>
      </c>
      <c r="X13" s="75">
        <f t="shared" si="4"/>
        <v>-142.48422500000001</v>
      </c>
      <c r="Z13" s="277">
        <v>-0.19</v>
      </c>
      <c r="AA13" s="277">
        <v>-0.18</v>
      </c>
      <c r="AB13" s="277">
        <v>-0.17</v>
      </c>
      <c r="AC13" s="325">
        <f t="shared" si="7"/>
        <v>-0.18000000000000002</v>
      </c>
    </row>
    <row r="14" spans="1:29" s="44" customFormat="1" ht="13.5" customHeight="1">
      <c r="A14" s="325"/>
      <c r="B14" s="44" t="s">
        <v>198</v>
      </c>
      <c r="C14" s="50">
        <v>2217</v>
      </c>
      <c r="D14" s="275"/>
      <c r="E14" s="278">
        <f t="shared" si="5"/>
        <v>5.5012406947890815</v>
      </c>
      <c r="F14" s="278">
        <f t="shared" si="0"/>
        <v>5.0470098117331021</v>
      </c>
      <c r="G14" s="278">
        <f t="shared" si="1"/>
        <v>4.7168315997505621</v>
      </c>
      <c r="H14" s="278"/>
      <c r="I14" s="278">
        <f t="shared" si="2"/>
        <v>15.717830556540235</v>
      </c>
      <c r="J14" s="278">
        <f t="shared" si="2"/>
        <v>14.844146505097358</v>
      </c>
      <c r="K14" s="278">
        <f t="shared" si="2"/>
        <v>13.873034116913418</v>
      </c>
      <c r="M14" s="50">
        <v>403</v>
      </c>
      <c r="N14" s="75">
        <f t="shared" si="3"/>
        <v>439.27000000000004</v>
      </c>
      <c r="O14" s="75">
        <f t="shared" si="3"/>
        <v>470.01890000000009</v>
      </c>
      <c r="Q14" s="277">
        <v>0.1</v>
      </c>
      <c r="R14" s="277">
        <v>0.09</v>
      </c>
      <c r="S14" s="277">
        <v>7.0000000000000007E-2</v>
      </c>
      <c r="T14" s="326">
        <f t="shared" si="6"/>
        <v>7.9953702711370811E-2</v>
      </c>
      <c r="V14" s="75">
        <f t="shared" si="4"/>
        <v>141.04999999999998</v>
      </c>
      <c r="W14" s="75">
        <f t="shared" si="4"/>
        <v>149.35180000000003</v>
      </c>
      <c r="X14" s="75">
        <f t="shared" si="4"/>
        <v>159.80642600000004</v>
      </c>
      <c r="Z14" s="277">
        <v>0.35</v>
      </c>
      <c r="AA14" s="277">
        <v>0.34</v>
      </c>
      <c r="AB14" s="277">
        <v>0.34</v>
      </c>
      <c r="AC14" s="325">
        <f t="shared" si="7"/>
        <v>0.34333333333333332</v>
      </c>
    </row>
    <row r="15" spans="1:29" s="44" customFormat="1" ht="13.5" customHeight="1">
      <c r="E15" s="278"/>
      <c r="F15" s="278"/>
      <c r="G15" s="278"/>
      <c r="H15" s="278"/>
      <c r="I15" s="279"/>
      <c r="J15" s="279"/>
      <c r="K15" s="279"/>
      <c r="O15" s="52"/>
    </row>
    <row r="16" spans="1:29" s="44" customFormat="1" ht="13.5" customHeight="1">
      <c r="B16" s="59" t="s">
        <v>271</v>
      </c>
      <c r="E16" s="278"/>
      <c r="F16" s="278"/>
      <c r="G16" s="278"/>
      <c r="H16" s="278"/>
      <c r="I16" s="279"/>
      <c r="J16" s="279"/>
      <c r="K16" s="279"/>
      <c r="O16" s="52"/>
    </row>
    <row r="17" spans="1:29" s="44" customFormat="1" ht="13.5" customHeight="1">
      <c r="B17" s="273" t="s">
        <v>184</v>
      </c>
      <c r="C17" s="54"/>
      <c r="D17" s="54"/>
      <c r="E17" s="280">
        <f>AVERAGE(E7:E14)</f>
        <v>13.341704919634632</v>
      </c>
      <c r="F17" s="280">
        <f>AVERAGE(F7:F14)</f>
        <v>8.6306911613858688</v>
      </c>
      <c r="G17" s="280">
        <f>AVERAGE(G7:G14)</f>
        <v>6.1097287481827633</v>
      </c>
      <c r="H17" s="280"/>
      <c r="I17" s="280">
        <f>AVERAGE(I7:I14)</f>
        <v>-61.850490808887187</v>
      </c>
      <c r="J17" s="280">
        <f>AVERAGE(J7:J14)</f>
        <v>11.187591227238356</v>
      </c>
      <c r="K17" s="281">
        <f>AVERAGE(K7:K14)</f>
        <v>50.151250943062252</v>
      </c>
    </row>
    <row r="18" spans="1:29">
      <c r="B18" s="274" t="s">
        <v>185</v>
      </c>
      <c r="C18" s="269"/>
      <c r="D18" s="269"/>
      <c r="E18" s="282">
        <f>MEDIAN(E7:E14)</f>
        <v>13.334722684414864</v>
      </c>
      <c r="F18" s="282">
        <f>MEDIAN(F7:F14)</f>
        <v>9.3030788128008233</v>
      </c>
      <c r="G18" s="282">
        <f>MEDIAN(G7:G14)</f>
        <v>5.9924466542818635</v>
      </c>
      <c r="H18" s="283"/>
      <c r="I18" s="282">
        <f>MEDIAN(I7:I14)</f>
        <v>-42.093334877973433</v>
      </c>
      <c r="J18" s="282">
        <f>MEDIAN(J7:J14)</f>
        <v>-8.2619067540001296</v>
      </c>
      <c r="K18" s="284">
        <f>MEDIAN(K7:K14)</f>
        <v>12.349634140151771</v>
      </c>
    </row>
    <row r="19" spans="1:29">
      <c r="B19" s="59"/>
      <c r="C19" s="59"/>
      <c r="D19" s="59"/>
      <c r="E19" s="335"/>
      <c r="F19" s="335"/>
      <c r="G19" s="335"/>
      <c r="H19" s="336"/>
      <c r="I19" s="335"/>
      <c r="J19" s="335"/>
      <c r="K19" s="335"/>
    </row>
    <row r="20" spans="1:29">
      <c r="B20" s="59" t="s">
        <v>270</v>
      </c>
      <c r="C20" s="59"/>
      <c r="D20" s="59"/>
      <c r="E20" s="335"/>
      <c r="F20" s="335"/>
      <c r="G20" s="335"/>
      <c r="H20" s="336"/>
      <c r="I20" s="335"/>
      <c r="J20" s="335"/>
      <c r="K20" s="335"/>
    </row>
    <row r="21" spans="1:29">
      <c r="B21" s="341" t="s">
        <v>184</v>
      </c>
      <c r="C21" s="337"/>
      <c r="D21" s="337"/>
      <c r="E21" s="338">
        <f>AVERAGE(E11:E12)</f>
        <v>13.334722684414864</v>
      </c>
      <c r="F21" s="338">
        <f>AVERAGE(F11:F12)</f>
        <v>10.444141811663442</v>
      </c>
      <c r="G21" s="338">
        <f>AVERAGE(G11:G12)</f>
        <v>8.3553134493307546</v>
      </c>
      <c r="H21" s="339"/>
      <c r="I21" s="338">
        <f>AVERAGE(I11:I12)</f>
        <v>-63.591675910519498</v>
      </c>
      <c r="J21" s="338">
        <f>AVERAGE(J11:J12)</f>
        <v>204.41207876806297</v>
      </c>
      <c r="K21" s="340">
        <f>AVERAGE(K11:K12)</f>
        <v>67.383961560976701</v>
      </c>
    </row>
    <row r="24" spans="1:29" s="44" customFormat="1" ht="13.5" customHeight="1">
      <c r="B24" s="45" t="s">
        <v>192</v>
      </c>
      <c r="C24" s="45"/>
      <c r="D24" s="45"/>
      <c r="E24" s="45"/>
      <c r="F24" s="45"/>
      <c r="G24" s="46"/>
      <c r="H24" s="46"/>
      <c r="I24" s="46"/>
      <c r="J24" s="46"/>
      <c r="K24" s="46"/>
      <c r="L24" s="46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 t="s">
        <v>37</v>
      </c>
    </row>
    <row r="25" spans="1:29" s="44" customFormat="1" ht="13.5" customHeight="1">
      <c r="C25" s="227" t="s">
        <v>229</v>
      </c>
      <c r="E25" s="289" t="s">
        <v>190</v>
      </c>
      <c r="F25" s="290"/>
      <c r="G25" s="290"/>
      <c r="H25" s="290"/>
      <c r="I25" s="290"/>
      <c r="J25" s="290"/>
      <c r="K25" s="291"/>
      <c r="M25" s="289" t="s">
        <v>191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1"/>
    </row>
    <row r="26" spans="1:29" s="44" customFormat="1" ht="13.5" customHeight="1">
      <c r="C26" s="227" t="s">
        <v>187</v>
      </c>
      <c r="D26" s="227"/>
      <c r="E26" s="268" t="s">
        <v>183</v>
      </c>
      <c r="F26" s="268"/>
      <c r="G26" s="268"/>
      <c r="I26" s="268" t="s">
        <v>186</v>
      </c>
      <c r="J26" s="268"/>
      <c r="K26" s="268"/>
      <c r="M26" s="268" t="s">
        <v>10</v>
      </c>
      <c r="N26" s="268"/>
      <c r="O26" s="268"/>
      <c r="Q26" s="268" t="s">
        <v>189</v>
      </c>
      <c r="R26" s="268"/>
      <c r="S26" s="268"/>
      <c r="T26" s="268"/>
      <c r="V26" s="268" t="s">
        <v>11</v>
      </c>
      <c r="W26" s="268"/>
      <c r="X26" s="268"/>
      <c r="Z26" s="268" t="s">
        <v>53</v>
      </c>
      <c r="AA26" s="268"/>
      <c r="AB26" s="268"/>
      <c r="AC26" s="268"/>
    </row>
    <row r="27" spans="1:29" s="44" customFormat="1" ht="13.5" customHeight="1" thickBot="1">
      <c r="B27" s="271"/>
      <c r="C27" s="272" t="s">
        <v>188</v>
      </c>
      <c r="D27" s="272"/>
      <c r="E27" s="272" t="s">
        <v>181</v>
      </c>
      <c r="F27" s="272" t="s">
        <v>182</v>
      </c>
      <c r="G27" s="272" t="s">
        <v>269</v>
      </c>
      <c r="H27" s="272"/>
      <c r="I27" s="272" t="s">
        <v>181</v>
      </c>
      <c r="J27" s="272" t="s">
        <v>182</v>
      </c>
      <c r="K27" s="272" t="s">
        <v>269</v>
      </c>
      <c r="L27" s="271"/>
      <c r="M27" s="272" t="s">
        <v>181</v>
      </c>
      <c r="N27" s="272" t="s">
        <v>182</v>
      </c>
      <c r="O27" s="272" t="s">
        <v>269</v>
      </c>
      <c r="P27" s="272"/>
      <c r="Q27" s="272" t="s">
        <v>181</v>
      </c>
      <c r="R27" s="272" t="s">
        <v>182</v>
      </c>
      <c r="S27" s="272" t="s">
        <v>269</v>
      </c>
      <c r="T27" s="272" t="s">
        <v>56</v>
      </c>
      <c r="U27" s="272"/>
      <c r="V27" s="272" t="s">
        <v>181</v>
      </c>
      <c r="W27" s="272" t="s">
        <v>182</v>
      </c>
      <c r="X27" s="272" t="s">
        <v>269</v>
      </c>
      <c r="Y27" s="272"/>
      <c r="Z27" s="272" t="s">
        <v>181</v>
      </c>
      <c r="AA27" s="272" t="s">
        <v>182</v>
      </c>
      <c r="AB27" s="272" t="s">
        <v>269</v>
      </c>
      <c r="AC27" s="272" t="s">
        <v>184</v>
      </c>
    </row>
    <row r="28" spans="1:29" s="44" customFormat="1" ht="4.5" customHeight="1">
      <c r="B28" s="227"/>
      <c r="C28" s="227"/>
      <c r="D28" s="227"/>
      <c r="E28" s="270"/>
      <c r="F28" s="270"/>
      <c r="G28" s="270"/>
      <c r="H28" s="270"/>
      <c r="I28" s="227"/>
      <c r="J28" s="227"/>
      <c r="K28" s="227"/>
      <c r="L28" s="227"/>
      <c r="M28" s="227"/>
    </row>
    <row r="29" spans="1:29" s="44" customFormat="1" ht="13.5" customHeight="1">
      <c r="A29" s="325"/>
      <c r="B29" s="44" t="s">
        <v>197</v>
      </c>
      <c r="C29" s="50">
        <v>3000</v>
      </c>
      <c r="D29" s="276"/>
      <c r="E29" s="278">
        <f>+$C29/M29</f>
        <v>24</v>
      </c>
      <c r="F29" s="278">
        <f t="shared" ref="F29:F33" si="8">+$C29/N29</f>
        <v>13.333333333333334</v>
      </c>
      <c r="G29" s="278">
        <f t="shared" ref="G29:G33" si="9">+$C29/O29</f>
        <v>8.2304526748971192</v>
      </c>
      <c r="H29" s="278"/>
      <c r="I29" s="278">
        <f t="shared" ref="I29:K33" si="10">+$C29/V29</f>
        <v>-240</v>
      </c>
      <c r="J29" s="278">
        <f t="shared" si="10"/>
        <v>-266.66666666666669</v>
      </c>
      <c r="K29" s="278">
        <f t="shared" si="10"/>
        <v>411.52263374485597</v>
      </c>
      <c r="M29" s="50">
        <v>125</v>
      </c>
      <c r="N29" s="75">
        <f t="shared" ref="N29:O33" si="11">+M29*(1+R29)</f>
        <v>225</v>
      </c>
      <c r="O29" s="75">
        <f t="shared" si="11"/>
        <v>364.5</v>
      </c>
      <c r="Q29" s="277">
        <v>0.78</v>
      </c>
      <c r="R29" s="277">
        <v>0.8</v>
      </c>
      <c r="S29" s="277">
        <v>0.62</v>
      </c>
      <c r="T29" s="326">
        <f>(O29/M29)^(1/2)-1</f>
        <v>0.70762993649092487</v>
      </c>
      <c r="V29" s="75">
        <f t="shared" ref="V29:X33" si="12">+Z29*M29</f>
        <v>-12.5</v>
      </c>
      <c r="W29" s="75">
        <f t="shared" si="12"/>
        <v>-11.25</v>
      </c>
      <c r="X29" s="75">
        <f t="shared" si="12"/>
        <v>7.29</v>
      </c>
      <c r="Z29" s="277">
        <v>-0.1</v>
      </c>
      <c r="AA29" s="277">
        <v>-0.05</v>
      </c>
      <c r="AB29" s="277">
        <v>0.02</v>
      </c>
      <c r="AC29" s="325">
        <f>AVERAGE(Z29:AB29)</f>
        <v>-4.3333333333333342E-2</v>
      </c>
    </row>
    <row r="30" spans="1:29" s="328" customFormat="1" ht="13.5" customHeight="1">
      <c r="A30" s="327"/>
      <c r="B30" s="328" t="s">
        <v>196</v>
      </c>
      <c r="C30" s="329">
        <v>8800</v>
      </c>
      <c r="D30" s="330"/>
      <c r="E30" s="331">
        <f t="shared" ref="E30:E33" si="13">+$C30/M30</f>
        <v>9.810479375696767</v>
      </c>
      <c r="F30" s="331">
        <f t="shared" si="8"/>
        <v>8.041376537456367</v>
      </c>
      <c r="G30" s="331">
        <f t="shared" si="9"/>
        <v>6.8147258792003109</v>
      </c>
      <c r="H30" s="331"/>
      <c r="I30" s="331">
        <f t="shared" si="10"/>
        <v>54.502663198315368</v>
      </c>
      <c r="J30" s="331">
        <f t="shared" si="10"/>
        <v>47.302214926213921</v>
      </c>
      <c r="K30" s="331">
        <f t="shared" si="10"/>
        <v>37.85958821777951</v>
      </c>
      <c r="M30" s="329">
        <v>897</v>
      </c>
      <c r="N30" s="332">
        <f t="shared" si="11"/>
        <v>1094.3399999999999</v>
      </c>
      <c r="O30" s="332">
        <f t="shared" si="11"/>
        <v>1291.3211999999999</v>
      </c>
      <c r="Q30" s="333">
        <v>0.32</v>
      </c>
      <c r="R30" s="333">
        <v>0.22</v>
      </c>
      <c r="S30" s="333">
        <v>0.18</v>
      </c>
      <c r="T30" s="334">
        <f t="shared" ref="T30:T33" si="14">(O30/M30)^(1/2)-1</f>
        <v>0.19983332175765134</v>
      </c>
      <c r="V30" s="332">
        <f t="shared" si="12"/>
        <v>161.46</v>
      </c>
      <c r="W30" s="332">
        <f t="shared" si="12"/>
        <v>186.0378</v>
      </c>
      <c r="X30" s="332">
        <f t="shared" si="12"/>
        <v>232.43781599999997</v>
      </c>
      <c r="Z30" s="333">
        <v>0.18</v>
      </c>
      <c r="AA30" s="333">
        <v>0.17</v>
      </c>
      <c r="AB30" s="333">
        <v>0.18</v>
      </c>
      <c r="AC30" s="327">
        <f t="shared" ref="AC30:AC33" si="15">AVERAGE(Z30:AB30)</f>
        <v>0.17666666666666667</v>
      </c>
    </row>
    <row r="31" spans="1:29" s="44" customFormat="1" ht="13.5" customHeight="1">
      <c r="A31" s="325"/>
      <c r="B31" s="44" t="s">
        <v>195</v>
      </c>
      <c r="C31" s="50">
        <v>2500</v>
      </c>
      <c r="D31" s="275"/>
      <c r="E31" s="278">
        <f t="shared" si="13"/>
        <v>11.261261261261261</v>
      </c>
      <c r="F31" s="278">
        <f t="shared" si="8"/>
        <v>10.237510237510238</v>
      </c>
      <c r="G31" s="278">
        <f t="shared" si="9"/>
        <v>9.4791761458428105</v>
      </c>
      <c r="H31" s="278"/>
      <c r="I31" s="278">
        <f t="shared" si="10"/>
        <v>28.153153153153148</v>
      </c>
      <c r="J31" s="278">
        <f t="shared" si="10"/>
        <v>24.375024375024374</v>
      </c>
      <c r="K31" s="278">
        <f t="shared" si="10"/>
        <v>22.569467013911456</v>
      </c>
      <c r="M31" s="50">
        <v>222</v>
      </c>
      <c r="N31" s="75">
        <f t="shared" si="11"/>
        <v>244.20000000000002</v>
      </c>
      <c r="O31" s="75">
        <f t="shared" si="11"/>
        <v>263.73600000000005</v>
      </c>
      <c r="Q31" s="277">
        <v>0.12</v>
      </c>
      <c r="R31" s="277">
        <v>0.1</v>
      </c>
      <c r="S31" s="277">
        <v>0.08</v>
      </c>
      <c r="T31" s="326">
        <f t="shared" si="14"/>
        <v>8.9954127475097012E-2</v>
      </c>
      <c r="V31" s="75">
        <f t="shared" si="12"/>
        <v>88.800000000000011</v>
      </c>
      <c r="W31" s="75">
        <f t="shared" si="12"/>
        <v>102.56400000000001</v>
      </c>
      <c r="X31" s="75">
        <f t="shared" si="12"/>
        <v>110.76912000000002</v>
      </c>
      <c r="Z31" s="277">
        <v>0.4</v>
      </c>
      <c r="AA31" s="277">
        <v>0.42</v>
      </c>
      <c r="AB31" s="277">
        <v>0.42</v>
      </c>
      <c r="AC31" s="325">
        <f t="shared" si="15"/>
        <v>0.41333333333333333</v>
      </c>
    </row>
    <row r="32" spans="1:29" s="44" customFormat="1" ht="13.5" customHeight="1">
      <c r="A32" s="325"/>
      <c r="B32" s="44" t="s">
        <v>194</v>
      </c>
      <c r="C32" s="50">
        <v>1250</v>
      </c>
      <c r="D32" s="275"/>
      <c r="E32" s="278">
        <f t="shared" si="13"/>
        <v>23.584905660377359</v>
      </c>
      <c r="F32" s="278">
        <f t="shared" si="8"/>
        <v>11.79245283018868</v>
      </c>
      <c r="G32" s="278">
        <f t="shared" si="9"/>
        <v>6.0474117077890668</v>
      </c>
      <c r="H32" s="278"/>
      <c r="I32" s="278">
        <f t="shared" si="10"/>
        <v>-63.742988271290159</v>
      </c>
      <c r="J32" s="278">
        <f t="shared" si="10"/>
        <v>-39.308176100628934</v>
      </c>
      <c r="K32" s="278">
        <f t="shared" si="10"/>
        <v>-30.23705853894533</v>
      </c>
      <c r="M32" s="50">
        <v>53</v>
      </c>
      <c r="N32" s="75">
        <f t="shared" si="11"/>
        <v>106</v>
      </c>
      <c r="O32" s="75">
        <f t="shared" si="11"/>
        <v>206.7</v>
      </c>
      <c r="Q32" s="277">
        <v>1.22</v>
      </c>
      <c r="R32" s="277">
        <v>1</v>
      </c>
      <c r="S32" s="277">
        <v>0.95</v>
      </c>
      <c r="T32" s="326">
        <f t="shared" si="14"/>
        <v>0.97484176581314985</v>
      </c>
      <c r="V32" s="75">
        <f t="shared" si="12"/>
        <v>-19.61</v>
      </c>
      <c r="W32" s="75">
        <f t="shared" si="12"/>
        <v>-31.799999999999997</v>
      </c>
      <c r="X32" s="75">
        <f t="shared" si="12"/>
        <v>-41.34</v>
      </c>
      <c r="Z32" s="277">
        <v>-0.37</v>
      </c>
      <c r="AA32" s="277">
        <v>-0.3</v>
      </c>
      <c r="AB32" s="277">
        <v>-0.2</v>
      </c>
      <c r="AC32" s="325">
        <f t="shared" si="15"/>
        <v>-0.28999999999999998</v>
      </c>
    </row>
    <row r="33" spans="1:29" s="328" customFormat="1" ht="13.5" customHeight="1">
      <c r="A33" s="327"/>
      <c r="B33" s="328" t="s">
        <v>193</v>
      </c>
      <c r="C33" s="329">
        <v>500</v>
      </c>
      <c r="D33" s="330"/>
      <c r="E33" s="331">
        <f t="shared" si="13"/>
        <v>11.904761904761905</v>
      </c>
      <c r="F33" s="331">
        <f t="shared" si="8"/>
        <v>9.1575091575091569</v>
      </c>
      <c r="G33" s="331">
        <f t="shared" si="9"/>
        <v>7.2106371318969744</v>
      </c>
      <c r="H33" s="331"/>
      <c r="I33" s="331">
        <f t="shared" si="10"/>
        <v>-99.206349206349202</v>
      </c>
      <c r="J33" s="331">
        <f t="shared" si="10"/>
        <v>-183.15018315018312</v>
      </c>
      <c r="K33" s="331">
        <f t="shared" si="10"/>
        <v>144.21274263793947</v>
      </c>
      <c r="M33" s="329">
        <v>42</v>
      </c>
      <c r="N33" s="332">
        <f t="shared" si="11"/>
        <v>54.6</v>
      </c>
      <c r="O33" s="332">
        <f t="shared" si="11"/>
        <v>69.341999999999999</v>
      </c>
      <c r="Q33" s="333">
        <v>0.38</v>
      </c>
      <c r="R33" s="333">
        <v>0.3</v>
      </c>
      <c r="S33" s="333">
        <v>0.27</v>
      </c>
      <c r="T33" s="334">
        <f t="shared" si="14"/>
        <v>0.28491244837926599</v>
      </c>
      <c r="V33" s="332">
        <f t="shared" si="12"/>
        <v>-5.04</v>
      </c>
      <c r="W33" s="332">
        <f t="shared" si="12"/>
        <v>-2.7300000000000004</v>
      </c>
      <c r="X33" s="332">
        <f t="shared" si="12"/>
        <v>3.4671000000000003</v>
      </c>
      <c r="Z33" s="333">
        <v>-0.12</v>
      </c>
      <c r="AA33" s="333">
        <v>-0.05</v>
      </c>
      <c r="AB33" s="333">
        <v>0.05</v>
      </c>
      <c r="AC33" s="327">
        <f t="shared" si="15"/>
        <v>-3.9999999999999994E-2</v>
      </c>
    </row>
    <row r="34" spans="1:29" s="44" customFormat="1" ht="13.5" customHeight="1">
      <c r="E34" s="278"/>
      <c r="F34" s="278"/>
      <c r="G34" s="278"/>
      <c r="H34" s="278"/>
      <c r="I34" s="279"/>
      <c r="J34" s="279"/>
      <c r="K34" s="279"/>
      <c r="O34" s="52"/>
    </row>
    <row r="35" spans="1:29" s="44" customFormat="1" ht="13.5" customHeight="1">
      <c r="B35" s="59" t="s">
        <v>271</v>
      </c>
      <c r="E35" s="278"/>
      <c r="F35" s="278"/>
      <c r="G35" s="278"/>
      <c r="H35" s="278"/>
      <c r="I35" s="279"/>
      <c r="J35" s="279"/>
      <c r="K35" s="279"/>
      <c r="O35" s="52"/>
    </row>
    <row r="36" spans="1:29" s="44" customFormat="1" ht="13.5" customHeight="1">
      <c r="B36" s="273" t="s">
        <v>184</v>
      </c>
      <c r="C36" s="54"/>
      <c r="D36" s="54"/>
      <c r="E36" s="280">
        <f>AVERAGE(E29:E33)</f>
        <v>16.112281640419457</v>
      </c>
      <c r="F36" s="280">
        <f>AVERAGE(F29:F33)</f>
        <v>10.512436419199554</v>
      </c>
      <c r="G36" s="280">
        <f>AVERAGE(G29:G33)</f>
        <v>7.5564807079252558</v>
      </c>
      <c r="H36" s="280"/>
      <c r="I36" s="280">
        <f>AVERAGE(I29:I33)</f>
        <v>-64.058704225234166</v>
      </c>
      <c r="J36" s="280">
        <f>AVERAGE(J29:J33)</f>
        <v>-83.489557323248093</v>
      </c>
      <c r="K36" s="281">
        <f>AVERAGE(K29:K33)</f>
        <v>117.18547461510821</v>
      </c>
    </row>
    <row r="37" spans="1:29">
      <c r="B37" s="274" t="s">
        <v>185</v>
      </c>
      <c r="C37" s="269"/>
      <c r="D37" s="269"/>
      <c r="E37" s="282">
        <f>MEDIAN(E29:E33)</f>
        <v>11.904761904761905</v>
      </c>
      <c r="F37" s="282">
        <f>MEDIAN(F29:F33)</f>
        <v>10.237510237510238</v>
      </c>
      <c r="G37" s="282">
        <f>MEDIAN(G29:G33)</f>
        <v>7.2106371318969744</v>
      </c>
      <c r="H37" s="283"/>
      <c r="I37" s="282">
        <f>MEDIAN(I29:I33)</f>
        <v>-63.742988271290159</v>
      </c>
      <c r="J37" s="282">
        <f>MEDIAN(J29:J33)</f>
        <v>-39.308176100628934</v>
      </c>
      <c r="K37" s="284">
        <f>MEDIAN(K29:K33)</f>
        <v>37.85958821777951</v>
      </c>
    </row>
    <row r="39" spans="1:29">
      <c r="B39" s="8" t="s">
        <v>270</v>
      </c>
    </row>
    <row r="40" spans="1:29">
      <c r="B40" s="342" t="s">
        <v>184</v>
      </c>
      <c r="C40" s="343"/>
      <c r="D40" s="343"/>
      <c r="E40" s="339">
        <f>AVERAGE(E33,E30)</f>
        <v>10.857620640229335</v>
      </c>
      <c r="F40" s="339">
        <f t="shared" ref="F40:K40" si="16">AVERAGE(F33,F30)</f>
        <v>8.5994428474827629</v>
      </c>
      <c r="G40" s="339">
        <f t="shared" si="16"/>
        <v>7.0126815055486427</v>
      </c>
      <c r="H40" s="339"/>
      <c r="I40" s="339">
        <f t="shared" si="16"/>
        <v>-22.351843004016917</v>
      </c>
      <c r="J40" s="339">
        <f t="shared" si="16"/>
        <v>-67.923984111984595</v>
      </c>
      <c r="K40" s="344">
        <f t="shared" si="16"/>
        <v>91.036165427859487</v>
      </c>
    </row>
    <row r="43" spans="1:29">
      <c r="B43" s="45" t="s">
        <v>206</v>
      </c>
      <c r="C43" s="45"/>
      <c r="D43" s="45"/>
      <c r="E43" s="45"/>
      <c r="F43" s="45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29">
      <c r="B44" s="44"/>
      <c r="C44" s="227"/>
      <c r="D44" s="44"/>
      <c r="F44" s="44"/>
      <c r="G44" s="44"/>
      <c r="H44" s="44"/>
      <c r="I44" s="44"/>
      <c r="J44" s="44"/>
      <c r="K44" s="44"/>
      <c r="L44" s="44"/>
    </row>
    <row r="45" spans="1:29">
      <c r="B45" s="44"/>
      <c r="C45" s="227" t="s">
        <v>185</v>
      </c>
      <c r="D45" s="227"/>
      <c r="F45" s="44"/>
      <c r="G45" s="44"/>
      <c r="H45" s="44"/>
      <c r="I45" s="44"/>
      <c r="J45" s="44"/>
      <c r="K45" s="44"/>
      <c r="L45" s="44"/>
    </row>
    <row r="46" spans="1:29" ht="13.5" thickBot="1">
      <c r="B46" s="271"/>
      <c r="C46" s="272" t="s">
        <v>228</v>
      </c>
      <c r="D46" s="272"/>
      <c r="F46" s="44"/>
      <c r="G46" s="44"/>
      <c r="H46" s="44"/>
      <c r="I46" s="44"/>
      <c r="J46" s="44"/>
      <c r="K46" s="44"/>
      <c r="L46" s="44"/>
    </row>
    <row r="47" spans="1:29">
      <c r="B47" s="44" t="s">
        <v>208</v>
      </c>
      <c r="C47" s="285">
        <v>5.2</v>
      </c>
      <c r="D47" s="276"/>
      <c r="E47" s="1"/>
      <c r="F47" s="278"/>
      <c r="G47" s="278"/>
      <c r="H47" s="278"/>
      <c r="I47" s="278"/>
      <c r="J47" s="278"/>
      <c r="K47" s="278"/>
    </row>
    <row r="48" spans="1:29">
      <c r="B48" s="44" t="s">
        <v>209</v>
      </c>
      <c r="C48" s="285">
        <v>5.9</v>
      </c>
      <c r="D48" s="275"/>
      <c r="E48" s="1"/>
      <c r="F48" s="278"/>
      <c r="G48" s="278"/>
      <c r="H48" s="278"/>
      <c r="I48" s="278"/>
      <c r="J48" s="278"/>
      <c r="K48" s="278"/>
    </row>
    <row r="49" spans="2:11">
      <c r="B49" s="44" t="s">
        <v>210</v>
      </c>
      <c r="C49" s="285">
        <v>6.2</v>
      </c>
      <c r="D49" s="275"/>
      <c r="E49" s="1"/>
      <c r="F49" s="278"/>
      <c r="G49" s="278"/>
      <c r="H49" s="278"/>
      <c r="I49" s="278"/>
      <c r="J49" s="278"/>
      <c r="K49" s="278"/>
    </row>
    <row r="50" spans="2:11">
      <c r="B50" s="44" t="s">
        <v>211</v>
      </c>
      <c r="C50" s="285">
        <v>6.5</v>
      </c>
      <c r="D50" s="275"/>
      <c r="E50" s="1"/>
      <c r="F50" s="278"/>
      <c r="G50" s="278"/>
      <c r="H50" s="278"/>
      <c r="I50" s="278"/>
      <c r="J50" s="278"/>
      <c r="K50" s="278"/>
    </row>
    <row r="51" spans="2:11">
      <c r="B51" s="44" t="s">
        <v>212</v>
      </c>
      <c r="C51" s="285">
        <v>7.2</v>
      </c>
      <c r="D51" s="275"/>
      <c r="E51" s="1"/>
      <c r="F51" s="278"/>
      <c r="G51" s="278"/>
      <c r="H51" s="278"/>
      <c r="I51" s="278"/>
      <c r="J51" s="278"/>
      <c r="K51" s="278"/>
    </row>
    <row r="52" spans="2:11">
      <c r="B52" s="44" t="s">
        <v>213</v>
      </c>
      <c r="C52" s="285">
        <v>6.9</v>
      </c>
      <c r="E52" s="1"/>
    </row>
    <row r="53" spans="2:11">
      <c r="B53" s="44" t="s">
        <v>214</v>
      </c>
      <c r="C53" s="285">
        <v>6.7</v>
      </c>
      <c r="E53" s="1"/>
    </row>
    <row r="54" spans="2:11">
      <c r="B54" s="44" t="s">
        <v>215</v>
      </c>
      <c r="C54" s="285">
        <v>6.4</v>
      </c>
      <c r="E54" s="1"/>
    </row>
    <row r="55" spans="2:11">
      <c r="B55" s="44" t="s">
        <v>216</v>
      </c>
      <c r="C55" s="285">
        <v>7.4</v>
      </c>
      <c r="E55" s="1"/>
    </row>
    <row r="56" spans="2:11">
      <c r="B56" s="44" t="s">
        <v>217</v>
      </c>
      <c r="C56" s="285">
        <v>7.7</v>
      </c>
      <c r="E56" s="1"/>
    </row>
    <row r="57" spans="2:11">
      <c r="B57" s="44" t="s">
        <v>218</v>
      </c>
      <c r="C57" s="285">
        <v>8.4</v>
      </c>
      <c r="E57" s="1"/>
    </row>
    <row r="58" spans="2:11">
      <c r="B58" s="44" t="s">
        <v>219</v>
      </c>
      <c r="C58" s="285">
        <v>8.6</v>
      </c>
      <c r="E58" s="1"/>
    </row>
    <row r="59" spans="2:11">
      <c r="B59" s="44" t="s">
        <v>220</v>
      </c>
      <c r="C59" s="285">
        <v>8.9</v>
      </c>
      <c r="E59" s="1"/>
    </row>
    <row r="60" spans="2:11">
      <c r="B60" s="44" t="s">
        <v>221</v>
      </c>
      <c r="C60" s="285">
        <v>9.8000000000000007</v>
      </c>
      <c r="E60" s="1"/>
      <c r="F60" s="286"/>
    </row>
    <row r="61" spans="2:11">
      <c r="B61" s="44" t="s">
        <v>222</v>
      </c>
      <c r="C61" s="285">
        <v>10.299999999999999</v>
      </c>
      <c r="E61" s="1"/>
      <c r="F61" s="286"/>
    </row>
    <row r="62" spans="2:11">
      <c r="B62" s="44" t="s">
        <v>223</v>
      </c>
      <c r="C62" s="285">
        <v>12.5</v>
      </c>
      <c r="E62" s="1"/>
      <c r="F62" s="286"/>
    </row>
    <row r="63" spans="2:11">
      <c r="B63" s="44" t="s">
        <v>224</v>
      </c>
      <c r="C63" s="285">
        <v>13.8</v>
      </c>
      <c r="E63" s="1"/>
      <c r="F63" s="286"/>
    </row>
    <row r="64" spans="2:11">
      <c r="B64" s="44" t="s">
        <v>225</v>
      </c>
      <c r="C64" s="285">
        <v>13.5</v>
      </c>
      <c r="E64" s="1"/>
      <c r="F64" s="286"/>
    </row>
    <row r="65" spans="2:6">
      <c r="B65" s="44" t="s">
        <v>226</v>
      </c>
      <c r="C65" s="285">
        <v>13.4</v>
      </c>
      <c r="E65" s="1"/>
      <c r="F65" s="286"/>
    </row>
    <row r="66" spans="2:6">
      <c r="B66" s="44" t="s">
        <v>227</v>
      </c>
      <c r="C66" s="285">
        <v>13.5</v>
      </c>
      <c r="E66" s="1"/>
      <c r="F66" s="286"/>
    </row>
    <row r="67" spans="2:6">
      <c r="B67" s="44" t="s">
        <v>207</v>
      </c>
      <c r="C67" s="285">
        <v>13.3</v>
      </c>
      <c r="E67" s="1"/>
      <c r="F67" s="286"/>
    </row>
    <row r="69" spans="2:6">
      <c r="E69" s="286"/>
    </row>
    <row r="70" spans="2:6">
      <c r="B70" s="2" t="s">
        <v>184</v>
      </c>
      <c r="C70" s="286">
        <f>AVERAGE(C47:C67)</f>
        <v>9.1476190476190489</v>
      </c>
    </row>
    <row r="71" spans="2:6">
      <c r="B71" s="2" t="s">
        <v>272</v>
      </c>
      <c r="C71" s="12">
        <f>+C70/C67</f>
        <v>0.68779090583601865</v>
      </c>
    </row>
    <row r="74" spans="2:6">
      <c r="B74" s="345" t="s">
        <v>274</v>
      </c>
      <c r="C74" s="346">
        <v>12</v>
      </c>
    </row>
    <row r="75" spans="2:6">
      <c r="B75" s="347" t="s">
        <v>273</v>
      </c>
      <c r="C75" s="348">
        <f>+C74*70%</f>
        <v>8.3999999999999986</v>
      </c>
    </row>
  </sheetData>
  <pageMargins left="0.7" right="0.7" top="0.75" bottom="0.75" header="0.3" footer="0.3"/>
  <pageSetup scale="80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Resources</vt:lpstr>
      <vt:lpstr>Start -&gt;</vt:lpstr>
      <vt:lpstr>Model (Start - Video)</vt:lpstr>
      <vt:lpstr>Model (Start - Blank)</vt:lpstr>
      <vt:lpstr>Cohorts (Start)</vt:lpstr>
      <vt:lpstr>Sensitivities (Start)</vt:lpstr>
      <vt:lpstr>Valuation (Start)</vt:lpstr>
      <vt:lpstr>End -&gt;</vt:lpstr>
      <vt:lpstr>Model (End)</vt:lpstr>
      <vt:lpstr>Model (Pre-Money Options)</vt:lpstr>
      <vt:lpstr>Cohorts (End)</vt:lpstr>
      <vt:lpstr>Sensitivities (End)</vt:lpstr>
      <vt:lpstr>Valuation (End)</vt:lpstr>
      <vt:lpstr>'Cohorts (End)'!Print_Area</vt:lpstr>
      <vt:lpstr>'Cohorts (Start)'!Print_Area</vt:lpstr>
      <vt:lpstr>'Model (End)'!Print_Area</vt:lpstr>
      <vt:lpstr>'Model (Pre-Money Options)'!Print_Area</vt:lpstr>
      <vt:lpstr>'Model (Start - Blank)'!Print_Area</vt:lpstr>
      <vt:lpstr>'Model (Start - Video)'!Print_Area</vt:lpstr>
      <vt:lpstr>'Sensitivities (End)'!Print_Area</vt:lpstr>
      <vt:lpstr>'Sensitivities (Start)'!Print_Area</vt:lpstr>
      <vt:lpstr>'Valuation (End)'!Print_Area</vt:lpstr>
      <vt:lpstr>'Valuation (Start)'!Print_Area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mhinckley</cp:lastModifiedBy>
  <dcterms:created xsi:type="dcterms:W3CDTF">2021-01-06T16:29:03Z</dcterms:created>
  <dcterms:modified xsi:type="dcterms:W3CDTF">2023-07-21T19:57:16Z</dcterms:modified>
</cp:coreProperties>
</file>