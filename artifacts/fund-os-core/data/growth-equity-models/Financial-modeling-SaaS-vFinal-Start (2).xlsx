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Growth equity files\SaaS course\"/>
    </mc:Choice>
  </mc:AlternateContent>
  <xr:revisionPtr revIDLastSave="0" documentId="13_ncr:1_{CEF3C828-56D4-42D5-B1E1-44DEA93BD1BC}" xr6:coauthVersionLast="47" xr6:coauthVersionMax="47" xr10:uidLastSave="{00000000-0000-0000-0000-000000000000}"/>
  <bookViews>
    <workbookView xWindow="-98" yWindow="-98" windowWidth="22875" windowHeight="14356" tabRatio="923" xr2:uid="{149DA278-98FA-47F8-A916-DD05CF127C47}"/>
  </bookViews>
  <sheets>
    <sheet name="Resources" sheetId="96" r:id="rId1"/>
    <sheet name="Start -&gt;" sheetId="97" r:id="rId2"/>
    <sheet name="Raw Customer ARR (Start)" sheetId="84" r:id="rId3"/>
    <sheet name="Financials (Start)" sheetId="77" r:id="rId4"/>
    <sheet name="Headcount (Start)" sheetId="82" r:id="rId5"/>
    <sheet name="Expenses (Start)" sheetId="83" r:id="rId6"/>
  </sheets>
  <externalReferences>
    <externalReference r:id="rId7"/>
  </externalReferences>
  <definedNames>
    <definedName name="different" localSheetId="0">#REF!</definedName>
    <definedName name="different">#REF!</definedName>
    <definedName name="mike">#REF!</definedName>
    <definedName name="_xlnm.Print_Area" localSheetId="5">'Expenses (Start)'!$B$1:$L$3</definedName>
    <definedName name="_xlnm.Print_Area" localSheetId="3">'Financials (Start)'!$B$1:$L$4</definedName>
    <definedName name="_xlnm.Print_Area" localSheetId="4">'Headcount (Start)'!$B$1:$L$3</definedName>
    <definedName name="unit" localSheetId="5">'Expenses (Start)'!#REF!</definedName>
    <definedName name="unit" localSheetId="3">'Financials (Start)'!#REF!</definedName>
    <definedName name="unit" localSheetId="4">'Headcount (Start)'!#REF!</definedName>
    <definedName name="unit" localSheetId="0">#REF!</definedName>
    <definedName name="unit">#REF!</definedName>
  </definedNames>
  <calcPr calcId="191029" calcMode="autoNoTable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96" l="1"/>
  <c r="A3" i="84" l="1"/>
  <c r="A4" i="84" s="1"/>
  <c r="A5" i="84" s="1"/>
  <c r="A6" i="84" s="1"/>
  <c r="A7" i="84" s="1"/>
  <c r="A8" i="84" s="1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A47" i="84" s="1"/>
  <c r="A48" i="84" s="1"/>
  <c r="A49" i="84" s="1"/>
  <c r="A50" i="84" s="1"/>
  <c r="A51" i="84" s="1"/>
  <c r="A52" i="84" s="1"/>
  <c r="A53" i="84" s="1"/>
  <c r="A54" i="84" s="1"/>
  <c r="A55" i="84" s="1"/>
  <c r="A56" i="84" s="1"/>
  <c r="A57" i="84" s="1"/>
  <c r="A58" i="84" s="1"/>
  <c r="A59" i="84" s="1"/>
  <c r="A60" i="84" s="1"/>
  <c r="A61" i="84" s="1"/>
  <c r="A62" i="84" s="1"/>
  <c r="A63" i="84" s="1"/>
  <c r="A64" i="84" s="1"/>
  <c r="A65" i="84" s="1"/>
  <c r="A66" i="84" s="1"/>
  <c r="A67" i="84" s="1"/>
  <c r="A68" i="84" s="1"/>
  <c r="A69" i="84" s="1"/>
  <c r="A70" i="84" s="1"/>
  <c r="A71" i="84" s="1"/>
  <c r="A72" i="84" s="1"/>
  <c r="A73" i="84" s="1"/>
  <c r="A74" i="84" s="1"/>
  <c r="A75" i="84" s="1"/>
  <c r="A76" i="84" s="1"/>
  <c r="A77" i="84" s="1"/>
  <c r="A78" i="84" s="1"/>
  <c r="A79" i="84" s="1"/>
  <c r="A80" i="84" s="1"/>
  <c r="A81" i="84" s="1"/>
  <c r="A82" i="84" s="1"/>
  <c r="A83" i="84" s="1"/>
  <c r="A84" i="84" s="1"/>
  <c r="A85" i="84" s="1"/>
  <c r="A86" i="84" s="1"/>
  <c r="A87" i="84" s="1"/>
  <c r="A88" i="84" s="1"/>
  <c r="A89" i="84" s="1"/>
  <c r="A90" i="84" s="1"/>
  <c r="A91" i="84" s="1"/>
  <c r="A92" i="84" s="1"/>
  <c r="A93" i="84" s="1"/>
  <c r="A94" i="84" s="1"/>
  <c r="A95" i="84" s="1"/>
  <c r="A96" i="84" s="1"/>
  <c r="A97" i="84" s="1"/>
  <c r="A98" i="84" s="1"/>
  <c r="A99" i="84" s="1"/>
  <c r="A100" i="84" s="1"/>
  <c r="A101" i="84" s="1"/>
  <c r="A102" i="84" s="1"/>
  <c r="A103" i="84" s="1"/>
  <c r="A104" i="84" s="1"/>
  <c r="A105" i="84" s="1"/>
  <c r="A106" i="84" s="1"/>
  <c r="A107" i="84" s="1"/>
  <c r="A108" i="84" s="1"/>
  <c r="A109" i="84" s="1"/>
  <c r="A110" i="84" s="1"/>
  <c r="A111" i="84" s="1"/>
  <c r="A112" i="84" s="1"/>
  <c r="A113" i="84" s="1"/>
  <c r="A114" i="84" s="1"/>
  <c r="A115" i="84" s="1"/>
  <c r="A116" i="84" s="1"/>
  <c r="A117" i="84" s="1"/>
  <c r="A118" i="84" s="1"/>
  <c r="A119" i="84" s="1"/>
  <c r="A120" i="84" s="1"/>
  <c r="A121" i="84" s="1"/>
  <c r="A122" i="84" s="1"/>
  <c r="A123" i="84" s="1"/>
  <c r="A124" i="84" s="1"/>
  <c r="A125" i="84" s="1"/>
  <c r="A126" i="84" s="1"/>
  <c r="A127" i="84" s="1"/>
  <c r="A128" i="84" s="1"/>
  <c r="A129" i="84" s="1"/>
  <c r="A130" i="84" s="1"/>
  <c r="A131" i="84" s="1"/>
  <c r="A132" i="84" s="1"/>
  <c r="A133" i="84" s="1"/>
  <c r="A134" i="84" s="1"/>
  <c r="A135" i="84" s="1"/>
  <c r="A136" i="84" s="1"/>
  <c r="A137" i="84" s="1"/>
  <c r="A138" i="84" s="1"/>
  <c r="A139" i="84" s="1"/>
  <c r="A140" i="84" s="1"/>
  <c r="A141" i="84" s="1"/>
  <c r="A142" i="84" s="1"/>
  <c r="A143" i="84" s="1"/>
  <c r="A144" i="84" s="1"/>
  <c r="A145" i="84" s="1"/>
  <c r="A146" i="84" s="1"/>
  <c r="A147" i="84" s="1"/>
  <c r="A148" i="84" s="1"/>
  <c r="A149" i="84" s="1"/>
  <c r="A150" i="84" s="1"/>
  <c r="A151" i="84" s="1"/>
  <c r="A152" i="84" s="1"/>
  <c r="A153" i="84" s="1"/>
  <c r="A154" i="84" s="1"/>
  <c r="A155" i="84" s="1"/>
  <c r="A156" i="84" s="1"/>
  <c r="A157" i="84" s="1"/>
  <c r="A158" i="84" s="1"/>
  <c r="A159" i="84" s="1"/>
  <c r="A160" i="84" s="1"/>
  <c r="A161" i="84" s="1"/>
  <c r="A162" i="84" s="1"/>
  <c r="A163" i="84" s="1"/>
  <c r="A164" i="84" s="1"/>
  <c r="A165" i="84" s="1"/>
  <c r="A166" i="84" s="1"/>
  <c r="A167" i="84" s="1"/>
  <c r="A168" i="84" s="1"/>
  <c r="A169" i="84" s="1"/>
  <c r="A170" i="84" s="1"/>
  <c r="A171" i="84" s="1"/>
  <c r="A172" i="84" s="1"/>
  <c r="A173" i="84" s="1"/>
  <c r="A174" i="84" s="1"/>
  <c r="A175" i="84" s="1"/>
  <c r="A176" i="84" s="1"/>
  <c r="A177" i="84" s="1"/>
  <c r="A178" i="84" s="1"/>
  <c r="A179" i="84" s="1"/>
  <c r="A180" i="84" s="1"/>
  <c r="A181" i="84" s="1"/>
  <c r="A182" i="84" s="1"/>
  <c r="A183" i="84" s="1"/>
  <c r="A184" i="84" s="1"/>
  <c r="A185" i="84" s="1"/>
  <c r="A186" i="84" s="1"/>
  <c r="A187" i="84" s="1"/>
  <c r="A188" i="84" s="1"/>
  <c r="A189" i="84" s="1"/>
  <c r="A190" i="84" s="1"/>
  <c r="A191" i="84" s="1"/>
  <c r="A192" i="84" s="1"/>
  <c r="A193" i="84" s="1"/>
  <c r="A194" i="84" s="1"/>
  <c r="A195" i="84" s="1"/>
  <c r="A196" i="84" s="1"/>
  <c r="A197" i="84" s="1"/>
  <c r="A198" i="84" s="1"/>
  <c r="A199" i="84" s="1"/>
  <c r="A200" i="84" s="1"/>
  <c r="A201" i="84" s="1"/>
  <c r="A202" i="84" s="1"/>
  <c r="A203" i="84" s="1"/>
  <c r="A204" i="84" s="1"/>
  <c r="A205" i="84" s="1"/>
  <c r="A206" i="84" s="1"/>
  <c r="A207" i="84" s="1"/>
  <c r="A208" i="84" s="1"/>
  <c r="A209" i="84" s="1"/>
  <c r="A210" i="84" s="1"/>
  <c r="A211" i="84" s="1"/>
  <c r="A212" i="84" s="1"/>
  <c r="A213" i="84" s="1"/>
  <c r="A214" i="84" s="1"/>
  <c r="A215" i="84" s="1"/>
  <c r="A216" i="84" s="1"/>
  <c r="A217" i="84" s="1"/>
  <c r="A218" i="84" s="1"/>
  <c r="A219" i="84" s="1"/>
  <c r="A220" i="84" s="1"/>
  <c r="A221" i="84" s="1"/>
  <c r="A222" i="84" s="1"/>
  <c r="A223" i="84" s="1"/>
  <c r="A224" i="84" s="1"/>
  <c r="A225" i="84" s="1"/>
  <c r="A226" i="84" s="1"/>
  <c r="A227" i="84" s="1"/>
  <c r="A228" i="84" s="1"/>
  <c r="A229" i="84" s="1"/>
  <c r="A230" i="84" s="1"/>
  <c r="A231" i="84" s="1"/>
  <c r="A232" i="84" s="1"/>
  <c r="A233" i="84" s="1"/>
  <c r="A234" i="84" s="1"/>
  <c r="A235" i="84" s="1"/>
  <c r="A236" i="84" s="1"/>
  <c r="A237" i="84" s="1"/>
  <c r="A238" i="84" s="1"/>
  <c r="A239" i="84" s="1"/>
  <c r="A240" i="84" s="1"/>
  <c r="A241" i="84" s="1"/>
  <c r="A242" i="84" s="1"/>
  <c r="A243" i="84" s="1"/>
  <c r="A244" i="84" s="1"/>
  <c r="A245" i="84" s="1"/>
  <c r="A246" i="84" s="1"/>
  <c r="A247" i="84" s="1"/>
  <c r="A248" i="84" s="1"/>
  <c r="A249" i="84" s="1"/>
  <c r="A250" i="84" s="1"/>
  <c r="A251" i="84" s="1"/>
  <c r="A252" i="84" s="1"/>
  <c r="A253" i="84" s="1"/>
  <c r="A254" i="84" s="1"/>
  <c r="A255" i="84" s="1"/>
  <c r="A256" i="84" s="1"/>
  <c r="A257" i="84" s="1"/>
  <c r="A258" i="84" s="1"/>
  <c r="A259" i="84" s="1"/>
  <c r="A260" i="84" s="1"/>
  <c r="A261" i="84" s="1"/>
  <c r="A262" i="84" s="1"/>
  <c r="A263" i="84" s="1"/>
  <c r="A264" i="84" s="1"/>
  <c r="A265" i="84" s="1"/>
  <c r="A266" i="84" s="1"/>
  <c r="A267" i="84" s="1"/>
  <c r="A268" i="84" s="1"/>
  <c r="A269" i="84" s="1"/>
  <c r="A270" i="84" s="1"/>
  <c r="A271" i="84" s="1"/>
  <c r="A272" i="84" s="1"/>
  <c r="A273" i="84" s="1"/>
  <c r="A274" i="84" s="1"/>
  <c r="A275" i="84" s="1"/>
  <c r="A276" i="84" s="1"/>
  <c r="A277" i="84" s="1"/>
  <c r="A278" i="84" s="1"/>
  <c r="A279" i="84" s="1"/>
  <c r="A280" i="84" s="1"/>
  <c r="A281" i="84" s="1"/>
  <c r="A282" i="84" s="1"/>
  <c r="A283" i="84" s="1"/>
  <c r="A284" i="84" s="1"/>
  <c r="A285" i="84" s="1"/>
  <c r="A286" i="84" s="1"/>
  <c r="A287" i="84" s="1"/>
  <c r="A288" i="84" s="1"/>
  <c r="A289" i="84" s="1"/>
  <c r="A290" i="84" s="1"/>
  <c r="A291" i="84" s="1"/>
  <c r="A292" i="84" s="1"/>
  <c r="A293" i="84" s="1"/>
  <c r="A294" i="84" s="1"/>
  <c r="A295" i="84" s="1"/>
  <c r="A296" i="84" s="1"/>
  <c r="A297" i="84" s="1"/>
  <c r="A298" i="84" s="1"/>
  <c r="A299" i="84" s="1"/>
  <c r="A300" i="84" s="1"/>
  <c r="A301" i="84" s="1"/>
  <c r="A302" i="84" s="1"/>
  <c r="A303" i="84" s="1"/>
  <c r="A304" i="84" s="1"/>
  <c r="A305" i="84" s="1"/>
  <c r="A306" i="84" s="1"/>
  <c r="A307" i="84" s="1"/>
  <c r="A308" i="84" s="1"/>
  <c r="A309" i="84" s="1"/>
  <c r="A310" i="84" s="1"/>
  <c r="A311" i="84" s="1"/>
  <c r="A312" i="84" s="1"/>
  <c r="A313" i="84" s="1"/>
  <c r="A314" i="84" s="1"/>
  <c r="A315" i="84" s="1"/>
  <c r="A316" i="84" s="1"/>
  <c r="A317" i="84" s="1"/>
  <c r="A318" i="84" s="1"/>
  <c r="A319" i="84" s="1"/>
  <c r="A320" i="84" s="1"/>
  <c r="A321" i="84" s="1"/>
  <c r="A322" i="84" s="1"/>
  <c r="A323" i="84" s="1"/>
  <c r="A324" i="84" s="1"/>
  <c r="A325" i="84" s="1"/>
  <c r="A326" i="84" s="1"/>
  <c r="A327" i="84" s="1"/>
  <c r="A328" i="84" s="1"/>
  <c r="A329" i="84" s="1"/>
  <c r="A330" i="84" s="1"/>
  <c r="A331" i="84" s="1"/>
  <c r="A332" i="84" s="1"/>
  <c r="A333" i="84" s="1"/>
  <c r="A334" i="84" s="1"/>
  <c r="A335" i="84" s="1"/>
  <c r="A336" i="84" s="1"/>
  <c r="A337" i="84" s="1"/>
  <c r="A338" i="84" s="1"/>
  <c r="A339" i="84" s="1"/>
  <c r="A340" i="84" s="1"/>
  <c r="A341" i="84" s="1"/>
  <c r="A342" i="84" s="1"/>
  <c r="A343" i="84" s="1"/>
  <c r="A344" i="84" s="1"/>
  <c r="A345" i="84" s="1"/>
  <c r="A346" i="84" s="1"/>
  <c r="A347" i="84" s="1"/>
  <c r="A348" i="84" s="1"/>
  <c r="A349" i="84" s="1"/>
  <c r="A350" i="84" s="1"/>
  <c r="A351" i="84" s="1"/>
  <c r="A352" i="84" s="1"/>
  <c r="A353" i="84" s="1"/>
  <c r="A354" i="84" s="1"/>
  <c r="A355" i="84" s="1"/>
  <c r="A356" i="84" s="1"/>
  <c r="A357" i="84" s="1"/>
  <c r="A358" i="84" s="1"/>
  <c r="A359" i="84" s="1"/>
  <c r="A360" i="84" s="1"/>
  <c r="A361" i="84" s="1"/>
  <c r="A362" i="84" s="1"/>
  <c r="A363" i="84" s="1"/>
  <c r="A364" i="84" s="1"/>
  <c r="A365" i="84" s="1"/>
  <c r="A366" i="84" s="1"/>
  <c r="A367" i="84" s="1"/>
  <c r="A368" i="84" s="1"/>
  <c r="A369" i="84" s="1"/>
  <c r="A370" i="84" s="1"/>
  <c r="A371" i="84" s="1"/>
  <c r="A372" i="84" s="1"/>
  <c r="A373" i="84" s="1"/>
  <c r="A374" i="84" s="1"/>
  <c r="A375" i="84" s="1"/>
  <c r="A376" i="84" s="1"/>
  <c r="A377" i="84" s="1"/>
  <c r="A378" i="84" s="1"/>
  <c r="A379" i="84" s="1"/>
  <c r="A380" i="84" s="1"/>
  <c r="A381" i="84" s="1"/>
  <c r="A382" i="84" s="1"/>
  <c r="A383" i="84" s="1"/>
  <c r="A384" i="84" s="1"/>
  <c r="A385" i="84" s="1"/>
  <c r="A386" i="84" s="1"/>
  <c r="A387" i="84" s="1"/>
  <c r="A388" i="84" s="1"/>
  <c r="A389" i="84" s="1"/>
  <c r="A390" i="84" s="1"/>
  <c r="A391" i="84" s="1"/>
  <c r="A392" i="84" s="1"/>
  <c r="A393" i="84" s="1"/>
  <c r="A394" i="84" s="1"/>
  <c r="A395" i="84" s="1"/>
  <c r="A396" i="84" s="1"/>
  <c r="A397" i="84" s="1"/>
  <c r="A398" i="84" s="1"/>
  <c r="A399" i="84" s="1"/>
  <c r="A400" i="84" s="1"/>
  <c r="A401" i="84" s="1"/>
  <c r="A402" i="84" s="1"/>
  <c r="A403" i="84" s="1"/>
  <c r="A404" i="84" s="1"/>
  <c r="A405" i="84" s="1"/>
  <c r="A406" i="84" s="1"/>
  <c r="A407" i="84" s="1"/>
  <c r="A408" i="84" s="1"/>
  <c r="A409" i="84" s="1"/>
  <c r="A410" i="84" s="1"/>
  <c r="A411" i="84" s="1"/>
  <c r="A412" i="84" s="1"/>
  <c r="A413" i="84" s="1"/>
  <c r="A414" i="84" s="1"/>
  <c r="A415" i="84" s="1"/>
  <c r="A416" i="84" s="1"/>
  <c r="A417" i="84" s="1"/>
  <c r="A418" i="84" s="1"/>
  <c r="A419" i="84" s="1"/>
  <c r="A420" i="84" s="1"/>
  <c r="A421" i="84" s="1"/>
  <c r="A422" i="84" s="1"/>
  <c r="A423" i="84" s="1"/>
  <c r="A424" i="84" s="1"/>
  <c r="A425" i="84" s="1"/>
  <c r="A426" i="84" s="1"/>
  <c r="A427" i="84" s="1"/>
  <c r="A428" i="84" s="1"/>
  <c r="A429" i="84" s="1"/>
  <c r="A430" i="84" s="1"/>
  <c r="A431" i="84" s="1"/>
  <c r="A432" i="84" s="1"/>
  <c r="A433" i="84" s="1"/>
  <c r="A434" i="84" s="1"/>
  <c r="A435" i="84" s="1"/>
  <c r="A436" i="84" s="1"/>
  <c r="A437" i="84" s="1"/>
  <c r="A438" i="84" s="1"/>
  <c r="A439" i="84" s="1"/>
  <c r="A440" i="84" s="1"/>
  <c r="A441" i="84" s="1"/>
  <c r="A442" i="84" s="1"/>
  <c r="A443" i="84" s="1"/>
  <c r="A444" i="84" s="1"/>
  <c r="A445" i="84" s="1"/>
  <c r="A446" i="84" s="1"/>
  <c r="A447" i="84" s="1"/>
  <c r="A448" i="84" s="1"/>
  <c r="A449" i="84" s="1"/>
  <c r="A450" i="84" s="1"/>
  <c r="A451" i="84" s="1"/>
  <c r="A452" i="84" s="1"/>
  <c r="A453" i="84" s="1"/>
  <c r="A454" i="84" s="1"/>
  <c r="A455" i="84" s="1"/>
  <c r="A456" i="84" s="1"/>
  <c r="A457" i="84" s="1"/>
  <c r="A458" i="84" s="1"/>
  <c r="A459" i="84" s="1"/>
  <c r="A460" i="84" s="1"/>
  <c r="A461" i="84" s="1"/>
  <c r="A462" i="84" s="1"/>
  <c r="A463" i="84" s="1"/>
  <c r="A464" i="84" s="1"/>
  <c r="A465" i="84" s="1"/>
  <c r="A466" i="84" s="1"/>
  <c r="A467" i="84" s="1"/>
  <c r="A468" i="84" s="1"/>
  <c r="A469" i="84" s="1"/>
  <c r="A470" i="84" s="1"/>
  <c r="A471" i="84" s="1"/>
  <c r="A472" i="84" s="1"/>
  <c r="A473" i="84" s="1"/>
  <c r="A474" i="84" s="1"/>
  <c r="A475" i="84" s="1"/>
  <c r="A476" i="84" s="1"/>
  <c r="A477" i="84" s="1"/>
  <c r="A478" i="84" s="1"/>
  <c r="A479" i="84" s="1"/>
  <c r="A480" i="84" s="1"/>
  <c r="A481" i="84" s="1"/>
  <c r="A482" i="84" s="1"/>
  <c r="A483" i="84" s="1"/>
  <c r="A484" i="84" s="1"/>
  <c r="A485" i="84" s="1"/>
  <c r="A486" i="84" s="1"/>
  <c r="A487" i="84" s="1"/>
  <c r="A488" i="84" s="1"/>
  <c r="A489" i="84" s="1"/>
  <c r="A490" i="84" s="1"/>
  <c r="A491" i="84" s="1"/>
  <c r="A492" i="84" s="1"/>
  <c r="A493" i="84" s="1"/>
  <c r="A494" i="84" s="1"/>
  <c r="A495" i="84" s="1"/>
  <c r="A496" i="84" s="1"/>
  <c r="A497" i="84" s="1"/>
  <c r="A498" i="84" s="1"/>
  <c r="A499" i="84" s="1"/>
  <c r="A500" i="84" s="1"/>
  <c r="A501" i="84" s="1"/>
  <c r="A502" i="84" s="1"/>
  <c r="A503" i="84" s="1"/>
  <c r="A504" i="84" s="1"/>
  <c r="A505" i="84" s="1"/>
  <c r="A506" i="84" s="1"/>
  <c r="A507" i="84" s="1"/>
  <c r="A508" i="84" s="1"/>
  <c r="A509" i="84" s="1"/>
  <c r="A510" i="84" s="1"/>
  <c r="A511" i="84" s="1"/>
  <c r="A512" i="84" s="1"/>
  <c r="A513" i="84" s="1"/>
  <c r="A514" i="84" s="1"/>
  <c r="A515" i="84" s="1"/>
  <c r="A516" i="84" s="1"/>
  <c r="A517" i="84" s="1"/>
  <c r="A518" i="84" s="1"/>
  <c r="A519" i="84" s="1"/>
  <c r="A520" i="84" s="1"/>
  <c r="A521" i="84" s="1"/>
  <c r="A522" i="84" s="1"/>
  <c r="A523" i="84" s="1"/>
  <c r="A524" i="84" s="1"/>
  <c r="A525" i="84" s="1"/>
  <c r="A526" i="84" s="1"/>
  <c r="A527" i="84" s="1"/>
  <c r="A528" i="84" s="1"/>
  <c r="A529" i="84" s="1"/>
  <c r="A530" i="84" s="1"/>
  <c r="A531" i="84" s="1"/>
  <c r="A532" i="84" s="1"/>
  <c r="A533" i="84" s="1"/>
  <c r="A534" i="84" s="1"/>
  <c r="A535" i="84" s="1"/>
  <c r="A536" i="84" s="1"/>
  <c r="A537" i="84" s="1"/>
  <c r="A538" i="84" s="1"/>
  <c r="A539" i="84" s="1"/>
  <c r="A540" i="84" s="1"/>
  <c r="A541" i="84" s="1"/>
  <c r="A542" i="84" s="1"/>
  <c r="A543" i="84" s="1"/>
  <c r="A544" i="84" s="1"/>
  <c r="A545" i="84" s="1"/>
  <c r="A546" i="84" s="1"/>
  <c r="A547" i="84" s="1"/>
  <c r="A548" i="84" s="1"/>
  <c r="A549" i="84" s="1"/>
  <c r="A550" i="84" s="1"/>
  <c r="A551" i="84" s="1"/>
  <c r="A552" i="84" s="1"/>
  <c r="A553" i="84" s="1"/>
  <c r="A554" i="84" s="1"/>
  <c r="A555" i="84" s="1"/>
  <c r="A556" i="84" s="1"/>
  <c r="A557" i="84" s="1"/>
  <c r="A558" i="84" s="1"/>
  <c r="A559" i="84" s="1"/>
  <c r="A560" i="84" s="1"/>
  <c r="A561" i="84" s="1"/>
  <c r="A562" i="84" s="1"/>
  <c r="A563" i="84" s="1"/>
  <c r="A564" i="84" s="1"/>
  <c r="A565" i="84" s="1"/>
  <c r="A566" i="84" s="1"/>
  <c r="A567" i="84" s="1"/>
  <c r="A568" i="84" s="1"/>
  <c r="A569" i="84" s="1"/>
  <c r="A570" i="84" s="1"/>
  <c r="A571" i="84" s="1"/>
  <c r="A572" i="84" s="1"/>
  <c r="A573" i="84" s="1"/>
  <c r="A574" i="84" s="1"/>
  <c r="A575" i="84" s="1"/>
  <c r="A576" i="84" s="1"/>
  <c r="A577" i="84" s="1"/>
  <c r="A578" i="84" s="1"/>
  <c r="A579" i="84" s="1"/>
  <c r="A580" i="84" s="1"/>
  <c r="A581" i="84" s="1"/>
  <c r="A582" i="84" s="1"/>
  <c r="A583" i="84" s="1"/>
  <c r="A584" i="84" s="1"/>
  <c r="A585" i="84" s="1"/>
  <c r="A586" i="84" s="1"/>
  <c r="A587" i="84" s="1"/>
  <c r="A588" i="84" s="1"/>
  <c r="A589" i="84" s="1"/>
  <c r="A590" i="84" s="1"/>
  <c r="A591" i="84" s="1"/>
  <c r="A592" i="84" s="1"/>
  <c r="A593" i="84" s="1"/>
  <c r="A594" i="84" s="1"/>
  <c r="A595" i="84" s="1"/>
  <c r="A596" i="84" s="1"/>
  <c r="A597" i="84" s="1"/>
  <c r="A598" i="84" s="1"/>
  <c r="A599" i="84" s="1"/>
  <c r="A600" i="84" s="1"/>
  <c r="A601" i="84" s="1"/>
  <c r="A602" i="84" s="1"/>
  <c r="A603" i="84" s="1"/>
  <c r="A604" i="84" s="1"/>
  <c r="A605" i="84" s="1"/>
  <c r="A606" i="84" s="1"/>
  <c r="A607" i="84" s="1"/>
  <c r="A608" i="84" s="1"/>
  <c r="A609" i="84" s="1"/>
  <c r="A610" i="84" s="1"/>
  <c r="A611" i="84" s="1"/>
  <c r="A612" i="84" s="1"/>
  <c r="A613" i="84" s="1"/>
  <c r="A614" i="84" s="1"/>
  <c r="A615" i="84" s="1"/>
  <c r="A616" i="84" s="1"/>
  <c r="A617" i="84" s="1"/>
  <c r="A618" i="84" s="1"/>
  <c r="A619" i="84" s="1"/>
  <c r="A620" i="84" s="1"/>
  <c r="A621" i="84" s="1"/>
  <c r="A622" i="84" s="1"/>
  <c r="A623" i="84" s="1"/>
  <c r="A624" i="84" s="1"/>
  <c r="A625" i="84" s="1"/>
  <c r="A626" i="84" s="1"/>
  <c r="A627" i="84" s="1"/>
  <c r="A628" i="84" s="1"/>
  <c r="A629" i="84" s="1"/>
  <c r="A630" i="84" s="1"/>
  <c r="A631" i="84" s="1"/>
  <c r="A632" i="84" s="1"/>
  <c r="A633" i="84" s="1"/>
  <c r="A634" i="84" s="1"/>
  <c r="A635" i="84" s="1"/>
  <c r="A636" i="84" s="1"/>
  <c r="A637" i="84" s="1"/>
  <c r="A638" i="84" s="1"/>
  <c r="A639" i="84" s="1"/>
  <c r="A640" i="84" s="1"/>
  <c r="A641" i="84" s="1"/>
  <c r="A642" i="84" s="1"/>
  <c r="A643" i="84" s="1"/>
  <c r="A644" i="84" s="1"/>
  <c r="A645" i="84" s="1"/>
  <c r="A646" i="84" s="1"/>
  <c r="A647" i="84" s="1"/>
  <c r="A648" i="84" s="1"/>
  <c r="A649" i="84" s="1"/>
  <c r="A650" i="84" s="1"/>
  <c r="A651" i="84" s="1"/>
  <c r="A652" i="84" s="1"/>
  <c r="A653" i="84" s="1"/>
  <c r="A654" i="84" s="1"/>
  <c r="A655" i="84" s="1"/>
  <c r="A656" i="84" s="1"/>
  <c r="A657" i="84" s="1"/>
  <c r="A658" i="84" s="1"/>
  <c r="A659" i="84" s="1"/>
  <c r="A660" i="84" s="1"/>
  <c r="A661" i="84" s="1"/>
  <c r="A662" i="84" s="1"/>
  <c r="A663" i="84" s="1"/>
  <c r="A664" i="84" s="1"/>
  <c r="A665" i="84" s="1"/>
  <c r="A666" i="84" s="1"/>
  <c r="A667" i="84" s="1"/>
  <c r="A668" i="84" s="1"/>
  <c r="A669" i="84" s="1"/>
  <c r="A670" i="84" s="1"/>
  <c r="A671" i="84" s="1"/>
  <c r="A672" i="84" s="1"/>
  <c r="A673" i="84" s="1"/>
  <c r="A674" i="84" s="1"/>
  <c r="A675" i="84" s="1"/>
  <c r="A676" i="84" s="1"/>
  <c r="A677" i="84" s="1"/>
  <c r="A678" i="84" s="1"/>
  <c r="A679" i="84" s="1"/>
  <c r="A680" i="84" s="1"/>
  <c r="A681" i="84" s="1"/>
  <c r="A682" i="84" s="1"/>
  <c r="A683" i="84" s="1"/>
  <c r="A684" i="84" s="1"/>
  <c r="A685" i="84" s="1"/>
  <c r="A686" i="84" s="1"/>
  <c r="A687" i="84" s="1"/>
  <c r="A688" i="84" s="1"/>
  <c r="A689" i="84" s="1"/>
  <c r="A690" i="84" s="1"/>
  <c r="A691" i="84" s="1"/>
  <c r="A692" i="84" s="1"/>
  <c r="A693" i="84" s="1"/>
  <c r="A694" i="84" s="1"/>
  <c r="A695" i="84" s="1"/>
  <c r="A696" i="84" s="1"/>
  <c r="A697" i="84" s="1"/>
  <c r="A698" i="84" s="1"/>
  <c r="A699" i="84" s="1"/>
  <c r="A700" i="84" s="1"/>
  <c r="A701" i="84" s="1"/>
  <c r="A702" i="84" s="1"/>
  <c r="A703" i="84" s="1"/>
  <c r="A704" i="84" s="1"/>
  <c r="A705" i="84" s="1"/>
  <c r="A706" i="84" s="1"/>
  <c r="A707" i="84" s="1"/>
  <c r="A708" i="84" s="1"/>
  <c r="A709" i="84" s="1"/>
  <c r="A710" i="84" s="1"/>
  <c r="A711" i="84" s="1"/>
  <c r="A712" i="84" s="1"/>
  <c r="A713" i="84" s="1"/>
  <c r="A714" i="84" s="1"/>
  <c r="A715" i="84" s="1"/>
  <c r="A716" i="84" s="1"/>
  <c r="A717" i="84" s="1"/>
  <c r="A718" i="84" s="1"/>
  <c r="A719" i="84" s="1"/>
  <c r="A720" i="84" s="1"/>
  <c r="A721" i="84" s="1"/>
  <c r="A722" i="84" s="1"/>
  <c r="A723" i="84" s="1"/>
  <c r="A724" i="84" s="1"/>
  <c r="A725" i="84" s="1"/>
  <c r="A726" i="84" s="1"/>
  <c r="A727" i="84" s="1"/>
  <c r="A728" i="84" s="1"/>
  <c r="A729" i="84" s="1"/>
  <c r="A730" i="84" s="1"/>
  <c r="A731" i="84" s="1"/>
  <c r="A732" i="84" s="1"/>
  <c r="A733" i="84" s="1"/>
  <c r="A734" i="84" s="1"/>
  <c r="A735" i="84" s="1"/>
  <c r="A736" i="84" s="1"/>
  <c r="A737" i="84" s="1"/>
  <c r="A738" i="84" s="1"/>
  <c r="A739" i="84" s="1"/>
  <c r="A740" i="84" s="1"/>
  <c r="A741" i="84" s="1"/>
  <c r="A742" i="84" s="1"/>
  <c r="A743" i="84" s="1"/>
  <c r="A744" i="84" s="1"/>
  <c r="A745" i="84" s="1"/>
  <c r="A746" i="84" s="1"/>
  <c r="A747" i="84" s="1"/>
  <c r="A748" i="84" s="1"/>
  <c r="A749" i="84" s="1"/>
  <c r="A750" i="84" s="1"/>
  <c r="A751" i="84" s="1"/>
  <c r="A752" i="84" s="1"/>
  <c r="A753" i="84" s="1"/>
  <c r="A754" i="84" s="1"/>
  <c r="A755" i="84" s="1"/>
  <c r="A756" i="84" s="1"/>
  <c r="A757" i="84" s="1"/>
  <c r="A758" i="84" s="1"/>
  <c r="A759" i="84" s="1"/>
  <c r="A760" i="84" s="1"/>
  <c r="A761" i="84" s="1"/>
  <c r="A762" i="84" s="1"/>
  <c r="A763" i="84" s="1"/>
  <c r="A764" i="84" s="1"/>
  <c r="A765" i="84" s="1"/>
  <c r="A766" i="84" s="1"/>
  <c r="A767" i="84" s="1"/>
  <c r="A768" i="84" s="1"/>
  <c r="A769" i="84" s="1"/>
  <c r="A770" i="84" s="1"/>
  <c r="A771" i="84" s="1"/>
  <c r="A772" i="84" s="1"/>
  <c r="A773" i="84" s="1"/>
  <c r="A774" i="84" s="1"/>
  <c r="A775" i="84" s="1"/>
  <c r="A776" i="84" s="1"/>
  <c r="A777" i="84" s="1"/>
  <c r="A778" i="84" s="1"/>
  <c r="A779" i="84" s="1"/>
  <c r="A780" i="84" s="1"/>
  <c r="A781" i="84" s="1"/>
  <c r="A782" i="84" s="1"/>
  <c r="A783" i="84" s="1"/>
  <c r="A784" i="84" s="1"/>
  <c r="A785" i="84" s="1"/>
  <c r="A786" i="84" s="1"/>
  <c r="A787" i="84" s="1"/>
  <c r="A788" i="84" s="1"/>
  <c r="A789" i="84" s="1"/>
  <c r="A790" i="84" s="1"/>
  <c r="A791" i="84" s="1"/>
  <c r="A792" i="84" s="1"/>
  <c r="A793" i="84" s="1"/>
  <c r="A794" i="84" s="1"/>
  <c r="A795" i="84" s="1"/>
  <c r="A796" i="84" s="1"/>
  <c r="A797" i="84" s="1"/>
  <c r="A798" i="84" s="1"/>
  <c r="A799" i="84" s="1"/>
  <c r="A800" i="84" s="1"/>
  <c r="A801" i="84" s="1"/>
  <c r="A802" i="84" s="1"/>
  <c r="A803" i="84" s="1"/>
  <c r="A804" i="84" s="1"/>
  <c r="A805" i="84" s="1"/>
  <c r="A806" i="84" s="1"/>
  <c r="A807" i="84" s="1"/>
  <c r="A808" i="84" s="1"/>
  <c r="A809" i="84" s="1"/>
  <c r="A810" i="84" s="1"/>
  <c r="A811" i="84" s="1"/>
  <c r="A812" i="84" s="1"/>
  <c r="A813" i="84" s="1"/>
  <c r="A814" i="84" s="1"/>
  <c r="A815" i="84" s="1"/>
  <c r="A816" i="84" s="1"/>
  <c r="A817" i="84" s="1"/>
  <c r="A818" i="84" s="1"/>
  <c r="A819" i="84" s="1"/>
  <c r="A820" i="84" s="1"/>
  <c r="A821" i="84" s="1"/>
  <c r="A822" i="84" s="1"/>
  <c r="A823" i="84" s="1"/>
  <c r="A824" i="84" s="1"/>
  <c r="A825" i="84" s="1"/>
  <c r="A826" i="84" s="1"/>
  <c r="A827" i="84" s="1"/>
  <c r="A828" i="84" s="1"/>
  <c r="A829" i="84" s="1"/>
  <c r="A830" i="84" s="1"/>
  <c r="A831" i="84" s="1"/>
  <c r="A832" i="84" s="1"/>
  <c r="A833" i="84" s="1"/>
  <c r="A834" i="84" s="1"/>
  <c r="A835" i="84" s="1"/>
  <c r="A836" i="84" s="1"/>
  <c r="A837" i="84" s="1"/>
  <c r="A838" i="84" s="1"/>
  <c r="A839" i="84" s="1"/>
  <c r="A840" i="84" s="1"/>
  <c r="A841" i="84" s="1"/>
  <c r="A842" i="84" s="1"/>
  <c r="A843" i="84" s="1"/>
  <c r="A844" i="84" s="1"/>
  <c r="A845" i="84" s="1"/>
  <c r="A846" i="84" s="1"/>
  <c r="A847" i="84" s="1"/>
  <c r="A848" i="84" s="1"/>
  <c r="A849" i="84" s="1"/>
  <c r="A850" i="84" s="1"/>
  <c r="A851" i="84" s="1"/>
  <c r="A852" i="84" s="1"/>
  <c r="A853" i="84" s="1"/>
  <c r="A854" i="84" s="1"/>
  <c r="A855" i="84" s="1"/>
  <c r="A856" i="84" s="1"/>
  <c r="A857" i="84" s="1"/>
  <c r="A858" i="84" s="1"/>
  <c r="A859" i="84" s="1"/>
  <c r="A860" i="84" s="1"/>
  <c r="A861" i="84" s="1"/>
  <c r="A862" i="84" s="1"/>
  <c r="A863" i="84" s="1"/>
  <c r="A864" i="84" s="1"/>
  <c r="A865" i="84" s="1"/>
  <c r="A866" i="84" s="1"/>
  <c r="A867" i="84" s="1"/>
  <c r="A868" i="84" s="1"/>
  <c r="A869" i="84" s="1"/>
  <c r="A870" i="84" s="1"/>
  <c r="A871" i="84" s="1"/>
  <c r="A872" i="84" s="1"/>
  <c r="A873" i="84" s="1"/>
  <c r="A874" i="84" s="1"/>
  <c r="A875" i="84" s="1"/>
  <c r="A876" i="84" s="1"/>
  <c r="A877" i="84" s="1"/>
  <c r="A878" i="84" s="1"/>
  <c r="A879" i="84" s="1"/>
  <c r="A880" i="84" s="1"/>
  <c r="A881" i="84" s="1"/>
  <c r="A882" i="84" s="1"/>
  <c r="A883" i="84" s="1"/>
  <c r="A884" i="84" s="1"/>
  <c r="A885" i="84" s="1"/>
  <c r="A886" i="84" s="1"/>
  <c r="A887" i="84" s="1"/>
  <c r="A888" i="84" s="1"/>
  <c r="A889" i="84" s="1"/>
  <c r="A890" i="84" s="1"/>
  <c r="A891" i="84" s="1"/>
  <c r="A892" i="84" s="1"/>
  <c r="A893" i="84" s="1"/>
  <c r="A894" i="84" s="1"/>
  <c r="A895" i="84" s="1"/>
  <c r="A896" i="84" s="1"/>
  <c r="A897" i="84" s="1"/>
  <c r="A898" i="84" s="1"/>
  <c r="A899" i="84" s="1"/>
  <c r="A900" i="84" s="1"/>
  <c r="A901" i="84" s="1"/>
  <c r="A902" i="84" s="1"/>
  <c r="A903" i="84" s="1"/>
  <c r="A904" i="84" s="1"/>
  <c r="A905" i="84" s="1"/>
  <c r="A906" i="84" s="1"/>
  <c r="A907" i="84" s="1"/>
  <c r="A908" i="84" s="1"/>
  <c r="A909" i="84" s="1"/>
  <c r="A910" i="84" s="1"/>
  <c r="A911" i="84" s="1"/>
  <c r="A912" i="84" s="1"/>
  <c r="A913" i="84" s="1"/>
  <c r="A914" i="84" s="1"/>
  <c r="A915" i="84" s="1"/>
  <c r="A916" i="84" s="1"/>
  <c r="A917" i="84" s="1"/>
  <c r="A918" i="84" s="1"/>
  <c r="A919" i="84" s="1"/>
  <c r="A920" i="84" s="1"/>
  <c r="A921" i="84" s="1"/>
  <c r="A922" i="84" s="1"/>
  <c r="A923" i="84" s="1"/>
  <c r="A924" i="84" s="1"/>
  <c r="A925" i="84" s="1"/>
  <c r="A926" i="84" s="1"/>
  <c r="A927" i="84" s="1"/>
  <c r="A928" i="84" s="1"/>
  <c r="A929" i="84" s="1"/>
  <c r="A930" i="84" s="1"/>
  <c r="A931" i="84" s="1"/>
  <c r="A932" i="84" s="1"/>
  <c r="A933" i="84" s="1"/>
  <c r="A934" i="84" s="1"/>
  <c r="A935" i="84" s="1"/>
  <c r="A936" i="84" s="1"/>
  <c r="A937" i="84" s="1"/>
  <c r="A938" i="84" s="1"/>
  <c r="A939" i="84" s="1"/>
  <c r="A940" i="84" s="1"/>
  <c r="A941" i="84" s="1"/>
  <c r="A942" i="84" s="1"/>
  <c r="A943" i="84" s="1"/>
  <c r="A944" i="84" s="1"/>
  <c r="A945" i="84" s="1"/>
  <c r="A946" i="84" s="1"/>
  <c r="A947" i="84" s="1"/>
  <c r="A948" i="84" s="1"/>
  <c r="A949" i="84" s="1"/>
  <c r="A950" i="84" s="1"/>
  <c r="A951" i="84" s="1"/>
  <c r="A952" i="84" s="1"/>
  <c r="A953" i="84" s="1"/>
  <c r="A954" i="84" s="1"/>
  <c r="A955" i="84" s="1"/>
  <c r="A956" i="84" s="1"/>
  <c r="A957" i="84" s="1"/>
  <c r="A958" i="84" s="1"/>
  <c r="A959" i="84" s="1"/>
  <c r="A960" i="84" s="1"/>
  <c r="A961" i="84" s="1"/>
  <c r="A962" i="84" s="1"/>
  <c r="A963" i="84" s="1"/>
  <c r="A964" i="84" s="1"/>
  <c r="A965" i="84" s="1"/>
  <c r="A966" i="84" s="1"/>
  <c r="A967" i="84" s="1"/>
  <c r="A968" i="84" s="1"/>
  <c r="A969" i="84" s="1"/>
  <c r="A970" i="84" s="1"/>
  <c r="A971" i="84" s="1"/>
  <c r="A972" i="84" s="1"/>
  <c r="A973" i="84" s="1"/>
  <c r="A974" i="84" s="1"/>
  <c r="A975" i="84" s="1"/>
  <c r="A976" i="84" s="1"/>
  <c r="A977" i="84" s="1"/>
  <c r="A978" i="84" s="1"/>
  <c r="A979" i="84" s="1"/>
  <c r="A980" i="84" s="1"/>
  <c r="A981" i="84" s="1"/>
  <c r="A982" i="84" s="1"/>
  <c r="A983" i="84" s="1"/>
  <c r="A984" i="84" s="1"/>
  <c r="A985" i="84" s="1"/>
  <c r="A986" i="84" s="1"/>
  <c r="A987" i="84" s="1"/>
  <c r="A988" i="84" s="1"/>
  <c r="A989" i="84" s="1"/>
  <c r="A990" i="84" s="1"/>
  <c r="A991" i="84" s="1"/>
  <c r="A992" i="84" s="1"/>
  <c r="A993" i="84" s="1"/>
  <c r="A994" i="84" s="1"/>
  <c r="A995" i="84" s="1"/>
  <c r="A996" i="84" s="1"/>
  <c r="A997" i="84" s="1"/>
  <c r="A998" i="84" s="1"/>
  <c r="A999" i="84" s="1"/>
  <c r="A1000" i="84" s="1"/>
  <c r="A1001" i="84" s="1"/>
  <c r="D1" i="84"/>
  <c r="E1" i="84" s="1"/>
  <c r="R31" i="82"/>
  <c r="Q31" i="82"/>
  <c r="P31" i="82"/>
  <c r="O31" i="82"/>
  <c r="N31" i="82"/>
  <c r="M31" i="82"/>
  <c r="L31" i="82"/>
  <c r="K31" i="82"/>
  <c r="J31" i="82"/>
  <c r="I31" i="82"/>
  <c r="H31" i="82"/>
  <c r="G31" i="82"/>
  <c r="F31" i="82"/>
  <c r="E31" i="82"/>
  <c r="D31" i="82"/>
  <c r="C31" i="82"/>
  <c r="Q18" i="82"/>
  <c r="P18" i="82"/>
  <c r="O18" i="82"/>
  <c r="N18" i="82"/>
  <c r="M18" i="82"/>
  <c r="L18" i="82"/>
  <c r="K18" i="82"/>
  <c r="I18" i="82"/>
  <c r="H18" i="82"/>
  <c r="G18" i="82"/>
  <c r="F18" i="82"/>
  <c r="E18" i="82"/>
  <c r="D18" i="82"/>
  <c r="AI10" i="82"/>
  <c r="AB10" i="82"/>
  <c r="AA10" i="82"/>
  <c r="V10" i="82"/>
  <c r="T10" i="82"/>
  <c r="S10" i="82"/>
  <c r="L10" i="82"/>
  <c r="K10" i="82"/>
  <c r="H10" i="82"/>
  <c r="E10" i="82"/>
  <c r="D10" i="82"/>
  <c r="N10" i="82"/>
  <c r="F10" i="82"/>
  <c r="U10" i="82"/>
  <c r="AJ10" i="82"/>
  <c r="AL10" i="82"/>
  <c r="M10" i="82"/>
  <c r="AC10" i="82"/>
  <c r="AD10" i="82"/>
  <c r="AK10" i="82"/>
  <c r="D3" i="83"/>
  <c r="E3" i="83" s="1"/>
  <c r="F3" i="83" s="1"/>
  <c r="G3" i="83" s="1"/>
  <c r="H3" i="83" s="1"/>
  <c r="I3" i="83" s="1"/>
  <c r="J3" i="83" s="1"/>
  <c r="K3" i="83" s="1"/>
  <c r="L3" i="83" s="1"/>
  <c r="M3" i="83" s="1"/>
  <c r="N3" i="83" s="1"/>
  <c r="O3" i="83" s="1"/>
  <c r="P3" i="83" s="1"/>
  <c r="Q3" i="83" s="1"/>
  <c r="R3" i="83" s="1"/>
  <c r="R34" i="82"/>
  <c r="Q34" i="82"/>
  <c r="P34" i="82"/>
  <c r="O34" i="82"/>
  <c r="N34" i="82"/>
  <c r="N40" i="83" s="1"/>
  <c r="M34" i="82"/>
  <c r="M40" i="83" s="1"/>
  <c r="L34" i="82"/>
  <c r="L40" i="83" s="1"/>
  <c r="K34" i="82"/>
  <c r="K40" i="83" s="1"/>
  <c r="J34" i="82"/>
  <c r="I34" i="82"/>
  <c r="H34" i="82"/>
  <c r="G34" i="82"/>
  <c r="F34" i="82"/>
  <c r="F40" i="83" s="1"/>
  <c r="E34" i="82"/>
  <c r="E40" i="83" s="1"/>
  <c r="D34" i="82"/>
  <c r="D40" i="83" s="1"/>
  <c r="C34" i="82"/>
  <c r="C40" i="83" s="1"/>
  <c r="R33" i="82"/>
  <c r="Q33" i="82"/>
  <c r="P33" i="82"/>
  <c r="O33" i="82"/>
  <c r="N33" i="82"/>
  <c r="M33" i="82"/>
  <c r="L33" i="82"/>
  <c r="K33" i="82"/>
  <c r="J33" i="82"/>
  <c r="I33" i="82"/>
  <c r="H33" i="82"/>
  <c r="G33" i="82"/>
  <c r="F33" i="82"/>
  <c r="E33" i="82"/>
  <c r="D33" i="82"/>
  <c r="C33" i="82"/>
  <c r="R32" i="82"/>
  <c r="R18" i="83" s="1"/>
  <c r="Q32" i="82"/>
  <c r="Q18" i="83" s="1"/>
  <c r="P32" i="82"/>
  <c r="P18" i="83" s="1"/>
  <c r="O32" i="82"/>
  <c r="O18" i="83" s="1"/>
  <c r="N32" i="82"/>
  <c r="N18" i="83" s="1"/>
  <c r="M32" i="82"/>
  <c r="L32" i="82"/>
  <c r="K32" i="82"/>
  <c r="J32" i="82"/>
  <c r="I32" i="82"/>
  <c r="I18" i="83" s="1"/>
  <c r="H32" i="82"/>
  <c r="H18" i="83" s="1"/>
  <c r="G32" i="82"/>
  <c r="G18" i="83" s="1"/>
  <c r="F32" i="82"/>
  <c r="F18" i="83" s="1"/>
  <c r="E32" i="82"/>
  <c r="D32" i="82"/>
  <c r="C32" i="82"/>
  <c r="R30" i="82"/>
  <c r="R35" i="82" s="1"/>
  <c r="Q30" i="82"/>
  <c r="M30" i="82"/>
  <c r="K30" i="82"/>
  <c r="J30" i="82"/>
  <c r="I30" i="82"/>
  <c r="E30" i="82"/>
  <c r="D30" i="82"/>
  <c r="C30" i="82"/>
  <c r="R18" i="82"/>
  <c r="J18" i="82"/>
  <c r="C18" i="82"/>
  <c r="C10" i="82"/>
  <c r="D3" i="82"/>
  <c r="E3" i="82" s="1"/>
  <c r="F3" i="82" s="1"/>
  <c r="G3" i="82" s="1"/>
  <c r="H3" i="82" s="1"/>
  <c r="I3" i="82" s="1"/>
  <c r="J3" i="82" s="1"/>
  <c r="K3" i="82" s="1"/>
  <c r="L3" i="82" s="1"/>
  <c r="M3" i="82" s="1"/>
  <c r="N3" i="82" s="1"/>
  <c r="O3" i="82" s="1"/>
  <c r="P3" i="82" s="1"/>
  <c r="Q3" i="82" s="1"/>
  <c r="R3" i="82" s="1"/>
  <c r="S3" i="82" s="1"/>
  <c r="T3" i="82" s="1"/>
  <c r="U3" i="82" s="1"/>
  <c r="V3" i="82" s="1"/>
  <c r="W3" i="82" s="1"/>
  <c r="X3" i="82" s="1"/>
  <c r="Y3" i="82" s="1"/>
  <c r="Z3" i="82" s="1"/>
  <c r="AA3" i="82" s="1"/>
  <c r="AB3" i="82" s="1"/>
  <c r="AC3" i="82" s="1"/>
  <c r="AD3" i="82" s="1"/>
  <c r="AE3" i="82" s="1"/>
  <c r="AF3" i="82" s="1"/>
  <c r="AG3" i="82" s="1"/>
  <c r="AH3" i="82" s="1"/>
  <c r="AI3" i="82" s="1"/>
  <c r="AJ3" i="82" s="1"/>
  <c r="AK3" i="82" s="1"/>
  <c r="AL3" i="82" s="1"/>
  <c r="R73" i="77"/>
  <c r="R65" i="77"/>
  <c r="R66" i="77" s="1"/>
  <c r="B35" i="77"/>
  <c r="B34" i="77"/>
  <c r="B33" i="77"/>
  <c r="B32" i="77"/>
  <c r="R21" i="77"/>
  <c r="R24" i="77" s="1"/>
  <c r="Q21" i="77"/>
  <c r="Q24" i="77" s="1"/>
  <c r="P21" i="77"/>
  <c r="P24" i="77" s="1"/>
  <c r="O21" i="77"/>
  <c r="O24" i="77" s="1"/>
  <c r="N21" i="77"/>
  <c r="N24" i="77" s="1"/>
  <c r="M21" i="77"/>
  <c r="M24" i="77" s="1"/>
  <c r="L21" i="77"/>
  <c r="L24" i="77" s="1"/>
  <c r="K21" i="77"/>
  <c r="K24" i="77" s="1"/>
  <c r="J21" i="77"/>
  <c r="J24" i="77" s="1"/>
  <c r="I21" i="77"/>
  <c r="I24" i="77" s="1"/>
  <c r="H21" i="77"/>
  <c r="H24" i="77" s="1"/>
  <c r="G21" i="77"/>
  <c r="G24" i="77" s="1"/>
  <c r="F21" i="77"/>
  <c r="F24" i="77" s="1"/>
  <c r="E21" i="77"/>
  <c r="E24" i="77" s="1"/>
  <c r="D21" i="77"/>
  <c r="D24" i="77" s="1"/>
  <c r="C21" i="77"/>
  <c r="C24" i="77" s="1"/>
  <c r="R20" i="77"/>
  <c r="R23" i="77" s="1"/>
  <c r="Q20" i="77"/>
  <c r="Q23" i="77" s="1"/>
  <c r="P20" i="77"/>
  <c r="O20" i="77"/>
  <c r="N20" i="77"/>
  <c r="M20" i="77"/>
  <c r="L20" i="77"/>
  <c r="K20" i="77"/>
  <c r="K23" i="77" s="1"/>
  <c r="J20" i="77"/>
  <c r="J23" i="77" s="1"/>
  <c r="I20" i="77"/>
  <c r="I23" i="77" s="1"/>
  <c r="H20" i="77"/>
  <c r="H22" i="77" s="1"/>
  <c r="G20" i="77"/>
  <c r="F20" i="77"/>
  <c r="F22" i="77" s="1"/>
  <c r="E20" i="77"/>
  <c r="D20" i="77"/>
  <c r="C20" i="77"/>
  <c r="C23" i="77" s="1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R14" i="77"/>
  <c r="Q14" i="77"/>
  <c r="P14" i="77"/>
  <c r="O14" i="77"/>
  <c r="N14" i="77"/>
  <c r="M14" i="77"/>
  <c r="L14" i="77"/>
  <c r="K14" i="77"/>
  <c r="J14" i="77"/>
  <c r="I14" i="77"/>
  <c r="H14" i="77"/>
  <c r="G14" i="77"/>
  <c r="F14" i="77"/>
  <c r="E14" i="77"/>
  <c r="D14" i="77"/>
  <c r="C14" i="77"/>
  <c r="R8" i="77"/>
  <c r="Q8" i="77"/>
  <c r="P8" i="77"/>
  <c r="O8" i="77"/>
  <c r="O9" i="77" s="1"/>
  <c r="N8" i="77"/>
  <c r="M8" i="77"/>
  <c r="L8" i="77"/>
  <c r="L34" i="77" s="1"/>
  <c r="K8" i="77"/>
  <c r="J8" i="77"/>
  <c r="I8" i="77"/>
  <c r="I9" i="77" s="1"/>
  <c r="H8" i="77"/>
  <c r="H9" i="77" s="1"/>
  <c r="G8" i="77"/>
  <c r="F8" i="77"/>
  <c r="E8" i="77"/>
  <c r="D8" i="77"/>
  <c r="D33" i="77" s="1"/>
  <c r="C8" i="77"/>
  <c r="M9" i="77" l="1"/>
  <c r="N9" i="77"/>
  <c r="G9" i="77"/>
  <c r="P9" i="77"/>
  <c r="P22" i="77"/>
  <c r="P25" i="77" s="1"/>
  <c r="J9" i="77"/>
  <c r="R9" i="77"/>
  <c r="Q9" i="77"/>
  <c r="K9" i="77"/>
  <c r="L9" i="77"/>
  <c r="L22" i="77"/>
  <c r="L25" i="77" s="1"/>
  <c r="N22" i="77"/>
  <c r="N25" i="77" s="1"/>
  <c r="D22" i="77"/>
  <c r="D25" i="77" s="1"/>
  <c r="G22" i="77"/>
  <c r="G25" i="77" s="1"/>
  <c r="O22" i="77"/>
  <c r="O25" i="77" s="1"/>
  <c r="R17" i="77"/>
  <c r="R74" i="77"/>
  <c r="I22" i="77"/>
  <c r="I25" i="77" s="1"/>
  <c r="H17" i="77"/>
  <c r="Q22" i="77"/>
  <c r="Q25" i="77" s="1"/>
  <c r="F23" i="77"/>
  <c r="L33" i="77"/>
  <c r="K22" i="77"/>
  <c r="K25" i="77" s="1"/>
  <c r="E17" i="77"/>
  <c r="M17" i="77"/>
  <c r="I17" i="77"/>
  <c r="L23" i="77"/>
  <c r="D23" i="77"/>
  <c r="N23" i="77"/>
  <c r="F1" i="84"/>
  <c r="C9" i="83"/>
  <c r="M9" i="83"/>
  <c r="E9" i="83"/>
  <c r="Q9" i="83"/>
  <c r="K9" i="83"/>
  <c r="R10" i="82"/>
  <c r="J10" i="82"/>
  <c r="I10" i="82"/>
  <c r="AF10" i="82"/>
  <c r="AG10" i="82"/>
  <c r="AH10" i="82"/>
  <c r="P10" i="82"/>
  <c r="Q10" i="82"/>
  <c r="W10" i="82"/>
  <c r="AE10" i="82"/>
  <c r="X10" i="82"/>
  <c r="Y10" i="82"/>
  <c r="G10" i="82"/>
  <c r="O10" i="82"/>
  <c r="Z10" i="82"/>
  <c r="I9" i="83"/>
  <c r="D35" i="82"/>
  <c r="J35" i="82"/>
  <c r="D9" i="83"/>
  <c r="J9" i="83"/>
  <c r="E18" i="83"/>
  <c r="K18" i="83"/>
  <c r="L18" i="83"/>
  <c r="M18" i="83"/>
  <c r="C18" i="83"/>
  <c r="D18" i="83"/>
  <c r="J18" i="83"/>
  <c r="G40" i="83"/>
  <c r="O40" i="83"/>
  <c r="H40" i="83"/>
  <c r="P40" i="83"/>
  <c r="I40" i="83"/>
  <c r="Q40" i="83"/>
  <c r="J40" i="83"/>
  <c r="R40" i="83"/>
  <c r="L30" i="82"/>
  <c r="L26" i="82"/>
  <c r="L27" i="82" s="1"/>
  <c r="E35" i="82"/>
  <c r="M35" i="82"/>
  <c r="F30" i="82"/>
  <c r="F26" i="82"/>
  <c r="F27" i="82" s="1"/>
  <c r="N30" i="82"/>
  <c r="N26" i="82"/>
  <c r="N27" i="82" s="1"/>
  <c r="G30" i="82"/>
  <c r="G26" i="82"/>
  <c r="G27" i="82" s="1"/>
  <c r="O30" i="82"/>
  <c r="O26" i="82"/>
  <c r="O27" i="82" s="1"/>
  <c r="H30" i="82"/>
  <c r="H26" i="82"/>
  <c r="H27" i="82" s="1"/>
  <c r="P30" i="82"/>
  <c r="P26" i="82"/>
  <c r="P27" i="82" s="1"/>
  <c r="I35" i="82"/>
  <c r="Q35" i="82"/>
  <c r="C35" i="82"/>
  <c r="K35" i="82"/>
  <c r="D26" i="82"/>
  <c r="D27" i="82" s="1"/>
  <c r="E26" i="82"/>
  <c r="E27" i="82" s="1"/>
  <c r="M26" i="82"/>
  <c r="M27" i="82" s="1"/>
  <c r="I26" i="82"/>
  <c r="I27" i="82" s="1"/>
  <c r="Q26" i="82"/>
  <c r="Q27" i="82" s="1"/>
  <c r="J26" i="82"/>
  <c r="J27" i="82" s="1"/>
  <c r="R26" i="82"/>
  <c r="R27" i="82" s="1"/>
  <c r="C26" i="82"/>
  <c r="C27" i="82" s="1"/>
  <c r="K26" i="82"/>
  <c r="K27" i="82" s="1"/>
  <c r="C79" i="77"/>
  <c r="C78" i="77" s="1"/>
  <c r="C3" i="77"/>
  <c r="D4" i="77"/>
  <c r="E22" i="77"/>
  <c r="E23" i="77"/>
  <c r="M22" i="77"/>
  <c r="M23" i="77"/>
  <c r="H34" i="77"/>
  <c r="P34" i="77"/>
  <c r="C17" i="77"/>
  <c r="K17" i="77"/>
  <c r="F25" i="77"/>
  <c r="F33" i="77"/>
  <c r="N33" i="77"/>
  <c r="R33" i="77"/>
  <c r="D17" i="77"/>
  <c r="L17" i="77"/>
  <c r="H25" i="77"/>
  <c r="H33" i="77"/>
  <c r="P33" i="77"/>
  <c r="C34" i="77"/>
  <c r="K34" i="77"/>
  <c r="Q17" i="77"/>
  <c r="F17" i="77"/>
  <c r="N17" i="77"/>
  <c r="D34" i="77"/>
  <c r="G17" i="77"/>
  <c r="O17" i="77"/>
  <c r="J17" i="77"/>
  <c r="C22" i="77"/>
  <c r="J33" i="77"/>
  <c r="P17" i="77"/>
  <c r="F34" i="77"/>
  <c r="N34" i="77"/>
  <c r="J22" i="77"/>
  <c r="R22" i="77"/>
  <c r="I33" i="77"/>
  <c r="Q33" i="77"/>
  <c r="E34" i="77"/>
  <c r="M34" i="77"/>
  <c r="G23" i="77"/>
  <c r="O23" i="77"/>
  <c r="C33" i="77"/>
  <c r="K33" i="77"/>
  <c r="H23" i="77"/>
  <c r="P23" i="77"/>
  <c r="G34" i="77"/>
  <c r="O34" i="77"/>
  <c r="E33" i="77"/>
  <c r="M33" i="77"/>
  <c r="I34" i="77"/>
  <c r="Q34" i="77"/>
  <c r="G33" i="77"/>
  <c r="O33" i="77"/>
  <c r="J34" i="77"/>
  <c r="R34" i="77"/>
  <c r="G1" i="84" l="1"/>
  <c r="R9" i="83"/>
  <c r="P35" i="82"/>
  <c r="P9" i="83"/>
  <c r="N35" i="82"/>
  <c r="N9" i="83"/>
  <c r="H35" i="82"/>
  <c r="H9" i="83"/>
  <c r="F35" i="82"/>
  <c r="F9" i="83"/>
  <c r="O35" i="82"/>
  <c r="O9" i="83"/>
  <c r="G35" i="82"/>
  <c r="G9" i="83"/>
  <c r="L35" i="82"/>
  <c r="L9" i="83"/>
  <c r="C25" i="77"/>
  <c r="D79" i="77"/>
  <c r="D78" i="77" s="1"/>
  <c r="D3" i="77"/>
  <c r="E4" i="77"/>
  <c r="M25" i="77"/>
  <c r="R25" i="77"/>
  <c r="J25" i="77"/>
  <c r="E25" i="77"/>
  <c r="H1" i="84" l="1"/>
  <c r="E79" i="77"/>
  <c r="E78" i="77" s="1"/>
  <c r="E3" i="77"/>
  <c r="F4" i="77"/>
  <c r="I1" i="84" l="1"/>
  <c r="F79" i="77"/>
  <c r="F78" i="77" s="1"/>
  <c r="F3" i="77"/>
  <c r="BI4" i="77"/>
  <c r="G4" i="77"/>
  <c r="J1" i="84" l="1"/>
  <c r="G79" i="77"/>
  <c r="G78" i="77" s="1"/>
  <c r="G3" i="77"/>
  <c r="H4" i="77"/>
  <c r="BI79" i="77"/>
  <c r="BI58" i="77"/>
  <c r="BI3" i="77"/>
  <c r="K1" i="84" l="1"/>
  <c r="BI78" i="77"/>
  <c r="H79" i="77"/>
  <c r="H78" i="77" s="1"/>
  <c r="I4" i="77"/>
  <c r="H3" i="77"/>
  <c r="L1" i="84" l="1"/>
  <c r="I79" i="77"/>
  <c r="I78" i="77" s="1"/>
  <c r="J4" i="77"/>
  <c r="I3" i="77"/>
  <c r="M1" i="84" l="1"/>
  <c r="J79" i="77"/>
  <c r="BJ4" i="77"/>
  <c r="J3" i="77"/>
  <c r="K4" i="77"/>
  <c r="N1" i="84" l="1"/>
  <c r="K79" i="77"/>
  <c r="K78" i="77" s="1"/>
  <c r="K3" i="77"/>
  <c r="L4" i="77"/>
  <c r="BJ79" i="77"/>
  <c r="BJ78" i="77" s="1"/>
  <c r="BJ58" i="77"/>
  <c r="BJ3" i="77"/>
  <c r="J78" i="77"/>
  <c r="O1" i="84" l="1"/>
  <c r="L79" i="77"/>
  <c r="L3" i="77"/>
  <c r="M4" i="77"/>
  <c r="P1" i="84" l="1"/>
  <c r="M79" i="77"/>
  <c r="M78" i="77" s="1"/>
  <c r="M3" i="77"/>
  <c r="N4" i="77"/>
  <c r="L78" i="77"/>
  <c r="Q1" i="84" l="1"/>
  <c r="N79" i="77"/>
  <c r="BK4" i="77"/>
  <c r="N3" i="77"/>
  <c r="O4" i="77"/>
  <c r="R1" i="84" l="1"/>
  <c r="N78" i="77"/>
  <c r="O79" i="77"/>
  <c r="O78" i="77" s="1"/>
  <c r="O3" i="77"/>
  <c r="P4" i="77"/>
  <c r="BK79" i="77"/>
  <c r="BK78" i="77" s="1"/>
  <c r="BK58" i="77"/>
  <c r="BK3" i="77"/>
  <c r="S1" i="84" l="1"/>
  <c r="P79" i="77"/>
  <c r="P78" i="77" s="1"/>
  <c r="Q4" i="77"/>
  <c r="P3" i="77"/>
  <c r="Q79" i="77" l="1"/>
  <c r="Q78" i="77" s="1"/>
  <c r="R4" i="77"/>
  <c r="Q3" i="77"/>
  <c r="R79" i="77" l="1"/>
  <c r="R78" i="77" s="1"/>
  <c r="R58" i="77"/>
  <c r="BL4" i="77"/>
  <c r="R3" i="77"/>
  <c r="AN4" i="77"/>
  <c r="AN79" i="77" l="1"/>
  <c r="AN78" i="77" s="1"/>
  <c r="AN58" i="77"/>
  <c r="AN3" i="77"/>
  <c r="AO4" i="77"/>
  <c r="BL79" i="77"/>
  <c r="BL58" i="77"/>
  <c r="BL3" i="77"/>
  <c r="BL78" i="77" l="1"/>
  <c r="AO79" i="77"/>
  <c r="AO78" i="77" s="1"/>
  <c r="AO58" i="77"/>
  <c r="AO3" i="77"/>
  <c r="AP4" i="77"/>
  <c r="AP79" i="77" l="1"/>
  <c r="AP58" i="77"/>
  <c r="AP3" i="77"/>
  <c r="AQ4" i="77"/>
  <c r="AP78" i="77" l="1"/>
  <c r="AQ58" i="77"/>
  <c r="AQ79" i="77"/>
  <c r="AQ78" i="77" s="1"/>
  <c r="AQ3" i="77"/>
  <c r="AR4" i="77"/>
  <c r="BM4" i="77"/>
  <c r="BM79" i="77" l="1"/>
  <c r="BM78" i="77" s="1"/>
  <c r="BM58" i="77"/>
  <c r="BM3" i="77"/>
  <c r="AR79" i="77"/>
  <c r="AR58" i="77"/>
  <c r="AR3" i="77"/>
  <c r="AS4" i="77"/>
  <c r="AR78" i="77" l="1"/>
  <c r="AS79" i="77"/>
  <c r="AS78" i="77" s="1"/>
  <c r="AS58" i="77"/>
  <c r="AT4" i="77"/>
  <c r="AS3" i="77"/>
  <c r="AT79" i="77" l="1"/>
  <c r="AT58" i="77"/>
  <c r="AU4" i="77"/>
  <c r="AT3" i="77"/>
  <c r="AT78" i="77" l="1"/>
  <c r="AU79" i="77"/>
  <c r="AU78" i="77" s="1"/>
  <c r="AU58" i="77"/>
  <c r="AU3" i="77"/>
  <c r="BN4" i="77"/>
  <c r="AV4" i="77"/>
  <c r="BN79" i="77" l="1"/>
  <c r="BN78" i="77" s="1"/>
  <c r="BN58" i="77"/>
  <c r="BN3" i="77"/>
  <c r="AV79" i="77"/>
  <c r="AV58" i="77"/>
  <c r="AV3" i="77"/>
  <c r="AW4" i="77"/>
  <c r="AV78" i="77" l="1"/>
  <c r="AW79" i="77"/>
  <c r="AW78" i="77" s="1"/>
  <c r="AW58" i="77"/>
  <c r="AW3" i="77"/>
  <c r="AX4" i="77"/>
  <c r="AX79" i="77" l="1"/>
  <c r="AX78" i="77" s="1"/>
  <c r="AX58" i="77"/>
  <c r="AX3" i="77"/>
  <c r="AY4" i="77"/>
  <c r="AY79" i="77" l="1"/>
  <c r="AY78" i="77" s="1"/>
  <c r="AY58" i="77"/>
  <c r="AY3" i="77"/>
  <c r="AZ4" i="77"/>
  <c r="BO4" i="77"/>
  <c r="BO79" i="77" l="1"/>
  <c r="BO78" i="77" s="1"/>
  <c r="BO58" i="77"/>
  <c r="BO3" i="77"/>
  <c r="AZ79" i="77"/>
  <c r="AZ78" i="77" s="1"/>
  <c r="AZ58" i="77"/>
  <c r="AZ3" i="77"/>
  <c r="BA4" i="77"/>
  <c r="BA79" i="77" l="1"/>
  <c r="BA78" i="77" s="1"/>
  <c r="BA58" i="77"/>
  <c r="BB4" i="77"/>
  <c r="BA3" i="77"/>
  <c r="BB79" i="77" l="1"/>
  <c r="BB78" i="77" s="1"/>
  <c r="BB58" i="77"/>
  <c r="BC4" i="77"/>
  <c r="BB3" i="77"/>
  <c r="BC79" i="77" l="1"/>
  <c r="BC78" i="77" s="1"/>
  <c r="BC58" i="77"/>
  <c r="BP4" i="77"/>
  <c r="BC3" i="77"/>
  <c r="BD4" i="77"/>
  <c r="BP79" i="77" l="1"/>
  <c r="BP78" i="77" s="1"/>
  <c r="BP58" i="77"/>
  <c r="BP3" i="77"/>
  <c r="BD79" i="77"/>
  <c r="BD78" i="77" s="1"/>
  <c r="BD58" i="77"/>
  <c r="BD3" i="77"/>
  <c r="BE4" i="77"/>
  <c r="BE79" i="77" l="1"/>
  <c r="BE78" i="77" s="1"/>
  <c r="BE58" i="77"/>
  <c r="BE3" i="77"/>
  <c r="BF4" i="77"/>
  <c r="BF79" i="77" l="1"/>
  <c r="BF78" i="77" s="1"/>
  <c r="BF58" i="77"/>
  <c r="BF3" i="77"/>
  <c r="BG4" i="77"/>
  <c r="BG79" i="77" l="1"/>
  <c r="BG58" i="77"/>
  <c r="BP70" i="77" s="1"/>
  <c r="BG3" i="77"/>
  <c r="BQ4" i="77"/>
  <c r="BP64" i="77"/>
  <c r="BO44" i="77" l="1"/>
  <c r="BP30" i="77"/>
  <c r="BP28" i="77"/>
  <c r="BQ79" i="77"/>
  <c r="BQ78" i="77" s="1"/>
  <c r="BQ58" i="77"/>
  <c r="BQ3" i="77"/>
  <c r="BI13" i="77"/>
  <c r="BI47" i="77"/>
  <c r="BI7" i="77"/>
  <c r="BI6" i="77"/>
  <c r="BI44" i="77"/>
  <c r="BI29" i="77"/>
  <c r="BI12" i="77"/>
  <c r="BI40" i="77"/>
  <c r="BJ40" i="77"/>
  <c r="BJ47" i="77"/>
  <c r="BJ44" i="77"/>
  <c r="BJ13" i="77"/>
  <c r="BI30" i="77"/>
  <c r="BJ6" i="77"/>
  <c r="BJ29" i="77"/>
  <c r="BJ7" i="77"/>
  <c r="BJ12" i="77"/>
  <c r="BK40" i="77"/>
  <c r="BJ30" i="77"/>
  <c r="BK29" i="77"/>
  <c r="BK30" i="77"/>
  <c r="BK6" i="77"/>
  <c r="BK13" i="77"/>
  <c r="BK7" i="77"/>
  <c r="BK12" i="77"/>
  <c r="BK47" i="77"/>
  <c r="BK44" i="77"/>
  <c r="BL13" i="77"/>
  <c r="BL7" i="77"/>
  <c r="BL47" i="77"/>
  <c r="BL30" i="77"/>
  <c r="BM44" i="77"/>
  <c r="BL29" i="77"/>
  <c r="BL6" i="77"/>
  <c r="BL40" i="77"/>
  <c r="BL12" i="77"/>
  <c r="BL44" i="77"/>
  <c r="BM29" i="77"/>
  <c r="BM28" i="77"/>
  <c r="BM30" i="77"/>
  <c r="BN29" i="77"/>
  <c r="BN28" i="77"/>
  <c r="BN30" i="77"/>
  <c r="BN44" i="77"/>
  <c r="BO30" i="77"/>
  <c r="BO28" i="77"/>
  <c r="BP29" i="77"/>
  <c r="BL69" i="77"/>
  <c r="BL60" i="77"/>
  <c r="BL71" i="77"/>
  <c r="BL65" i="77"/>
  <c r="BL64" i="77"/>
  <c r="BL61" i="77"/>
  <c r="BL70" i="77"/>
  <c r="BL62" i="77"/>
  <c r="BL63" i="77"/>
  <c r="BL59" i="77"/>
  <c r="BL68" i="77"/>
  <c r="BL72" i="77"/>
  <c r="BM70" i="77"/>
  <c r="BM64" i="77"/>
  <c r="BM63" i="77"/>
  <c r="BO63" i="77"/>
  <c r="BN63" i="77"/>
  <c r="BN70" i="77"/>
  <c r="BN64" i="77"/>
  <c r="BO70" i="77"/>
  <c r="BP63" i="77"/>
  <c r="BO64" i="77"/>
  <c r="BG78" i="77"/>
  <c r="BO29" i="77"/>
  <c r="BP44" i="77"/>
  <c r="BL16" i="77" l="1"/>
  <c r="BI16" i="77"/>
  <c r="BL14" i="77"/>
  <c r="BL15" i="77"/>
  <c r="BM31" i="77"/>
  <c r="BJ21" i="77"/>
  <c r="BJ24" i="77" s="1"/>
  <c r="BL21" i="77"/>
  <c r="BL24" i="77" s="1"/>
  <c r="BK20" i="77"/>
  <c r="BK8" i="77"/>
  <c r="BP31" i="77"/>
  <c r="BO31" i="77"/>
  <c r="BN31" i="77"/>
  <c r="BL20" i="77"/>
  <c r="BL8" i="77"/>
  <c r="BL34" i="77" s="1"/>
  <c r="BJ20" i="77"/>
  <c r="BJ8" i="77"/>
  <c r="BI15" i="77"/>
  <c r="BI14" i="77"/>
  <c r="BJ16" i="77"/>
  <c r="BQ44" i="77"/>
  <c r="BQ29" i="77"/>
  <c r="BQ30" i="77"/>
  <c r="BQ28" i="77"/>
  <c r="BL66" i="77"/>
  <c r="BK15" i="77"/>
  <c r="BK14" i="77"/>
  <c r="BI20" i="77"/>
  <c r="BI8" i="77"/>
  <c r="BI34" i="77" s="1"/>
  <c r="BQ70" i="77"/>
  <c r="BQ64" i="77"/>
  <c r="BQ63" i="77"/>
  <c r="BL73" i="77"/>
  <c r="BK21" i="77"/>
  <c r="BK24" i="77" s="1"/>
  <c r="BI21" i="77"/>
  <c r="BI24" i="77" s="1"/>
  <c r="BK16" i="77"/>
  <c r="BJ14" i="77"/>
  <c r="BJ15" i="77"/>
  <c r="BJ9" i="77" l="1"/>
  <c r="BJ17" i="77"/>
  <c r="BK17" i="77"/>
  <c r="BK34" i="77"/>
  <c r="BK33" i="77"/>
  <c r="BI17" i="77"/>
  <c r="BJ33" i="77"/>
  <c r="BQ31" i="77"/>
  <c r="BI33" i="77"/>
  <c r="BJ22" i="77"/>
  <c r="BJ23" i="77"/>
  <c r="BK9" i="77"/>
  <c r="BI22" i="77"/>
  <c r="BI23" i="77"/>
  <c r="BK23" i="77"/>
  <c r="BK22" i="77"/>
  <c r="BL17" i="77"/>
  <c r="BL9" i="77"/>
  <c r="BJ34" i="77"/>
  <c r="BL33" i="77"/>
  <c r="BL23" i="77"/>
  <c r="BL22" i="77"/>
  <c r="BL74" i="77"/>
  <c r="BI25" i="77" l="1"/>
  <c r="BL25" i="77"/>
  <c r="BJ25" i="77"/>
  <c r="BK25" i="77"/>
  <c r="D33" i="83" l="1"/>
  <c r="C33" i="83" l="1"/>
  <c r="E33" i="83" l="1"/>
  <c r="F33" i="83" l="1"/>
  <c r="G33" i="83" l="1"/>
  <c r="H33" i="83" l="1"/>
  <c r="J33" i="83" l="1"/>
  <c r="I33" i="83"/>
  <c r="K33" i="83" l="1"/>
  <c r="L33" i="83" l="1"/>
  <c r="M33" i="83" l="1"/>
  <c r="N33" i="83" l="1"/>
  <c r="O33" i="83" l="1"/>
  <c r="P33" i="83" l="1"/>
  <c r="Q33" i="83" l="1"/>
  <c r="R33" i="83" l="1"/>
  <c r="R31" i="77" l="1"/>
  <c r="R32" i="77"/>
  <c r="G31" i="77" l="1"/>
  <c r="G32" i="77"/>
  <c r="D32" i="77"/>
  <c r="D31" i="77"/>
  <c r="R35" i="77"/>
  <c r="R37" i="77"/>
  <c r="M32" i="77"/>
  <c r="M31" i="77"/>
  <c r="E32" i="77"/>
  <c r="E31" i="77"/>
  <c r="O31" i="77"/>
  <c r="O32" i="77"/>
  <c r="F32" i="77"/>
  <c r="F31" i="77"/>
  <c r="BJ28" i="77" l="1"/>
  <c r="BJ31" i="77" s="1"/>
  <c r="BL28" i="77"/>
  <c r="BL31" i="77" s="1"/>
  <c r="J32" i="77"/>
  <c r="J31" i="77"/>
  <c r="Q31" i="77"/>
  <c r="Q32" i="77"/>
  <c r="N31" i="77"/>
  <c r="N32" i="77"/>
  <c r="D35" i="77"/>
  <c r="D37" i="77"/>
  <c r="E35" i="77"/>
  <c r="E37" i="77"/>
  <c r="R38" i="77"/>
  <c r="R45" i="77"/>
  <c r="R50" i="77" s="1"/>
  <c r="R51" i="77" s="1"/>
  <c r="R41" i="77"/>
  <c r="R42" i="77" s="1"/>
  <c r="F35" i="77"/>
  <c r="F37" i="77"/>
  <c r="M35" i="77"/>
  <c r="M37" i="77"/>
  <c r="I31" i="77"/>
  <c r="I32" i="77"/>
  <c r="L31" i="77"/>
  <c r="L32" i="77"/>
  <c r="G35" i="77"/>
  <c r="G37" i="77"/>
  <c r="H32" i="77"/>
  <c r="H31" i="77"/>
  <c r="P31" i="77"/>
  <c r="P32" i="77"/>
  <c r="C31" i="77"/>
  <c r="C32" i="77"/>
  <c r="BI28" i="77"/>
  <c r="O37" i="77"/>
  <c r="O35" i="77"/>
  <c r="K32" i="77"/>
  <c r="K31" i="77"/>
  <c r="BK28" i="77"/>
  <c r="BJ32" i="77" l="1"/>
  <c r="BL32" i="77"/>
  <c r="H35" i="77"/>
  <c r="H37" i="77"/>
  <c r="M45" i="77"/>
  <c r="M50" i="77" s="1"/>
  <c r="M51" i="77" s="1"/>
  <c r="M41" i="77"/>
  <c r="M42" i="77" s="1"/>
  <c r="M38" i="77"/>
  <c r="E38" i="77"/>
  <c r="E45" i="77"/>
  <c r="E50" i="77" s="1"/>
  <c r="E51" i="77" s="1"/>
  <c r="E41" i="77"/>
  <c r="E42" i="77" s="1"/>
  <c r="N35" i="77"/>
  <c r="N37" i="77"/>
  <c r="BI31" i="77"/>
  <c r="BI32" i="77"/>
  <c r="F45" i="77"/>
  <c r="F50" i="77" s="1"/>
  <c r="F51" i="77" s="1"/>
  <c r="F41" i="77"/>
  <c r="F42" i="77" s="1"/>
  <c r="F38" i="77"/>
  <c r="BJ35" i="77"/>
  <c r="BJ37" i="77"/>
  <c r="Q35" i="77"/>
  <c r="Q37" i="77"/>
  <c r="O45" i="77"/>
  <c r="O50" i="77" s="1"/>
  <c r="O51" i="77" s="1"/>
  <c r="O41" i="77"/>
  <c r="O42" i="77" s="1"/>
  <c r="O38" i="77"/>
  <c r="D45" i="77"/>
  <c r="D50" i="77" s="1"/>
  <c r="D51" i="77" s="1"/>
  <c r="D41" i="77"/>
  <c r="D42" i="77" s="1"/>
  <c r="D38" i="77"/>
  <c r="J35" i="77"/>
  <c r="J37" i="77"/>
  <c r="C35" i="77"/>
  <c r="C37" i="77"/>
  <c r="L37" i="77"/>
  <c r="L35" i="77"/>
  <c r="G41" i="77"/>
  <c r="G42" i="77" s="1"/>
  <c r="G45" i="77"/>
  <c r="G50" i="77" s="1"/>
  <c r="G51" i="77" s="1"/>
  <c r="G38" i="77"/>
  <c r="BK31" i="77"/>
  <c r="BK32" i="77"/>
  <c r="K35" i="77"/>
  <c r="K37" i="77"/>
  <c r="P35" i="77"/>
  <c r="P37" i="77"/>
  <c r="I35" i="77"/>
  <c r="I37" i="77"/>
  <c r="BL35" i="77"/>
  <c r="BL37" i="77"/>
  <c r="I45" i="77" l="1"/>
  <c r="I50" i="77" s="1"/>
  <c r="I51" i="77" s="1"/>
  <c r="I38" i="77"/>
  <c r="I41" i="77"/>
  <c r="I42" i="77" s="1"/>
  <c r="BK35" i="77"/>
  <c r="BK37" i="77"/>
  <c r="P41" i="77"/>
  <c r="P42" i="77" s="1"/>
  <c r="P45" i="77"/>
  <c r="P50" i="77" s="1"/>
  <c r="P51" i="77" s="1"/>
  <c r="P38" i="77"/>
  <c r="J41" i="77"/>
  <c r="J42" i="77" s="1"/>
  <c r="J38" i="77"/>
  <c r="J45" i="77"/>
  <c r="J50" i="77" s="1"/>
  <c r="J51" i="77" s="1"/>
  <c r="K45" i="77"/>
  <c r="K50" i="77" s="1"/>
  <c r="K51" i="77" s="1"/>
  <c r="K41" i="77"/>
  <c r="K42" i="77" s="1"/>
  <c r="K38" i="77"/>
  <c r="Q38" i="77"/>
  <c r="Q45" i="77"/>
  <c r="Q50" i="77" s="1"/>
  <c r="Q51" i="77" s="1"/>
  <c r="Q41" i="77"/>
  <c r="Q42" i="77" s="1"/>
  <c r="BI35" i="77"/>
  <c r="BI37" i="77"/>
  <c r="BL41" i="77"/>
  <c r="BL42" i="77" s="1"/>
  <c r="BL38" i="77"/>
  <c r="BL45" i="77"/>
  <c r="L38" i="77"/>
  <c r="L45" i="77"/>
  <c r="L50" i="77" s="1"/>
  <c r="L51" i="77" s="1"/>
  <c r="L41" i="77"/>
  <c r="L42" i="77" s="1"/>
  <c r="N45" i="77"/>
  <c r="N50" i="77" s="1"/>
  <c r="N51" i="77" s="1"/>
  <c r="N38" i="77"/>
  <c r="N41" i="77"/>
  <c r="N42" i="77" s="1"/>
  <c r="H38" i="77"/>
  <c r="H41" i="77"/>
  <c r="H42" i="77" s="1"/>
  <c r="H45" i="77"/>
  <c r="H50" i="77" s="1"/>
  <c r="H51" i="77" s="1"/>
  <c r="C38" i="77"/>
  <c r="C45" i="77"/>
  <c r="C50" i="77" s="1"/>
  <c r="C51" i="77" s="1"/>
  <c r="C41" i="77"/>
  <c r="C42" i="77" s="1"/>
  <c r="BJ45" i="77"/>
  <c r="BJ41" i="77"/>
  <c r="BJ42" i="77" s="1"/>
  <c r="BJ38" i="77"/>
  <c r="BL50" i="77" l="1"/>
  <c r="BL51" i="77" s="1"/>
  <c r="BL48" i="77"/>
  <c r="BJ50" i="77"/>
  <c r="BJ51" i="77" s="1"/>
  <c r="BJ48" i="77"/>
  <c r="BI38" i="77"/>
  <c r="BI41" i="77"/>
  <c r="BI42" i="77" s="1"/>
  <c r="BI45" i="77"/>
  <c r="BK41" i="77"/>
  <c r="BK42" i="77" s="1"/>
  <c r="BK38" i="77"/>
  <c r="BK45" i="77"/>
  <c r="BI48" i="77" l="1"/>
  <c r="BI50" i="77"/>
  <c r="BI51" i="77" s="1"/>
  <c r="BK48" i="77"/>
  <c r="BK50" i="77"/>
  <c r="BK51" i="77" s="1"/>
  <c r="BM6" i="77" l="1"/>
  <c r="BP6" i="77"/>
  <c r="BO6" i="77"/>
  <c r="BN6" i="77"/>
  <c r="BP7" i="77" l="1"/>
  <c r="BM7" i="77"/>
  <c r="BN7" i="77"/>
  <c r="BP12" i="77"/>
  <c r="BP20" i="77" s="1"/>
  <c r="BN12" i="77"/>
  <c r="BN20" i="77" s="1"/>
  <c r="BM12" i="77"/>
  <c r="BO12" i="77"/>
  <c r="BQ6" i="77"/>
  <c r="BN8" i="77" l="1"/>
  <c r="BN32" i="77" s="1"/>
  <c r="BM8" i="77"/>
  <c r="BN23" i="77"/>
  <c r="BO15" i="77"/>
  <c r="BO20" i="77"/>
  <c r="BM15" i="77"/>
  <c r="BN34" i="77"/>
  <c r="BN33" i="77"/>
  <c r="BQ13" i="77"/>
  <c r="BQ7" i="77"/>
  <c r="BO7" i="77"/>
  <c r="BM20" i="77"/>
  <c r="BQ12" i="77"/>
  <c r="BQ20" i="77" s="1"/>
  <c r="BO13" i="77"/>
  <c r="BN13" i="77"/>
  <c r="BN16" i="77" s="1"/>
  <c r="BM13" i="77"/>
  <c r="BM16" i="77" s="1"/>
  <c r="BP8" i="77"/>
  <c r="BP23" i="77"/>
  <c r="BN15" i="77"/>
  <c r="BP15" i="77"/>
  <c r="BP13" i="77"/>
  <c r="BP16" i="77" s="1"/>
  <c r="BN9" i="77" l="1"/>
  <c r="BN35" i="77"/>
  <c r="BQ8" i="77"/>
  <c r="BQ33" i="77" s="1"/>
  <c r="BO16" i="77"/>
  <c r="BN14" i="77"/>
  <c r="BN17" i="77" s="1"/>
  <c r="BQ34" i="77"/>
  <c r="BQ21" i="77"/>
  <c r="BQ24" i="77" s="1"/>
  <c r="BO23" i="77"/>
  <c r="BQ23" i="77"/>
  <c r="BN62" i="77"/>
  <c r="BN71" i="77"/>
  <c r="BN65" i="77"/>
  <c r="BQ16" i="77"/>
  <c r="BO14" i="77"/>
  <c r="BQ62" i="77"/>
  <c r="BQ65" i="77"/>
  <c r="BQ71" i="77"/>
  <c r="BQ15" i="77"/>
  <c r="BQ14" i="77"/>
  <c r="BM23" i="77"/>
  <c r="BP71" i="77"/>
  <c r="BP65" i="77"/>
  <c r="BP62" i="77"/>
  <c r="BP68" i="77"/>
  <c r="BP21" i="77"/>
  <c r="BQ40" i="77"/>
  <c r="BM9" i="77"/>
  <c r="BM32" i="77"/>
  <c r="BM34" i="77"/>
  <c r="BM33" i="77"/>
  <c r="BM35" i="77"/>
  <c r="BN21" i="77"/>
  <c r="BM69" i="77"/>
  <c r="BP14" i="77"/>
  <c r="BP34" i="77"/>
  <c r="BP32" i="77"/>
  <c r="BP33" i="77"/>
  <c r="BP35" i="77"/>
  <c r="BM62" i="77"/>
  <c r="BM71" i="77"/>
  <c r="BM65" i="77"/>
  <c r="BO21" i="77"/>
  <c r="BO24" i="77" s="1"/>
  <c r="BO8" i="77"/>
  <c r="BP9" i="77" s="1"/>
  <c r="BM14" i="77"/>
  <c r="BM21" i="77"/>
  <c r="BM24" i="77" s="1"/>
  <c r="BQ35" i="77" l="1"/>
  <c r="BQ9" i="77"/>
  <c r="BQ32" i="77"/>
  <c r="BQ22" i="77"/>
  <c r="BQ37" i="77" s="1"/>
  <c r="BM22" i="77"/>
  <c r="BM25" i="77" s="1"/>
  <c r="BQ85" i="77"/>
  <c r="BM40" i="77"/>
  <c r="BM84" i="77"/>
  <c r="BP17" i="77"/>
  <c r="BQ68" i="77"/>
  <c r="BQ17" i="77"/>
  <c r="BO9" i="77"/>
  <c r="BO33" i="77"/>
  <c r="BO32" i="77"/>
  <c r="BO34" i="77"/>
  <c r="BO35" i="77"/>
  <c r="BM68" i="77"/>
  <c r="BO68" i="77"/>
  <c r="BM17" i="77"/>
  <c r="BN40" i="77"/>
  <c r="BN84" i="77"/>
  <c r="BN24" i="77"/>
  <c r="BN22" i="77"/>
  <c r="BO71" i="77"/>
  <c r="BO65" i="77"/>
  <c r="BO62" i="77"/>
  <c r="BP24" i="77"/>
  <c r="BP22" i="77"/>
  <c r="BO17" i="77"/>
  <c r="BN68" i="77"/>
  <c r="BQ84" i="77"/>
  <c r="BO22" i="77"/>
  <c r="BQ25" i="77" l="1"/>
  <c r="BM37" i="77"/>
  <c r="BM38" i="77" s="1"/>
  <c r="BO85" i="77"/>
  <c r="BM61" i="77"/>
  <c r="BO84" i="77"/>
  <c r="BO40" i="77"/>
  <c r="BP37" i="77"/>
  <c r="BP25" i="77"/>
  <c r="BP84" i="77"/>
  <c r="BN85" i="77"/>
  <c r="BO37" i="77"/>
  <c r="BO25" i="77"/>
  <c r="BM85" i="77"/>
  <c r="BQ41" i="77"/>
  <c r="BQ42" i="77" s="1"/>
  <c r="BQ38" i="77"/>
  <c r="BQ45" i="77"/>
  <c r="BN37" i="77"/>
  <c r="BN25" i="77"/>
  <c r="BM41" i="77" l="1"/>
  <c r="BM42" i="77" s="1"/>
  <c r="BM45" i="77"/>
  <c r="BN47" i="77"/>
  <c r="BP85" i="77"/>
  <c r="BP45" i="77"/>
  <c r="BP38" i="77"/>
  <c r="BN61" i="77"/>
  <c r="BQ47" i="77"/>
  <c r="BQ48" i="77" s="1"/>
  <c r="BP40" i="77"/>
  <c r="BP41" i="77" s="1"/>
  <c r="BP42" i="77" s="1"/>
  <c r="BM60" i="77"/>
  <c r="BN45" i="77"/>
  <c r="BN38" i="77"/>
  <c r="BN41" i="77"/>
  <c r="BN42" i="77" s="1"/>
  <c r="BO45" i="77"/>
  <c r="BO41" i="77"/>
  <c r="BO42" i="77" s="1"/>
  <c r="BO38" i="77"/>
  <c r="BO47" i="77"/>
  <c r="BO48" i="77" l="1"/>
  <c r="BN50" i="77"/>
  <c r="BN51" i="77" s="1"/>
  <c r="BP47" i="77"/>
  <c r="BP48" i="77" s="1"/>
  <c r="BM47" i="77"/>
  <c r="BN48" i="77"/>
  <c r="BO61" i="77"/>
  <c r="BO50" i="77"/>
  <c r="BO51" i="77" s="1"/>
  <c r="BQ50" i="77"/>
  <c r="BQ51" i="77" s="1"/>
  <c r="BP50" i="77" l="1"/>
  <c r="BP51" i="77" s="1"/>
  <c r="BM48" i="77"/>
  <c r="BM50" i="77"/>
  <c r="BM51" i="77" s="1"/>
  <c r="BN69" i="77"/>
  <c r="BP61" i="77"/>
  <c r="BQ61" i="77"/>
  <c r="BN60" i="77" l="1"/>
  <c r="BM72" i="77"/>
  <c r="BM73" i="77" s="1"/>
  <c r="BO69" i="77" l="1"/>
  <c r="BN80" i="77" l="1"/>
  <c r="BN81" i="77" s="1"/>
  <c r="BO60" i="77" l="1"/>
  <c r="BM59" i="77" l="1"/>
  <c r="BM66" i="77" s="1"/>
  <c r="BM74" i="77" s="1"/>
  <c r="BN72" i="77"/>
  <c r="BN73" i="77" s="1"/>
  <c r="BO80" i="77" l="1"/>
  <c r="BP69" i="77"/>
  <c r="BO81" i="77" l="1"/>
  <c r="BP60" i="77" l="1"/>
  <c r="BO72" i="77" l="1"/>
  <c r="BO73" i="77" s="1"/>
  <c r="BN59" i="77"/>
  <c r="BN66" i="77" s="1"/>
  <c r="BN74" i="77" s="1"/>
  <c r="BP80" i="77" l="1"/>
  <c r="BQ69" i="77"/>
  <c r="BP81" i="77" l="1"/>
  <c r="BQ60" i="77" l="1"/>
  <c r="BO59" i="77"/>
  <c r="BO66" i="77" s="1"/>
  <c r="BO74" i="77" s="1"/>
  <c r="BP72" i="77"/>
  <c r="BP73" i="77" s="1"/>
  <c r="BM80" i="77" l="1"/>
  <c r="BQ80" i="77"/>
  <c r="BQ81" i="77" l="1"/>
  <c r="BM81" i="77"/>
  <c r="BQ72" i="77" l="1"/>
  <c r="BQ73" i="77" s="1"/>
  <c r="BP59" i="77"/>
  <c r="BP66" i="77" s="1"/>
  <c r="BP74" i="77" s="1"/>
  <c r="BQ59" i="77" l="1"/>
  <c r="BQ66" i="77" s="1"/>
  <c r="BQ74" i="77" s="1"/>
</calcChain>
</file>

<file path=xl/sharedStrings.xml><?xml version="1.0" encoding="utf-8"?>
<sst xmlns="http://schemas.openxmlformats.org/spreadsheetml/2006/main" count="138" uniqueCount="93">
  <si>
    <t>Taxes</t>
  </si>
  <si>
    <t>Customer</t>
  </si>
  <si>
    <t>Check?</t>
  </si>
  <si>
    <t>Deferred Revenue</t>
  </si>
  <si>
    <t>S&amp;M</t>
  </si>
  <si>
    <t>Accounts Receivable</t>
  </si>
  <si>
    <t>% YoY Growth</t>
  </si>
  <si>
    <t>COGS Margin - Subscription</t>
  </si>
  <si>
    <t>COGS Margin - Services</t>
  </si>
  <si>
    <t>COGS Margin - Total</t>
  </si>
  <si>
    <t>Gross Profit</t>
  </si>
  <si>
    <t>GAAP Revenue</t>
  </si>
  <si>
    <t>GP Margin - Services</t>
  </si>
  <si>
    <t>GP Margin - Subscription</t>
  </si>
  <si>
    <t>GP Margin - Total</t>
  </si>
  <si>
    <t>R&amp;D</t>
  </si>
  <si>
    <t>G&amp;A</t>
  </si>
  <si>
    <t>Operating Expenses</t>
  </si>
  <si>
    <t>Interest Expense</t>
  </si>
  <si>
    <t>Taxable Income</t>
  </si>
  <si>
    <t>Tax Rate</t>
  </si>
  <si>
    <t>Net Income</t>
  </si>
  <si>
    <t>Operating Income</t>
  </si>
  <si>
    <t>Income Statement</t>
  </si>
  <si>
    <t>Balance Sheet</t>
  </si>
  <si>
    <t>Cash Flow Statement</t>
  </si>
  <si>
    <t>Cash</t>
  </si>
  <si>
    <t>Net PP&amp;E</t>
  </si>
  <si>
    <t>Debt</t>
  </si>
  <si>
    <t>Equity</t>
  </si>
  <si>
    <t>Other Liabilities</t>
  </si>
  <si>
    <t>Total Assets</t>
  </si>
  <si>
    <t>Total Liabilities &amp; Equity</t>
  </si>
  <si>
    <t>Accounts Payable</t>
  </si>
  <si>
    <t>Other Assets</t>
  </si>
  <si>
    <t>Capex as % of LTM Rev</t>
  </si>
  <si>
    <t>Depreciation as % of LTM Rev</t>
  </si>
  <si>
    <t>D&amp;A</t>
  </si>
  <si>
    <t>FCF</t>
  </si>
  <si>
    <t>% Margin</t>
  </si>
  <si>
    <t>Deferred Commissions</t>
  </si>
  <si>
    <t>Prepaid Expenses</t>
  </si>
  <si>
    <t>Total Bonus Compensation</t>
  </si>
  <si>
    <t>Capitalized Software Costs</t>
  </si>
  <si>
    <t>Amortization of Capitalized Software Costs</t>
  </si>
  <si>
    <t>Annual</t>
  </si>
  <si>
    <t>Sales &amp; Marketing</t>
  </si>
  <si>
    <t>EBITDA</t>
  </si>
  <si>
    <t>Research &amp; Development</t>
  </si>
  <si>
    <t>Cost of Goods Sold</t>
  </si>
  <si>
    <t>Headcount</t>
  </si>
  <si>
    <t>COGS</t>
  </si>
  <si>
    <t>Total Headcount</t>
  </si>
  <si>
    <t>Total Salary Expense</t>
  </si>
  <si>
    <t>Salary Expense</t>
  </si>
  <si>
    <t>Bonus Compensation</t>
  </si>
  <si>
    <t>% of Salary</t>
  </si>
  <si>
    <t>Total Compensation</t>
  </si>
  <si>
    <t>Other Marketing</t>
  </si>
  <si>
    <t xml:space="preserve">General &amp; Administrative </t>
  </si>
  <si>
    <t>Other G&amp;A</t>
  </si>
  <si>
    <t>Total R&amp;D Expense</t>
  </si>
  <si>
    <t>Total G&amp;A Expense</t>
  </si>
  <si>
    <t>Total S&amp;M Expense</t>
  </si>
  <si>
    <t>Total COGS Expense</t>
  </si>
  <si>
    <t>New Deferred Compensation</t>
  </si>
  <si>
    <t>Other R&amp;D Expense</t>
  </si>
  <si>
    <t xml:space="preserve">S&amp;M Compensation </t>
  </si>
  <si>
    <t xml:space="preserve">R&amp;D Compensation </t>
  </si>
  <si>
    <t xml:space="preserve">G&amp;A Compensation </t>
  </si>
  <si>
    <t>Amortization of Deferred Comp</t>
  </si>
  <si>
    <t>COGS - Subscription</t>
  </si>
  <si>
    <t>COGS - Services</t>
  </si>
  <si>
    <t xml:space="preserve">COGS - Subscription Compensation </t>
  </si>
  <si>
    <t>COGS - Services Compensation</t>
  </si>
  <si>
    <t>COGS - Subscription Hosting &amp; Other</t>
  </si>
  <si>
    <t>Gross Profit - Subscription</t>
  </si>
  <si>
    <t>Gross Profit - Services</t>
  </si>
  <si>
    <t>Revenue - Subscription</t>
  </si>
  <si>
    <t>Revenue - Services</t>
  </si>
  <si>
    <t>Memo:</t>
  </si>
  <si>
    <t>Sales Performance</t>
  </si>
  <si>
    <t xml:space="preserve">- </t>
  </si>
  <si>
    <t>Prior Year Renewal Bookings (ACV)</t>
  </si>
  <si>
    <t>Upsell ARR Per Salesperson</t>
  </si>
  <si>
    <t>Downsell ARR Per Customer</t>
  </si>
  <si>
    <t>New Logo ARR Per Salesperson</t>
  </si>
  <si>
    <t>GO, GO, GO!</t>
  </si>
  <si>
    <t>Practice really does make perfect!</t>
  </si>
  <si>
    <t>You got this!  :-)</t>
  </si>
  <si>
    <t xml:space="preserve">This template is part of a comprehensive course for SaaS investing roles &amp; interviews. </t>
  </si>
  <si>
    <t>For more video courses and tutorials:</t>
  </si>
  <si>
    <t>All rights reserved. Growth Equity Interview Guide.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</si>
</sst>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#,##0.000_);\(#,##0.000\)"/>
    <numFmt numFmtId="170" formatCode="[$-409]mmm\-yy;@"/>
    <numFmt numFmtId="172" formatCode="m/d/yy"/>
    <numFmt numFmtId="174" formatCode="_(* #,##0_);_(* \(#,##0\);_(* &quot;-&quot;??_);_(@_)"/>
    <numFmt numFmtId="175" formatCode="&quot;$&quot;#,##0_);\(&quot;$&quot;#,##0\);\ &quot;-&quot;_)"/>
    <numFmt numFmtId="178" formatCode="0%_);\(0%\);&quot;-&quot;_)"/>
    <numFmt numFmtId="179" formatCode="#,##0_);\(#,##0\);\ &quot;-&quot;_)"/>
    <numFmt numFmtId="181" formatCode="0.0%_);\ \(0.0%\);\ &quot;-&quot;_%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FF0000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rgb="FF0000FF"/>
      <name val="Garamond"/>
      <family val="1"/>
    </font>
    <font>
      <b/>
      <sz val="10"/>
      <color rgb="FF0000FF"/>
      <name val="Garamond"/>
      <family val="1"/>
    </font>
    <font>
      <b/>
      <sz val="10"/>
      <name val="Garamond"/>
      <family val="1"/>
    </font>
    <font>
      <sz val="10"/>
      <color rgb="FF00B050"/>
      <name val="Garamond"/>
      <family val="1"/>
    </font>
    <font>
      <b/>
      <u/>
      <sz val="10"/>
      <color theme="1"/>
      <name val="Garamond"/>
      <family val="1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Verdana"/>
      <family val="2"/>
    </font>
    <font>
      <sz val="5"/>
      <color rgb="FF232A31"/>
      <name val="Arial"/>
      <family val="2"/>
    </font>
    <font>
      <b/>
      <u/>
      <sz val="10"/>
      <name val="Garamond"/>
      <family val="1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30" fillId="0" borderId="0" applyNumberFormat="0" applyFill="0" applyBorder="0" applyAlignment="0" applyProtection="0"/>
  </cellStyleXfs>
  <cellXfs count="15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0" fontId="7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/>
    <xf numFmtId="0" fontId="7" fillId="0" borderId="1" xfId="0" applyFont="1" applyBorder="1"/>
    <xf numFmtId="167" fontId="10" fillId="0" borderId="0" xfId="0" applyNumberFormat="1" applyFont="1"/>
    <xf numFmtId="0" fontId="15" fillId="0" borderId="0" xfId="0" applyFont="1"/>
    <xf numFmtId="5" fontId="3" fillId="0" borderId="0" xfId="0" applyNumberFormat="1" applyFont="1"/>
    <xf numFmtId="170" fontId="3" fillId="3" borderId="0" xfId="0" applyNumberFormat="1" applyFont="1" applyFill="1" applyAlignment="1">
      <alignment horizontal="right"/>
    </xf>
    <xf numFmtId="5" fontId="13" fillId="0" borderId="1" xfId="0" applyNumberFormat="1" applyFont="1" applyBorder="1"/>
    <xf numFmtId="170" fontId="3" fillId="0" borderId="0" xfId="0" applyNumberFormat="1" applyFont="1" applyAlignment="1">
      <alignment horizontal="left"/>
    </xf>
    <xf numFmtId="172" fontId="6" fillId="2" borderId="0" xfId="0" applyNumberFormat="1" applyFont="1" applyFill="1"/>
    <xf numFmtId="0" fontId="19" fillId="5" borderId="0" xfId="4" applyFont="1" applyFill="1"/>
    <xf numFmtId="174" fontId="20" fillId="5" borderId="0" xfId="5" applyNumberFormat="1" applyFont="1" applyFill="1"/>
    <xf numFmtId="14" fontId="1" fillId="5" borderId="0" xfId="4" applyNumberFormat="1" applyFont="1" applyFill="1"/>
    <xf numFmtId="0" fontId="20" fillId="5" borderId="0" xfId="4" applyFont="1" applyFill="1"/>
    <xf numFmtId="0" fontId="1" fillId="5" borderId="0" xfId="4" applyFont="1" applyFill="1"/>
    <xf numFmtId="170" fontId="16" fillId="5" borderId="0" xfId="4" applyNumberFormat="1" applyFont="1" applyFill="1"/>
    <xf numFmtId="0" fontId="16" fillId="6" borderId="6" xfId="4" applyFont="1" applyFill="1" applyBorder="1" applyAlignment="1">
      <alignment horizontal="right"/>
    </xf>
    <xf numFmtId="0" fontId="1" fillId="5" borderId="0" xfId="4" applyFont="1" applyFill="1" applyAlignment="1">
      <alignment horizontal="right" vertical="top" wrapText="1"/>
    </xf>
    <xf numFmtId="0" fontId="19" fillId="5" borderId="0" xfId="4" applyFont="1" applyFill="1" applyAlignment="1">
      <alignment horizontal="right"/>
    </xf>
    <xf numFmtId="178" fontId="10" fillId="0" borderId="0" xfId="1" applyNumberFormat="1" applyFont="1" applyBorder="1"/>
    <xf numFmtId="175" fontId="14" fillId="0" borderId="0" xfId="0" applyNumberFormat="1" applyFont="1"/>
    <xf numFmtId="175" fontId="6" fillId="0" borderId="0" xfId="0" applyNumberFormat="1" applyFont="1"/>
    <xf numFmtId="175" fontId="5" fillId="0" borderId="0" xfId="0" applyNumberFormat="1" applyFont="1"/>
    <xf numFmtId="5" fontId="13" fillId="0" borderId="0" xfId="0" applyNumberFormat="1" applyFont="1"/>
    <xf numFmtId="5" fontId="6" fillId="0" borderId="0" xfId="0" applyNumberFormat="1" applyFont="1"/>
    <xf numFmtId="170" fontId="7" fillId="0" borderId="1" xfId="0" applyNumberFormat="1" applyFont="1" applyBorder="1" applyAlignment="1">
      <alignment horizontal="left"/>
    </xf>
    <xf numFmtId="170" fontId="7" fillId="0" borderId="0" xfId="0" applyNumberFormat="1" applyFont="1" applyAlignment="1">
      <alignment horizontal="left"/>
    </xf>
    <xf numFmtId="5" fontId="14" fillId="0" borderId="0" xfId="0" applyNumberFormat="1" applyFont="1"/>
    <xf numFmtId="178" fontId="10" fillId="0" borderId="0" xfId="1" applyNumberFormat="1" applyFont="1" applyFill="1" applyBorder="1"/>
    <xf numFmtId="5" fontId="5" fillId="0" borderId="0" xfId="0" applyNumberFormat="1" applyFont="1"/>
    <xf numFmtId="0" fontId="3" fillId="0" borderId="5" xfId="0" applyFont="1" applyBorder="1"/>
    <xf numFmtId="0" fontId="9" fillId="0" borderId="7" xfId="0" applyFont="1" applyBorder="1"/>
    <xf numFmtId="172" fontId="6" fillId="2" borderId="5" xfId="0" applyNumberFormat="1" applyFont="1" applyFill="1" applyBorder="1"/>
    <xf numFmtId="172" fontId="6" fillId="2" borderId="7" xfId="0" applyNumberFormat="1" applyFont="1" applyFill="1" applyBorder="1"/>
    <xf numFmtId="170" fontId="3" fillId="3" borderId="5" xfId="0" applyNumberFormat="1" applyFont="1" applyFill="1" applyBorder="1" applyAlignment="1">
      <alignment horizontal="right"/>
    </xf>
    <xf numFmtId="175" fontId="14" fillId="0" borderId="7" xfId="0" applyNumberFormat="1" applyFont="1" applyBorder="1"/>
    <xf numFmtId="5" fontId="14" fillId="0" borderId="7" xfId="0" applyNumberFormat="1" applyFont="1" applyBorder="1"/>
    <xf numFmtId="5" fontId="13" fillId="0" borderId="3" xfId="0" applyNumberFormat="1" applyFont="1" applyBorder="1"/>
    <xf numFmtId="175" fontId="6" fillId="0" borderId="5" xfId="0" applyNumberFormat="1" applyFont="1" applyBorder="1"/>
    <xf numFmtId="175" fontId="6" fillId="0" borderId="7" xfId="0" applyNumberFormat="1" applyFont="1" applyBorder="1"/>
    <xf numFmtId="0" fontId="2" fillId="0" borderId="5" xfId="0" applyFont="1" applyBorder="1"/>
    <xf numFmtId="0" fontId="3" fillId="0" borderId="7" xfId="0" applyFont="1" applyBorder="1"/>
    <xf numFmtId="178" fontId="10" fillId="0" borderId="5" xfId="1" applyNumberFormat="1" applyFont="1" applyFill="1" applyBorder="1"/>
    <xf numFmtId="178" fontId="10" fillId="0" borderId="7" xfId="1" applyNumberFormat="1" applyFont="1" applyFill="1" applyBorder="1"/>
    <xf numFmtId="5" fontId="6" fillId="0" borderId="5" xfId="0" applyNumberFormat="1" applyFont="1" applyBorder="1"/>
    <xf numFmtId="5" fontId="6" fillId="0" borderId="7" xfId="0" applyNumberFormat="1" applyFont="1" applyBorder="1"/>
    <xf numFmtId="170" fontId="6" fillId="3" borderId="0" xfId="0" applyNumberFormat="1" applyFont="1" applyFill="1" applyAlignment="1">
      <alignment horizontal="right"/>
    </xf>
    <xf numFmtId="179" fontId="6" fillId="0" borderId="0" xfId="0" applyNumberFormat="1" applyFont="1"/>
    <xf numFmtId="175" fontId="13" fillId="0" borderId="1" xfId="0" applyNumberFormat="1" applyFont="1" applyBorder="1"/>
    <xf numFmtId="175" fontId="13" fillId="0" borderId="4" xfId="0" applyNumberFormat="1" applyFont="1" applyBorder="1"/>
    <xf numFmtId="175" fontId="13" fillId="0" borderId="3" xfId="0" applyNumberFormat="1" applyFont="1" applyBorder="1"/>
    <xf numFmtId="179" fontId="5" fillId="4" borderId="0" xfId="0" applyNumberFormat="1" applyFont="1" applyFill="1"/>
    <xf numFmtId="179" fontId="5" fillId="4" borderId="7" xfId="0" applyNumberFormat="1" applyFont="1" applyFill="1" applyBorder="1"/>
    <xf numFmtId="3" fontId="23" fillId="0" borderId="0" xfId="0" applyNumberFormat="1" applyFont="1"/>
    <xf numFmtId="5" fontId="3" fillId="0" borderId="7" xfId="0" applyNumberFormat="1" applyFont="1" applyBorder="1"/>
    <xf numFmtId="167" fontId="10" fillId="0" borderId="5" xfId="0" applyNumberFormat="1" applyFont="1" applyBorder="1"/>
    <xf numFmtId="167" fontId="10" fillId="0" borderId="7" xfId="0" applyNumberFormat="1" applyFont="1" applyBorder="1"/>
    <xf numFmtId="5" fontId="5" fillId="0" borderId="5" xfId="0" applyNumberFormat="1" applyFont="1" applyBorder="1"/>
    <xf numFmtId="5" fontId="13" fillId="0" borderId="5" xfId="0" applyNumberFormat="1" applyFont="1" applyBorder="1"/>
    <xf numFmtId="5" fontId="13" fillId="0" borderId="7" xfId="0" applyNumberFormat="1" applyFont="1" applyBorder="1"/>
    <xf numFmtId="5" fontId="3" fillId="0" borderId="8" xfId="0" applyNumberFormat="1" applyFont="1" applyBorder="1"/>
    <xf numFmtId="5" fontId="3" fillId="0" borderId="2" xfId="0" applyNumberFormat="1" applyFont="1" applyBorder="1"/>
    <xf numFmtId="9" fontId="11" fillId="0" borderId="0" xfId="0" applyNumberFormat="1" applyFont="1"/>
    <xf numFmtId="9" fontId="11" fillId="0" borderId="5" xfId="0" applyNumberFormat="1" applyFont="1" applyBorder="1"/>
    <xf numFmtId="170" fontId="3" fillId="3" borderId="7" xfId="0" applyNumberFormat="1" applyFont="1" applyFill="1" applyBorder="1" applyAlignment="1">
      <alignment horizontal="right"/>
    </xf>
    <xf numFmtId="5" fontId="5" fillId="0" borderId="7" xfId="0" applyNumberFormat="1" applyFont="1" applyBorder="1"/>
    <xf numFmtId="170" fontId="6" fillId="3" borderId="7" xfId="0" applyNumberFormat="1" applyFont="1" applyFill="1" applyBorder="1" applyAlignment="1">
      <alignment horizontal="right"/>
    </xf>
    <xf numFmtId="9" fontId="2" fillId="0" borderId="0" xfId="1" applyFont="1" applyFill="1"/>
    <xf numFmtId="175" fontId="13" fillId="0" borderId="0" xfId="0" applyNumberFormat="1" applyFont="1"/>
    <xf numFmtId="170" fontId="3" fillId="0" borderId="0" xfId="0" applyNumberFormat="1" applyFont="1" applyAlignment="1">
      <alignment horizontal="right"/>
    </xf>
    <xf numFmtId="1" fontId="6" fillId="3" borderId="0" xfId="0" applyNumberFormat="1" applyFont="1" applyFill="1" applyAlignment="1">
      <alignment horizontal="right"/>
    </xf>
    <xf numFmtId="2" fontId="4" fillId="2" borderId="0" xfId="0" applyNumberFormat="1" applyFont="1" applyFill="1" applyAlignment="1">
      <alignment horizontal="left"/>
    </xf>
    <xf numFmtId="5" fontId="6" fillId="0" borderId="8" xfId="0" applyNumberFormat="1" applyFont="1" applyBorder="1"/>
    <xf numFmtId="5" fontId="6" fillId="0" borderId="2" xfId="0" applyNumberFormat="1" applyFont="1" applyBorder="1"/>
    <xf numFmtId="5" fontId="5" fillId="0" borderId="2" xfId="0" applyNumberFormat="1" applyFont="1" applyBorder="1"/>
    <xf numFmtId="5" fontId="3" fillId="8" borderId="0" xfId="0" applyNumberFormat="1" applyFont="1" applyFill="1"/>
    <xf numFmtId="5" fontId="14" fillId="8" borderId="0" xfId="0" applyNumberFormat="1" applyFont="1" applyFill="1"/>
    <xf numFmtId="0" fontId="2" fillId="8" borderId="0" xfId="0" applyFont="1" applyFill="1"/>
    <xf numFmtId="5" fontId="6" fillId="8" borderId="0" xfId="0" applyNumberFormat="1" applyFont="1" applyFill="1"/>
    <xf numFmtId="5" fontId="13" fillId="8" borderId="1" xfId="0" applyNumberFormat="1" applyFont="1" applyFill="1" applyBorder="1"/>
    <xf numFmtId="0" fontId="3" fillId="8" borderId="0" xfId="0" applyFont="1" applyFill="1"/>
    <xf numFmtId="5" fontId="5" fillId="8" borderId="0" xfId="0" applyNumberFormat="1" applyFont="1" applyFill="1"/>
    <xf numFmtId="5" fontId="3" fillId="8" borderId="2" xfId="0" applyNumberFormat="1" applyFont="1" applyFill="1" applyBorder="1"/>
    <xf numFmtId="167" fontId="10" fillId="8" borderId="0" xfId="0" applyNumberFormat="1" applyFont="1" applyFill="1"/>
    <xf numFmtId="181" fontId="10" fillId="0" borderId="0" xfId="1" applyNumberFormat="1" applyFont="1" applyFill="1" applyBorder="1"/>
    <xf numFmtId="5" fontId="13" fillId="8" borderId="0" xfId="0" applyNumberFormat="1" applyFont="1" applyFill="1"/>
    <xf numFmtId="181" fontId="6" fillId="0" borderId="0" xfId="1" applyNumberFormat="1" applyFont="1" applyFill="1" applyBorder="1"/>
    <xf numFmtId="181" fontId="6" fillId="8" borderId="0" xfId="1" applyNumberFormat="1" applyFont="1" applyFill="1" applyBorder="1"/>
    <xf numFmtId="0" fontId="3" fillId="7" borderId="0" xfId="0" applyFont="1" applyFill="1"/>
    <xf numFmtId="0" fontId="2" fillId="7" borderId="0" xfId="0" applyFont="1" applyFill="1"/>
    <xf numFmtId="0" fontId="7" fillId="7" borderId="0" xfId="0" applyFont="1" applyFill="1" applyAlignment="1">
      <alignment horizontal="left"/>
    </xf>
    <xf numFmtId="9" fontId="6" fillId="0" borderId="0" xfId="1" applyFont="1"/>
    <xf numFmtId="9" fontId="5" fillId="0" borderId="0" xfId="1" applyFont="1"/>
    <xf numFmtId="175" fontId="24" fillId="0" borderId="0" xfId="0" applyNumberFormat="1" applyFont="1"/>
    <xf numFmtId="179" fontId="13" fillId="0" borderId="1" xfId="0" applyNumberFormat="1" applyFont="1" applyBorder="1"/>
    <xf numFmtId="9" fontId="10" fillId="0" borderId="0" xfId="1" applyFont="1"/>
    <xf numFmtId="175" fontId="10" fillId="0" borderId="0" xfId="0" applyNumberFormat="1" applyFont="1"/>
    <xf numFmtId="9" fontId="6" fillId="0" borderId="0" xfId="1" applyFont="1" applyFill="1"/>
    <xf numFmtId="0" fontId="2" fillId="0" borderId="7" xfId="0" applyFont="1" applyBorder="1"/>
    <xf numFmtId="1" fontId="6" fillId="3" borderId="7" xfId="0" applyNumberFormat="1" applyFont="1" applyFill="1" applyBorder="1" applyAlignment="1">
      <alignment horizontal="right"/>
    </xf>
    <xf numFmtId="181" fontId="10" fillId="0" borderId="7" xfId="1" applyNumberFormat="1" applyFont="1" applyFill="1" applyBorder="1"/>
    <xf numFmtId="9" fontId="6" fillId="0" borderId="5" xfId="1" applyFont="1" applyBorder="1"/>
    <xf numFmtId="9" fontId="5" fillId="0" borderId="5" xfId="1" applyFont="1" applyBorder="1"/>
    <xf numFmtId="175" fontId="13" fillId="0" borderId="7" xfId="0" applyNumberFormat="1" applyFont="1" applyBorder="1"/>
    <xf numFmtId="175" fontId="13" fillId="0" borderId="5" xfId="0" applyNumberFormat="1" applyFont="1" applyBorder="1"/>
    <xf numFmtId="175" fontId="5" fillId="0" borderId="5" xfId="0" applyNumberFormat="1" applyFont="1" applyBorder="1"/>
    <xf numFmtId="175" fontId="5" fillId="0" borderId="0" xfId="1" applyNumberFormat="1" applyFont="1" applyFill="1"/>
    <xf numFmtId="178" fontId="11" fillId="0" borderId="7" xfId="1" applyNumberFormat="1" applyFont="1" applyFill="1" applyBorder="1"/>
    <xf numFmtId="178" fontId="11" fillId="0" borderId="0" xfId="1" applyNumberFormat="1" applyFont="1" applyFill="1" applyBorder="1"/>
    <xf numFmtId="9" fontId="11" fillId="0" borderId="7" xfId="0" applyNumberFormat="1" applyFont="1" applyBorder="1"/>
    <xf numFmtId="181" fontId="5" fillId="0" borderId="7" xfId="1" applyNumberFormat="1" applyFont="1" applyFill="1" applyBorder="1"/>
    <xf numFmtId="181" fontId="8" fillId="0" borderId="0" xfId="1" applyNumberFormat="1" applyFont="1" applyFill="1" applyBorder="1"/>
    <xf numFmtId="181" fontId="5" fillId="0" borderId="5" xfId="1" applyNumberFormat="1" applyFont="1" applyFill="1" applyBorder="1"/>
    <xf numFmtId="179" fontId="5" fillId="0" borderId="0" xfId="0" applyNumberFormat="1" applyFont="1"/>
    <xf numFmtId="175" fontId="5" fillId="0" borderId="0" xfId="1" applyNumberFormat="1" applyFont="1"/>
    <xf numFmtId="179" fontId="5" fillId="0" borderId="5" xfId="0" applyNumberFormat="1" applyFont="1" applyBorder="1"/>
    <xf numFmtId="179" fontId="5" fillId="0" borderId="7" xfId="0" applyNumberFormat="1" applyFont="1" applyBorder="1"/>
    <xf numFmtId="179" fontId="13" fillId="0" borderId="4" xfId="0" applyNumberFormat="1" applyFont="1" applyBorder="1"/>
    <xf numFmtId="179" fontId="13" fillId="0" borderId="3" xfId="0" applyNumberFormat="1" applyFont="1" applyBorder="1"/>
    <xf numFmtId="9" fontId="5" fillId="0" borderId="7" xfId="1" applyFont="1" applyBorder="1"/>
    <xf numFmtId="9" fontId="10" fillId="0" borderId="5" xfId="1" applyFont="1" applyBorder="1"/>
    <xf numFmtId="9" fontId="10" fillId="0" borderId="7" xfId="1" applyFont="1" applyBorder="1"/>
    <xf numFmtId="175" fontId="5" fillId="0" borderId="5" xfId="1" applyNumberFormat="1" applyFont="1" applyBorder="1"/>
    <xf numFmtId="181" fontId="5" fillId="0" borderId="0" xfId="1" applyNumberFormat="1" applyFont="1" applyFill="1" applyBorder="1"/>
    <xf numFmtId="172" fontId="6" fillId="0" borderId="0" xfId="0" applyNumberFormat="1" applyFont="1"/>
    <xf numFmtId="1" fontId="6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72" fontId="6" fillId="0" borderId="5" xfId="0" applyNumberFormat="1" applyFont="1" applyBorder="1"/>
    <xf numFmtId="1" fontId="6" fillId="0" borderId="5" xfId="0" applyNumberFormat="1" applyFont="1" applyBorder="1" applyAlignment="1">
      <alignment horizontal="right"/>
    </xf>
    <xf numFmtId="170" fontId="3" fillId="0" borderId="5" xfId="0" applyNumberFormat="1" applyFont="1" applyBorder="1" applyAlignment="1">
      <alignment horizontal="right"/>
    </xf>
    <xf numFmtId="170" fontId="6" fillId="0" borderId="5" xfId="0" applyNumberFormat="1" applyFont="1" applyBorder="1" applyAlignment="1">
      <alignment horizontal="right"/>
    </xf>
    <xf numFmtId="5" fontId="12" fillId="0" borderId="0" xfId="0" applyNumberFormat="1" applyFont="1"/>
    <xf numFmtId="5" fontId="12" fillId="0" borderId="5" xfId="0" applyNumberFormat="1" applyFont="1" applyBorder="1"/>
    <xf numFmtId="175" fontId="5" fillId="0" borderId="0" xfId="1" applyNumberFormat="1" applyFont="1" applyFill="1" applyBorder="1"/>
    <xf numFmtId="9" fontId="6" fillId="0" borderId="0" xfId="1" applyFont="1" applyFill="1" applyBorder="1"/>
    <xf numFmtId="170" fontId="12" fillId="3" borderId="0" xfId="0" applyNumberFormat="1" applyFont="1" applyFill="1" applyAlignment="1">
      <alignment horizontal="right"/>
    </xf>
    <xf numFmtId="175" fontId="5" fillId="0" borderId="0" xfId="0" quotePrefix="1" applyNumberFormat="1" applyFont="1" applyAlignment="1">
      <alignment horizontal="right"/>
    </xf>
    <xf numFmtId="0" fontId="25" fillId="2" borderId="0" xfId="0" applyFont="1" applyFill="1"/>
    <xf numFmtId="0" fontId="0" fillId="2" borderId="0" xfId="0" applyFill="1"/>
    <xf numFmtId="0" fontId="26" fillId="2" borderId="0" xfId="0" applyFont="1" applyFill="1"/>
    <xf numFmtId="0" fontId="27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31" fillId="2" borderId="0" xfId="9" applyFont="1" applyFill="1"/>
    <xf numFmtId="0" fontId="32" fillId="2" borderId="0" xfId="9" applyFont="1" applyFill="1"/>
    <xf numFmtId="0" fontId="33" fillId="2" borderId="0" xfId="0" applyFont="1" applyFill="1"/>
  </cellXfs>
  <cellStyles count="10">
    <cellStyle name="Comma 3" xfId="5" xr:uid="{7CDBA429-6087-4AF3-8976-7F423C9ED004}"/>
    <cellStyle name="Currency 2" xfId="6" xr:uid="{1CA0318B-91D4-48EC-B2A0-B8A6123BCAC5}"/>
    <cellStyle name="Hyperlink" xfId="9" builtinId="8"/>
    <cellStyle name="Hyperlink 2" xfId="7" xr:uid="{E9ADBCD8-CC82-4217-825D-699B90D9D76D}"/>
    <cellStyle name="Normal" xfId="0" builtinId="0"/>
    <cellStyle name="Normal 2" xfId="2" xr:uid="{FE34F453-BE46-4638-A718-6F04F1594BE6}"/>
    <cellStyle name="Normal 2 2" xfId="4" xr:uid="{2D6046CD-B46A-45DC-A207-46183422FDC3}"/>
    <cellStyle name="Normal 3" xfId="3" xr:uid="{C4C2660B-A95D-4D3F-80DF-AACE7148632D}"/>
    <cellStyle name="Normal 4" xfId="8" xr:uid="{3A510677-FB36-430B-9978-D756C309F239}"/>
    <cellStyle name="Percent" xfId="1" builtinId="5"/>
  </cellStyles>
  <dxfs count="0"/>
  <tableStyles count="0" defaultTableStyle="TableStyleMedium2" defaultPivotStyle="PivotStyleLight16"/>
  <colors>
    <mruColors>
      <color rgb="FF0000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ac\Home\Desktop\Growth%20equity%20files\SaaS%20course\Financial-modeling-SaaS%20v9%20(LIVE%20-%20END).xlsx" TargetMode="External"/><Relationship Id="rId1" Type="http://schemas.openxmlformats.org/officeDocument/2006/relationships/externalLinkPath" Target="Financial-modeling-SaaS%20v9%20(LIVE%20-%20EN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ources"/>
      <sheetName val="Start -&gt;"/>
      <sheetName val="Raw Customer ARR (Start)"/>
      <sheetName val="Financials (Start)"/>
      <sheetName val="Headcount (Start)"/>
      <sheetName val="Expenses (Start)"/>
      <sheetName val="End -&gt;"/>
      <sheetName val="Transaction"/>
      <sheetName val="Model"/>
      <sheetName val="Expenses"/>
      <sheetName val="Headcount"/>
      <sheetName val="ARR Waterfall"/>
      <sheetName val="Cohorts"/>
      <sheetName val="Billing Waterfall"/>
      <sheetName val="Capitalizations"/>
      <sheetName val="SaaS Metrics"/>
      <sheetName val="Benchmarks"/>
      <sheetName val="Raw Customer A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DE8D-A66E-4DE5-9D04-157BAB63D17F}">
  <sheetPr>
    <tabColor theme="7"/>
  </sheetPr>
  <dimension ref="A1:AJ269"/>
  <sheetViews>
    <sheetView tabSelected="1" workbookViewId="0"/>
  </sheetViews>
  <sheetFormatPr defaultRowHeight="14.25"/>
  <sheetData>
    <row r="1" spans="1:36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</row>
    <row r="2" spans="1:36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</row>
    <row r="3" spans="1:36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</row>
    <row r="4" spans="1:36" ht="13.15" customHeight="1">
      <c r="A4" s="143"/>
      <c r="B4" s="145" t="s">
        <v>87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  <c r="AH4" s="144"/>
      <c r="AI4" s="144"/>
      <c r="AJ4" s="144"/>
    </row>
    <row r="5" spans="1:36" ht="37.15" customHeight="1">
      <c r="A5" s="143"/>
      <c r="B5" s="146" t="s">
        <v>88</v>
      </c>
      <c r="C5" s="147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</row>
    <row r="6" spans="1:36" ht="27.4">
      <c r="A6" s="143"/>
      <c r="B6" s="146" t="s">
        <v>89</v>
      </c>
      <c r="C6" s="147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</row>
    <row r="7" spans="1:36">
      <c r="A7" s="143"/>
      <c r="B7" s="147"/>
      <c r="C7" s="147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</row>
    <row r="8" spans="1:36">
      <c r="A8" s="143"/>
      <c r="B8" s="148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</row>
    <row r="9" spans="1:36">
      <c r="A9" s="143"/>
      <c r="B9" s="148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</row>
    <row r="10" spans="1:36">
      <c r="A10" s="143"/>
      <c r="B10" s="148" t="s">
        <v>90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</row>
    <row r="11" spans="1:36">
      <c r="A11" s="143"/>
      <c r="B11" s="148" t="s">
        <v>91</v>
      </c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</row>
    <row r="12" spans="1:36" ht="8.75" customHeight="1">
      <c r="A12" s="143"/>
      <c r="B12" s="148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</row>
    <row r="13" spans="1:36">
      <c r="A13" s="143"/>
      <c r="B13" s="149" t="str">
        <f>HYPERLINK("https://GrowthEquityInterviewGuide.com", "GrowthEquityInterviewGuide.com")</f>
        <v>GrowthEquityInterviewGuide.com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</row>
    <row r="14" spans="1:36" ht="4.9000000000000004" customHeight="1">
      <c r="A14" s="143"/>
      <c r="B14" s="150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</row>
    <row r="15" spans="1:36" ht="14.65" customHeight="1">
      <c r="A15" s="143"/>
      <c r="B15" s="151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</row>
    <row r="16" spans="1:3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</row>
    <row r="17" spans="1:36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</row>
    <row r="18" spans="1:36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</row>
    <row r="19" spans="1:36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</row>
    <row r="20" spans="1:36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</row>
    <row r="21" spans="1:36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</row>
    <row r="22" spans="1:36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</row>
    <row r="23" spans="1:36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</row>
    <row r="24" spans="1:36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</row>
    <row r="25" spans="1:36">
      <c r="A25" s="143"/>
      <c r="B25" s="151" t="s">
        <v>92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</row>
    <row r="26" spans="1:3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</row>
    <row r="27" spans="1:36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</row>
    <row r="28" spans="1:36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</row>
    <row r="29" spans="1:36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</row>
    <row r="30" spans="1:36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</row>
    <row r="31" spans="1:36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</row>
    <row r="32" spans="1:36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</row>
    <row r="33" spans="1:36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</row>
    <row r="34" spans="1:36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</row>
    <row r="35" spans="1:36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</row>
    <row r="36" spans="1: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</row>
    <row r="37" spans="1:36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</row>
    <row r="38" spans="1:36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</row>
    <row r="39" spans="1:36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</row>
    <row r="40" spans="1:36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</row>
    <row r="41" spans="1:36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</row>
    <row r="42" spans="1:36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</row>
    <row r="43" spans="1:36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</row>
    <row r="44" spans="1:36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</row>
    <row r="45" spans="1:36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</row>
    <row r="46" spans="1:3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</row>
    <row r="47" spans="1:36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</row>
    <row r="48" spans="1:36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</row>
    <row r="49" spans="1:36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</row>
    <row r="50" spans="1:36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</row>
    <row r="51" spans="1:36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</row>
    <row r="52" spans="1:36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</row>
    <row r="53" spans="1:36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</row>
    <row r="54" spans="1:36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</row>
    <row r="55" spans="1:36">
      <c r="A55" s="144"/>
      <c r="B55" s="144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</row>
    <row r="56" spans="1:36">
      <c r="A56" s="144"/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</row>
    <row r="57" spans="1:36">
      <c r="A57" s="144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</row>
    <row r="58" spans="1:36">
      <c r="A58" s="144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</row>
    <row r="59" spans="1:36">
      <c r="A59" s="144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</row>
    <row r="60" spans="1:36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</row>
    <row r="61" spans="1:36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</row>
    <row r="62" spans="1:36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</row>
    <row r="63" spans="1:36">
      <c r="A63" s="144"/>
      <c r="B63" s="144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</row>
    <row r="64" spans="1:36">
      <c r="A64" s="144"/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</row>
    <row r="65" spans="1:36">
      <c r="A65" s="144"/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</row>
    <row r="66" spans="1:36">
      <c r="A66" s="144"/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</row>
    <row r="67" spans="1:36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</row>
    <row r="68" spans="1:36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</row>
    <row r="69" spans="1:36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</row>
    <row r="70" spans="1:36">
      <c r="A70" s="144"/>
      <c r="B70" s="144"/>
      <c r="C70" s="1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</row>
    <row r="71" spans="1:36">
      <c r="A71" s="144"/>
      <c r="B71" s="144"/>
      <c r="C71" s="144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</row>
    <row r="72" spans="1:36">
      <c r="A72" s="144"/>
      <c r="B72" s="144"/>
      <c r="C72" s="144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</row>
    <row r="73" spans="1:36">
      <c r="A73" s="144"/>
      <c r="B73" s="144"/>
      <c r="C73" s="144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</row>
    <row r="74" spans="1:36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</row>
    <row r="75" spans="1:36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</row>
    <row r="76" spans="1:3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</row>
    <row r="77" spans="1:36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</row>
    <row r="78" spans="1:36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</row>
    <row r="79" spans="1:36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</row>
    <row r="80" spans="1:36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</row>
    <row r="81" spans="1:36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</row>
    <row r="82" spans="1:36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</row>
    <row r="83" spans="1:36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</row>
    <row r="84" spans="1:36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</row>
    <row r="85" spans="1:36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</row>
    <row r="86" spans="1:3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</row>
    <row r="87" spans="1:36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</row>
    <row r="88" spans="1:36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</row>
    <row r="89" spans="1:36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</row>
    <row r="90" spans="1:36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</row>
    <row r="91" spans="1:36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</row>
    <row r="92" spans="1:36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</row>
    <row r="93" spans="1:36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</row>
    <row r="94" spans="1:36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</row>
    <row r="95" spans="1:36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</row>
    <row r="96" spans="1:3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</row>
    <row r="97" spans="1:36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</row>
    <row r="98" spans="1:36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</row>
    <row r="99" spans="1:36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</row>
    <row r="100" spans="1:36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</row>
    <row r="101" spans="1:36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</row>
    <row r="102" spans="1:36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</row>
    <row r="103" spans="1:36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</row>
    <row r="104" spans="1:36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</row>
    <row r="105" spans="1:36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</row>
    <row r="106" spans="1:3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</row>
    <row r="107" spans="1:36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</row>
    <row r="108" spans="1:36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</row>
    <row r="109" spans="1:36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</row>
    <row r="110" spans="1:36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</row>
    <row r="111" spans="1:36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</row>
    <row r="112" spans="1:36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</row>
    <row r="113" spans="1:36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</row>
    <row r="114" spans="1:36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</row>
    <row r="115" spans="1:36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</row>
    <row r="116" spans="1:3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</row>
    <row r="117" spans="1:36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</row>
    <row r="118" spans="1:36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</row>
    <row r="119" spans="1:36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</row>
    <row r="120" spans="1:36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</row>
    <row r="121" spans="1:36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</row>
    <row r="122" spans="1:36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</row>
    <row r="123" spans="1:36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</row>
    <row r="124" spans="1:36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</row>
    <row r="125" spans="1:36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</row>
    <row r="126" spans="1:3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</row>
    <row r="127" spans="1:36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</row>
    <row r="128" spans="1:36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</row>
    <row r="129" spans="1:36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</row>
    <row r="130" spans="1:36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</row>
    <row r="131" spans="1:36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</row>
    <row r="132" spans="1:36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</row>
    <row r="133" spans="1:36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</row>
    <row r="134" spans="1:36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</row>
    <row r="135" spans="1:36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</row>
    <row r="136" spans="1: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</row>
    <row r="137" spans="1:36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</row>
    <row r="138" spans="1:36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</row>
    <row r="139" spans="1:36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</row>
    <row r="140" spans="1:36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</row>
    <row r="141" spans="1:36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</row>
    <row r="142" spans="1:36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</row>
    <row r="143" spans="1:36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</row>
    <row r="144" spans="1:36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</row>
    <row r="145" spans="1:36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</row>
    <row r="146" spans="1:3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</row>
    <row r="147" spans="1:36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</row>
    <row r="148" spans="1:36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</row>
    <row r="149" spans="1:36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/>
      <c r="AJ149" s="144"/>
    </row>
    <row r="150" spans="1:36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  <c r="AH150" s="144"/>
      <c r="AI150" s="144"/>
      <c r="AJ150" s="144"/>
    </row>
    <row r="151" spans="1:36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/>
      <c r="AJ151" s="144"/>
    </row>
    <row r="152" spans="1:36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</row>
    <row r="153" spans="1:36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</row>
    <row r="154" spans="1:36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</row>
    <row r="155" spans="1:36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</row>
    <row r="156" spans="1:3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</row>
    <row r="157" spans="1:36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</row>
    <row r="158" spans="1:36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</row>
    <row r="159" spans="1:36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</row>
    <row r="160" spans="1:36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</row>
    <row r="161" spans="1:36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</row>
    <row r="162" spans="1:36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</row>
    <row r="163" spans="1:36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</row>
    <row r="164" spans="1:36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</row>
    <row r="165" spans="1:36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</row>
    <row r="166" spans="1:3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</row>
    <row r="167" spans="1:36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</row>
    <row r="168" spans="1:36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</row>
    <row r="169" spans="1:36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</row>
    <row r="170" spans="1:36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</row>
    <row r="171" spans="1:36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</row>
    <row r="172" spans="1:36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</row>
    <row r="173" spans="1:36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</row>
    <row r="174" spans="1:36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</row>
    <row r="175" spans="1:36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</row>
    <row r="176" spans="1:3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</row>
    <row r="177" spans="1:36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</row>
    <row r="178" spans="1:36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</row>
    <row r="179" spans="1:36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</row>
    <row r="180" spans="1:36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</row>
    <row r="181" spans="1:36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</row>
    <row r="182" spans="1:36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</row>
    <row r="183" spans="1:36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</row>
    <row r="184" spans="1:36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</row>
    <row r="185" spans="1:36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</row>
    <row r="186" spans="1:3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</row>
    <row r="187" spans="1:36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</row>
    <row r="188" spans="1:36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</row>
    <row r="189" spans="1:36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</row>
    <row r="190" spans="1:36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</row>
    <row r="191" spans="1:36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</row>
    <row r="192" spans="1:36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</row>
    <row r="193" spans="1:36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</row>
    <row r="194" spans="1:36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</row>
    <row r="195" spans="1:36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</row>
    <row r="196" spans="1:3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</row>
    <row r="197" spans="1:36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</row>
    <row r="198" spans="1:36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</row>
    <row r="199" spans="1:36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</row>
    <row r="200" spans="1:36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</row>
    <row r="201" spans="1:36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</row>
    <row r="202" spans="1:36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</row>
    <row r="203" spans="1:36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</row>
    <row r="204" spans="1:36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</row>
    <row r="205" spans="1:36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</row>
    <row r="206" spans="1:3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</row>
    <row r="207" spans="1:36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</row>
    <row r="208" spans="1:36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</row>
    <row r="209" spans="1:36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</row>
    <row r="210" spans="1:36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</row>
    <row r="211" spans="1:36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</row>
    <row r="212" spans="1:36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</row>
    <row r="213" spans="1:36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</row>
    <row r="214" spans="1:36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</row>
    <row r="215" spans="1:36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</row>
    <row r="216" spans="1:3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</row>
    <row r="217" spans="1:36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</row>
    <row r="218" spans="1:36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</row>
    <row r="219" spans="1:36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</row>
    <row r="220" spans="1:36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</row>
    <row r="221" spans="1:36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</row>
    <row r="222" spans="1:36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</row>
    <row r="223" spans="1:36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</row>
    <row r="224" spans="1:36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</row>
    <row r="225" spans="1:36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</row>
    <row r="226" spans="1:3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</row>
    <row r="227" spans="1:36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</row>
    <row r="228" spans="1:36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</row>
    <row r="229" spans="1:36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</row>
    <row r="230" spans="1:36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</row>
    <row r="231" spans="1:36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</row>
    <row r="232" spans="1:36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</row>
    <row r="233" spans="1:36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</row>
    <row r="234" spans="1:36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</row>
    <row r="235" spans="1:36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</row>
    <row r="236" spans="1: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</row>
    <row r="237" spans="1:36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</row>
    <row r="238" spans="1:36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</row>
    <row r="239" spans="1:36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</row>
    <row r="240" spans="1:36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</row>
    <row r="241" spans="1:36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</row>
    <row r="242" spans="1:36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</row>
    <row r="243" spans="1:36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</row>
    <row r="244" spans="1:36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</row>
    <row r="245" spans="1:36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</row>
    <row r="246" spans="1:3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</row>
    <row r="247" spans="1:36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</row>
    <row r="248" spans="1:36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</row>
    <row r="249" spans="1:36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</row>
    <row r="250" spans="1:36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</row>
    <row r="251" spans="1:36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</row>
    <row r="252" spans="1:36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</row>
    <row r="253" spans="1:36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</row>
    <row r="254" spans="1:36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</row>
    <row r="255" spans="1:36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</row>
    <row r="256" spans="1:3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</row>
    <row r="257" spans="1:36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</row>
    <row r="258" spans="1:36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</row>
    <row r="259" spans="1:36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</row>
    <row r="260" spans="1:36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</row>
    <row r="261" spans="1:36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</row>
    <row r="262" spans="1:36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</row>
    <row r="263" spans="1:36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</row>
    <row r="264" spans="1:36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</row>
    <row r="265" spans="1:36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</row>
    <row r="266" spans="1:3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</row>
    <row r="267" spans="1:36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</row>
    <row r="268" spans="1:36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  <c r="AA268" s="144"/>
      <c r="AB268" s="144"/>
      <c r="AC268" s="144"/>
      <c r="AD268" s="144"/>
      <c r="AE268" s="144"/>
      <c r="AF268" s="144"/>
      <c r="AG268" s="144"/>
      <c r="AH268" s="144"/>
      <c r="AI268" s="144"/>
      <c r="AJ268" s="144"/>
    </row>
    <row r="269" spans="1:36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  <c r="AA269" s="144"/>
      <c r="AB269" s="144"/>
      <c r="AC269" s="144"/>
      <c r="AD269" s="144"/>
      <c r="AE269" s="144"/>
      <c r="AF269" s="144"/>
      <c r="AG269" s="144"/>
      <c r="AH269" s="144"/>
      <c r="AI269" s="144"/>
      <c r="AJ269" s="1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22B6-676C-4AD6-9586-E42908727981}">
  <sheetPr>
    <tabColor theme="1"/>
  </sheetPr>
  <dimension ref="A1"/>
  <sheetViews>
    <sheetView workbookViewId="0">
      <selection activeCell="D30" sqref="D30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BAAD-305C-480F-B3EE-212A9A8BCDFE}">
  <sheetPr>
    <pageSetUpPr fitToPage="1"/>
  </sheetPr>
  <dimension ref="A1:S1001"/>
  <sheetViews>
    <sheetView zoomScale="120" zoomScaleNormal="120" workbookViewId="0">
      <pane ySplit="1" topLeftCell="A2" activePane="bottomLeft" state="frozen"/>
      <selection pane="bottomLeft"/>
    </sheetView>
  </sheetViews>
  <sheetFormatPr defaultColWidth="9.1328125" defaultRowHeight="10.5"/>
  <cols>
    <col min="1" max="1" width="10.796875" style="24" customWidth="1"/>
    <col min="2" max="2" width="3.265625" style="16" customWidth="1"/>
    <col min="3" max="3" width="12.33203125" style="16" customWidth="1"/>
    <col min="4" max="4" width="11.6640625" style="16" customWidth="1"/>
    <col min="5" max="5" width="11.46484375" style="16" customWidth="1"/>
    <col min="6" max="6" width="12" style="16" customWidth="1"/>
    <col min="7" max="7" width="11.46484375" style="16" customWidth="1"/>
    <col min="8" max="8" width="11.6640625" style="16" customWidth="1"/>
    <col min="9" max="11" width="12" style="16" customWidth="1"/>
    <col min="12" max="12" width="11.6640625" style="16" customWidth="1"/>
    <col min="13" max="13" width="11.46484375" style="16" customWidth="1"/>
    <col min="14" max="15" width="11.6640625" style="16" customWidth="1"/>
    <col min="16" max="16" width="12" style="16" customWidth="1"/>
    <col min="17" max="17" width="11.6640625" style="16" customWidth="1"/>
    <col min="18" max="18" width="11.46484375" style="16" customWidth="1"/>
    <col min="19" max="19" width="11.6640625" style="16" customWidth="1"/>
    <col min="20" max="16384" width="9.1328125" style="16"/>
  </cols>
  <sheetData>
    <row r="1" spans="1:19" s="20" customFormat="1" ht="14.25">
      <c r="A1" s="22" t="s">
        <v>1</v>
      </c>
      <c r="C1" s="21">
        <v>43465</v>
      </c>
      <c r="D1" s="21">
        <f>EOMONTH(C1,3)</f>
        <v>43555</v>
      </c>
      <c r="E1" s="21">
        <f t="shared" ref="E1:S1" si="0">EOMONTH(D1,3)</f>
        <v>43646</v>
      </c>
      <c r="F1" s="21">
        <f t="shared" si="0"/>
        <v>43738</v>
      </c>
      <c r="G1" s="21">
        <f t="shared" si="0"/>
        <v>43830</v>
      </c>
      <c r="H1" s="21">
        <f t="shared" si="0"/>
        <v>43921</v>
      </c>
      <c r="I1" s="21">
        <f t="shared" si="0"/>
        <v>44012</v>
      </c>
      <c r="J1" s="21">
        <f t="shared" si="0"/>
        <v>44104</v>
      </c>
      <c r="K1" s="21">
        <f t="shared" si="0"/>
        <v>44196</v>
      </c>
      <c r="L1" s="21">
        <f t="shared" si="0"/>
        <v>44286</v>
      </c>
      <c r="M1" s="21">
        <f t="shared" si="0"/>
        <v>44377</v>
      </c>
      <c r="N1" s="21">
        <f t="shared" si="0"/>
        <v>44469</v>
      </c>
      <c r="O1" s="21">
        <f t="shared" si="0"/>
        <v>44561</v>
      </c>
      <c r="P1" s="21">
        <f t="shared" si="0"/>
        <v>44651</v>
      </c>
      <c r="Q1" s="21">
        <f t="shared" si="0"/>
        <v>44742</v>
      </c>
      <c r="R1" s="21">
        <f t="shared" si="0"/>
        <v>44834</v>
      </c>
      <c r="S1" s="21">
        <f t="shared" si="0"/>
        <v>44926</v>
      </c>
    </row>
    <row r="2" spans="1:19" s="20" customFormat="1" ht="14.25">
      <c r="A2" s="23">
        <v>1</v>
      </c>
      <c r="B2" s="18"/>
      <c r="C2" s="17">
        <v>74095</v>
      </c>
      <c r="D2" s="17">
        <v>74095</v>
      </c>
      <c r="E2" s="17">
        <v>60757.9</v>
      </c>
      <c r="F2" s="17">
        <v>55571.25</v>
      </c>
      <c r="G2" s="17">
        <v>55571.25</v>
      </c>
      <c r="H2" s="17">
        <v>64462.65</v>
      </c>
      <c r="I2" s="17">
        <v>68167.400000000009</v>
      </c>
      <c r="J2" s="17">
        <v>74095</v>
      </c>
      <c r="K2" s="17">
        <v>62980.75</v>
      </c>
      <c r="L2" s="17">
        <v>62980.75</v>
      </c>
      <c r="M2" s="17">
        <v>71131.199999999997</v>
      </c>
      <c r="N2" s="17">
        <v>71131.199999999997</v>
      </c>
      <c r="O2" s="17">
        <v>71131.199999999997</v>
      </c>
      <c r="P2" s="17">
        <v>0</v>
      </c>
      <c r="Q2" s="17">
        <v>0</v>
      </c>
      <c r="R2" s="17">
        <v>0</v>
      </c>
      <c r="S2" s="17">
        <v>0</v>
      </c>
    </row>
    <row r="3" spans="1:19" s="20" customFormat="1" ht="14.25">
      <c r="A3" s="23">
        <f t="shared" ref="A3:A66" si="1">+A2+1</f>
        <v>2</v>
      </c>
      <c r="B3" s="18"/>
      <c r="C3" s="17">
        <v>0</v>
      </c>
      <c r="D3" s="17">
        <v>0</v>
      </c>
      <c r="E3" s="17">
        <v>0</v>
      </c>
      <c r="F3" s="17">
        <v>0</v>
      </c>
      <c r="G3" s="17">
        <v>73730</v>
      </c>
      <c r="H3" s="17">
        <v>87001.4</v>
      </c>
      <c r="I3" s="17">
        <v>100272.79999999999</v>
      </c>
      <c r="J3" s="17">
        <v>112069.59999999999</v>
      </c>
      <c r="K3" s="17">
        <v>128290.19999999998</v>
      </c>
      <c r="L3" s="17">
        <v>138612.4</v>
      </c>
      <c r="M3" s="17">
        <v>137875.1</v>
      </c>
      <c r="N3" s="17">
        <v>131976.69999999998</v>
      </c>
      <c r="O3" s="17">
        <v>131976.69999999998</v>
      </c>
      <c r="P3" s="17">
        <v>124603.69999999998</v>
      </c>
      <c r="Q3" s="17">
        <v>112069.59999999999</v>
      </c>
      <c r="R3" s="17">
        <v>109120.39999999998</v>
      </c>
      <c r="S3" s="17">
        <v>109120.39999999998</v>
      </c>
    </row>
    <row r="4" spans="1:19" s="20" customFormat="1" ht="14.25">
      <c r="A4" s="23">
        <f t="shared" si="1"/>
        <v>3</v>
      </c>
      <c r="B4" s="18"/>
      <c r="C4" s="17">
        <v>78110</v>
      </c>
      <c r="D4" s="17">
        <v>84358.8</v>
      </c>
      <c r="E4" s="17">
        <v>103105.20000000001</v>
      </c>
      <c r="F4" s="17">
        <v>103105.20000000001</v>
      </c>
      <c r="G4" s="17">
        <v>110916.20000000001</v>
      </c>
      <c r="H4" s="17">
        <v>131224.80000000002</v>
      </c>
      <c r="I4" s="17">
        <v>135130.30000000002</v>
      </c>
      <c r="J4" s="17">
        <v>139816.90000000002</v>
      </c>
      <c r="K4" s="17">
        <v>161687.70000000001</v>
      </c>
      <c r="L4" s="17">
        <v>185120.7</v>
      </c>
      <c r="M4" s="17">
        <v>177309.7</v>
      </c>
      <c r="N4" s="17">
        <v>177309.7</v>
      </c>
      <c r="O4" s="17">
        <v>174966.40000000002</v>
      </c>
      <c r="P4" s="17">
        <v>190588.40000000002</v>
      </c>
      <c r="Q4" s="17">
        <v>209334.80000000005</v>
      </c>
      <c r="R4" s="17">
        <v>209334.80000000005</v>
      </c>
      <c r="S4" s="17">
        <v>222613.50000000003</v>
      </c>
    </row>
    <row r="5" spans="1:19" s="20" customFormat="1" ht="14.25">
      <c r="A5" s="23">
        <f t="shared" si="1"/>
        <v>4</v>
      </c>
      <c r="B5" s="18"/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70080</v>
      </c>
      <c r="Q5" s="17">
        <v>70080</v>
      </c>
      <c r="R5" s="17">
        <v>70080</v>
      </c>
      <c r="S5" s="17">
        <v>74985.600000000006</v>
      </c>
    </row>
    <row r="6" spans="1:19" s="20" customFormat="1" ht="14.25">
      <c r="A6" s="23">
        <f t="shared" si="1"/>
        <v>5</v>
      </c>
      <c r="B6" s="18"/>
      <c r="C6" s="17">
        <v>93805</v>
      </c>
      <c r="D6" s="17">
        <v>114442.09999999999</v>
      </c>
      <c r="E6" s="17">
        <v>123822.6</v>
      </c>
      <c r="F6" s="17">
        <v>141645.54999999999</v>
      </c>
      <c r="G6" s="17">
        <v>156654.35</v>
      </c>
      <c r="H6" s="17">
        <v>175415.34999999998</v>
      </c>
      <c r="I6" s="17">
        <v>175415.34999999998</v>
      </c>
      <c r="J6" s="17">
        <v>175415.34999999998</v>
      </c>
      <c r="K6" s="17">
        <v>175415.34999999998</v>
      </c>
      <c r="L6" s="17">
        <v>188548.05</v>
      </c>
      <c r="M6" s="17">
        <v>203556.85</v>
      </c>
      <c r="N6" s="17">
        <v>201680.75</v>
      </c>
      <c r="O6" s="17">
        <v>221379.8</v>
      </c>
      <c r="P6" s="17">
        <v>229822.24999999997</v>
      </c>
      <c r="Q6" s="17">
        <v>211061.24999999997</v>
      </c>
      <c r="R6" s="17">
        <v>204494.89999999997</v>
      </c>
      <c r="S6" s="17">
        <v>0</v>
      </c>
    </row>
    <row r="7" spans="1:19" s="20" customFormat="1" ht="14.25">
      <c r="A7" s="23">
        <f t="shared" si="1"/>
        <v>6</v>
      </c>
      <c r="B7" s="18"/>
      <c r="C7" s="17">
        <v>0</v>
      </c>
      <c r="D7" s="17">
        <v>0</v>
      </c>
      <c r="E7" s="17">
        <v>0</v>
      </c>
      <c r="F7" s="17">
        <v>86505</v>
      </c>
      <c r="G7" s="17">
        <v>79584.600000000006</v>
      </c>
      <c r="H7" s="17">
        <v>74394.3</v>
      </c>
      <c r="I7" s="17">
        <v>74394.3</v>
      </c>
      <c r="J7" s="17">
        <v>74394.3</v>
      </c>
      <c r="K7" s="17">
        <v>89965.2</v>
      </c>
      <c r="L7" s="17">
        <v>115916.70000000001</v>
      </c>
      <c r="M7" s="17">
        <v>99480.750000000015</v>
      </c>
      <c r="N7" s="17">
        <v>94290.450000000012</v>
      </c>
      <c r="O7" s="17">
        <v>94290.450000000012</v>
      </c>
      <c r="P7" s="17">
        <v>94290.450000000012</v>
      </c>
      <c r="Q7" s="17">
        <v>94290.450000000012</v>
      </c>
      <c r="R7" s="17">
        <v>115916.70000000001</v>
      </c>
      <c r="S7" s="17">
        <v>115916.70000000001</v>
      </c>
    </row>
    <row r="8" spans="1:19" s="20" customFormat="1" ht="14.25">
      <c r="A8" s="23">
        <f t="shared" si="1"/>
        <v>7</v>
      </c>
      <c r="B8" s="18"/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102200</v>
      </c>
      <c r="Q8" s="17">
        <v>110376</v>
      </c>
      <c r="R8" s="17">
        <v>119574.00000000001</v>
      </c>
      <c r="S8" s="17">
        <v>107310.00000000003</v>
      </c>
    </row>
    <row r="9" spans="1:19" s="20" customFormat="1" ht="14.25">
      <c r="A9" s="23">
        <f t="shared" si="1"/>
        <v>8</v>
      </c>
      <c r="B9" s="18"/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80300</v>
      </c>
      <c r="P9" s="17">
        <v>65846</v>
      </c>
      <c r="Q9" s="17">
        <v>86724</v>
      </c>
      <c r="R9" s="17">
        <v>85118</v>
      </c>
      <c r="S9" s="17">
        <v>108405</v>
      </c>
    </row>
    <row r="10" spans="1:19" s="20" customFormat="1" ht="14.25">
      <c r="A10" s="23">
        <f t="shared" si="1"/>
        <v>9</v>
      </c>
      <c r="B10" s="18"/>
      <c r="C10" s="17">
        <v>82125</v>
      </c>
      <c r="D10" s="17">
        <v>89516.25</v>
      </c>
      <c r="E10" s="17">
        <v>105120</v>
      </c>
      <c r="F10" s="17">
        <v>127293.75</v>
      </c>
      <c r="G10" s="17">
        <v>140433.75</v>
      </c>
      <c r="H10" s="17">
        <v>155216.25</v>
      </c>
      <c r="I10" s="17">
        <v>153573.75</v>
      </c>
      <c r="J10" s="17">
        <v>162607.5</v>
      </c>
      <c r="K10" s="17">
        <v>169177.5</v>
      </c>
      <c r="L10" s="17">
        <v>169177.5</v>
      </c>
      <c r="M10" s="17">
        <v>173283.75</v>
      </c>
      <c r="N10" s="17">
        <v>185602.49999999997</v>
      </c>
      <c r="O10" s="17">
        <v>183959.99999999997</v>
      </c>
      <c r="P10" s="17">
        <v>189708.74999999997</v>
      </c>
      <c r="Q10" s="17">
        <v>195457.49999999994</v>
      </c>
      <c r="R10" s="17">
        <v>0</v>
      </c>
      <c r="S10" s="17">
        <v>0</v>
      </c>
    </row>
    <row r="11" spans="1:19" s="20" customFormat="1" ht="14.25">
      <c r="A11" s="23">
        <f t="shared" si="1"/>
        <v>10</v>
      </c>
      <c r="B11" s="18"/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97455</v>
      </c>
      <c r="S11" s="17">
        <v>97455</v>
      </c>
    </row>
    <row r="12" spans="1:19" s="20" customFormat="1" ht="14.25">
      <c r="A12" s="23">
        <f t="shared" si="1"/>
        <v>11</v>
      </c>
      <c r="B12" s="18"/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78110</v>
      </c>
    </row>
    <row r="13" spans="1:19" s="20" customFormat="1" ht="14.25">
      <c r="A13" s="23">
        <f t="shared" si="1"/>
        <v>12</v>
      </c>
      <c r="B13" s="18"/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84315</v>
      </c>
      <c r="L13" s="17">
        <v>96119.1</v>
      </c>
      <c r="M13" s="17">
        <v>112982.1</v>
      </c>
      <c r="N13" s="17">
        <v>125629.35</v>
      </c>
      <c r="O13" s="17">
        <v>139119.75</v>
      </c>
      <c r="P13" s="17">
        <v>139119.75</v>
      </c>
      <c r="Q13" s="17">
        <v>154296.44999999998</v>
      </c>
      <c r="R13" s="17">
        <v>166943.69999999998</v>
      </c>
      <c r="S13" s="17">
        <v>161041.64999999997</v>
      </c>
    </row>
    <row r="14" spans="1:19" s="20" customFormat="1" ht="14.25">
      <c r="A14" s="23">
        <f t="shared" si="1"/>
        <v>13</v>
      </c>
      <c r="B14" s="18"/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78840</v>
      </c>
      <c r="J14" s="17">
        <v>78840</v>
      </c>
      <c r="K14" s="17">
        <v>102492</v>
      </c>
      <c r="L14" s="17">
        <v>124567.20000000001</v>
      </c>
      <c r="M14" s="17">
        <v>108799.20000000001</v>
      </c>
      <c r="N14" s="17">
        <v>130086.00000000001</v>
      </c>
      <c r="O14" s="17">
        <v>123778.8</v>
      </c>
      <c r="P14" s="17">
        <v>145854</v>
      </c>
      <c r="Q14" s="17">
        <v>162410.4</v>
      </c>
      <c r="R14" s="17">
        <v>162410.4</v>
      </c>
      <c r="S14" s="17">
        <v>162410.4</v>
      </c>
    </row>
    <row r="15" spans="1:19" s="20" customFormat="1" ht="14.25">
      <c r="A15" s="23">
        <f t="shared" si="1"/>
        <v>14</v>
      </c>
      <c r="B15" s="18"/>
      <c r="C15" s="17">
        <v>91980</v>
      </c>
      <c r="D15" s="17">
        <v>99338.400000000009</v>
      </c>
      <c r="E15" s="17">
        <v>117734.40000000001</v>
      </c>
      <c r="F15" s="17">
        <v>117734.40000000001</v>
      </c>
      <c r="G15" s="17">
        <v>117734.40000000001</v>
      </c>
      <c r="H15" s="17">
        <v>126012.6</v>
      </c>
      <c r="I15" s="17">
        <v>149007.6</v>
      </c>
      <c r="J15" s="17">
        <v>137050.20000000001</v>
      </c>
      <c r="K15" s="17">
        <v>163724.40000000002</v>
      </c>
      <c r="L15" s="17">
        <v>177521.40000000002</v>
      </c>
      <c r="M15" s="17">
        <v>167403.6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</row>
    <row r="16" spans="1:19" s="20" customFormat="1" ht="14.25">
      <c r="A16" s="23">
        <f t="shared" si="1"/>
        <v>15</v>
      </c>
      <c r="B16" s="18"/>
      <c r="C16" s="17">
        <v>82490</v>
      </c>
      <c r="D16" s="17">
        <v>90739.000000000015</v>
      </c>
      <c r="E16" s="17">
        <v>103937.4</v>
      </c>
      <c r="F16" s="17">
        <v>103937.4</v>
      </c>
      <c r="G16" s="17">
        <v>112186.40000000001</v>
      </c>
      <c r="H16" s="17">
        <v>118785.60000000002</v>
      </c>
      <c r="I16" s="17">
        <v>138583.20000000001</v>
      </c>
      <c r="J16" s="17">
        <v>138583.20000000001</v>
      </c>
      <c r="K16" s="17">
        <v>143532.6</v>
      </c>
      <c r="L16" s="17">
        <v>168279.6</v>
      </c>
      <c r="M16" s="17">
        <v>187252.3</v>
      </c>
      <c r="N16" s="17">
        <v>192201.7</v>
      </c>
      <c r="O16" s="17">
        <v>192201.7</v>
      </c>
      <c r="P16" s="17">
        <v>0</v>
      </c>
      <c r="Q16" s="17">
        <v>0</v>
      </c>
      <c r="R16" s="17">
        <v>0</v>
      </c>
      <c r="S16" s="17">
        <v>0</v>
      </c>
    </row>
    <row r="17" spans="1:19" s="20" customFormat="1" ht="14.25">
      <c r="A17" s="23">
        <f t="shared" si="1"/>
        <v>16</v>
      </c>
      <c r="B17" s="18"/>
      <c r="C17" s="17">
        <v>81395</v>
      </c>
      <c r="D17" s="17">
        <v>95232.15</v>
      </c>
      <c r="E17" s="17">
        <v>113953</v>
      </c>
      <c r="F17" s="17">
        <v>124534.34999999999</v>
      </c>
      <c r="G17" s="17">
        <v>109069.29999999999</v>
      </c>
      <c r="H17" s="17">
        <v>117208.8</v>
      </c>
      <c r="I17" s="17">
        <v>127790.15</v>
      </c>
      <c r="J17" s="17">
        <v>135929.65</v>
      </c>
      <c r="K17" s="17">
        <v>160348.15</v>
      </c>
      <c r="L17" s="17">
        <v>160348.15</v>
      </c>
      <c r="M17" s="17">
        <v>181510.85</v>
      </c>
      <c r="N17" s="17">
        <v>200231.7</v>
      </c>
      <c r="O17" s="17">
        <v>200231.7</v>
      </c>
      <c r="P17" s="17">
        <v>0</v>
      </c>
      <c r="Q17" s="17">
        <v>0</v>
      </c>
      <c r="R17" s="17">
        <v>0</v>
      </c>
      <c r="S17" s="17">
        <v>0</v>
      </c>
    </row>
    <row r="18" spans="1:19" s="20" customFormat="1" ht="14.25">
      <c r="A18" s="23">
        <f t="shared" si="1"/>
        <v>17</v>
      </c>
      <c r="B18" s="18"/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88330</v>
      </c>
      <c r="O18" s="17">
        <v>114829</v>
      </c>
      <c r="P18" s="17">
        <v>114829</v>
      </c>
      <c r="Q18" s="17">
        <v>128078.5</v>
      </c>
      <c r="R18" s="17">
        <v>119245.49999999999</v>
      </c>
      <c r="S18" s="17">
        <v>140444.69999999998</v>
      </c>
    </row>
    <row r="19" spans="1:19" s="20" customFormat="1" ht="14.25">
      <c r="A19" s="23">
        <f t="shared" si="1"/>
        <v>18</v>
      </c>
      <c r="B19" s="18"/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92345</v>
      </c>
      <c r="Q19" s="17">
        <v>101579.50000000001</v>
      </c>
      <c r="R19" s="17">
        <v>115431.25</v>
      </c>
      <c r="S19" s="17">
        <v>121895.40000000001</v>
      </c>
    </row>
    <row r="20" spans="1:19" s="20" customFormat="1" ht="14.25">
      <c r="A20" s="23">
        <f t="shared" si="1"/>
        <v>19</v>
      </c>
      <c r="B20" s="18"/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84315</v>
      </c>
      <c r="M20" s="17">
        <v>92746.500000000015</v>
      </c>
      <c r="N20" s="17">
        <v>113825.25000000001</v>
      </c>
      <c r="O20" s="17">
        <v>133217.70000000001</v>
      </c>
      <c r="P20" s="17">
        <v>153453.30000000002</v>
      </c>
      <c r="Q20" s="17">
        <v>136590.30000000002</v>
      </c>
      <c r="R20" s="17">
        <v>157669.05000000002</v>
      </c>
      <c r="S20" s="17">
        <v>177904.65000000002</v>
      </c>
    </row>
    <row r="21" spans="1:19" s="20" customFormat="1" ht="14.25">
      <c r="A21" s="23">
        <f t="shared" si="1"/>
        <v>20</v>
      </c>
      <c r="B21" s="18"/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66430</v>
      </c>
      <c r="J21" s="17">
        <v>71744.400000000009</v>
      </c>
      <c r="K21" s="17">
        <v>70415.8</v>
      </c>
      <c r="L21" s="17">
        <v>79051.7</v>
      </c>
      <c r="M21" s="17">
        <v>91009.099999999991</v>
      </c>
      <c r="N21" s="17">
        <v>91009.099999999991</v>
      </c>
      <c r="O21" s="17">
        <v>107616.59999999999</v>
      </c>
      <c r="P21" s="17">
        <v>118909.69999999998</v>
      </c>
      <c r="Q21" s="17">
        <v>118909.69999999998</v>
      </c>
      <c r="R21" s="17">
        <v>105623.7</v>
      </c>
      <c r="S21" s="17">
        <v>105623.7</v>
      </c>
    </row>
    <row r="22" spans="1:19" s="20" customFormat="1" ht="14.25">
      <c r="A22" s="23">
        <f t="shared" si="1"/>
        <v>21</v>
      </c>
      <c r="B22" s="18"/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95995</v>
      </c>
      <c r="Q22" s="17">
        <v>102714.65000000001</v>
      </c>
      <c r="R22" s="17">
        <v>127673.35</v>
      </c>
      <c r="S22" s="17">
        <v>154551.95000000001</v>
      </c>
    </row>
    <row r="23" spans="1:19" s="20" customFormat="1" ht="14.25">
      <c r="A23" s="23">
        <f t="shared" si="1"/>
        <v>22</v>
      </c>
      <c r="B23" s="18"/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73365</v>
      </c>
      <c r="Q23" s="17">
        <v>92439.9</v>
      </c>
      <c r="R23" s="17">
        <v>97575.450000000012</v>
      </c>
      <c r="S23" s="17">
        <v>97575.450000000012</v>
      </c>
    </row>
    <row r="24" spans="1:19" s="20" customFormat="1" ht="14.25">
      <c r="A24" s="23">
        <f t="shared" si="1"/>
        <v>23</v>
      </c>
      <c r="B24" s="18"/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97090</v>
      </c>
      <c r="P24" s="17">
        <v>88351.900000000009</v>
      </c>
      <c r="Q24" s="17">
        <v>100002.7</v>
      </c>
      <c r="R24" s="17">
        <v>113595.29999999999</v>
      </c>
      <c r="S24" s="17">
        <v>104857.19999999998</v>
      </c>
    </row>
    <row r="25" spans="1:19" s="20" customFormat="1" ht="14.25">
      <c r="A25" s="23">
        <f t="shared" si="1"/>
        <v>24</v>
      </c>
      <c r="B25" s="18"/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78475</v>
      </c>
      <c r="I25" s="17">
        <v>70627.5</v>
      </c>
      <c r="J25" s="17">
        <v>78475</v>
      </c>
      <c r="K25" s="17">
        <v>78475</v>
      </c>
      <c r="L25" s="17">
        <v>84753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</row>
    <row r="26" spans="1:19" s="20" customFormat="1" ht="14.25">
      <c r="A26" s="23">
        <f t="shared" si="1"/>
        <v>25</v>
      </c>
      <c r="B26" s="18"/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73000</v>
      </c>
      <c r="O26" s="17">
        <v>83220.000000000015</v>
      </c>
      <c r="P26" s="17">
        <v>73000</v>
      </c>
      <c r="Q26" s="17">
        <v>88330</v>
      </c>
      <c r="R26" s="17">
        <v>105120</v>
      </c>
      <c r="S26" s="17">
        <v>105120</v>
      </c>
    </row>
    <row r="27" spans="1:19" s="20" customFormat="1" ht="14.25">
      <c r="A27" s="23">
        <f t="shared" si="1"/>
        <v>26</v>
      </c>
      <c r="B27" s="18"/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96360</v>
      </c>
      <c r="K27" s="17">
        <v>111777.59999999999</v>
      </c>
      <c r="L27" s="17">
        <v>111777.59999999999</v>
      </c>
      <c r="M27" s="17">
        <v>99250.799999999988</v>
      </c>
      <c r="N27" s="17">
        <v>99250.799999999988</v>
      </c>
      <c r="O27" s="17">
        <v>99250.799999999988</v>
      </c>
      <c r="P27" s="17">
        <v>92505.599999999977</v>
      </c>
      <c r="Q27" s="17">
        <v>101177.99999999999</v>
      </c>
      <c r="R27" s="17">
        <v>96359.999999999985</v>
      </c>
      <c r="S27" s="17">
        <v>96359.999999999985</v>
      </c>
    </row>
    <row r="28" spans="1:19" s="20" customFormat="1" ht="14.25">
      <c r="A28" s="23">
        <f t="shared" si="1"/>
        <v>27</v>
      </c>
      <c r="B28" s="18"/>
      <c r="C28" s="17">
        <v>0</v>
      </c>
      <c r="D28" s="17">
        <v>0</v>
      </c>
      <c r="E28" s="17">
        <v>0</v>
      </c>
      <c r="F28" s="17">
        <v>0</v>
      </c>
      <c r="G28" s="17">
        <v>100010</v>
      </c>
      <c r="H28" s="17">
        <v>116011.59999999999</v>
      </c>
      <c r="I28" s="17">
        <v>121012.09999999999</v>
      </c>
      <c r="J28" s="17">
        <v>127012.7</v>
      </c>
      <c r="K28" s="17">
        <v>117011.7</v>
      </c>
      <c r="L28" s="17">
        <v>133013.29999999999</v>
      </c>
      <c r="M28" s="17">
        <v>158015.79999999999</v>
      </c>
      <c r="N28" s="17">
        <v>143014.29999999999</v>
      </c>
      <c r="O28" s="17">
        <v>134013.4</v>
      </c>
      <c r="P28" s="17">
        <v>121012.09999999999</v>
      </c>
      <c r="Q28" s="17">
        <v>151015.1</v>
      </c>
      <c r="R28" s="17">
        <v>151015.1</v>
      </c>
      <c r="S28" s="17">
        <v>170017</v>
      </c>
    </row>
    <row r="29" spans="1:19" s="20" customFormat="1" ht="14.25">
      <c r="A29" s="23">
        <f t="shared" si="1"/>
        <v>28</v>
      </c>
      <c r="B29" s="18"/>
      <c r="C29" s="17">
        <v>96360</v>
      </c>
      <c r="D29" s="17">
        <v>101178</v>
      </c>
      <c r="E29" s="17">
        <v>101178</v>
      </c>
      <c r="F29" s="17">
        <v>101178</v>
      </c>
      <c r="G29" s="17">
        <v>112741.2</v>
      </c>
      <c r="H29" s="17">
        <v>133940.4</v>
      </c>
      <c r="I29" s="17">
        <v>147430.79999999999</v>
      </c>
      <c r="J29" s="17">
        <v>147430.79999999999</v>
      </c>
      <c r="K29" s="17">
        <v>138758.39999999997</v>
      </c>
      <c r="L29" s="17">
        <v>146467.19999999998</v>
      </c>
      <c r="M29" s="17">
        <v>132976.79999999999</v>
      </c>
      <c r="N29" s="17">
        <v>142612.79999999999</v>
      </c>
      <c r="O29" s="17">
        <v>167666.4</v>
      </c>
      <c r="P29" s="17">
        <v>148394.4</v>
      </c>
      <c r="Q29" s="17">
        <v>143576.4</v>
      </c>
      <c r="R29" s="17">
        <v>150321.60000000001</v>
      </c>
      <c r="S29" s="17">
        <v>162848.4</v>
      </c>
    </row>
    <row r="30" spans="1:19" s="20" customFormat="1" ht="14.25">
      <c r="A30" s="23">
        <f t="shared" si="1"/>
        <v>29</v>
      </c>
      <c r="B30" s="18"/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70445</v>
      </c>
      <c r="J30" s="17">
        <v>57060.450000000004</v>
      </c>
      <c r="K30" s="17">
        <v>57060.450000000004</v>
      </c>
      <c r="L30" s="17">
        <v>54242.65</v>
      </c>
      <c r="M30" s="17">
        <v>54242.65</v>
      </c>
      <c r="N30" s="17">
        <v>54242.65</v>
      </c>
      <c r="O30" s="17">
        <v>66922.75</v>
      </c>
      <c r="P30" s="17">
        <v>66922.75</v>
      </c>
      <c r="Q30" s="17">
        <v>61991.599999999991</v>
      </c>
      <c r="R30" s="17">
        <v>81011.75</v>
      </c>
      <c r="S30" s="17">
        <v>98623</v>
      </c>
    </row>
    <row r="31" spans="1:19" s="20" customFormat="1" ht="14.25">
      <c r="A31" s="23">
        <f t="shared" si="1"/>
        <v>30</v>
      </c>
      <c r="B31" s="18"/>
      <c r="C31" s="17">
        <v>0</v>
      </c>
      <c r="D31" s="17">
        <v>94535</v>
      </c>
      <c r="E31" s="17">
        <v>105879.20000000001</v>
      </c>
      <c r="F31" s="17">
        <v>89808.25</v>
      </c>
      <c r="G31" s="17">
        <v>97371.05</v>
      </c>
      <c r="H31" s="17">
        <v>117223.4</v>
      </c>
      <c r="I31" s="17">
        <v>125731.55</v>
      </c>
      <c r="J31" s="17">
        <v>109660.60000000002</v>
      </c>
      <c r="K31" s="17">
        <v>116278.05000000002</v>
      </c>
      <c r="L31" s="17">
        <v>102097.80000000003</v>
      </c>
      <c r="M31" s="17">
        <v>102097.80000000003</v>
      </c>
      <c r="N31" s="17">
        <v>102097.80000000003</v>
      </c>
      <c r="O31" s="17">
        <v>114387.35000000003</v>
      </c>
      <c r="P31" s="17">
        <v>138966.45000000004</v>
      </c>
      <c r="Q31" s="17">
        <v>138966.45000000004</v>
      </c>
      <c r="R31" s="17">
        <v>124786.20000000004</v>
      </c>
      <c r="S31" s="17">
        <v>118168.75000000004</v>
      </c>
    </row>
    <row r="32" spans="1:19" s="20" customFormat="1" ht="14.25">
      <c r="A32" s="23">
        <f t="shared" si="1"/>
        <v>31</v>
      </c>
      <c r="B32" s="18"/>
      <c r="C32" s="17">
        <v>90155</v>
      </c>
      <c r="D32" s="17">
        <v>107284.45</v>
      </c>
      <c r="E32" s="17">
        <v>114496.85</v>
      </c>
      <c r="F32" s="17">
        <v>136134.04999999999</v>
      </c>
      <c r="G32" s="17">
        <v>122610.8</v>
      </c>
      <c r="H32" s="17">
        <v>144248</v>
      </c>
      <c r="I32" s="17">
        <v>144248</v>
      </c>
      <c r="J32" s="17">
        <v>144248</v>
      </c>
      <c r="K32" s="17">
        <v>149657.30000000002</v>
      </c>
      <c r="L32" s="17">
        <v>169491.40000000002</v>
      </c>
      <c r="M32" s="17">
        <v>191128.6</v>
      </c>
      <c r="N32" s="17">
        <v>195636.35</v>
      </c>
      <c r="O32" s="17">
        <v>195636.35</v>
      </c>
      <c r="P32" s="17">
        <v>201947.19999999998</v>
      </c>
      <c r="Q32" s="17">
        <v>201947.19999999998</v>
      </c>
      <c r="R32" s="17">
        <v>221781.3</v>
      </c>
      <c r="S32" s="17">
        <v>239812.30000000002</v>
      </c>
    </row>
    <row r="33" spans="1:19" s="20" customFormat="1" ht="14.25">
      <c r="A33" s="23">
        <f t="shared" si="1"/>
        <v>32</v>
      </c>
      <c r="B33" s="18"/>
      <c r="C33" s="17">
        <v>66430</v>
      </c>
      <c r="D33" s="17">
        <v>75730.200000000012</v>
      </c>
      <c r="E33" s="17">
        <v>80380.300000000017</v>
      </c>
      <c r="F33" s="17">
        <v>80380.300000000017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</row>
    <row r="34" spans="1:19" s="20" customFormat="1" ht="14.25">
      <c r="A34" s="23">
        <f t="shared" si="1"/>
        <v>33</v>
      </c>
      <c r="B34" s="18"/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105485</v>
      </c>
      <c r="N34" s="17">
        <v>118143.20000000001</v>
      </c>
      <c r="O34" s="17">
        <v>141349.9</v>
      </c>
      <c r="P34" s="17">
        <v>141349.9</v>
      </c>
      <c r="Q34" s="17">
        <v>123417.45000000001</v>
      </c>
      <c r="R34" s="17">
        <v>141349.9</v>
      </c>
      <c r="S34" s="17">
        <v>167721.15</v>
      </c>
    </row>
    <row r="35" spans="1:19" s="19" customFormat="1" ht="14.25">
      <c r="A35" s="23">
        <f t="shared" si="1"/>
        <v>34</v>
      </c>
      <c r="B35" s="18"/>
      <c r="C35" s="17">
        <v>96360</v>
      </c>
      <c r="D35" s="17">
        <v>120450</v>
      </c>
      <c r="E35" s="17">
        <v>130086.00000000001</v>
      </c>
      <c r="F35" s="17">
        <v>135867.6</v>
      </c>
      <c r="G35" s="17">
        <v>150321.60000000001</v>
      </c>
      <c r="H35" s="17">
        <v>161884.80000000002</v>
      </c>
      <c r="I35" s="17">
        <v>179229.6</v>
      </c>
      <c r="J35" s="17">
        <v>206210.40000000002</v>
      </c>
      <c r="K35" s="17">
        <v>233191.19999999998</v>
      </c>
      <c r="L35" s="17">
        <v>221627.99999999997</v>
      </c>
      <c r="M35" s="17">
        <v>237045.6</v>
      </c>
      <c r="N35" s="17">
        <v>251499.59999999998</v>
      </c>
      <c r="O35" s="17">
        <v>270771.59999999998</v>
      </c>
      <c r="P35" s="17">
        <v>295825.2</v>
      </c>
      <c r="Q35" s="17">
        <v>279444.00000000006</v>
      </c>
      <c r="R35" s="17">
        <v>302570.40000000008</v>
      </c>
      <c r="S35" s="17">
        <v>299679.60000000009</v>
      </c>
    </row>
    <row r="36" spans="1:19" s="19" customFormat="1" ht="14.25">
      <c r="A36" s="23">
        <f t="shared" si="1"/>
        <v>35</v>
      </c>
      <c r="B36" s="18"/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69715</v>
      </c>
      <c r="K36" s="17">
        <v>85749.45</v>
      </c>
      <c r="L36" s="17">
        <v>103875.35</v>
      </c>
      <c r="M36" s="17">
        <v>103875.35</v>
      </c>
      <c r="N36" s="17">
        <v>112241.15</v>
      </c>
      <c r="O36" s="17">
        <v>126184.15</v>
      </c>
      <c r="P36" s="17">
        <v>119909.79999999999</v>
      </c>
      <c r="Q36" s="17">
        <v>119909.79999999999</v>
      </c>
      <c r="R36" s="17">
        <v>138732.84999999998</v>
      </c>
      <c r="S36" s="17">
        <v>151281.54999999999</v>
      </c>
    </row>
    <row r="37" spans="1:19" s="19" customFormat="1" ht="14.25">
      <c r="A37" s="23">
        <f t="shared" si="1"/>
        <v>36</v>
      </c>
      <c r="B37" s="18"/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71175</v>
      </c>
      <c r="R37" s="17">
        <v>84698.25</v>
      </c>
      <c r="S37" s="17">
        <v>84698.25</v>
      </c>
    </row>
    <row r="38" spans="1:19" s="19" customFormat="1" ht="14.25">
      <c r="A38" s="23">
        <f t="shared" si="1"/>
        <v>37</v>
      </c>
      <c r="B38" s="18"/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73365</v>
      </c>
      <c r="L38" s="17">
        <v>90238.95</v>
      </c>
      <c r="M38" s="17">
        <v>106379.25</v>
      </c>
      <c r="N38" s="17">
        <v>114449.40000000001</v>
      </c>
      <c r="O38" s="17">
        <v>118117.65000000001</v>
      </c>
      <c r="P38" s="17">
        <v>137926.20000000001</v>
      </c>
      <c r="Q38" s="17">
        <v>137926.20000000001</v>
      </c>
      <c r="R38" s="17">
        <v>155533.80000000002</v>
      </c>
      <c r="S38" s="17">
        <v>176076.00000000003</v>
      </c>
    </row>
    <row r="39" spans="1:19" s="19" customFormat="1" ht="14.25">
      <c r="A39" s="23">
        <f t="shared" si="1"/>
        <v>38</v>
      </c>
      <c r="B39" s="18"/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102565</v>
      </c>
      <c r="O39" s="17">
        <v>129231.9</v>
      </c>
      <c r="P39" s="17">
        <v>134360.15</v>
      </c>
      <c r="Q39" s="17">
        <v>145642.30000000002</v>
      </c>
      <c r="R39" s="17">
        <v>142565.35</v>
      </c>
      <c r="S39" s="17">
        <v>153847.50000000003</v>
      </c>
    </row>
    <row r="40" spans="1:19" s="19" customFormat="1" ht="14.25">
      <c r="A40" s="23">
        <f t="shared" si="1"/>
        <v>39</v>
      </c>
      <c r="B40" s="18"/>
      <c r="C40" s="17">
        <v>96725</v>
      </c>
      <c r="D40" s="17">
        <v>79314.5</v>
      </c>
      <c r="E40" s="17">
        <v>87052.5</v>
      </c>
      <c r="F40" s="17">
        <v>111233.74999999999</v>
      </c>
      <c r="G40" s="17">
        <v>111233.74999999999</v>
      </c>
      <c r="H40" s="17">
        <v>136382.25</v>
      </c>
      <c r="I40" s="17">
        <v>149923.74999999997</v>
      </c>
      <c r="J40" s="17">
        <v>144120.24999999997</v>
      </c>
      <c r="K40" s="17">
        <v>157661.75</v>
      </c>
      <c r="L40" s="17">
        <v>154760</v>
      </c>
      <c r="M40" s="17">
        <v>177974</v>
      </c>
      <c r="N40" s="17">
        <v>177974</v>
      </c>
      <c r="O40" s="17">
        <v>176039.49999999997</v>
      </c>
      <c r="P40" s="17">
        <v>182810.25</v>
      </c>
      <c r="Q40" s="17">
        <v>182810.25</v>
      </c>
      <c r="R40" s="17">
        <v>198286.24999999997</v>
      </c>
      <c r="S40" s="17">
        <v>211827.75</v>
      </c>
    </row>
    <row r="41" spans="1:19" s="19" customFormat="1" ht="14.25">
      <c r="A41" s="23">
        <f t="shared" si="1"/>
        <v>40</v>
      </c>
      <c r="B41" s="18"/>
      <c r="C41" s="17">
        <v>67525</v>
      </c>
      <c r="D41" s="17">
        <v>67525</v>
      </c>
      <c r="E41" s="17">
        <v>70901.25</v>
      </c>
      <c r="F41" s="17">
        <v>70901.25</v>
      </c>
      <c r="G41" s="17">
        <v>70901.25</v>
      </c>
      <c r="H41" s="17">
        <v>70901.25</v>
      </c>
      <c r="I41" s="17">
        <v>86432</v>
      </c>
      <c r="J41" s="17">
        <v>99937</v>
      </c>
      <c r="K41" s="17">
        <v>92509.249999999985</v>
      </c>
      <c r="L41" s="17">
        <v>91158.749999999985</v>
      </c>
      <c r="M41" s="17">
        <v>91158.749999999985</v>
      </c>
      <c r="N41" s="17">
        <v>91158.749999999985</v>
      </c>
      <c r="O41" s="17">
        <v>94535</v>
      </c>
      <c r="P41" s="17">
        <v>109390.49999999999</v>
      </c>
      <c r="Q41" s="17">
        <v>118843.99999999999</v>
      </c>
      <c r="R41" s="17">
        <v>126947</v>
      </c>
      <c r="S41" s="17">
        <v>124245.99999999999</v>
      </c>
    </row>
    <row r="42" spans="1:19" s="19" customFormat="1" ht="14.25">
      <c r="A42" s="23">
        <f t="shared" si="1"/>
        <v>41</v>
      </c>
      <c r="B42" s="18"/>
      <c r="C42" s="17">
        <v>85410</v>
      </c>
      <c r="D42" s="17">
        <v>78577.2</v>
      </c>
      <c r="E42" s="17">
        <v>92242.8</v>
      </c>
      <c r="F42" s="17">
        <v>117865.8</v>
      </c>
      <c r="G42" s="17">
        <v>136656</v>
      </c>
      <c r="H42" s="17">
        <v>160570.80000000002</v>
      </c>
      <c r="I42" s="17">
        <v>164841.30000000002</v>
      </c>
      <c r="J42" s="17">
        <v>161424.90000000002</v>
      </c>
      <c r="K42" s="17">
        <v>174236.4</v>
      </c>
      <c r="L42" s="17">
        <v>187047.9</v>
      </c>
      <c r="M42" s="17">
        <v>187047.9</v>
      </c>
      <c r="N42" s="17">
        <v>194734.8</v>
      </c>
      <c r="O42" s="17">
        <v>201567.59999999998</v>
      </c>
      <c r="P42" s="17">
        <v>206692.19999999998</v>
      </c>
      <c r="Q42" s="17">
        <v>219503.69999999998</v>
      </c>
      <c r="R42" s="17">
        <v>228898.8</v>
      </c>
      <c r="S42" s="17">
        <v>228898.8</v>
      </c>
    </row>
    <row r="43" spans="1:19" s="19" customFormat="1" ht="14.25">
      <c r="A43" s="23">
        <f t="shared" si="1"/>
        <v>42</v>
      </c>
      <c r="B43" s="18"/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98915</v>
      </c>
      <c r="Q43" s="17">
        <v>105839.05</v>
      </c>
      <c r="R43" s="17">
        <v>117708.84999999999</v>
      </c>
      <c r="S43" s="17">
        <v>134524.4</v>
      </c>
    </row>
    <row r="44" spans="1:19" s="19" customFormat="1" ht="14.25">
      <c r="A44" s="23">
        <f t="shared" si="1"/>
        <v>43</v>
      </c>
      <c r="B44" s="18"/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74460</v>
      </c>
      <c r="L44" s="17">
        <v>74460</v>
      </c>
      <c r="M44" s="17">
        <v>81161.400000000009</v>
      </c>
      <c r="N44" s="17">
        <v>97542.6</v>
      </c>
      <c r="O44" s="17">
        <v>89352</v>
      </c>
      <c r="P44" s="17">
        <v>89352</v>
      </c>
      <c r="Q44" s="17">
        <v>89352</v>
      </c>
      <c r="R44" s="17">
        <v>107222.39999999999</v>
      </c>
      <c r="S44" s="17">
        <v>107222.39999999999</v>
      </c>
    </row>
    <row r="45" spans="1:19" s="19" customFormat="1" ht="14.25">
      <c r="A45" s="23">
        <f t="shared" si="1"/>
        <v>44</v>
      </c>
      <c r="B45" s="18"/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77015</v>
      </c>
      <c r="M45" s="17">
        <v>94728.45</v>
      </c>
      <c r="N45" s="17">
        <v>79325.45</v>
      </c>
      <c r="O45" s="17">
        <v>79325.45</v>
      </c>
      <c r="P45" s="17">
        <v>90107.549999999988</v>
      </c>
      <c r="Q45" s="17">
        <v>90107.549999999988</v>
      </c>
      <c r="R45" s="17">
        <v>99349.35</v>
      </c>
      <c r="S45" s="17">
        <v>113212.05</v>
      </c>
    </row>
    <row r="46" spans="1:19" s="19" customFormat="1" ht="14.25">
      <c r="A46" s="23">
        <f t="shared" si="1"/>
        <v>45</v>
      </c>
      <c r="B46" s="18"/>
      <c r="C46" s="17">
        <v>0</v>
      </c>
      <c r="D46" s="17">
        <v>89060</v>
      </c>
      <c r="E46" s="17">
        <v>89060</v>
      </c>
      <c r="F46" s="17">
        <v>110434.4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</row>
    <row r="47" spans="1:19" s="19" customFormat="1" ht="14.25">
      <c r="A47" s="23">
        <f t="shared" si="1"/>
        <v>46</v>
      </c>
      <c r="B47" s="18"/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84315</v>
      </c>
      <c r="P47" s="17">
        <v>105393.75</v>
      </c>
      <c r="Q47" s="17">
        <v>105393.75</v>
      </c>
      <c r="R47" s="17">
        <v>112138.95000000001</v>
      </c>
      <c r="S47" s="17">
        <v>100334.84999999999</v>
      </c>
    </row>
    <row r="48" spans="1:19" s="19" customFormat="1" ht="14.25">
      <c r="A48" s="23">
        <f t="shared" si="1"/>
        <v>47</v>
      </c>
      <c r="B48" s="18"/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82490</v>
      </c>
      <c r="J48" s="17">
        <v>82490</v>
      </c>
      <c r="K48" s="17">
        <v>97338.2</v>
      </c>
      <c r="L48" s="17">
        <v>102287.6</v>
      </c>
      <c r="M48" s="17">
        <v>99812.9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</row>
    <row r="49" spans="1:19" s="19" customFormat="1" ht="14.25">
      <c r="A49" s="23">
        <f t="shared" si="1"/>
        <v>48</v>
      </c>
      <c r="B49" s="18"/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73365</v>
      </c>
      <c r="R49" s="17">
        <v>94640.85</v>
      </c>
      <c r="S49" s="17">
        <v>112248.45</v>
      </c>
    </row>
    <row r="50" spans="1:19" s="19" customFormat="1" ht="14.25">
      <c r="A50" s="23">
        <f t="shared" si="1"/>
        <v>49</v>
      </c>
      <c r="B50" s="18"/>
      <c r="C50" s="17">
        <v>105120</v>
      </c>
      <c r="D50" s="17">
        <v>103017.59999999999</v>
      </c>
      <c r="E50" s="17">
        <v>119836.79999999999</v>
      </c>
      <c r="F50" s="17">
        <v>130348.8</v>
      </c>
      <c r="G50" s="17">
        <v>142963.19999999998</v>
      </c>
      <c r="H50" s="17">
        <v>142963.19999999998</v>
      </c>
      <c r="I50" s="17">
        <v>169243.19999999998</v>
      </c>
      <c r="J50" s="17">
        <v>198676.8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</row>
    <row r="51" spans="1:19" s="19" customFormat="1" ht="14.25">
      <c r="A51" s="23">
        <f t="shared" si="1"/>
        <v>50</v>
      </c>
      <c r="B51" s="18"/>
      <c r="C51" s="17">
        <v>89425</v>
      </c>
      <c r="D51" s="17">
        <v>101944.50000000001</v>
      </c>
      <c r="E51" s="17">
        <v>118935.25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</row>
    <row r="52" spans="1:19" s="19" customFormat="1" ht="14.25">
      <c r="A52" s="23">
        <f t="shared" si="1"/>
        <v>51</v>
      </c>
      <c r="B52" s="18"/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87965</v>
      </c>
      <c r="S52" s="17">
        <v>87965</v>
      </c>
    </row>
    <row r="53" spans="1:19" s="19" customFormat="1" ht="14.25">
      <c r="A53" s="23">
        <f t="shared" si="1"/>
        <v>52</v>
      </c>
      <c r="B53" s="18"/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71540</v>
      </c>
      <c r="M53" s="17">
        <v>65101.4</v>
      </c>
      <c r="N53" s="17">
        <v>65101.4</v>
      </c>
      <c r="O53" s="17">
        <v>85848</v>
      </c>
      <c r="P53" s="17">
        <v>99440.599999999991</v>
      </c>
      <c r="Q53" s="17">
        <v>118041</v>
      </c>
      <c r="R53" s="17">
        <v>138787.6</v>
      </c>
      <c r="S53" s="17">
        <v>148803.20000000001</v>
      </c>
    </row>
    <row r="54" spans="1:19" s="19" customFormat="1" ht="14.25">
      <c r="A54" s="23">
        <f t="shared" si="1"/>
        <v>53</v>
      </c>
      <c r="B54" s="18"/>
      <c r="C54" s="17">
        <v>93440</v>
      </c>
      <c r="D54" s="17">
        <v>99980.800000000003</v>
      </c>
      <c r="E54" s="17">
        <v>111193.59999999999</v>
      </c>
      <c r="F54" s="17">
        <v>111193.59999999999</v>
      </c>
      <c r="G54" s="17">
        <v>128012.79999999999</v>
      </c>
      <c r="H54" s="17">
        <v>156044.79999999999</v>
      </c>
      <c r="I54" s="17">
        <v>170060.79999999999</v>
      </c>
      <c r="J54" s="17">
        <v>190617.60000000001</v>
      </c>
      <c r="K54" s="17">
        <v>206502.39999999999</v>
      </c>
      <c r="L54" s="17">
        <v>228928.00000000003</v>
      </c>
      <c r="M54" s="17">
        <v>237337.60000000001</v>
      </c>
      <c r="N54" s="17">
        <v>252288.00000000003</v>
      </c>
      <c r="O54" s="17">
        <v>271910.40000000002</v>
      </c>
      <c r="P54" s="17">
        <v>281254.40000000002</v>
      </c>
      <c r="Q54" s="17">
        <v>281254.40000000002</v>
      </c>
      <c r="R54" s="17">
        <v>309286.40000000002</v>
      </c>
      <c r="S54" s="17">
        <v>337318.39999999997</v>
      </c>
    </row>
    <row r="55" spans="1:19" s="19" customFormat="1" ht="14.25">
      <c r="A55" s="23">
        <f t="shared" si="1"/>
        <v>54</v>
      </c>
      <c r="B55" s="18"/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95995</v>
      </c>
      <c r="S55" s="17">
        <v>103674.6</v>
      </c>
    </row>
    <row r="56" spans="1:19" ht="14.25">
      <c r="A56" s="23">
        <f t="shared" si="1"/>
        <v>55</v>
      </c>
      <c r="B56" s="18"/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68255</v>
      </c>
      <c r="R56" s="17">
        <v>79175.799999999988</v>
      </c>
      <c r="S56" s="17">
        <v>77810.7</v>
      </c>
    </row>
    <row r="57" spans="1:19" ht="14.25">
      <c r="A57" s="23">
        <f t="shared" si="1"/>
        <v>56</v>
      </c>
      <c r="B57" s="18"/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69715</v>
      </c>
      <c r="S57" s="17">
        <v>76686.5</v>
      </c>
    </row>
    <row r="58" spans="1:19" ht="14.25">
      <c r="A58" s="23">
        <f t="shared" si="1"/>
        <v>57</v>
      </c>
      <c r="B58" s="18"/>
      <c r="C58" s="17">
        <v>0</v>
      </c>
      <c r="D58" s="17">
        <v>0</v>
      </c>
      <c r="E58" s="17">
        <v>0</v>
      </c>
      <c r="F58" s="17">
        <v>0</v>
      </c>
      <c r="G58" s="17">
        <v>71905</v>
      </c>
      <c r="H58" s="17">
        <v>89162.2</v>
      </c>
      <c r="I58" s="17">
        <v>76219.3</v>
      </c>
      <c r="J58" s="17">
        <v>69028.800000000003</v>
      </c>
      <c r="K58" s="17">
        <v>77657.400000000009</v>
      </c>
      <c r="L58" s="17">
        <v>65433.55</v>
      </c>
      <c r="M58" s="17">
        <v>81252.650000000009</v>
      </c>
      <c r="N58" s="17">
        <v>85566.950000000012</v>
      </c>
      <c r="O58" s="17">
        <v>89881.250000000015</v>
      </c>
      <c r="P58" s="17">
        <v>0</v>
      </c>
      <c r="Q58" s="17">
        <v>0</v>
      </c>
      <c r="R58" s="17">
        <v>0</v>
      </c>
      <c r="S58" s="17">
        <v>0</v>
      </c>
    </row>
    <row r="59" spans="1:19" ht="14.25">
      <c r="A59" s="23">
        <f t="shared" si="1"/>
        <v>58</v>
      </c>
      <c r="B59" s="18"/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79570</v>
      </c>
      <c r="P59" s="17">
        <v>85139.900000000009</v>
      </c>
      <c r="Q59" s="17">
        <v>104236.7</v>
      </c>
      <c r="R59" s="17">
        <v>120946.4</v>
      </c>
      <c r="S59" s="17">
        <v>127312</v>
      </c>
    </row>
    <row r="60" spans="1:19" ht="14.25">
      <c r="A60" s="23">
        <f t="shared" si="1"/>
        <v>59</v>
      </c>
      <c r="B60" s="18"/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</row>
    <row r="61" spans="1:19" ht="14.25">
      <c r="A61" s="23">
        <f t="shared" si="1"/>
        <v>60</v>
      </c>
      <c r="B61" s="18"/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102565</v>
      </c>
      <c r="P61" s="17">
        <v>102565</v>
      </c>
      <c r="Q61" s="17">
        <v>110770.20000000001</v>
      </c>
      <c r="R61" s="17">
        <v>94359.8</v>
      </c>
      <c r="S61" s="17">
        <v>81026.350000000006</v>
      </c>
    </row>
    <row r="62" spans="1:19" ht="14.25">
      <c r="A62" s="23">
        <f t="shared" si="1"/>
        <v>61</v>
      </c>
      <c r="B62" s="18"/>
      <c r="C62" s="17">
        <v>0</v>
      </c>
      <c r="D62" s="17">
        <v>0</v>
      </c>
      <c r="E62" s="17">
        <v>0</v>
      </c>
      <c r="F62" s="17">
        <v>0</v>
      </c>
      <c r="G62" s="17">
        <v>93440</v>
      </c>
      <c r="H62" s="17">
        <v>116800</v>
      </c>
      <c r="I62" s="17">
        <v>116800</v>
      </c>
      <c r="J62" s="17">
        <v>133619.19999999998</v>
      </c>
      <c r="K62" s="17">
        <v>151372.79999999999</v>
      </c>
      <c r="L62" s="17">
        <v>151372.79999999999</v>
      </c>
      <c r="M62" s="17">
        <v>151372.79999999999</v>
      </c>
      <c r="N62" s="17">
        <v>178470.39999999999</v>
      </c>
      <c r="O62" s="17">
        <v>170060.79999999999</v>
      </c>
      <c r="P62" s="17">
        <v>190617.60000000001</v>
      </c>
      <c r="Q62" s="17">
        <v>190617.60000000001</v>
      </c>
      <c r="R62" s="17">
        <v>218649.59999999998</v>
      </c>
      <c r="S62" s="17">
        <v>224256</v>
      </c>
    </row>
    <row r="63" spans="1:19" ht="14.25">
      <c r="A63" s="23">
        <f t="shared" si="1"/>
        <v>62</v>
      </c>
      <c r="B63" s="18"/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87965</v>
      </c>
      <c r="N63" s="17">
        <v>70372</v>
      </c>
      <c r="O63" s="17">
        <v>86205.7</v>
      </c>
      <c r="P63" s="17">
        <v>86205.7</v>
      </c>
      <c r="Q63" s="17">
        <v>86205.7</v>
      </c>
      <c r="R63" s="17">
        <v>95881.85</v>
      </c>
      <c r="S63" s="17">
        <v>119632.40000000001</v>
      </c>
    </row>
    <row r="64" spans="1:19" ht="14.25">
      <c r="A64" s="23">
        <f t="shared" si="1"/>
        <v>63</v>
      </c>
      <c r="B64" s="18"/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86870</v>
      </c>
      <c r="Q64" s="17">
        <v>79051.7</v>
      </c>
      <c r="R64" s="17">
        <v>95557.000000000015</v>
      </c>
      <c r="S64" s="17">
        <v>119011.90000000001</v>
      </c>
    </row>
    <row r="65" spans="1:19" ht="14.25">
      <c r="A65" s="23">
        <f t="shared" si="1"/>
        <v>64</v>
      </c>
      <c r="B65" s="18"/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68255</v>
      </c>
      <c r="L65" s="17">
        <v>79175.799999999988</v>
      </c>
      <c r="M65" s="17">
        <v>93509.349999999991</v>
      </c>
      <c r="N65" s="17">
        <v>93509.349999999991</v>
      </c>
      <c r="O65" s="17">
        <v>98287.2</v>
      </c>
      <c r="P65" s="17">
        <v>92144.249999999985</v>
      </c>
      <c r="Q65" s="17">
        <v>92144.249999999985</v>
      </c>
      <c r="R65" s="17">
        <v>92144.249999999985</v>
      </c>
      <c r="S65" s="17">
        <v>92144.249999999985</v>
      </c>
    </row>
    <row r="66" spans="1:19" ht="14.25">
      <c r="A66" s="23">
        <f t="shared" si="1"/>
        <v>65</v>
      </c>
      <c r="B66" s="18"/>
      <c r="C66" s="17">
        <v>93440</v>
      </c>
      <c r="D66" s="17">
        <v>100915.20000000001</v>
      </c>
      <c r="E66" s="17">
        <v>120537.60000000001</v>
      </c>
      <c r="F66" s="17">
        <v>128012.8</v>
      </c>
      <c r="G66" s="17">
        <v>128012.8</v>
      </c>
      <c r="H66" s="17">
        <v>121472</v>
      </c>
      <c r="I66" s="17">
        <v>121472</v>
      </c>
      <c r="J66" s="17">
        <v>132684.79999999999</v>
      </c>
      <c r="K66" s="17">
        <v>150438.39999999999</v>
      </c>
      <c r="L66" s="17">
        <v>156979.19999999998</v>
      </c>
      <c r="M66" s="17">
        <v>156979.19999999998</v>
      </c>
      <c r="N66" s="17">
        <v>175667.19999999998</v>
      </c>
      <c r="O66" s="17">
        <v>175667.19999999998</v>
      </c>
      <c r="P66" s="17">
        <v>183142.39999999999</v>
      </c>
      <c r="Q66" s="17">
        <v>164454.39999999999</v>
      </c>
      <c r="R66" s="17">
        <v>190617.60000000001</v>
      </c>
      <c r="S66" s="17">
        <v>0</v>
      </c>
    </row>
    <row r="67" spans="1:19" ht="14.25">
      <c r="A67" s="23">
        <f t="shared" ref="A67:A130" si="2">+A66+1</f>
        <v>66</v>
      </c>
      <c r="B67" s="18"/>
      <c r="C67" s="17">
        <v>0</v>
      </c>
      <c r="D67" s="17">
        <v>84315</v>
      </c>
      <c r="E67" s="17">
        <v>90217.05</v>
      </c>
      <c r="F67" s="17">
        <v>112982.1</v>
      </c>
      <c r="G67" s="17">
        <v>121413.60000000002</v>
      </c>
      <c r="H67" s="17">
        <v>126472.50000000001</v>
      </c>
      <c r="I67" s="17">
        <v>134904.00000000003</v>
      </c>
      <c r="J67" s="17">
        <v>134904.00000000003</v>
      </c>
      <c r="K67" s="17">
        <v>131531.40000000002</v>
      </c>
      <c r="L67" s="17">
        <v>117197.85000000003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</row>
    <row r="68" spans="1:19" ht="14.25">
      <c r="A68" s="23">
        <f t="shared" si="2"/>
        <v>67</v>
      </c>
      <c r="B68" s="18"/>
      <c r="C68" s="17">
        <v>0</v>
      </c>
      <c r="D68" s="17">
        <v>0</v>
      </c>
      <c r="E68" s="17">
        <v>68255</v>
      </c>
      <c r="F68" s="17">
        <v>73715.400000000009</v>
      </c>
      <c r="G68" s="17">
        <v>60746.950000000012</v>
      </c>
      <c r="H68" s="17">
        <v>66889.900000000009</v>
      </c>
      <c r="I68" s="17">
        <v>66889.900000000009</v>
      </c>
      <c r="J68" s="17">
        <v>83953.65</v>
      </c>
      <c r="K68" s="17">
        <v>88048.95</v>
      </c>
      <c r="L68" s="17">
        <v>96922.099999999991</v>
      </c>
      <c r="M68" s="17">
        <v>117398.59999999999</v>
      </c>
      <c r="N68" s="17">
        <v>121493.90000000001</v>
      </c>
      <c r="O68" s="17">
        <v>127636.85</v>
      </c>
      <c r="P68" s="17">
        <v>133097.25</v>
      </c>
      <c r="Q68" s="17">
        <v>139922.75000000003</v>
      </c>
      <c r="R68" s="17">
        <v>156986.50000000003</v>
      </c>
      <c r="S68" s="17">
        <v>144018.05000000002</v>
      </c>
    </row>
    <row r="69" spans="1:19" ht="14.25">
      <c r="A69" s="23">
        <f t="shared" si="2"/>
        <v>68</v>
      </c>
      <c r="B69" s="18"/>
      <c r="C69" s="17">
        <v>80300</v>
      </c>
      <c r="D69" s="17">
        <v>93148</v>
      </c>
      <c r="E69" s="17">
        <v>107601.99999999999</v>
      </c>
      <c r="F69" s="17">
        <v>114026</v>
      </c>
      <c r="G69" s="17">
        <v>106798.99999999999</v>
      </c>
      <c r="H69" s="17">
        <v>115632</v>
      </c>
      <c r="I69" s="17">
        <v>119647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7">
        <v>0</v>
      </c>
      <c r="R69" s="17">
        <v>0</v>
      </c>
      <c r="S69" s="17">
        <v>0</v>
      </c>
    </row>
    <row r="70" spans="1:19" ht="14.25">
      <c r="A70" s="23">
        <f t="shared" si="2"/>
        <v>69</v>
      </c>
      <c r="B70" s="18"/>
      <c r="C70" s="17">
        <v>0</v>
      </c>
      <c r="D70" s="17">
        <v>0</v>
      </c>
      <c r="E70" s="17">
        <v>70080</v>
      </c>
      <c r="F70" s="17">
        <v>85497.599999999991</v>
      </c>
      <c r="G70" s="17">
        <v>85497.599999999991</v>
      </c>
      <c r="H70" s="17">
        <v>100915.2</v>
      </c>
      <c r="I70" s="17">
        <v>119836.8</v>
      </c>
      <c r="J70" s="17">
        <v>119836.8</v>
      </c>
      <c r="K70" s="17">
        <v>119836.8</v>
      </c>
      <c r="L70" s="17">
        <v>134553.60000000001</v>
      </c>
      <c r="M70" s="17">
        <v>145065.59999999998</v>
      </c>
      <c r="N70" s="17">
        <v>139459.19999999998</v>
      </c>
      <c r="O70" s="17">
        <v>145065.59999999998</v>
      </c>
      <c r="P70" s="17">
        <v>145065.59999999998</v>
      </c>
      <c r="Q70" s="17">
        <v>165388.79999999999</v>
      </c>
      <c r="R70" s="17">
        <v>180105.59999999998</v>
      </c>
      <c r="S70" s="17">
        <v>192720</v>
      </c>
    </row>
    <row r="71" spans="1:19" ht="14.25">
      <c r="A71" s="23">
        <f t="shared" si="2"/>
        <v>70</v>
      </c>
      <c r="B71" s="18"/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101105</v>
      </c>
      <c r="N71" s="17">
        <v>124359.15</v>
      </c>
      <c r="O71" s="17">
        <v>124359.15</v>
      </c>
      <c r="P71" s="17">
        <v>124359.15</v>
      </c>
      <c r="Q71" s="17">
        <v>148624.35</v>
      </c>
      <c r="R71" s="17">
        <v>148624.35</v>
      </c>
      <c r="S71" s="17">
        <v>129414.40000000001</v>
      </c>
    </row>
    <row r="72" spans="1:19" ht="14.25">
      <c r="A72" s="23">
        <f t="shared" si="2"/>
        <v>71</v>
      </c>
      <c r="B72" s="18"/>
      <c r="C72" s="17">
        <v>85045</v>
      </c>
      <c r="D72" s="17">
        <v>94399.950000000012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</row>
    <row r="73" spans="1:19" ht="14.25">
      <c r="A73" s="23">
        <f t="shared" si="2"/>
        <v>72</v>
      </c>
      <c r="B73" s="18"/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73000</v>
      </c>
      <c r="K73" s="17">
        <v>84680</v>
      </c>
      <c r="L73" s="17">
        <v>105120</v>
      </c>
      <c r="M73" s="17">
        <v>126290</v>
      </c>
      <c r="N73" s="17">
        <v>135780</v>
      </c>
      <c r="O73" s="17">
        <v>135780</v>
      </c>
      <c r="P73" s="17">
        <v>157679.99999999997</v>
      </c>
      <c r="Q73" s="17">
        <v>161329.99999999997</v>
      </c>
      <c r="R73" s="17">
        <v>179579.99999999997</v>
      </c>
      <c r="S73" s="17">
        <v>179579.99999999997</v>
      </c>
    </row>
    <row r="74" spans="1:19" ht="14.25">
      <c r="A74" s="23">
        <f t="shared" si="2"/>
        <v>73</v>
      </c>
      <c r="B74" s="18"/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85045</v>
      </c>
      <c r="K74" s="17">
        <v>110558.5</v>
      </c>
      <c r="L74" s="17">
        <v>110558.5</v>
      </c>
      <c r="M74" s="17">
        <v>110558.5</v>
      </c>
      <c r="N74" s="17">
        <v>131819.75</v>
      </c>
      <c r="O74" s="17">
        <v>152230.55000000002</v>
      </c>
      <c r="P74" s="17">
        <v>176893.6</v>
      </c>
      <c r="Q74" s="17">
        <v>170940.45</v>
      </c>
      <c r="R74" s="17">
        <v>191351.25</v>
      </c>
      <c r="S74" s="17">
        <v>184547.65</v>
      </c>
    </row>
    <row r="75" spans="1:19" ht="14.25">
      <c r="A75" s="23">
        <f t="shared" si="2"/>
        <v>74</v>
      </c>
      <c r="B75" s="18"/>
      <c r="C75" s="17">
        <v>66795</v>
      </c>
      <c r="D75" s="17">
        <v>78818.099999999991</v>
      </c>
      <c r="E75" s="17">
        <v>78818.099999999991</v>
      </c>
      <c r="F75" s="17">
        <v>98188.65</v>
      </c>
      <c r="G75" s="17">
        <v>98188.65</v>
      </c>
      <c r="H75" s="17">
        <v>110879.7</v>
      </c>
      <c r="I75" s="17">
        <v>105536.09999999999</v>
      </c>
      <c r="J75" s="17">
        <v>113551.49999999999</v>
      </c>
      <c r="K75" s="17">
        <v>117559.19999999998</v>
      </c>
      <c r="L75" s="17">
        <v>120898.94999999998</v>
      </c>
      <c r="M75" s="17">
        <v>128914.34999999998</v>
      </c>
      <c r="N75" s="17">
        <v>144945.15</v>
      </c>
      <c r="O75" s="17">
        <v>164315.70000000001</v>
      </c>
      <c r="P75" s="17">
        <v>160975.95000000001</v>
      </c>
      <c r="Q75" s="17">
        <v>169659.3</v>
      </c>
      <c r="R75" s="17">
        <v>159640.05000000002</v>
      </c>
      <c r="S75" s="17">
        <v>159640.05000000002</v>
      </c>
    </row>
    <row r="76" spans="1:19" ht="14.25">
      <c r="A76" s="23">
        <f t="shared" si="2"/>
        <v>75</v>
      </c>
      <c r="B76" s="18"/>
      <c r="C76" s="17">
        <v>92710</v>
      </c>
      <c r="D76" s="17">
        <v>114033.3</v>
      </c>
      <c r="E76" s="17">
        <v>127012.70000000001</v>
      </c>
      <c r="F76" s="17">
        <v>136283.70000000001</v>
      </c>
      <c r="G76" s="17">
        <v>148336</v>
      </c>
      <c r="H76" s="17">
        <v>148336</v>
      </c>
      <c r="I76" s="17">
        <v>148336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</row>
    <row r="77" spans="1:19" ht="14.25">
      <c r="A77" s="23">
        <f t="shared" si="2"/>
        <v>76</v>
      </c>
      <c r="B77" s="18"/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104025</v>
      </c>
      <c r="S77" s="17">
        <v>104025</v>
      </c>
    </row>
    <row r="78" spans="1:19" ht="14.25">
      <c r="A78" s="23">
        <f t="shared" si="2"/>
        <v>77</v>
      </c>
      <c r="B78" s="18"/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79570</v>
      </c>
      <c r="R78" s="17">
        <v>95484</v>
      </c>
      <c r="S78" s="17">
        <v>110602.29999999999</v>
      </c>
    </row>
    <row r="79" spans="1:19" ht="14.25">
      <c r="A79" s="23">
        <f t="shared" si="2"/>
        <v>78</v>
      </c>
      <c r="B79" s="18"/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82855</v>
      </c>
      <c r="J79" s="17">
        <v>82855</v>
      </c>
      <c r="K79" s="17">
        <v>91969.05</v>
      </c>
      <c r="L79" s="17">
        <v>100254.55000000002</v>
      </c>
      <c r="M79" s="17">
        <v>87826.300000000017</v>
      </c>
      <c r="N79" s="17">
        <v>97768.900000000009</v>
      </c>
      <c r="O79" s="17">
        <v>97768.900000000009</v>
      </c>
      <c r="P79" s="17">
        <v>103568.75000000001</v>
      </c>
      <c r="Q79" s="17">
        <v>111025.70000000003</v>
      </c>
      <c r="R79" s="17">
        <v>101911.65000000002</v>
      </c>
      <c r="S79" s="17">
        <v>98597.450000000012</v>
      </c>
    </row>
    <row r="80" spans="1:19" ht="14.25">
      <c r="A80" s="23">
        <f t="shared" si="2"/>
        <v>79</v>
      </c>
      <c r="B80" s="18"/>
      <c r="C80" s="17">
        <v>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71905</v>
      </c>
      <c r="K80" s="17">
        <v>64714.5</v>
      </c>
      <c r="L80" s="17">
        <v>81971.700000000012</v>
      </c>
      <c r="M80" s="17">
        <v>87724.10000000002</v>
      </c>
      <c r="N80" s="17">
        <v>101386.05000000002</v>
      </c>
      <c r="O80" s="17">
        <v>106419.40000000001</v>
      </c>
      <c r="P80" s="17">
        <v>106419.40000000001</v>
      </c>
      <c r="Q80" s="17">
        <v>115048</v>
      </c>
      <c r="R80" s="17">
        <v>127271.85</v>
      </c>
      <c r="S80" s="17">
        <v>133743.30000000002</v>
      </c>
    </row>
    <row r="81" spans="1:19" ht="14.25">
      <c r="A81" s="23">
        <f t="shared" si="2"/>
        <v>80</v>
      </c>
      <c r="B81" s="18"/>
      <c r="C81" s="17">
        <v>0</v>
      </c>
      <c r="D81" s="17">
        <v>0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93075</v>
      </c>
      <c r="L81" s="17">
        <v>74460</v>
      </c>
      <c r="M81" s="17">
        <v>97728.75</v>
      </c>
      <c r="N81" s="17">
        <v>122859</v>
      </c>
      <c r="O81" s="17">
        <v>148920</v>
      </c>
      <c r="P81" s="17">
        <v>176842.5</v>
      </c>
      <c r="Q81" s="17">
        <v>188942.25000000003</v>
      </c>
      <c r="R81" s="17">
        <v>178704</v>
      </c>
      <c r="S81" s="17">
        <v>184288.50000000003</v>
      </c>
    </row>
    <row r="82" spans="1:19" ht="14.25">
      <c r="A82" s="23">
        <f t="shared" si="2"/>
        <v>81</v>
      </c>
      <c r="B82" s="18"/>
      <c r="C82" s="17">
        <v>0</v>
      </c>
      <c r="D82" s="17">
        <v>75920</v>
      </c>
      <c r="E82" s="17">
        <v>97936.8</v>
      </c>
      <c r="F82" s="17">
        <v>107806.39999999999</v>
      </c>
      <c r="G82" s="17">
        <v>127545.59999999999</v>
      </c>
      <c r="H82" s="17">
        <v>138933.59999999998</v>
      </c>
      <c r="I82" s="17">
        <v>132100.79999999999</v>
      </c>
      <c r="J82" s="17">
        <v>132100.79999999999</v>
      </c>
      <c r="K82" s="17">
        <v>143488.79999999999</v>
      </c>
      <c r="L82" s="17">
        <v>162468.79999999999</v>
      </c>
      <c r="M82" s="17">
        <v>182207.99999999997</v>
      </c>
      <c r="N82" s="17">
        <v>182207.99999999997</v>
      </c>
      <c r="O82" s="17">
        <v>189040.79999999996</v>
      </c>
      <c r="P82" s="17">
        <v>197391.99999999994</v>
      </c>
      <c r="Q82" s="17">
        <v>197391.99999999994</v>
      </c>
      <c r="R82" s="17">
        <v>202706.39999999994</v>
      </c>
      <c r="S82" s="17">
        <v>196632.79999999993</v>
      </c>
    </row>
    <row r="83" spans="1:19" ht="14.25">
      <c r="A83" s="23">
        <f t="shared" si="2"/>
        <v>82</v>
      </c>
      <c r="B83" s="18"/>
      <c r="C83" s="17">
        <v>0</v>
      </c>
      <c r="D83" s="17">
        <v>0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81395</v>
      </c>
      <c r="K83" s="17">
        <v>89534.5</v>
      </c>
      <c r="L83" s="17">
        <v>89534.5</v>
      </c>
      <c r="M83" s="17">
        <v>87092.650000000009</v>
      </c>
      <c r="N83" s="17">
        <v>91976.35</v>
      </c>
      <c r="O83" s="17">
        <v>91976.35</v>
      </c>
      <c r="P83" s="17">
        <v>101743.75</v>
      </c>
      <c r="Q83" s="17">
        <v>85464.75</v>
      </c>
      <c r="R83" s="17">
        <v>109069.3</v>
      </c>
      <c r="S83" s="17">
        <v>114766.95000000001</v>
      </c>
    </row>
    <row r="84" spans="1:19" ht="14.25">
      <c r="A84" s="23">
        <f t="shared" si="2"/>
        <v>83</v>
      </c>
      <c r="B84" s="18"/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70445</v>
      </c>
      <c r="P84" s="17">
        <v>78193.950000000012</v>
      </c>
      <c r="Q84" s="17">
        <v>88760.7</v>
      </c>
      <c r="R84" s="17">
        <v>0</v>
      </c>
      <c r="S84" s="17">
        <v>0</v>
      </c>
    </row>
    <row r="85" spans="1:19" ht="14.25">
      <c r="A85" s="23">
        <f t="shared" si="2"/>
        <v>84</v>
      </c>
      <c r="B85" s="18"/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90885</v>
      </c>
      <c r="I85" s="17">
        <v>90885</v>
      </c>
      <c r="J85" s="17">
        <v>108153.15</v>
      </c>
      <c r="K85" s="17">
        <v>135418.65</v>
      </c>
      <c r="L85" s="17">
        <v>154504.5</v>
      </c>
      <c r="M85" s="17">
        <v>175408.05</v>
      </c>
      <c r="N85" s="17">
        <v>181770</v>
      </c>
      <c r="O85" s="17">
        <v>180861.15</v>
      </c>
      <c r="P85" s="17">
        <v>180861.15</v>
      </c>
      <c r="Q85" s="17">
        <v>190858.5</v>
      </c>
      <c r="R85" s="17">
        <v>214488.60000000003</v>
      </c>
      <c r="S85" s="17">
        <v>227212.50000000003</v>
      </c>
    </row>
    <row r="86" spans="1:19" ht="14.25">
      <c r="A86" s="23">
        <f t="shared" si="2"/>
        <v>85</v>
      </c>
      <c r="B86" s="18"/>
      <c r="C86" s="17">
        <v>104755</v>
      </c>
      <c r="D86" s="17">
        <v>131991.29999999999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0</v>
      </c>
      <c r="S86" s="17">
        <v>0</v>
      </c>
    </row>
    <row r="87" spans="1:19" ht="14.25">
      <c r="A87" s="23">
        <f t="shared" si="2"/>
        <v>86</v>
      </c>
      <c r="B87" s="18"/>
      <c r="C87" s="17">
        <v>0</v>
      </c>
      <c r="D87" s="17">
        <v>77015</v>
      </c>
      <c r="E87" s="17">
        <v>93958.3</v>
      </c>
      <c r="F87" s="17">
        <v>91647.849999999991</v>
      </c>
      <c r="G87" s="17">
        <v>87797.099999999991</v>
      </c>
      <c r="H87" s="17">
        <v>97809.05</v>
      </c>
      <c r="I87" s="17">
        <v>115522.5</v>
      </c>
      <c r="J87" s="17">
        <v>120913.55</v>
      </c>
      <c r="K87" s="17">
        <v>140937.45000000001</v>
      </c>
      <c r="L87" s="17">
        <v>140937.45000000001</v>
      </c>
      <c r="M87" s="17">
        <v>144788.20000000001</v>
      </c>
      <c r="N87" s="17">
        <v>144788.20000000001</v>
      </c>
      <c r="O87" s="17">
        <v>160191.20000000001</v>
      </c>
      <c r="P87" s="17">
        <v>169433</v>
      </c>
      <c r="Q87" s="17">
        <v>186376.30000000002</v>
      </c>
      <c r="R87" s="17">
        <v>190227.05000000002</v>
      </c>
      <c r="S87" s="17">
        <v>201009.15000000002</v>
      </c>
    </row>
    <row r="88" spans="1:19" ht="14.25">
      <c r="A88" s="23">
        <f t="shared" si="2"/>
        <v>87</v>
      </c>
      <c r="B88" s="18"/>
      <c r="C88" s="17">
        <v>0</v>
      </c>
      <c r="D88" s="17">
        <v>0</v>
      </c>
      <c r="E88" s="17">
        <v>98550</v>
      </c>
      <c r="F88" s="17">
        <v>93622.5</v>
      </c>
      <c r="G88" s="17">
        <v>99535.5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</row>
    <row r="89" spans="1:19" ht="14.25">
      <c r="A89" s="23">
        <f t="shared" si="2"/>
        <v>88</v>
      </c>
      <c r="B89" s="18"/>
      <c r="C89" s="17">
        <v>0</v>
      </c>
      <c r="D89" s="17">
        <v>0</v>
      </c>
      <c r="E89" s="17">
        <v>74825</v>
      </c>
      <c r="F89" s="17">
        <v>95776</v>
      </c>
      <c r="G89" s="17">
        <v>106251.5</v>
      </c>
      <c r="H89" s="17">
        <v>121964.74999999999</v>
      </c>
      <c r="I89" s="17">
        <v>127950.75</v>
      </c>
      <c r="J89" s="17">
        <v>131692</v>
      </c>
      <c r="K89" s="17">
        <v>145160.5</v>
      </c>
      <c r="L89" s="17">
        <v>138426.25</v>
      </c>
      <c r="M89" s="17">
        <v>124957.75</v>
      </c>
      <c r="N89" s="17">
        <v>139922.75</v>
      </c>
      <c r="O89" s="17">
        <v>160125.49999999997</v>
      </c>
      <c r="P89" s="17">
        <v>160125.49999999997</v>
      </c>
      <c r="Q89" s="17">
        <v>171349.24999999997</v>
      </c>
      <c r="R89" s="17">
        <v>191551.99999999997</v>
      </c>
      <c r="S89" s="17">
        <v>205768.74999999997</v>
      </c>
    </row>
    <row r="90" spans="1:19" ht="14.25">
      <c r="A90" s="23">
        <f t="shared" si="2"/>
        <v>89</v>
      </c>
      <c r="B90" s="18"/>
      <c r="C90" s="17">
        <v>100375</v>
      </c>
      <c r="D90" s="17">
        <v>97363.75</v>
      </c>
      <c r="E90" s="17">
        <v>102382.5</v>
      </c>
      <c r="F90" s="17">
        <v>132495</v>
      </c>
      <c r="G90" s="17">
        <v>153573.75</v>
      </c>
      <c r="H90" s="17">
        <v>169633.75</v>
      </c>
      <c r="I90" s="17">
        <v>189708.75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</row>
    <row r="91" spans="1:19" ht="14.25">
      <c r="A91" s="23">
        <f t="shared" si="2"/>
        <v>90</v>
      </c>
      <c r="B91" s="18"/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ht="14.25">
      <c r="A92" s="23">
        <f t="shared" si="2"/>
        <v>91</v>
      </c>
      <c r="B92" s="18"/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68985</v>
      </c>
      <c r="R92" s="17">
        <v>66915.45</v>
      </c>
      <c r="S92" s="17">
        <v>72434.25</v>
      </c>
    </row>
    <row r="93" spans="1:19" ht="14.25">
      <c r="A93" s="23">
        <f t="shared" si="2"/>
        <v>92</v>
      </c>
      <c r="B93" s="18"/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85410</v>
      </c>
      <c r="Q93" s="17">
        <v>93096.900000000009</v>
      </c>
      <c r="R93" s="17">
        <v>93096.900000000009</v>
      </c>
      <c r="S93" s="17">
        <v>108470.7</v>
      </c>
    </row>
    <row r="94" spans="1:19" ht="14.25">
      <c r="A94" s="23">
        <f t="shared" si="2"/>
        <v>93</v>
      </c>
      <c r="B94" s="18"/>
      <c r="C94" s="17">
        <v>0</v>
      </c>
      <c r="D94" s="17">
        <v>0</v>
      </c>
      <c r="E94" s="17">
        <v>82490</v>
      </c>
      <c r="F94" s="17">
        <v>81665.100000000006</v>
      </c>
      <c r="G94" s="17">
        <v>81665.100000000006</v>
      </c>
      <c r="H94" s="17">
        <v>65167.100000000006</v>
      </c>
      <c r="I94" s="17">
        <v>74241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</row>
    <row r="95" spans="1:19" ht="14.25">
      <c r="A95" s="23">
        <f t="shared" si="2"/>
        <v>94</v>
      </c>
      <c r="B95" s="18"/>
      <c r="C95" s="17">
        <v>100010</v>
      </c>
      <c r="D95" s="17">
        <v>126012.6</v>
      </c>
      <c r="E95" s="17">
        <v>140014</v>
      </c>
      <c r="F95" s="17">
        <v>150015</v>
      </c>
      <c r="G95" s="17">
        <v>172017.2</v>
      </c>
      <c r="H95" s="17">
        <v>197019.7</v>
      </c>
      <c r="I95" s="17">
        <v>211021.09999999998</v>
      </c>
      <c r="J95" s="17">
        <v>211021.09999999998</v>
      </c>
      <c r="K95" s="17">
        <v>217021.69999999998</v>
      </c>
      <c r="L95" s="17">
        <v>214021.40000000002</v>
      </c>
      <c r="M95" s="17">
        <v>194019.40000000002</v>
      </c>
      <c r="N95" s="17">
        <v>194019.40000000002</v>
      </c>
      <c r="O95" s="17">
        <v>217021.70000000004</v>
      </c>
      <c r="P95" s="17">
        <v>202020.20000000004</v>
      </c>
      <c r="Q95" s="17">
        <v>185018.50000000006</v>
      </c>
      <c r="R95" s="17">
        <v>0</v>
      </c>
      <c r="S95" s="17">
        <v>0</v>
      </c>
    </row>
    <row r="96" spans="1:19" ht="14.25">
      <c r="A96" s="23">
        <f t="shared" si="2"/>
        <v>95</v>
      </c>
      <c r="B96" s="18"/>
      <c r="C96" s="17">
        <v>0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85045</v>
      </c>
      <c r="P96" s="17">
        <v>85045</v>
      </c>
      <c r="Q96" s="17">
        <v>89297.25</v>
      </c>
      <c r="R96" s="17">
        <v>112259.40000000001</v>
      </c>
      <c r="S96" s="17">
        <v>102054.00000000001</v>
      </c>
    </row>
    <row r="97" spans="1:19" ht="14.25">
      <c r="A97" s="23">
        <f t="shared" si="2"/>
        <v>96</v>
      </c>
      <c r="B97" s="18"/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70810</v>
      </c>
      <c r="M97" s="17">
        <v>86388.2</v>
      </c>
      <c r="N97" s="17">
        <v>86388.2</v>
      </c>
      <c r="O97" s="17">
        <v>106215</v>
      </c>
      <c r="P97" s="17">
        <v>121793.2</v>
      </c>
      <c r="Q97" s="17">
        <v>130998.5</v>
      </c>
      <c r="R97" s="17">
        <v>135955.20000000001</v>
      </c>
      <c r="S97" s="17">
        <v>154365.80000000002</v>
      </c>
    </row>
    <row r="98" spans="1:19" ht="14.25">
      <c r="A98" s="23">
        <f t="shared" si="2"/>
        <v>97</v>
      </c>
      <c r="B98" s="18"/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82490</v>
      </c>
      <c r="I98" s="17">
        <v>90739.000000000015</v>
      </c>
      <c r="J98" s="17">
        <v>90739.000000000015</v>
      </c>
      <c r="K98" s="17">
        <v>113836.20000000001</v>
      </c>
      <c r="L98" s="17">
        <v>117960.70000000001</v>
      </c>
      <c r="M98" s="17">
        <v>123735.00000000001</v>
      </c>
      <c r="N98" s="17">
        <v>136933.40000000002</v>
      </c>
      <c r="O98" s="17">
        <v>160855.50000000003</v>
      </c>
      <c r="P98" s="17">
        <v>181478.00000000003</v>
      </c>
      <c r="Q98" s="17">
        <v>204575.20000000004</v>
      </c>
      <c r="R98" s="17">
        <v>215298.90000000002</v>
      </c>
      <c r="S98" s="17">
        <v>215298.90000000002</v>
      </c>
    </row>
    <row r="99" spans="1:19" ht="14.25">
      <c r="A99" s="23">
        <f t="shared" si="2"/>
        <v>98</v>
      </c>
      <c r="B99" s="18"/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65700</v>
      </c>
      <c r="O99" s="17">
        <v>71613</v>
      </c>
      <c r="P99" s="17">
        <v>70299</v>
      </c>
      <c r="Q99" s="17">
        <v>86724</v>
      </c>
      <c r="R99" s="17">
        <v>90009</v>
      </c>
      <c r="S99" s="17">
        <v>90009</v>
      </c>
    </row>
    <row r="100" spans="1:19" ht="14.25">
      <c r="A100" s="23">
        <f t="shared" si="2"/>
        <v>99</v>
      </c>
      <c r="B100" s="18"/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97090</v>
      </c>
      <c r="K100" s="17">
        <v>97090</v>
      </c>
      <c r="L100" s="17">
        <v>110682.6</v>
      </c>
      <c r="M100" s="17">
        <v>110682.6</v>
      </c>
      <c r="N100" s="17">
        <v>98060.900000000023</v>
      </c>
      <c r="O100" s="17">
        <v>97090.000000000015</v>
      </c>
      <c r="P100" s="17">
        <v>121362.50000000001</v>
      </c>
      <c r="Q100" s="17">
        <v>131071.50000000003</v>
      </c>
      <c r="R100" s="17">
        <v>131071.50000000003</v>
      </c>
      <c r="S100" s="17">
        <v>125246.10000000002</v>
      </c>
    </row>
    <row r="101" spans="1:19" ht="14.25">
      <c r="A101" s="23">
        <f t="shared" si="2"/>
        <v>100</v>
      </c>
      <c r="B101" s="18"/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73730</v>
      </c>
      <c r="O101" s="17">
        <v>61933.2</v>
      </c>
      <c r="P101" s="17">
        <v>70043.5</v>
      </c>
      <c r="Q101" s="17">
        <v>84789.5</v>
      </c>
      <c r="R101" s="17">
        <v>76679.199999999983</v>
      </c>
      <c r="S101" s="17">
        <v>97323.599999999991</v>
      </c>
    </row>
    <row r="102" spans="1:19" ht="14.25">
      <c r="A102" s="23">
        <f t="shared" si="2"/>
        <v>101</v>
      </c>
      <c r="B102" s="18"/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83585</v>
      </c>
      <c r="Q102" s="17">
        <v>83585</v>
      </c>
      <c r="R102" s="17">
        <v>83585</v>
      </c>
      <c r="S102" s="17">
        <v>83585</v>
      </c>
    </row>
    <row r="103" spans="1:19" ht="14.25">
      <c r="A103" s="23">
        <f t="shared" si="2"/>
        <v>102</v>
      </c>
      <c r="B103" s="18"/>
      <c r="C103" s="17">
        <v>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98185</v>
      </c>
      <c r="P103" s="17">
        <v>98185</v>
      </c>
      <c r="Q103" s="17">
        <v>119785.7</v>
      </c>
      <c r="R103" s="17">
        <v>133531.59999999998</v>
      </c>
      <c r="S103" s="17">
        <v>138440.85</v>
      </c>
    </row>
    <row r="104" spans="1:19" ht="14.25">
      <c r="A104" s="23">
        <f t="shared" si="2"/>
        <v>103</v>
      </c>
      <c r="B104" s="18"/>
      <c r="C104" s="17">
        <v>0</v>
      </c>
      <c r="D104" s="17">
        <v>0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79570</v>
      </c>
      <c r="P104" s="17">
        <v>100258.2</v>
      </c>
      <c r="Q104" s="17">
        <v>89118.400000000009</v>
      </c>
      <c r="R104" s="17">
        <v>89118.400000000009</v>
      </c>
      <c r="S104" s="17">
        <v>101053.9</v>
      </c>
    </row>
    <row r="105" spans="1:19" ht="14.25">
      <c r="A105" s="23">
        <f t="shared" si="2"/>
        <v>104</v>
      </c>
      <c r="B105" s="18"/>
      <c r="C105" s="17">
        <v>0</v>
      </c>
      <c r="D105" s="17">
        <v>0</v>
      </c>
      <c r="E105" s="17">
        <v>0</v>
      </c>
      <c r="F105" s="17">
        <v>0</v>
      </c>
      <c r="G105" s="17">
        <v>74460</v>
      </c>
      <c r="H105" s="17">
        <v>74460</v>
      </c>
      <c r="I105" s="17">
        <v>87118.2</v>
      </c>
      <c r="J105" s="17">
        <v>87118.2</v>
      </c>
      <c r="K105" s="17">
        <v>99031.799999999988</v>
      </c>
      <c r="L105" s="17">
        <v>99031.799999999988</v>
      </c>
      <c r="M105" s="17">
        <v>104244</v>
      </c>
      <c r="N105" s="17">
        <v>104244</v>
      </c>
      <c r="O105" s="17">
        <v>112434.6</v>
      </c>
      <c r="P105" s="17">
        <v>118391.40000000001</v>
      </c>
      <c r="Q105" s="17">
        <v>139240.20000000001</v>
      </c>
      <c r="R105" s="17">
        <v>156366</v>
      </c>
      <c r="S105" s="17">
        <v>163067.4</v>
      </c>
    </row>
    <row r="106" spans="1:19" ht="14.25">
      <c r="A106" s="23">
        <f t="shared" si="2"/>
        <v>105</v>
      </c>
      <c r="B106" s="18"/>
      <c r="C106" s="17">
        <v>0</v>
      </c>
      <c r="D106" s="17">
        <v>0</v>
      </c>
      <c r="E106" s="17">
        <v>79935</v>
      </c>
      <c r="F106" s="17">
        <v>79935</v>
      </c>
      <c r="G106" s="17">
        <v>88727.85</v>
      </c>
      <c r="H106" s="17">
        <v>112708.35</v>
      </c>
      <c r="I106" s="17">
        <v>120701.85000000002</v>
      </c>
      <c r="J106" s="17">
        <v>118303.80000000002</v>
      </c>
      <c r="K106" s="17">
        <v>142284.30000000002</v>
      </c>
      <c r="L106" s="17">
        <v>134290.80000000002</v>
      </c>
      <c r="M106" s="17">
        <v>155873.25</v>
      </c>
      <c r="N106" s="17">
        <v>149478.45000000001</v>
      </c>
      <c r="O106" s="17">
        <v>149478.45000000001</v>
      </c>
      <c r="P106" s="17">
        <v>159870</v>
      </c>
      <c r="Q106" s="17">
        <v>168662.84999999998</v>
      </c>
      <c r="R106" s="17">
        <v>168662.84999999998</v>
      </c>
      <c r="S106" s="17">
        <v>185449.19999999998</v>
      </c>
    </row>
    <row r="107" spans="1:19" ht="14.25">
      <c r="A107" s="23">
        <f t="shared" si="2"/>
        <v>106</v>
      </c>
      <c r="B107" s="18"/>
      <c r="C107" s="17">
        <v>0</v>
      </c>
      <c r="D107" s="17">
        <v>0</v>
      </c>
      <c r="E107" s="17">
        <v>0</v>
      </c>
      <c r="F107" s="17">
        <v>80665</v>
      </c>
      <c r="G107" s="17">
        <v>80665</v>
      </c>
      <c r="H107" s="17">
        <v>91151.45</v>
      </c>
      <c r="I107" s="17">
        <v>108897.74999999999</v>
      </c>
      <c r="J107" s="17">
        <v>113737.65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</row>
    <row r="108" spans="1:19" ht="14.25">
      <c r="A108" s="23">
        <f t="shared" si="2"/>
        <v>107</v>
      </c>
      <c r="B108" s="18"/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77745</v>
      </c>
    </row>
    <row r="109" spans="1:19" ht="14.25">
      <c r="A109" s="23">
        <f t="shared" si="2"/>
        <v>108</v>
      </c>
      <c r="B109" s="18"/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68255</v>
      </c>
      <c r="M109" s="17">
        <v>81906</v>
      </c>
      <c r="N109" s="17">
        <v>73032.849999999991</v>
      </c>
      <c r="O109" s="17">
        <v>89414.049999999988</v>
      </c>
      <c r="P109" s="17">
        <v>82588.549999999988</v>
      </c>
      <c r="Q109" s="17">
        <v>97604.64999999998</v>
      </c>
      <c r="R109" s="17">
        <v>107842.89999999998</v>
      </c>
      <c r="S109" s="17">
        <v>102382.49999999997</v>
      </c>
    </row>
    <row r="110" spans="1:19" ht="14.25">
      <c r="A110" s="23">
        <f t="shared" si="2"/>
        <v>109</v>
      </c>
      <c r="B110" s="18"/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79570</v>
      </c>
      <c r="I110" s="17">
        <v>66838.8</v>
      </c>
      <c r="J110" s="17">
        <v>66838.8</v>
      </c>
      <c r="K110" s="17">
        <v>87527</v>
      </c>
      <c r="L110" s="17">
        <v>109806.6</v>
      </c>
      <c r="M110" s="17">
        <v>132881.90000000002</v>
      </c>
      <c r="N110" s="17">
        <v>154365.80000000002</v>
      </c>
      <c r="O110" s="17">
        <v>172666.90000000002</v>
      </c>
      <c r="P110" s="17">
        <v>179032.50000000003</v>
      </c>
      <c r="Q110" s="17">
        <v>174258.30000000002</v>
      </c>
      <c r="R110" s="17">
        <v>193355.10000000003</v>
      </c>
      <c r="S110" s="17">
        <v>209269.10000000006</v>
      </c>
    </row>
    <row r="111" spans="1:19" ht="14.25">
      <c r="A111" s="23">
        <f t="shared" si="2"/>
        <v>110</v>
      </c>
      <c r="B111" s="18"/>
      <c r="C111" s="17">
        <v>0</v>
      </c>
      <c r="D111" s="17">
        <v>71175</v>
      </c>
      <c r="E111" s="17">
        <v>90392.25</v>
      </c>
      <c r="F111" s="17">
        <v>89680.5</v>
      </c>
      <c r="G111" s="17">
        <v>79716.000000000015</v>
      </c>
      <c r="H111" s="17">
        <v>88257.000000000015</v>
      </c>
      <c r="I111" s="17">
        <v>88257.000000000015</v>
      </c>
      <c r="J111" s="17">
        <v>108897.75000000001</v>
      </c>
      <c r="K111" s="17">
        <v>125268.00000000001</v>
      </c>
      <c r="L111" s="17">
        <v>143773.50000000003</v>
      </c>
      <c r="M111" s="17">
        <v>154449.75000000003</v>
      </c>
      <c r="N111" s="17">
        <v>175802.25</v>
      </c>
      <c r="O111" s="17">
        <v>187190.25000000003</v>
      </c>
      <c r="P111" s="17">
        <v>197866.50000000003</v>
      </c>
      <c r="Q111" s="17">
        <v>197866.50000000003</v>
      </c>
      <c r="R111" s="17">
        <v>203560.50000000003</v>
      </c>
      <c r="S111" s="17">
        <v>208542.75</v>
      </c>
    </row>
    <row r="112" spans="1:19" ht="14.25">
      <c r="A112" s="23">
        <f t="shared" si="2"/>
        <v>111</v>
      </c>
      <c r="B112" s="18"/>
      <c r="C112" s="17">
        <v>0</v>
      </c>
      <c r="D112" s="17">
        <v>0</v>
      </c>
      <c r="E112" s="17">
        <v>0</v>
      </c>
      <c r="F112" s="17">
        <v>76650</v>
      </c>
      <c r="G112" s="17">
        <v>82015.5</v>
      </c>
      <c r="H112" s="17">
        <v>93513</v>
      </c>
      <c r="I112" s="17">
        <v>81249</v>
      </c>
      <c r="J112" s="17">
        <v>96579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</row>
    <row r="113" spans="1:19" ht="14.25">
      <c r="A113" s="23">
        <f t="shared" si="2"/>
        <v>112</v>
      </c>
      <c r="B113" s="18"/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105120</v>
      </c>
      <c r="Q113" s="17">
        <v>120887.99999999999</v>
      </c>
      <c r="R113" s="17">
        <v>138758.39999999999</v>
      </c>
      <c r="S113" s="17">
        <v>120887.99999999999</v>
      </c>
    </row>
    <row r="114" spans="1:19" ht="14.25">
      <c r="A114" s="23">
        <f t="shared" si="2"/>
        <v>113</v>
      </c>
      <c r="B114" s="18"/>
      <c r="C114" s="17">
        <v>80665</v>
      </c>
      <c r="D114" s="17">
        <v>90344.8</v>
      </c>
      <c r="E114" s="17">
        <v>80665</v>
      </c>
      <c r="F114" s="17">
        <v>68565.25</v>
      </c>
      <c r="G114" s="17">
        <v>91958.099999999991</v>
      </c>
      <c r="H114" s="17">
        <v>91958.099999999991</v>
      </c>
      <c r="I114" s="17">
        <v>107284.44999999998</v>
      </c>
      <c r="J114" s="17">
        <v>99217.949999999983</v>
      </c>
      <c r="K114" s="17">
        <v>87924.849999999991</v>
      </c>
      <c r="L114" s="17">
        <v>99217.95</v>
      </c>
      <c r="M114" s="17">
        <v>103251.2</v>
      </c>
      <c r="N114" s="17">
        <v>101637.9</v>
      </c>
      <c r="O114" s="17">
        <v>101637.9</v>
      </c>
      <c r="P114" s="17">
        <v>108091.1</v>
      </c>
      <c r="Q114" s="17">
        <v>118577.55000000002</v>
      </c>
      <c r="R114" s="17">
        <v>122610.80000000002</v>
      </c>
      <c r="S114" s="17">
        <v>122610.80000000002</v>
      </c>
    </row>
    <row r="115" spans="1:19" ht="14.25">
      <c r="A115" s="23">
        <f t="shared" si="2"/>
        <v>114</v>
      </c>
      <c r="B115" s="18"/>
      <c r="C115" s="17">
        <v>0</v>
      </c>
      <c r="D115" s="17">
        <v>0</v>
      </c>
      <c r="E115" s="17">
        <v>95630</v>
      </c>
      <c r="F115" s="17">
        <v>115712.3</v>
      </c>
      <c r="G115" s="17">
        <v>131013.09999999999</v>
      </c>
      <c r="H115" s="17">
        <v>126231.59999999999</v>
      </c>
      <c r="I115" s="17">
        <v>153008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</row>
    <row r="116" spans="1:19" ht="14.25">
      <c r="A116" s="23">
        <f t="shared" si="2"/>
        <v>115</v>
      </c>
      <c r="B116" s="18"/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102565</v>
      </c>
      <c r="O116" s="17">
        <v>102565</v>
      </c>
      <c r="P116" s="17">
        <v>120001.04999999999</v>
      </c>
      <c r="Q116" s="17">
        <v>133334.49999999997</v>
      </c>
      <c r="R116" s="17">
        <v>141539.69999999998</v>
      </c>
      <c r="S116" s="17">
        <v>141539.69999999998</v>
      </c>
    </row>
    <row r="117" spans="1:19" ht="14.25">
      <c r="A117" s="23">
        <f t="shared" si="2"/>
        <v>116</v>
      </c>
      <c r="B117" s="18"/>
      <c r="C117" s="17">
        <v>70810</v>
      </c>
      <c r="D117" s="17">
        <v>82847.7</v>
      </c>
      <c r="E117" s="17">
        <v>82847.7</v>
      </c>
      <c r="F117" s="17">
        <v>75058.599999999991</v>
      </c>
      <c r="G117" s="17">
        <v>96301.599999999991</v>
      </c>
      <c r="H117" s="17">
        <v>101966.39999999999</v>
      </c>
      <c r="I117" s="17">
        <v>101966.39999999999</v>
      </c>
      <c r="J117" s="17">
        <v>92052.999999999985</v>
      </c>
      <c r="K117" s="17">
        <v>106214.99999999999</v>
      </c>
      <c r="L117" s="17">
        <v>106214.99999999999</v>
      </c>
      <c r="M117" s="17">
        <v>127457.99999999999</v>
      </c>
      <c r="N117" s="17">
        <v>127457.99999999999</v>
      </c>
      <c r="O117" s="17">
        <v>124625.59999999999</v>
      </c>
      <c r="P117" s="17">
        <v>140911.9</v>
      </c>
      <c r="Q117" s="17">
        <v>138787.59999999998</v>
      </c>
      <c r="R117" s="17">
        <v>138787.59999999998</v>
      </c>
      <c r="S117" s="17">
        <v>146576.69999999998</v>
      </c>
    </row>
    <row r="118" spans="1:19" ht="14.25">
      <c r="A118" s="23">
        <f t="shared" si="2"/>
        <v>117</v>
      </c>
      <c r="B118" s="18"/>
      <c r="C118" s="17">
        <v>79935</v>
      </c>
      <c r="D118" s="17">
        <v>99918.75</v>
      </c>
      <c r="E118" s="17">
        <v>117504.45</v>
      </c>
      <c r="F118" s="17">
        <v>129494.7</v>
      </c>
      <c r="G118" s="17">
        <v>144682.34999999998</v>
      </c>
      <c r="H118" s="17">
        <v>159070.65</v>
      </c>
      <c r="I118" s="17">
        <v>177455.69999999998</v>
      </c>
      <c r="J118" s="17">
        <v>174258.3</v>
      </c>
      <c r="K118" s="17">
        <v>179853.74999999997</v>
      </c>
      <c r="L118" s="17">
        <v>176656.34999999995</v>
      </c>
      <c r="M118" s="17">
        <v>190245.29999999996</v>
      </c>
      <c r="N118" s="17">
        <v>190245.29999999996</v>
      </c>
      <c r="O118" s="17">
        <v>190245.29999999996</v>
      </c>
      <c r="P118" s="17">
        <v>210229.04999999996</v>
      </c>
      <c r="Q118" s="17">
        <v>210229.04999999996</v>
      </c>
      <c r="R118" s="17">
        <v>210229.04999999996</v>
      </c>
      <c r="S118" s="17">
        <v>218222.54999999996</v>
      </c>
    </row>
    <row r="119" spans="1:19" ht="14.25">
      <c r="A119" s="23">
        <f t="shared" si="2"/>
        <v>118</v>
      </c>
      <c r="B119" s="18"/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104755</v>
      </c>
      <c r="O119" s="17">
        <v>104755</v>
      </c>
      <c r="P119" s="17">
        <v>109992.75</v>
      </c>
      <c r="Q119" s="17">
        <v>130943.75</v>
      </c>
      <c r="R119" s="17">
        <v>130943.75</v>
      </c>
      <c r="S119" s="17">
        <v>117325.6</v>
      </c>
    </row>
    <row r="120" spans="1:19" ht="14.25">
      <c r="A120" s="23">
        <f t="shared" si="2"/>
        <v>119</v>
      </c>
      <c r="B120" s="18"/>
      <c r="C120" s="17">
        <v>86140</v>
      </c>
      <c r="D120" s="17">
        <v>86140</v>
      </c>
      <c r="E120" s="17">
        <v>86140</v>
      </c>
      <c r="F120" s="17">
        <v>105090.8</v>
      </c>
      <c r="G120" s="17">
        <v>127487.2</v>
      </c>
      <c r="H120" s="17">
        <v>143853.79999999999</v>
      </c>
      <c r="I120" s="17">
        <v>163666</v>
      </c>
      <c r="J120" s="17">
        <v>179171.20000000001</v>
      </c>
      <c r="K120" s="17">
        <v>191230.80000000002</v>
      </c>
      <c r="L120" s="17">
        <v>211043.00000000003</v>
      </c>
      <c r="M120" s="17">
        <v>236885</v>
      </c>
      <c r="N120" s="17">
        <v>236885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</row>
    <row r="121" spans="1:19" ht="14.25">
      <c r="A121" s="23">
        <f t="shared" si="2"/>
        <v>120</v>
      </c>
      <c r="B121" s="18"/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96725</v>
      </c>
      <c r="J121" s="17">
        <v>116070</v>
      </c>
      <c r="K121" s="17">
        <v>114135.5</v>
      </c>
      <c r="L121" s="17">
        <v>114135.5</v>
      </c>
      <c r="M121" s="17">
        <v>140251.25</v>
      </c>
      <c r="N121" s="17">
        <v>159596.25</v>
      </c>
      <c r="O121" s="17">
        <v>168301.5</v>
      </c>
      <c r="P121" s="17">
        <v>168301.5</v>
      </c>
      <c r="Q121" s="17">
        <v>181843</v>
      </c>
      <c r="R121" s="17">
        <v>169268.75</v>
      </c>
      <c r="S121" s="17">
        <v>194417.24999999997</v>
      </c>
    </row>
    <row r="122" spans="1:19" ht="14.25">
      <c r="A122" s="23">
        <f t="shared" si="2"/>
        <v>121</v>
      </c>
      <c r="B122" s="18"/>
      <c r="C122" s="17">
        <v>82490</v>
      </c>
      <c r="D122" s="17">
        <v>100637.8</v>
      </c>
      <c r="E122" s="17">
        <v>93213.7</v>
      </c>
      <c r="F122" s="17">
        <v>98163.099999999991</v>
      </c>
      <c r="G122" s="17">
        <v>98163.099999999991</v>
      </c>
      <c r="H122" s="17">
        <v>116310.9</v>
      </c>
      <c r="I122" s="17">
        <v>123735</v>
      </c>
      <c r="J122" s="17">
        <v>123735</v>
      </c>
      <c r="K122" s="17">
        <v>141057.9</v>
      </c>
      <c r="L122" s="17">
        <v>124559.9</v>
      </c>
      <c r="M122" s="17">
        <v>131159.1</v>
      </c>
      <c r="N122" s="17">
        <v>150956.70000000001</v>
      </c>
      <c r="O122" s="17">
        <v>170754.30000000002</v>
      </c>
      <c r="P122" s="17">
        <v>194676.40000000002</v>
      </c>
      <c r="Q122" s="17">
        <v>179003.30000000002</v>
      </c>
      <c r="R122" s="17">
        <v>165804.90000000002</v>
      </c>
      <c r="S122" s="17">
        <v>174053.90000000002</v>
      </c>
    </row>
    <row r="123" spans="1:19" ht="14.25">
      <c r="A123" s="23">
        <f t="shared" si="2"/>
        <v>122</v>
      </c>
      <c r="B123" s="18"/>
      <c r="C123" s="17">
        <v>0</v>
      </c>
      <c r="D123" s="17">
        <v>0</v>
      </c>
      <c r="E123" s="17">
        <v>74460</v>
      </c>
      <c r="F123" s="17">
        <v>68503.199999999997</v>
      </c>
      <c r="G123" s="17">
        <v>82650.600000000006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</row>
    <row r="124" spans="1:19" ht="14.25">
      <c r="A124" s="23">
        <f t="shared" si="2"/>
        <v>123</v>
      </c>
      <c r="B124" s="18"/>
      <c r="C124" s="17">
        <v>0</v>
      </c>
      <c r="D124" s="17">
        <v>0</v>
      </c>
      <c r="E124" s="17">
        <v>0</v>
      </c>
      <c r="F124" s="17">
        <v>0</v>
      </c>
      <c r="G124" s="17">
        <v>91980</v>
      </c>
      <c r="H124" s="17">
        <v>97498.8</v>
      </c>
      <c r="I124" s="17">
        <v>114055.2</v>
      </c>
      <c r="J124" s="17">
        <v>137970</v>
      </c>
      <c r="K124" s="17">
        <v>148087.80000000002</v>
      </c>
      <c r="L124" s="17">
        <v>163724.4</v>
      </c>
      <c r="M124" s="17">
        <v>163724.4</v>
      </c>
      <c r="N124" s="17">
        <v>172922.40000000002</v>
      </c>
      <c r="O124" s="17">
        <v>192238.20000000004</v>
      </c>
      <c r="P124" s="17">
        <v>219832.2</v>
      </c>
      <c r="Q124" s="17">
        <v>219832.2</v>
      </c>
      <c r="R124" s="17">
        <v>226270.8</v>
      </c>
      <c r="S124" s="17">
        <v>221671.80000000002</v>
      </c>
    </row>
    <row r="125" spans="1:19" ht="14.25">
      <c r="A125" s="23">
        <f t="shared" si="2"/>
        <v>124</v>
      </c>
      <c r="B125" s="18"/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94535</v>
      </c>
      <c r="I125" s="17">
        <v>121004.8</v>
      </c>
      <c r="J125" s="17">
        <v>121004.8</v>
      </c>
      <c r="K125" s="17">
        <v>133294.35</v>
      </c>
      <c r="L125" s="17">
        <v>145583.9</v>
      </c>
      <c r="M125" s="17">
        <v>126676.90000000001</v>
      </c>
      <c r="N125" s="17">
        <v>155037.40000000002</v>
      </c>
      <c r="O125" s="17">
        <v>173944.4</v>
      </c>
      <c r="P125" s="17">
        <v>173944.4</v>
      </c>
      <c r="Q125" s="17">
        <v>182452.55000000002</v>
      </c>
      <c r="R125" s="17">
        <v>170163.00000000003</v>
      </c>
      <c r="S125" s="17">
        <v>155037.40000000002</v>
      </c>
    </row>
    <row r="126" spans="1:19" ht="14.25">
      <c r="A126" s="23">
        <f t="shared" si="2"/>
        <v>125</v>
      </c>
      <c r="B126" s="18"/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91615</v>
      </c>
      <c r="N126" s="17">
        <v>117267.2</v>
      </c>
      <c r="O126" s="17">
        <v>106273.40000000001</v>
      </c>
      <c r="P126" s="17">
        <v>106273.40000000001</v>
      </c>
      <c r="Q126" s="17">
        <v>129177.15000000001</v>
      </c>
      <c r="R126" s="17">
        <v>146584</v>
      </c>
      <c r="S126" s="17">
        <v>152080.90000000002</v>
      </c>
    </row>
    <row r="127" spans="1:19" ht="14.25">
      <c r="A127" s="23">
        <f t="shared" si="2"/>
        <v>126</v>
      </c>
      <c r="B127" s="18"/>
      <c r="C127" s="17">
        <v>0</v>
      </c>
      <c r="D127" s="17">
        <v>0</v>
      </c>
      <c r="E127" s="17">
        <v>0</v>
      </c>
      <c r="F127" s="17">
        <v>65700</v>
      </c>
      <c r="G127" s="17">
        <v>60444</v>
      </c>
      <c r="H127" s="17">
        <v>68985</v>
      </c>
      <c r="I127" s="17">
        <v>88038</v>
      </c>
      <c r="J127" s="17">
        <v>88038</v>
      </c>
      <c r="K127" s="17">
        <v>88038</v>
      </c>
      <c r="L127" s="17">
        <v>88038</v>
      </c>
      <c r="M127" s="17">
        <v>95922</v>
      </c>
      <c r="N127" s="17">
        <v>111690</v>
      </c>
      <c r="O127" s="17">
        <v>130743</v>
      </c>
      <c r="P127" s="17">
        <v>130743</v>
      </c>
      <c r="Q127" s="17">
        <v>145854</v>
      </c>
      <c r="R127" s="17">
        <v>152424.00000000003</v>
      </c>
      <c r="S127" s="17">
        <v>160308.00000000003</v>
      </c>
    </row>
    <row r="128" spans="1:19" ht="14.25">
      <c r="A128" s="23">
        <f t="shared" si="2"/>
        <v>127</v>
      </c>
      <c r="B128" s="18"/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83950</v>
      </c>
      <c r="O128" s="17">
        <v>75555</v>
      </c>
      <c r="P128" s="17">
        <v>75555</v>
      </c>
      <c r="Q128" s="17">
        <v>99061.000000000015</v>
      </c>
      <c r="R128" s="17">
        <v>96542.500000000015</v>
      </c>
      <c r="S128" s="17">
        <v>87308</v>
      </c>
    </row>
    <row r="129" spans="1:19" ht="14.25">
      <c r="A129" s="23">
        <f t="shared" si="2"/>
        <v>128</v>
      </c>
      <c r="B129" s="18"/>
      <c r="C129" s="17">
        <v>0</v>
      </c>
      <c r="D129" s="17">
        <v>0</v>
      </c>
      <c r="E129" s="17">
        <v>0</v>
      </c>
      <c r="F129" s="17">
        <v>0</v>
      </c>
      <c r="G129" s="17">
        <v>102200</v>
      </c>
      <c r="H129" s="17">
        <v>121618</v>
      </c>
      <c r="I129" s="17">
        <v>121618</v>
      </c>
      <c r="J129" s="17">
        <v>131838</v>
      </c>
      <c r="K129" s="17">
        <v>138992</v>
      </c>
      <c r="L129" s="17">
        <v>152278.00000000003</v>
      </c>
      <c r="M129" s="17">
        <v>167608</v>
      </c>
      <c r="N129" s="17">
        <v>167608</v>
      </c>
      <c r="O129" s="17">
        <v>167608</v>
      </c>
      <c r="P129" s="17">
        <v>167608</v>
      </c>
      <c r="Q129" s="17">
        <v>178850.00000000003</v>
      </c>
      <c r="R129" s="17">
        <v>193158</v>
      </c>
      <c r="S129" s="17">
        <v>209510.00000000003</v>
      </c>
    </row>
    <row r="130" spans="1:19" ht="14.25">
      <c r="A130" s="23">
        <f t="shared" si="2"/>
        <v>129</v>
      </c>
      <c r="B130" s="18"/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70810</v>
      </c>
      <c r="P130" s="17">
        <v>78599.100000000006</v>
      </c>
      <c r="Q130" s="17">
        <v>84263.900000000009</v>
      </c>
      <c r="R130" s="17">
        <v>94885.400000000009</v>
      </c>
      <c r="S130" s="17">
        <v>92761.1</v>
      </c>
    </row>
    <row r="131" spans="1:19" ht="14.25">
      <c r="A131" s="23">
        <f t="shared" ref="A131:A194" si="3">+A130+1</f>
        <v>130</v>
      </c>
      <c r="B131" s="18"/>
      <c r="C131" s="17">
        <v>0</v>
      </c>
      <c r="D131" s="17">
        <v>95265</v>
      </c>
      <c r="E131" s="17">
        <v>115270.65</v>
      </c>
      <c r="F131" s="17">
        <v>120033.9</v>
      </c>
      <c r="G131" s="17">
        <v>145755.45000000001</v>
      </c>
      <c r="H131" s="17">
        <v>152424</v>
      </c>
      <c r="I131" s="17">
        <v>162903.15000000002</v>
      </c>
      <c r="J131" s="17">
        <v>169571.7</v>
      </c>
      <c r="K131" s="17">
        <v>160997.85</v>
      </c>
      <c r="L131" s="17">
        <v>183861.45</v>
      </c>
      <c r="M131" s="17">
        <v>183861.45</v>
      </c>
      <c r="N131" s="17">
        <v>194340.6</v>
      </c>
      <c r="O131" s="17">
        <v>208630.35</v>
      </c>
      <c r="P131" s="17">
        <v>229588.65000000002</v>
      </c>
      <c r="Q131" s="17">
        <v>240067.8</v>
      </c>
      <c r="R131" s="17">
        <v>240067.8</v>
      </c>
      <c r="S131" s="17">
        <v>254357.55</v>
      </c>
    </row>
    <row r="132" spans="1:19" ht="14.25">
      <c r="A132" s="23">
        <f t="shared" si="3"/>
        <v>131</v>
      </c>
      <c r="B132" s="18"/>
      <c r="C132" s="17">
        <v>65700</v>
      </c>
      <c r="D132" s="17">
        <v>82125</v>
      </c>
      <c r="E132" s="17">
        <v>86724</v>
      </c>
      <c r="F132" s="17">
        <v>106434</v>
      </c>
      <c r="G132" s="17">
        <v>114975</v>
      </c>
      <c r="H132" s="17">
        <v>134685</v>
      </c>
      <c r="I132" s="17">
        <v>150453</v>
      </c>
      <c r="J132" s="17">
        <v>155709</v>
      </c>
      <c r="K132" s="17">
        <v>167535.00000000003</v>
      </c>
      <c r="L132" s="17">
        <v>181332.00000000003</v>
      </c>
      <c r="M132" s="17">
        <v>181332.00000000003</v>
      </c>
      <c r="N132" s="17">
        <v>181332.00000000003</v>
      </c>
      <c r="O132" s="17">
        <v>186588.00000000003</v>
      </c>
      <c r="P132" s="17">
        <v>197100.00000000003</v>
      </c>
      <c r="Q132" s="17">
        <v>197100.00000000003</v>
      </c>
      <c r="R132" s="17">
        <v>197100.00000000003</v>
      </c>
      <c r="S132" s="17">
        <v>205641.00000000003</v>
      </c>
    </row>
    <row r="133" spans="1:19" ht="14.25">
      <c r="A133" s="23">
        <f t="shared" si="3"/>
        <v>132</v>
      </c>
      <c r="B133" s="18"/>
      <c r="C133" s="17">
        <v>98915</v>
      </c>
      <c r="D133" s="17">
        <v>91001.8</v>
      </c>
      <c r="E133" s="17">
        <v>98915</v>
      </c>
      <c r="F133" s="17">
        <v>83088.599999999991</v>
      </c>
      <c r="G133" s="17">
        <v>66273.049999999988</v>
      </c>
      <c r="H133" s="17">
        <v>91001.799999999988</v>
      </c>
      <c r="I133" s="17">
        <v>110784.79999999999</v>
      </c>
      <c r="J133" s="17">
        <v>121665.45</v>
      </c>
      <c r="K133" s="17">
        <v>114741.4</v>
      </c>
      <c r="L133" s="17">
        <v>114741.4</v>
      </c>
      <c r="M133" s="17">
        <v>137491.84999999998</v>
      </c>
      <c r="N133" s="17">
        <v>137491.84999999998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</row>
    <row r="134" spans="1:19" ht="14.25">
      <c r="A134" s="23">
        <f t="shared" si="3"/>
        <v>133</v>
      </c>
      <c r="B134" s="18"/>
      <c r="C134" s="17">
        <v>0</v>
      </c>
      <c r="D134" s="17">
        <v>0</v>
      </c>
      <c r="E134" s="17">
        <v>0</v>
      </c>
      <c r="F134" s="17">
        <v>86140</v>
      </c>
      <c r="G134" s="17">
        <v>69773.400000000009</v>
      </c>
      <c r="H134" s="17">
        <v>76664.600000000006</v>
      </c>
      <c r="I134" s="17">
        <v>91308.400000000009</v>
      </c>
      <c r="J134" s="17">
        <v>105952.2</v>
      </c>
      <c r="K134" s="17">
        <v>112843.40000000001</v>
      </c>
      <c r="L134" s="17">
        <v>122318.80000000002</v>
      </c>
      <c r="M134" s="17">
        <v>140408.20000000001</v>
      </c>
      <c r="N134" s="17">
        <v>152467.79999999999</v>
      </c>
      <c r="O134" s="17">
        <v>149022.20000000001</v>
      </c>
      <c r="P134" s="17">
        <v>147299.4</v>
      </c>
      <c r="Q134" s="17">
        <v>147299.4</v>
      </c>
      <c r="R134" s="17">
        <v>147299.4</v>
      </c>
      <c r="S134" s="17">
        <v>151606.39999999999</v>
      </c>
    </row>
    <row r="135" spans="1:19" ht="14.25">
      <c r="A135" s="23">
        <f t="shared" si="3"/>
        <v>134</v>
      </c>
      <c r="B135" s="18"/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91250</v>
      </c>
      <c r="I135" s="17">
        <v>102200.00000000001</v>
      </c>
      <c r="J135" s="17">
        <v>102200.00000000001</v>
      </c>
      <c r="K135" s="17">
        <v>127750.00000000001</v>
      </c>
      <c r="L135" s="17">
        <v>151475</v>
      </c>
      <c r="M135" s="17">
        <v>166075</v>
      </c>
      <c r="N135" s="17">
        <v>166075</v>
      </c>
      <c r="O135" s="17">
        <v>156037.5</v>
      </c>
      <c r="P135" s="17">
        <v>172462.5</v>
      </c>
      <c r="Q135" s="17">
        <v>187062.49999999997</v>
      </c>
      <c r="R135" s="17">
        <v>187062.49999999997</v>
      </c>
      <c r="S135" s="17">
        <v>208049.99999999997</v>
      </c>
    </row>
    <row r="136" spans="1:19" ht="14.25">
      <c r="A136" s="23">
        <f t="shared" si="3"/>
        <v>135</v>
      </c>
      <c r="B136" s="18"/>
      <c r="C136" s="17">
        <v>0</v>
      </c>
      <c r="D136" s="17">
        <v>0</v>
      </c>
      <c r="E136" s="17">
        <v>0</v>
      </c>
      <c r="F136" s="17">
        <v>0</v>
      </c>
      <c r="G136" s="17">
        <v>73000</v>
      </c>
      <c r="H136" s="17">
        <v>86870</v>
      </c>
      <c r="I136" s="17">
        <v>81029.999999999985</v>
      </c>
      <c r="J136" s="17">
        <v>81029.999999999985</v>
      </c>
      <c r="K136" s="17">
        <v>86140</v>
      </c>
      <c r="L136" s="17">
        <v>92710</v>
      </c>
      <c r="M136" s="17">
        <v>109500</v>
      </c>
      <c r="N136" s="17">
        <v>106580</v>
      </c>
      <c r="O136" s="17">
        <v>94900</v>
      </c>
      <c r="P136" s="17">
        <v>102930.00000000001</v>
      </c>
      <c r="Q136" s="17">
        <v>102930.00000000001</v>
      </c>
      <c r="R136" s="17">
        <v>114610</v>
      </c>
      <c r="S136" s="17">
        <v>104390.00000000001</v>
      </c>
    </row>
    <row r="137" spans="1:19" ht="14.25">
      <c r="A137" s="23">
        <f t="shared" si="3"/>
        <v>136</v>
      </c>
      <c r="B137" s="18"/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84315</v>
      </c>
      <c r="N137" s="17">
        <v>96119.1</v>
      </c>
      <c r="O137" s="17">
        <v>109609.5</v>
      </c>
      <c r="P137" s="17">
        <v>109609.5</v>
      </c>
      <c r="Q137" s="17">
        <v>109609.5</v>
      </c>
      <c r="R137" s="17">
        <v>109609.5</v>
      </c>
      <c r="S137" s="17">
        <v>134060.85</v>
      </c>
    </row>
    <row r="138" spans="1:19" ht="14.25">
      <c r="A138" s="23">
        <f t="shared" si="3"/>
        <v>137</v>
      </c>
      <c r="B138" s="18"/>
      <c r="C138" s="17">
        <v>0</v>
      </c>
      <c r="D138" s="17">
        <v>0</v>
      </c>
      <c r="E138" s="17">
        <v>0</v>
      </c>
      <c r="F138" s="17">
        <v>85045</v>
      </c>
      <c r="G138" s="17">
        <v>100353.09999999999</v>
      </c>
      <c r="H138" s="17">
        <v>100353.09999999999</v>
      </c>
      <c r="I138" s="17">
        <v>124165.7</v>
      </c>
      <c r="J138" s="17">
        <v>138623.34999999998</v>
      </c>
      <c r="K138" s="17">
        <v>138623.34999999998</v>
      </c>
      <c r="L138" s="17">
        <v>146277.4</v>
      </c>
      <c r="M138" s="17">
        <v>170940.44999999998</v>
      </c>
      <c r="N138" s="17">
        <v>170940.44999999998</v>
      </c>
      <c r="O138" s="17">
        <v>177744.05</v>
      </c>
      <c r="P138" s="17">
        <v>199855.74999999997</v>
      </c>
      <c r="Q138" s="17">
        <v>222817.89999999997</v>
      </c>
      <c r="R138" s="17">
        <v>247480.94999999998</v>
      </c>
      <c r="S138" s="17">
        <v>242378.24999999997</v>
      </c>
    </row>
    <row r="139" spans="1:19" ht="14.25">
      <c r="A139" s="23">
        <f t="shared" si="3"/>
        <v>138</v>
      </c>
      <c r="B139" s="18"/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88330</v>
      </c>
      <c r="N139" s="17">
        <v>99812.9</v>
      </c>
      <c r="O139" s="17">
        <v>99812.9</v>
      </c>
      <c r="P139" s="17">
        <v>126311.9</v>
      </c>
      <c r="Q139" s="17">
        <v>145744.5</v>
      </c>
      <c r="R139" s="17">
        <v>141328</v>
      </c>
      <c r="S139" s="17">
        <v>138678.09999999998</v>
      </c>
    </row>
    <row r="140" spans="1:19" ht="14.25">
      <c r="A140" s="23">
        <f t="shared" si="3"/>
        <v>139</v>
      </c>
      <c r="B140" s="18"/>
      <c r="C140" s="17">
        <v>0</v>
      </c>
      <c r="D140" s="17">
        <v>0</v>
      </c>
      <c r="E140" s="17">
        <v>0</v>
      </c>
      <c r="F140" s="17">
        <v>0</v>
      </c>
      <c r="G140" s="17">
        <v>71540</v>
      </c>
      <c r="H140" s="17">
        <v>88709.6</v>
      </c>
      <c r="I140" s="17">
        <v>93002</v>
      </c>
      <c r="J140" s="17">
        <v>93002</v>
      </c>
      <c r="K140" s="17">
        <v>93002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</row>
    <row r="141" spans="1:19" ht="14.25">
      <c r="A141" s="23">
        <f t="shared" si="3"/>
        <v>140</v>
      </c>
      <c r="B141" s="18"/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81395</v>
      </c>
      <c r="M141" s="17">
        <v>98487.95</v>
      </c>
      <c r="N141" s="17">
        <v>91162.4</v>
      </c>
      <c r="O141" s="17">
        <v>104185.59999999999</v>
      </c>
      <c r="P141" s="17">
        <v>94418.199999999983</v>
      </c>
      <c r="Q141" s="17">
        <v>109883.24999999997</v>
      </c>
      <c r="R141" s="17">
        <v>119650.64999999998</v>
      </c>
      <c r="S141" s="17">
        <v>113952.99999999997</v>
      </c>
    </row>
    <row r="142" spans="1:19" ht="14.25">
      <c r="A142" s="23">
        <f t="shared" si="3"/>
        <v>141</v>
      </c>
      <c r="B142" s="18"/>
      <c r="C142" s="17">
        <v>0</v>
      </c>
      <c r="D142" s="17">
        <v>0</v>
      </c>
      <c r="E142" s="17">
        <v>96725</v>
      </c>
      <c r="F142" s="17">
        <v>96725</v>
      </c>
      <c r="G142" s="17">
        <v>90921.5</v>
      </c>
      <c r="H142" s="17">
        <v>89954.25</v>
      </c>
      <c r="I142" s="17">
        <v>89954.25</v>
      </c>
      <c r="J142" s="17">
        <v>98659.5</v>
      </c>
      <c r="K142" s="17">
        <v>105430.25000000001</v>
      </c>
      <c r="L142" s="17">
        <v>122840.75</v>
      </c>
      <c r="M142" s="17">
        <v>122840.75</v>
      </c>
      <c r="N142" s="17">
        <v>130578.75000000001</v>
      </c>
      <c r="O142" s="17">
        <v>130578.75000000001</v>
      </c>
      <c r="P142" s="17">
        <v>147022</v>
      </c>
      <c r="Q142" s="17">
        <v>143153</v>
      </c>
      <c r="R142" s="17">
        <v>155727.25</v>
      </c>
      <c r="S142" s="17">
        <v>150890.99999999997</v>
      </c>
    </row>
    <row r="143" spans="1:19" ht="14.25">
      <c r="A143" s="23">
        <f t="shared" si="3"/>
        <v>142</v>
      </c>
      <c r="B143" s="18"/>
      <c r="C143" s="17">
        <v>85410</v>
      </c>
      <c r="D143" s="17">
        <v>106762.5</v>
      </c>
      <c r="E143" s="17">
        <v>97367.4</v>
      </c>
      <c r="F143" s="17">
        <v>111887.09999999999</v>
      </c>
      <c r="G143" s="17">
        <v>111032.99999999999</v>
      </c>
      <c r="H143" s="17">
        <v>121282.2</v>
      </c>
      <c r="I143" s="17">
        <v>128115</v>
      </c>
      <c r="J143" s="17">
        <v>128115</v>
      </c>
      <c r="K143" s="17">
        <v>128115</v>
      </c>
      <c r="L143" s="17">
        <v>117011.70000000001</v>
      </c>
      <c r="M143" s="17">
        <v>124698.60000000002</v>
      </c>
      <c r="N143" s="17">
        <v>108470.70000000003</v>
      </c>
      <c r="O143" s="17">
        <v>108470.70000000003</v>
      </c>
      <c r="P143" s="17">
        <v>117011.70000000003</v>
      </c>
      <c r="Q143" s="17">
        <v>122136.30000000003</v>
      </c>
      <c r="R143" s="17">
        <v>134947.80000000002</v>
      </c>
      <c r="S143" s="17">
        <v>146905.20000000001</v>
      </c>
    </row>
    <row r="144" spans="1:19" ht="14.25">
      <c r="A144" s="23">
        <f t="shared" si="3"/>
        <v>143</v>
      </c>
      <c r="B144" s="18"/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74825</v>
      </c>
    </row>
    <row r="145" spans="1:19" ht="14.25">
      <c r="A145" s="23">
        <f t="shared" si="3"/>
        <v>144</v>
      </c>
      <c r="B145" s="18"/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83220</v>
      </c>
      <c r="Q145" s="17">
        <v>88213.200000000012</v>
      </c>
      <c r="R145" s="17">
        <v>106521.60000000001</v>
      </c>
      <c r="S145" s="17">
        <v>112347.00000000001</v>
      </c>
    </row>
    <row r="146" spans="1:19" ht="14.25">
      <c r="A146" s="23">
        <f t="shared" si="3"/>
        <v>145</v>
      </c>
      <c r="B146" s="18"/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69350</v>
      </c>
      <c r="M146" s="17">
        <v>62415</v>
      </c>
      <c r="N146" s="17">
        <v>69350</v>
      </c>
      <c r="O146" s="17">
        <v>69350</v>
      </c>
      <c r="P146" s="17">
        <v>72817.5</v>
      </c>
      <c r="Q146" s="17">
        <v>72817.5</v>
      </c>
      <c r="R146" s="17">
        <v>58947.500000000007</v>
      </c>
      <c r="S146" s="17">
        <v>62415.000000000007</v>
      </c>
    </row>
    <row r="147" spans="1:19" ht="14.25">
      <c r="A147" s="23">
        <f t="shared" si="3"/>
        <v>146</v>
      </c>
      <c r="B147" s="18"/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105485</v>
      </c>
      <c r="J147" s="17">
        <v>129746.55</v>
      </c>
      <c r="K147" s="17">
        <v>129746.55</v>
      </c>
      <c r="L147" s="17">
        <v>119198.04999999999</v>
      </c>
      <c r="M147" s="17">
        <v>140295.04999999999</v>
      </c>
      <c r="N147" s="17">
        <v>140295.04999999999</v>
      </c>
      <c r="O147" s="17">
        <v>140295.04999999999</v>
      </c>
      <c r="P147" s="17">
        <v>140295.04999999999</v>
      </c>
      <c r="Q147" s="17">
        <v>161392.04999999999</v>
      </c>
      <c r="R147" s="17">
        <v>161392.04999999999</v>
      </c>
      <c r="S147" s="17">
        <v>141349.9</v>
      </c>
    </row>
    <row r="148" spans="1:19" ht="14.25">
      <c r="A148" s="23">
        <f t="shared" si="3"/>
        <v>147</v>
      </c>
      <c r="B148" s="18"/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105850</v>
      </c>
      <c r="J148" s="17">
        <v>117493.50000000001</v>
      </c>
      <c r="K148" s="17">
        <v>131254.00000000003</v>
      </c>
      <c r="L148" s="17">
        <v>131254.00000000003</v>
      </c>
      <c r="M148" s="17">
        <v>146073.00000000003</v>
      </c>
      <c r="N148" s="17">
        <v>160892.00000000006</v>
      </c>
      <c r="O148" s="17">
        <v>166184.50000000006</v>
      </c>
      <c r="P148" s="17">
        <v>171477.00000000006</v>
      </c>
      <c r="Q148" s="17">
        <v>171477.00000000006</v>
      </c>
      <c r="R148" s="17">
        <v>192647.00000000006</v>
      </c>
      <c r="S148" s="17">
        <v>202173.50000000006</v>
      </c>
    </row>
    <row r="149" spans="1:19" ht="14.25">
      <c r="A149" s="23">
        <f t="shared" si="3"/>
        <v>148</v>
      </c>
      <c r="B149" s="18"/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82125</v>
      </c>
      <c r="N149" s="17">
        <v>104298.75</v>
      </c>
      <c r="O149" s="17">
        <v>110868.75000000001</v>
      </c>
      <c r="P149" s="17">
        <v>110868.75000000001</v>
      </c>
      <c r="Q149" s="17">
        <v>132221.25</v>
      </c>
      <c r="R149" s="17">
        <v>137148.75</v>
      </c>
      <c r="S149" s="17">
        <v>143718.75000000003</v>
      </c>
    </row>
    <row r="150" spans="1:19" ht="14.25">
      <c r="A150" s="23">
        <f t="shared" si="3"/>
        <v>149</v>
      </c>
      <c r="B150" s="18"/>
      <c r="C150" s="17">
        <v>79205</v>
      </c>
      <c r="D150" s="17">
        <v>87125.5</v>
      </c>
      <c r="E150" s="17">
        <v>104550.6</v>
      </c>
      <c r="F150" s="17">
        <v>112471.1</v>
      </c>
      <c r="G150" s="17">
        <v>133856.45000000001</v>
      </c>
      <c r="H150" s="17">
        <v>118015.45000000001</v>
      </c>
      <c r="I150" s="17">
        <v>129104.15000000002</v>
      </c>
      <c r="J150" s="17">
        <v>144945.15000000002</v>
      </c>
      <c r="K150" s="17">
        <v>144945.15000000002</v>
      </c>
      <c r="L150" s="17">
        <v>152073.60000000003</v>
      </c>
      <c r="M150" s="17">
        <v>152073.60000000003</v>
      </c>
      <c r="N150" s="17">
        <v>165538.45000000001</v>
      </c>
      <c r="O150" s="17">
        <v>182171.50000000003</v>
      </c>
      <c r="P150" s="17">
        <v>0</v>
      </c>
      <c r="Q150" s="17">
        <v>0</v>
      </c>
      <c r="R150" s="17">
        <v>0</v>
      </c>
      <c r="S150" s="17">
        <v>0</v>
      </c>
    </row>
    <row r="151" spans="1:19" ht="14.25">
      <c r="A151" s="23">
        <f t="shared" si="3"/>
        <v>150</v>
      </c>
      <c r="B151" s="18"/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78110</v>
      </c>
      <c r="J151" s="17">
        <v>84358.8</v>
      </c>
      <c r="K151" s="17">
        <v>84358.8</v>
      </c>
      <c r="L151" s="17">
        <v>97637.5</v>
      </c>
      <c r="M151" s="17">
        <v>113259.5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</row>
    <row r="152" spans="1:19" ht="14.25">
      <c r="A152" s="23">
        <f t="shared" si="3"/>
        <v>151</v>
      </c>
      <c r="B152" s="18"/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73365</v>
      </c>
      <c r="K152" s="17">
        <v>77033.25</v>
      </c>
      <c r="L152" s="17">
        <v>95374.5</v>
      </c>
      <c r="M152" s="17">
        <v>95374.5</v>
      </c>
      <c r="N152" s="17">
        <v>95374.5</v>
      </c>
      <c r="O152" s="17">
        <v>95374.5</v>
      </c>
      <c r="P152" s="17">
        <v>95374.5</v>
      </c>
      <c r="Q152" s="17">
        <v>82168.800000000003</v>
      </c>
      <c r="R152" s="17">
        <v>82168.800000000003</v>
      </c>
      <c r="S152" s="17">
        <v>0</v>
      </c>
    </row>
    <row r="153" spans="1:19" ht="14.25">
      <c r="A153" s="23">
        <f t="shared" si="3"/>
        <v>152</v>
      </c>
      <c r="B153" s="18"/>
      <c r="C153" s="17">
        <v>0</v>
      </c>
      <c r="D153" s="17">
        <v>0</v>
      </c>
      <c r="E153" s="17">
        <v>0</v>
      </c>
      <c r="F153" s="17">
        <v>0</v>
      </c>
      <c r="G153" s="17">
        <v>71905</v>
      </c>
      <c r="H153" s="17">
        <v>64714.5</v>
      </c>
      <c r="I153" s="17">
        <v>82690.75</v>
      </c>
      <c r="J153" s="17">
        <v>101386.04999999999</v>
      </c>
      <c r="K153" s="17">
        <v>104981.3</v>
      </c>
      <c r="L153" s="17">
        <v>122238.5</v>
      </c>
      <c r="M153" s="17">
        <v>122238.5</v>
      </c>
      <c r="N153" s="17">
        <v>143810</v>
      </c>
      <c r="O153" s="17">
        <v>140214.75</v>
      </c>
      <c r="P153" s="17">
        <v>132305.19999999998</v>
      </c>
      <c r="Q153" s="17">
        <v>137338.54999999999</v>
      </c>
      <c r="R153" s="17">
        <v>148124.30000000002</v>
      </c>
      <c r="S153" s="17">
        <v>159629.1</v>
      </c>
    </row>
    <row r="154" spans="1:19" ht="14.25">
      <c r="A154" s="23">
        <f t="shared" si="3"/>
        <v>153</v>
      </c>
      <c r="B154" s="18"/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82125</v>
      </c>
      <c r="J154" s="17">
        <v>101013.75</v>
      </c>
      <c r="K154" s="17">
        <v>113332.49999999999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</row>
    <row r="155" spans="1:19" ht="14.25">
      <c r="A155" s="23">
        <f t="shared" si="3"/>
        <v>154</v>
      </c>
      <c r="B155" s="18"/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99645</v>
      </c>
    </row>
    <row r="156" spans="1:19" ht="14.25">
      <c r="A156" s="23">
        <f t="shared" si="3"/>
        <v>155</v>
      </c>
      <c r="B156" s="18"/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74825</v>
      </c>
      <c r="J156" s="17">
        <v>97272.5</v>
      </c>
      <c r="K156" s="17">
        <v>91286.5</v>
      </c>
      <c r="L156" s="17">
        <v>91286.5</v>
      </c>
      <c r="M156" s="17">
        <v>91286.5</v>
      </c>
      <c r="N156" s="17">
        <v>91286.5</v>
      </c>
      <c r="O156" s="17">
        <v>113734</v>
      </c>
      <c r="P156" s="17">
        <v>113734</v>
      </c>
      <c r="Q156" s="17">
        <v>120468.25000000001</v>
      </c>
      <c r="R156" s="17">
        <v>142915.75</v>
      </c>
      <c r="S156" s="17">
        <v>130943.75000000001</v>
      </c>
    </row>
    <row r="157" spans="1:19" ht="14.25">
      <c r="A157" s="23">
        <f t="shared" si="3"/>
        <v>156</v>
      </c>
      <c r="B157" s="18"/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93440</v>
      </c>
      <c r="L157" s="17">
        <v>100915.20000000001</v>
      </c>
      <c r="M157" s="17">
        <v>118668.8</v>
      </c>
      <c r="N157" s="17">
        <v>118668.8</v>
      </c>
      <c r="O157" s="17">
        <v>130815.99999999999</v>
      </c>
      <c r="P157" s="17">
        <v>142028.79999999999</v>
      </c>
      <c r="Q157" s="17">
        <v>166323.20000000001</v>
      </c>
      <c r="R157" s="17">
        <v>162585.60000000001</v>
      </c>
      <c r="S157" s="17">
        <v>180339.19999999998</v>
      </c>
    </row>
    <row r="158" spans="1:19" ht="14.25">
      <c r="A158" s="23">
        <f t="shared" si="3"/>
        <v>157</v>
      </c>
      <c r="B158" s="18"/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101835</v>
      </c>
      <c r="J158" s="17">
        <v>130348.8</v>
      </c>
      <c r="K158" s="17">
        <v>145624.04999999999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</row>
    <row r="159" spans="1:19" ht="14.25">
      <c r="A159" s="23">
        <f t="shared" si="3"/>
        <v>158</v>
      </c>
      <c r="B159" s="18"/>
      <c r="C159" s="17">
        <v>84315</v>
      </c>
      <c r="D159" s="17">
        <v>100334.84999999999</v>
      </c>
      <c r="E159" s="17">
        <v>97805.4</v>
      </c>
      <c r="F159" s="17">
        <v>105393.75</v>
      </c>
      <c r="G159" s="17">
        <v>116354.7</v>
      </c>
      <c r="H159" s="17">
        <v>110452.64999999998</v>
      </c>
      <c r="I159" s="17">
        <v>107923.19999999998</v>
      </c>
      <c r="J159" s="17">
        <v>93589.65</v>
      </c>
      <c r="K159" s="17">
        <v>78412.95</v>
      </c>
      <c r="L159" s="17">
        <v>95275.95</v>
      </c>
      <c r="M159" s="17">
        <v>95275.95</v>
      </c>
      <c r="N159" s="17">
        <v>112138.94999999998</v>
      </c>
      <c r="O159" s="17">
        <v>112138.94999999998</v>
      </c>
      <c r="P159" s="17">
        <v>112138.94999999998</v>
      </c>
      <c r="Q159" s="17">
        <v>122256.74999999997</v>
      </c>
      <c r="R159" s="17">
        <v>139119.74999999997</v>
      </c>
      <c r="S159" s="17">
        <v>150923.84999999998</v>
      </c>
    </row>
    <row r="160" spans="1:19" ht="14.25">
      <c r="A160" s="23">
        <f t="shared" si="3"/>
        <v>159</v>
      </c>
      <c r="B160" s="18"/>
      <c r="C160" s="17">
        <v>0</v>
      </c>
      <c r="D160" s="17">
        <v>0</v>
      </c>
      <c r="E160" s="17">
        <v>0</v>
      </c>
      <c r="F160" s="17">
        <v>72270</v>
      </c>
      <c r="G160" s="17">
        <v>72270</v>
      </c>
      <c r="H160" s="17">
        <v>82387.8</v>
      </c>
      <c r="I160" s="17">
        <v>69379.200000000012</v>
      </c>
      <c r="J160" s="17">
        <v>91060.200000000012</v>
      </c>
      <c r="K160" s="17">
        <v>110573.10000000002</v>
      </c>
      <c r="L160" s="17">
        <v>97564.500000000029</v>
      </c>
      <c r="M160" s="17">
        <v>97564.500000000029</v>
      </c>
      <c r="N160" s="17">
        <v>107682.30000000002</v>
      </c>
      <c r="O160" s="17">
        <v>118522.8</v>
      </c>
      <c r="P160" s="17">
        <v>123581.70000000001</v>
      </c>
      <c r="Q160" s="17">
        <v>109850.40000000002</v>
      </c>
      <c r="R160" s="17">
        <v>104791.50000000001</v>
      </c>
      <c r="S160" s="17">
        <v>123581.70000000001</v>
      </c>
    </row>
    <row r="161" spans="1:19" ht="14.25">
      <c r="A161" s="23">
        <f t="shared" si="3"/>
        <v>160</v>
      </c>
      <c r="B161" s="18"/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97455</v>
      </c>
      <c r="K161" s="17">
        <v>89658.6</v>
      </c>
      <c r="L161" s="17">
        <v>73091.25</v>
      </c>
      <c r="M161" s="17">
        <v>73091.25</v>
      </c>
      <c r="N161" s="17">
        <v>89658.6</v>
      </c>
      <c r="O161" s="17">
        <v>100378.65000000001</v>
      </c>
      <c r="P161" s="17">
        <v>112073.24999999999</v>
      </c>
      <c r="Q161" s="17">
        <v>93556.800000000003</v>
      </c>
      <c r="R161" s="17">
        <v>93556.800000000003</v>
      </c>
      <c r="S161" s="17">
        <v>100378.65000000001</v>
      </c>
    </row>
    <row r="162" spans="1:19" ht="14.25">
      <c r="A162" s="23">
        <f t="shared" si="3"/>
        <v>161</v>
      </c>
      <c r="B162" s="18"/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76650</v>
      </c>
      <c r="M162" s="17">
        <v>76650</v>
      </c>
      <c r="N162" s="17">
        <v>76650</v>
      </c>
      <c r="O162" s="17">
        <v>76650</v>
      </c>
      <c r="P162" s="17">
        <v>98878.5</v>
      </c>
      <c r="Q162" s="17">
        <v>98878.5</v>
      </c>
      <c r="R162" s="17">
        <v>110376</v>
      </c>
      <c r="S162" s="17">
        <v>110376</v>
      </c>
    </row>
    <row r="163" spans="1:19" ht="14.25">
      <c r="A163" s="23">
        <f t="shared" si="3"/>
        <v>162</v>
      </c>
      <c r="B163" s="18"/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98185</v>
      </c>
      <c r="I163" s="17">
        <v>108985.35</v>
      </c>
      <c r="J163" s="17">
        <v>119785.70000000003</v>
      </c>
      <c r="K163" s="17">
        <v>119785.70000000003</v>
      </c>
      <c r="L163" s="17">
        <v>131567.90000000002</v>
      </c>
      <c r="M163" s="17">
        <v>153168.60000000003</v>
      </c>
      <c r="N163" s="17">
        <v>153168.60000000003</v>
      </c>
      <c r="O163" s="17">
        <v>158077.85000000003</v>
      </c>
      <c r="P163" s="17">
        <v>151204.90000000002</v>
      </c>
      <c r="Q163" s="17">
        <v>171823.75000000003</v>
      </c>
      <c r="R163" s="17">
        <v>198333.70000000004</v>
      </c>
      <c r="S163" s="17">
        <v>198333.70000000004</v>
      </c>
    </row>
    <row r="164" spans="1:19" ht="14.25">
      <c r="A164" s="23">
        <f t="shared" si="3"/>
        <v>163</v>
      </c>
      <c r="B164" s="18"/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70445</v>
      </c>
      <c r="P164" s="17">
        <v>78193.950000000012</v>
      </c>
      <c r="Q164" s="17">
        <v>86647.35</v>
      </c>
      <c r="R164" s="17">
        <v>90169.600000000006</v>
      </c>
      <c r="S164" s="17">
        <v>101440.8</v>
      </c>
    </row>
    <row r="165" spans="1:19" ht="14.25">
      <c r="A165" s="23">
        <f t="shared" si="3"/>
        <v>164</v>
      </c>
      <c r="B165" s="18"/>
      <c r="C165" s="17">
        <v>0</v>
      </c>
      <c r="D165" s="17">
        <v>0</v>
      </c>
      <c r="E165" s="17">
        <v>0</v>
      </c>
      <c r="F165" s="17">
        <v>0</v>
      </c>
      <c r="G165" s="17">
        <v>96725</v>
      </c>
      <c r="H165" s="17">
        <v>78347.25</v>
      </c>
      <c r="I165" s="17">
        <v>102528.5</v>
      </c>
      <c r="J165" s="17">
        <v>125742.5</v>
      </c>
      <c r="K165" s="17">
        <v>118004.5</v>
      </c>
      <c r="L165" s="17">
        <v>130578.75000000001</v>
      </c>
      <c r="M165" s="17">
        <v>119939</v>
      </c>
      <c r="N165" s="17">
        <v>145087.5</v>
      </c>
      <c r="O165" s="17">
        <v>153792.75</v>
      </c>
      <c r="P165" s="17">
        <v>165399.75</v>
      </c>
      <c r="Q165" s="17">
        <v>147989.25</v>
      </c>
      <c r="R165" s="17">
        <v>147989.25</v>
      </c>
      <c r="S165" s="17">
        <v>145087.5</v>
      </c>
    </row>
    <row r="166" spans="1:19" ht="14.25">
      <c r="A166" s="23">
        <f t="shared" si="3"/>
        <v>165</v>
      </c>
      <c r="B166" s="18"/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87600</v>
      </c>
      <c r="P166" s="17">
        <v>102492</v>
      </c>
      <c r="Q166" s="17">
        <v>110376</v>
      </c>
      <c r="R166" s="17">
        <v>104244</v>
      </c>
      <c r="S166" s="17">
        <v>108624</v>
      </c>
    </row>
    <row r="167" spans="1:19" ht="14.25">
      <c r="A167" s="23">
        <f t="shared" si="3"/>
        <v>166</v>
      </c>
      <c r="B167" s="18"/>
      <c r="C167" s="17">
        <v>0</v>
      </c>
      <c r="D167" s="17">
        <v>0</v>
      </c>
      <c r="E167" s="17">
        <v>0</v>
      </c>
      <c r="F167" s="17">
        <v>0</v>
      </c>
      <c r="G167" s="17">
        <v>79935</v>
      </c>
      <c r="H167" s="17">
        <v>90326.549999999988</v>
      </c>
      <c r="I167" s="17">
        <v>102316.79999999999</v>
      </c>
      <c r="J167" s="17">
        <v>93523.949999999983</v>
      </c>
      <c r="K167" s="17">
        <v>81533.699999999983</v>
      </c>
      <c r="L167" s="17">
        <v>99119.39999999998</v>
      </c>
      <c r="M167" s="17">
        <v>119103.14999999998</v>
      </c>
      <c r="N167" s="17">
        <v>130294.04999999999</v>
      </c>
      <c r="O167" s="17">
        <v>130294.04999999999</v>
      </c>
      <c r="P167" s="17">
        <v>143083.65</v>
      </c>
      <c r="Q167" s="17">
        <v>143083.65</v>
      </c>
      <c r="R167" s="17">
        <v>142284.29999999999</v>
      </c>
      <c r="S167" s="17">
        <v>142284.29999999999</v>
      </c>
    </row>
    <row r="168" spans="1:19" ht="14.25">
      <c r="A168" s="23">
        <f t="shared" si="3"/>
        <v>167</v>
      </c>
      <c r="B168" s="18"/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95630</v>
      </c>
      <c r="R168" s="17">
        <v>105193.00000000001</v>
      </c>
      <c r="S168" s="17">
        <v>105193.00000000001</v>
      </c>
    </row>
    <row r="169" spans="1:19" ht="14.25">
      <c r="A169" s="23">
        <f t="shared" si="3"/>
        <v>168</v>
      </c>
      <c r="B169" s="18"/>
      <c r="C169" s="17">
        <v>74460</v>
      </c>
      <c r="D169" s="17">
        <v>82650.600000000006</v>
      </c>
      <c r="E169" s="17">
        <v>86373.6</v>
      </c>
      <c r="F169" s="17">
        <v>90096.60000000002</v>
      </c>
      <c r="G169" s="17">
        <v>78183.000000000015</v>
      </c>
      <c r="H169" s="17">
        <v>78183.000000000015</v>
      </c>
      <c r="I169" s="17">
        <v>96053.400000000023</v>
      </c>
      <c r="J169" s="17">
        <v>116902.20000000003</v>
      </c>
      <c r="K169" s="17">
        <v>116157.60000000002</v>
      </c>
      <c r="L169" s="17">
        <v>122114.40000000002</v>
      </c>
      <c r="M169" s="17">
        <v>122114.40000000002</v>
      </c>
      <c r="N169" s="17">
        <v>132538.80000000002</v>
      </c>
      <c r="O169" s="17">
        <v>122859.00000000003</v>
      </c>
      <c r="P169" s="17">
        <v>116902.20000000003</v>
      </c>
      <c r="Q169" s="17">
        <v>130305.00000000001</v>
      </c>
      <c r="R169" s="17">
        <v>139240.20000000001</v>
      </c>
      <c r="S169" s="17">
        <v>139240.20000000001</v>
      </c>
    </row>
    <row r="170" spans="1:19" ht="14.25">
      <c r="A170" s="23">
        <f t="shared" si="3"/>
        <v>169</v>
      </c>
      <c r="B170" s="18"/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73365</v>
      </c>
      <c r="Q170" s="17">
        <v>88038</v>
      </c>
      <c r="R170" s="17">
        <v>99776.4</v>
      </c>
      <c r="S170" s="17">
        <v>99776.4</v>
      </c>
    </row>
    <row r="171" spans="1:19" ht="14.25">
      <c r="A171" s="23">
        <f t="shared" si="3"/>
        <v>170</v>
      </c>
      <c r="B171" s="18"/>
      <c r="C171" s="17">
        <v>95265</v>
      </c>
      <c r="D171" s="17">
        <v>112412.7</v>
      </c>
      <c r="E171" s="17">
        <v>108602.09999999999</v>
      </c>
      <c r="F171" s="17">
        <v>123844.49999999999</v>
      </c>
      <c r="G171" s="17">
        <v>123844.49999999999</v>
      </c>
      <c r="H171" s="17">
        <v>118128.59999999998</v>
      </c>
      <c r="I171" s="17">
        <v>118128.59999999998</v>
      </c>
      <c r="J171" s="17">
        <v>99075.599999999977</v>
      </c>
      <c r="K171" s="17">
        <v>110507.39999999997</v>
      </c>
      <c r="L171" s="17">
        <v>97170.299999999959</v>
      </c>
      <c r="M171" s="17">
        <v>83833.199999999953</v>
      </c>
      <c r="N171" s="17">
        <v>83833.199999999953</v>
      </c>
      <c r="O171" s="17">
        <v>67638.149999999951</v>
      </c>
      <c r="P171" s="17">
        <v>94312.349999999962</v>
      </c>
      <c r="Q171" s="17">
        <v>89549.099999999948</v>
      </c>
      <c r="R171" s="17">
        <v>82880.549999999945</v>
      </c>
      <c r="S171" s="17">
        <v>89549.099999999948</v>
      </c>
    </row>
    <row r="172" spans="1:19" ht="14.25">
      <c r="A172" s="23">
        <f t="shared" si="3"/>
        <v>171</v>
      </c>
      <c r="B172" s="18"/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66065</v>
      </c>
      <c r="S172" s="17">
        <v>81920.600000000006</v>
      </c>
    </row>
    <row r="173" spans="1:19" ht="14.25">
      <c r="A173" s="23">
        <f t="shared" si="3"/>
        <v>172</v>
      </c>
      <c r="B173" s="18"/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102930</v>
      </c>
      <c r="J173" s="17">
        <v>113223.00000000001</v>
      </c>
      <c r="K173" s="17">
        <v>120428.10000000002</v>
      </c>
      <c r="L173" s="17">
        <v>120428.10000000002</v>
      </c>
      <c r="M173" s="17">
        <v>109105.8</v>
      </c>
      <c r="N173" s="17">
        <v>94695.6</v>
      </c>
      <c r="O173" s="17">
        <v>109105.8</v>
      </c>
      <c r="P173" s="17">
        <v>130721.1</v>
      </c>
      <c r="Q173" s="17">
        <v>145131.30000000002</v>
      </c>
      <c r="R173" s="17">
        <v>0</v>
      </c>
      <c r="S173" s="17">
        <v>0</v>
      </c>
    </row>
    <row r="174" spans="1:19" ht="14.25">
      <c r="A174" s="23">
        <f t="shared" si="3"/>
        <v>173</v>
      </c>
      <c r="B174" s="18"/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66430</v>
      </c>
      <c r="P174" s="17">
        <v>66430</v>
      </c>
      <c r="Q174" s="17">
        <v>66430</v>
      </c>
      <c r="R174" s="17">
        <v>66430</v>
      </c>
      <c r="S174" s="17">
        <v>81708.899999999994</v>
      </c>
    </row>
    <row r="175" spans="1:19" ht="14.25">
      <c r="A175" s="23">
        <f t="shared" si="3"/>
        <v>174</v>
      </c>
      <c r="B175" s="18"/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102200</v>
      </c>
      <c r="S175" s="17">
        <v>102200</v>
      </c>
    </row>
    <row r="176" spans="1:19" ht="14.25">
      <c r="A176" s="23">
        <f t="shared" si="3"/>
        <v>175</v>
      </c>
      <c r="B176" s="18"/>
      <c r="C176" s="17">
        <v>88330</v>
      </c>
      <c r="D176" s="17">
        <v>79497</v>
      </c>
      <c r="E176" s="17">
        <v>68897.400000000009</v>
      </c>
      <c r="F176" s="17">
        <v>88330</v>
      </c>
      <c r="G176" s="17">
        <v>88330</v>
      </c>
      <c r="H176" s="17">
        <v>88330</v>
      </c>
      <c r="I176" s="17">
        <v>105996</v>
      </c>
      <c r="J176" s="17">
        <v>105996</v>
      </c>
      <c r="K176" s="17">
        <v>105996</v>
      </c>
      <c r="L176" s="17">
        <v>131611.70000000001</v>
      </c>
      <c r="M176" s="17">
        <v>144861.19999999998</v>
      </c>
      <c r="N176" s="17">
        <v>162527.19999999998</v>
      </c>
      <c r="O176" s="17">
        <v>168710.3</v>
      </c>
      <c r="P176" s="17">
        <v>175776.7</v>
      </c>
      <c r="Q176" s="17">
        <v>168710.3</v>
      </c>
      <c r="R176" s="17">
        <v>162527.19999999998</v>
      </c>
      <c r="S176" s="17">
        <v>162527.19999999998</v>
      </c>
    </row>
    <row r="177" spans="1:19" ht="14.25">
      <c r="A177" s="23">
        <f t="shared" si="3"/>
        <v>176</v>
      </c>
      <c r="B177" s="18"/>
      <c r="C177" s="17">
        <v>93440</v>
      </c>
      <c r="D177" s="17">
        <v>106521.60000000001</v>
      </c>
      <c r="E177" s="17">
        <v>112128.00000000001</v>
      </c>
      <c r="F177" s="17">
        <v>112128.00000000001</v>
      </c>
      <c r="G177" s="17">
        <v>129881.60000000001</v>
      </c>
      <c r="H177" s="17">
        <v>128947.20000000001</v>
      </c>
      <c r="I177" s="17">
        <v>135488.00000000003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</row>
    <row r="178" spans="1:19" ht="14.25">
      <c r="A178" s="23">
        <f t="shared" si="3"/>
        <v>177</v>
      </c>
      <c r="B178" s="18"/>
      <c r="C178" s="17">
        <v>0</v>
      </c>
      <c r="D178" s="17">
        <v>0</v>
      </c>
      <c r="E178" s="17">
        <v>87235</v>
      </c>
      <c r="F178" s="17">
        <v>109916.1</v>
      </c>
      <c r="G178" s="17">
        <v>135214.25</v>
      </c>
      <c r="H178" s="17">
        <v>148299.5</v>
      </c>
      <c r="I178" s="17">
        <v>148299.5</v>
      </c>
      <c r="J178" s="17">
        <v>153533.6</v>
      </c>
      <c r="K178" s="17">
        <v>137831.30000000002</v>
      </c>
      <c r="L178" s="17">
        <v>157023</v>
      </c>
      <c r="M178" s="17">
        <v>162257.1</v>
      </c>
      <c r="N178" s="17">
        <v>169235.90000000002</v>
      </c>
      <c r="O178" s="17">
        <v>169235.90000000002</v>
      </c>
      <c r="P178" s="17">
        <v>188427.6</v>
      </c>
      <c r="Q178" s="17">
        <v>197151.1</v>
      </c>
      <c r="R178" s="17">
        <v>197151.1</v>
      </c>
      <c r="S178" s="17">
        <v>182321.15000000002</v>
      </c>
    </row>
    <row r="179" spans="1:19" ht="14.25">
      <c r="A179" s="23">
        <f t="shared" si="3"/>
        <v>178</v>
      </c>
      <c r="B179" s="18"/>
      <c r="C179" s="17">
        <v>88695</v>
      </c>
      <c r="D179" s="17">
        <v>102886.2</v>
      </c>
      <c r="E179" s="17">
        <v>123286.04999999999</v>
      </c>
      <c r="F179" s="17">
        <v>142798.94999999998</v>
      </c>
      <c r="G179" s="17">
        <v>152555.4</v>
      </c>
      <c r="H179" s="17">
        <v>152555.4</v>
      </c>
      <c r="I179" s="17">
        <v>135703.35</v>
      </c>
      <c r="J179" s="17">
        <v>159651</v>
      </c>
      <c r="K179" s="17">
        <v>181824.74999999997</v>
      </c>
      <c r="L179" s="17">
        <v>167633.54999999999</v>
      </c>
      <c r="M179" s="17">
        <v>179163.9</v>
      </c>
      <c r="N179" s="17">
        <v>197789.85</v>
      </c>
      <c r="O179" s="17">
        <v>190694.25</v>
      </c>
      <c r="P179" s="17">
        <v>190694.25</v>
      </c>
      <c r="Q179" s="17">
        <v>190694.25</v>
      </c>
      <c r="R179" s="17">
        <v>214641.9</v>
      </c>
      <c r="S179" s="17">
        <v>196902.89999999997</v>
      </c>
    </row>
    <row r="180" spans="1:19" ht="14.25">
      <c r="A180" s="23">
        <f t="shared" si="3"/>
        <v>179</v>
      </c>
      <c r="B180" s="18"/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66430</v>
      </c>
    </row>
    <row r="181" spans="1:19" ht="14.25">
      <c r="A181" s="23">
        <f t="shared" si="3"/>
        <v>180</v>
      </c>
      <c r="B181" s="18"/>
      <c r="C181" s="17">
        <v>73730</v>
      </c>
      <c r="D181" s="17">
        <v>67831.600000000006</v>
      </c>
      <c r="E181" s="17">
        <v>78891.100000000006</v>
      </c>
      <c r="F181" s="17">
        <v>97323.6</v>
      </c>
      <c r="G181" s="17">
        <v>101010.1</v>
      </c>
      <c r="H181" s="17">
        <v>101010.1</v>
      </c>
      <c r="I181" s="17">
        <v>101010.1</v>
      </c>
      <c r="J181" s="17">
        <v>105433.90000000001</v>
      </c>
      <c r="K181" s="17">
        <v>114281.50000000001</v>
      </c>
      <c r="L181" s="17">
        <v>118705.30000000002</v>
      </c>
      <c r="M181" s="17">
        <v>103959.30000000003</v>
      </c>
      <c r="N181" s="17">
        <v>120179.90000000002</v>
      </c>
      <c r="O181" s="17">
        <v>131976.70000000001</v>
      </c>
      <c r="P181" s="17">
        <v>131976.70000000001</v>
      </c>
      <c r="Q181" s="17">
        <v>131976.70000000001</v>
      </c>
      <c r="R181" s="17">
        <v>153358.39999999999</v>
      </c>
      <c r="S181" s="17">
        <v>171053.60000000003</v>
      </c>
    </row>
    <row r="182" spans="1:19" ht="14.25">
      <c r="A182" s="23">
        <f t="shared" si="3"/>
        <v>181</v>
      </c>
      <c r="B182" s="18"/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0</v>
      </c>
      <c r="I182" s="17">
        <v>0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87235</v>
      </c>
    </row>
    <row r="183" spans="1:19" ht="14.25">
      <c r="A183" s="23">
        <f t="shared" si="3"/>
        <v>182</v>
      </c>
      <c r="B183" s="18"/>
      <c r="C183" s="17">
        <v>99280</v>
      </c>
      <c r="D183" s="17">
        <v>99280</v>
      </c>
      <c r="E183" s="17">
        <v>92330.4</v>
      </c>
      <c r="F183" s="17">
        <v>92330.4</v>
      </c>
      <c r="G183" s="17">
        <v>92330.4</v>
      </c>
      <c r="H183" s="17">
        <v>100272.8</v>
      </c>
      <c r="I183" s="17">
        <v>92330.400000000009</v>
      </c>
      <c r="J183" s="17">
        <v>92330.400000000009</v>
      </c>
      <c r="K183" s="17">
        <v>81409.600000000006</v>
      </c>
      <c r="L183" s="17">
        <v>89352</v>
      </c>
      <c r="M183" s="17">
        <v>98287.2</v>
      </c>
      <c r="N183" s="17">
        <v>114171.99999999999</v>
      </c>
      <c r="O183" s="17">
        <v>114171.99999999999</v>
      </c>
      <c r="P183" s="17">
        <v>0</v>
      </c>
      <c r="Q183" s="17">
        <v>0</v>
      </c>
      <c r="R183" s="17">
        <v>0</v>
      </c>
      <c r="S183" s="17">
        <v>0</v>
      </c>
    </row>
    <row r="184" spans="1:19" ht="14.25">
      <c r="A184" s="23">
        <f t="shared" si="3"/>
        <v>183</v>
      </c>
      <c r="B184" s="18"/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85775</v>
      </c>
      <c r="M184" s="17">
        <v>108934.25</v>
      </c>
      <c r="N184" s="17">
        <v>126947</v>
      </c>
      <c r="O184" s="17">
        <v>150964</v>
      </c>
      <c r="P184" s="17">
        <v>137240</v>
      </c>
      <c r="Q184" s="17">
        <v>125231.5</v>
      </c>
      <c r="R184" s="17">
        <v>144102</v>
      </c>
      <c r="S184" s="17">
        <v>164688</v>
      </c>
    </row>
    <row r="185" spans="1:19" ht="14.25">
      <c r="A185" s="23">
        <f t="shared" si="3"/>
        <v>184</v>
      </c>
      <c r="B185" s="18"/>
      <c r="C185" s="17">
        <v>77015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</row>
    <row r="186" spans="1:19" ht="14.25">
      <c r="A186" s="23">
        <f t="shared" si="3"/>
        <v>185</v>
      </c>
      <c r="B186" s="18"/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98550</v>
      </c>
      <c r="M186" s="17">
        <v>98550</v>
      </c>
      <c r="N186" s="17">
        <v>98550</v>
      </c>
      <c r="O186" s="17">
        <v>120231</v>
      </c>
      <c r="P186" s="17">
        <v>120231</v>
      </c>
      <c r="Q186" s="17">
        <v>138955.5</v>
      </c>
      <c r="R186" s="17">
        <v>135999</v>
      </c>
      <c r="S186" s="17">
        <v>155708.99999999997</v>
      </c>
    </row>
    <row r="187" spans="1:19" ht="14.25">
      <c r="A187" s="23">
        <f t="shared" si="3"/>
        <v>186</v>
      </c>
      <c r="B187" s="18"/>
      <c r="C187" s="17">
        <v>66065</v>
      </c>
      <c r="D187" s="17">
        <v>71350.200000000012</v>
      </c>
      <c r="E187" s="17">
        <v>69368.25</v>
      </c>
      <c r="F187" s="17">
        <v>85223.85</v>
      </c>
      <c r="G187" s="17">
        <v>85223.85</v>
      </c>
      <c r="H187" s="17">
        <v>89848.400000000009</v>
      </c>
      <c r="I187" s="17">
        <v>83241.899999999994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</row>
    <row r="188" spans="1:19" ht="14.25">
      <c r="A188" s="23">
        <f t="shared" si="3"/>
        <v>187</v>
      </c>
      <c r="B188" s="18"/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78475</v>
      </c>
      <c r="P188" s="17">
        <v>99663.25</v>
      </c>
      <c r="Q188" s="17">
        <v>119282</v>
      </c>
      <c r="R188" s="17">
        <v>111434.5</v>
      </c>
      <c r="S188" s="17">
        <v>109865</v>
      </c>
    </row>
    <row r="189" spans="1:19" ht="14.25">
      <c r="A189" s="23">
        <f t="shared" si="3"/>
        <v>188</v>
      </c>
      <c r="B189" s="18"/>
      <c r="C189" s="17">
        <v>0</v>
      </c>
      <c r="D189" s="17">
        <v>0</v>
      </c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67160</v>
      </c>
      <c r="Q189" s="17">
        <v>79248.800000000003</v>
      </c>
      <c r="R189" s="17">
        <v>88651.199999999983</v>
      </c>
      <c r="S189" s="17">
        <v>106784.4</v>
      </c>
    </row>
    <row r="190" spans="1:19" ht="14.25">
      <c r="A190" s="23">
        <f t="shared" si="3"/>
        <v>189</v>
      </c>
      <c r="B190" s="18"/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76650</v>
      </c>
      <c r="L190" s="17">
        <v>72817.5</v>
      </c>
      <c r="M190" s="17">
        <v>71284.5</v>
      </c>
      <c r="N190" s="17">
        <v>78183</v>
      </c>
      <c r="O190" s="17">
        <v>69751.5</v>
      </c>
      <c r="P190" s="17">
        <v>87381.000000000015</v>
      </c>
      <c r="Q190" s="17">
        <v>76650</v>
      </c>
      <c r="R190" s="17">
        <v>95046</v>
      </c>
      <c r="S190" s="17">
        <v>117274.5</v>
      </c>
    </row>
    <row r="191" spans="1:19" ht="14.25">
      <c r="A191" s="23">
        <f t="shared" si="3"/>
        <v>190</v>
      </c>
      <c r="B191" s="18"/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70445</v>
      </c>
      <c r="I191" s="17">
        <v>70445</v>
      </c>
      <c r="J191" s="17">
        <v>90169.600000000006</v>
      </c>
      <c r="K191" s="17">
        <v>102145.25</v>
      </c>
      <c r="L191" s="17">
        <v>108485.3</v>
      </c>
      <c r="M191" s="17">
        <v>108485.3</v>
      </c>
      <c r="N191" s="17">
        <v>122574.3</v>
      </c>
      <c r="O191" s="17">
        <v>133845.5</v>
      </c>
      <c r="P191" s="17">
        <v>138072.20000000001</v>
      </c>
      <c r="Q191" s="17">
        <v>126096.55</v>
      </c>
      <c r="R191" s="17">
        <v>125392.1</v>
      </c>
      <c r="S191" s="17">
        <v>133845.5</v>
      </c>
    </row>
    <row r="192" spans="1:19" ht="14.25">
      <c r="A192" s="23">
        <f t="shared" si="3"/>
        <v>191</v>
      </c>
      <c r="B192" s="18"/>
      <c r="C192" s="17">
        <v>95630</v>
      </c>
      <c r="D192" s="17">
        <v>118581.2</v>
      </c>
      <c r="E192" s="17">
        <v>118581.2</v>
      </c>
      <c r="F192" s="17">
        <v>140576.1</v>
      </c>
      <c r="G192" s="17">
        <v>151095.4</v>
      </c>
      <c r="H192" s="17">
        <v>137707.19999999998</v>
      </c>
      <c r="I192" s="17">
        <v>134838.29999999999</v>
      </c>
      <c r="J192" s="17">
        <v>115712.3</v>
      </c>
      <c r="K192" s="17">
        <v>108061.9</v>
      </c>
      <c r="L192" s="17">
        <v>135794.6</v>
      </c>
      <c r="M192" s="17">
        <v>153008</v>
      </c>
      <c r="N192" s="17">
        <v>165439.9</v>
      </c>
      <c r="O192" s="17">
        <v>156833.19999999998</v>
      </c>
      <c r="P192" s="17">
        <v>180740.69999999998</v>
      </c>
      <c r="Q192" s="17">
        <v>180740.69999999998</v>
      </c>
      <c r="R192" s="17">
        <v>207517.1</v>
      </c>
      <c r="S192" s="17">
        <v>214211.19999999998</v>
      </c>
    </row>
    <row r="193" spans="1:19" ht="14.25">
      <c r="A193" s="23">
        <f t="shared" si="3"/>
        <v>192</v>
      </c>
      <c r="B193" s="18"/>
      <c r="C193" s="17">
        <v>0</v>
      </c>
      <c r="D193" s="17">
        <v>0</v>
      </c>
      <c r="E193" s="17">
        <v>0</v>
      </c>
      <c r="F193" s="17">
        <v>0</v>
      </c>
      <c r="G193" s="17">
        <v>0</v>
      </c>
      <c r="H193" s="17">
        <v>0</v>
      </c>
      <c r="I193" s="17">
        <v>105850</v>
      </c>
      <c r="J193" s="17">
        <v>134429.5</v>
      </c>
      <c r="K193" s="17">
        <v>116435.00000000001</v>
      </c>
      <c r="L193" s="17">
        <v>140780.5</v>
      </c>
      <c r="M193" s="17">
        <v>146073</v>
      </c>
      <c r="N193" s="17">
        <v>160892</v>
      </c>
      <c r="O193" s="17">
        <v>177828</v>
      </c>
      <c r="P193" s="17">
        <v>172535.5</v>
      </c>
      <c r="Q193" s="17">
        <v>181003.5</v>
      </c>
      <c r="R193" s="17">
        <v>212758.49999999997</v>
      </c>
      <c r="S193" s="17">
        <v>212758.49999999997</v>
      </c>
    </row>
    <row r="194" spans="1:19" ht="14.25">
      <c r="A194" s="23">
        <f t="shared" si="3"/>
        <v>193</v>
      </c>
      <c r="B194" s="18"/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80300</v>
      </c>
      <c r="S194" s="17">
        <v>80300</v>
      </c>
    </row>
    <row r="195" spans="1:19" ht="14.25">
      <c r="A195" s="23">
        <f t="shared" ref="A195:A258" si="4">+A194+1</f>
        <v>194</v>
      </c>
      <c r="B195" s="18"/>
      <c r="C195" s="17">
        <v>0</v>
      </c>
      <c r="D195" s="17">
        <v>0</v>
      </c>
      <c r="E195" s="17">
        <v>0</v>
      </c>
      <c r="F195" s="17">
        <v>0</v>
      </c>
      <c r="G195" s="17">
        <v>91615</v>
      </c>
      <c r="H195" s="17">
        <v>91615</v>
      </c>
      <c r="I195" s="17">
        <v>117267.2</v>
      </c>
      <c r="J195" s="17">
        <v>144751.70000000001</v>
      </c>
      <c r="K195" s="17">
        <v>172236.2</v>
      </c>
      <c r="L195" s="17">
        <v>153913.20000000001</v>
      </c>
      <c r="M195" s="17">
        <v>172236.2</v>
      </c>
      <c r="N195" s="17">
        <v>172236.2</v>
      </c>
      <c r="O195" s="17">
        <v>164907</v>
      </c>
      <c r="P195" s="17">
        <v>192391.5</v>
      </c>
      <c r="Q195" s="17">
        <v>201553.00000000003</v>
      </c>
      <c r="R195" s="17">
        <v>207966.05</v>
      </c>
      <c r="S195" s="17">
        <v>198804.55</v>
      </c>
    </row>
    <row r="196" spans="1:19" ht="14.25">
      <c r="A196" s="23">
        <f t="shared" si="4"/>
        <v>195</v>
      </c>
      <c r="B196" s="18"/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76650</v>
      </c>
      <c r="I196" s="17">
        <v>85848.000000000015</v>
      </c>
      <c r="J196" s="17">
        <v>91213.500000000015</v>
      </c>
      <c r="K196" s="17">
        <v>111142.50000000001</v>
      </c>
      <c r="L196" s="17">
        <v>109609.50000000001</v>
      </c>
      <c r="M196" s="17">
        <v>113442.00000000001</v>
      </c>
      <c r="N196" s="17">
        <v>113442.00000000001</v>
      </c>
      <c r="O196" s="17">
        <v>126472.50000000001</v>
      </c>
      <c r="P196" s="17">
        <v>131071.50000000001</v>
      </c>
      <c r="Q196" s="17">
        <v>150234</v>
      </c>
      <c r="R196" s="17">
        <v>166330.50000000003</v>
      </c>
      <c r="S196" s="17">
        <v>181660.50000000003</v>
      </c>
    </row>
    <row r="197" spans="1:19" ht="14.25">
      <c r="A197" s="23">
        <f t="shared" si="4"/>
        <v>196</v>
      </c>
      <c r="B197" s="18"/>
      <c r="C197" s="17">
        <v>0</v>
      </c>
      <c r="D197" s="17">
        <v>0</v>
      </c>
      <c r="E197" s="17">
        <v>0</v>
      </c>
      <c r="F197" s="17">
        <v>75190</v>
      </c>
      <c r="G197" s="17">
        <v>90979.9</v>
      </c>
      <c r="H197" s="17">
        <v>77445.7</v>
      </c>
      <c r="I197" s="17">
        <v>77445.7</v>
      </c>
      <c r="J197" s="17">
        <v>88724.2</v>
      </c>
      <c r="K197" s="17">
        <v>104514.09999999999</v>
      </c>
      <c r="L197" s="17">
        <v>111281.2</v>
      </c>
      <c r="M197" s="17">
        <v>111281.2</v>
      </c>
      <c r="N197" s="17">
        <v>124815.4</v>
      </c>
      <c r="O197" s="17">
        <v>143612.9</v>
      </c>
      <c r="P197" s="17">
        <v>158650.9</v>
      </c>
      <c r="Q197" s="17">
        <v>168425.59999999998</v>
      </c>
      <c r="R197" s="17">
        <v>175944.59999999998</v>
      </c>
      <c r="S197" s="17">
        <v>196245.9</v>
      </c>
    </row>
    <row r="198" spans="1:19" ht="14.25">
      <c r="A198" s="23">
        <f t="shared" si="4"/>
        <v>197</v>
      </c>
      <c r="B198" s="18"/>
      <c r="C198" s="17">
        <v>100375</v>
      </c>
      <c r="D198" s="17">
        <v>100375</v>
      </c>
      <c r="E198" s="17">
        <v>100375</v>
      </c>
      <c r="F198" s="17">
        <v>106397.5</v>
      </c>
      <c r="G198" s="17">
        <v>116435.00000000001</v>
      </c>
      <c r="H198" s="17">
        <v>138517.5</v>
      </c>
      <c r="I198" s="17">
        <v>165618.75</v>
      </c>
      <c r="J198" s="17">
        <v>191716.25</v>
      </c>
      <c r="K198" s="17">
        <v>179671.25</v>
      </c>
      <c r="L198" s="17">
        <v>179671.25</v>
      </c>
      <c r="M198" s="17">
        <v>172645</v>
      </c>
      <c r="N198" s="17">
        <v>197738.75</v>
      </c>
      <c r="O198" s="17">
        <v>208780</v>
      </c>
      <c r="P198" s="17">
        <v>194727.5</v>
      </c>
      <c r="Q198" s="17">
        <v>212795</v>
      </c>
      <c r="R198" s="17">
        <v>208780</v>
      </c>
      <c r="S198" s="17">
        <v>0</v>
      </c>
    </row>
    <row r="199" spans="1:19" ht="14.25">
      <c r="A199" s="23">
        <f t="shared" si="4"/>
        <v>198</v>
      </c>
      <c r="B199" s="18"/>
      <c r="C199" s="17">
        <v>0</v>
      </c>
      <c r="D199" s="17">
        <v>95630</v>
      </c>
      <c r="E199" s="17">
        <v>95630</v>
      </c>
      <c r="F199" s="17">
        <v>87979.6</v>
      </c>
      <c r="G199" s="17">
        <v>98498.900000000009</v>
      </c>
      <c r="H199" s="17">
        <v>124319</v>
      </c>
      <c r="I199" s="17">
        <v>143445</v>
      </c>
      <c r="J199" s="17">
        <v>156833.20000000001</v>
      </c>
      <c r="K199" s="17">
        <v>178828.1</v>
      </c>
      <c r="L199" s="17">
        <v>203691.9</v>
      </c>
      <c r="M199" s="17">
        <v>0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</row>
    <row r="200" spans="1:19" ht="14.25">
      <c r="A200" s="23">
        <f t="shared" si="4"/>
        <v>199</v>
      </c>
      <c r="B200" s="18"/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85775</v>
      </c>
      <c r="R200" s="17">
        <v>109792</v>
      </c>
      <c r="S200" s="17">
        <v>120084.99999999999</v>
      </c>
    </row>
    <row r="201" spans="1:19" ht="14.25">
      <c r="A201" s="23">
        <f t="shared" si="4"/>
        <v>200</v>
      </c>
      <c r="B201" s="18"/>
      <c r="C201" s="17">
        <v>68620</v>
      </c>
      <c r="D201" s="17">
        <v>74109.600000000006</v>
      </c>
      <c r="E201" s="17">
        <v>82344.000000000015</v>
      </c>
      <c r="F201" s="17">
        <v>82344.000000000015</v>
      </c>
      <c r="G201" s="17">
        <v>80285.400000000009</v>
      </c>
      <c r="H201" s="17">
        <v>74109.600000000006</v>
      </c>
      <c r="I201" s="17">
        <v>81657.800000000017</v>
      </c>
      <c r="J201" s="17">
        <v>75482</v>
      </c>
      <c r="K201" s="17">
        <v>85088.800000000017</v>
      </c>
      <c r="L201" s="17">
        <v>102243.80000000002</v>
      </c>
      <c r="M201" s="17">
        <v>107733.40000000002</v>
      </c>
      <c r="N201" s="17">
        <v>122143.60000000002</v>
      </c>
      <c r="O201" s="17">
        <v>130378.00000000003</v>
      </c>
      <c r="P201" s="17">
        <v>120771.20000000001</v>
      </c>
      <c r="Q201" s="17">
        <v>120771.20000000001</v>
      </c>
      <c r="R201" s="17">
        <v>0</v>
      </c>
      <c r="S201" s="17">
        <v>0</v>
      </c>
    </row>
    <row r="202" spans="1:19" ht="14.25">
      <c r="A202" s="23">
        <f t="shared" si="4"/>
        <v>201</v>
      </c>
      <c r="B202" s="18"/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74460</v>
      </c>
      <c r="L202" s="17">
        <v>78927.600000000006</v>
      </c>
      <c r="M202" s="17">
        <v>93075</v>
      </c>
      <c r="N202" s="17">
        <v>100521</v>
      </c>
      <c r="O202" s="17">
        <v>104988.6</v>
      </c>
      <c r="P202" s="17">
        <v>104988.6</v>
      </c>
      <c r="Q202" s="17">
        <v>90096.60000000002</v>
      </c>
      <c r="R202" s="17">
        <v>102754.8</v>
      </c>
      <c r="S202" s="17">
        <v>102754.8</v>
      </c>
    </row>
    <row r="203" spans="1:19" ht="14.25">
      <c r="A203" s="23">
        <f t="shared" si="4"/>
        <v>202</v>
      </c>
      <c r="B203" s="18"/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71905</v>
      </c>
      <c r="P203" s="17">
        <v>76938.350000000006</v>
      </c>
      <c r="Q203" s="17">
        <v>94195.55</v>
      </c>
      <c r="R203" s="17">
        <v>94195.55</v>
      </c>
      <c r="S203" s="17">
        <v>97790.8</v>
      </c>
    </row>
    <row r="204" spans="1:19" ht="14.25">
      <c r="A204" s="23">
        <f t="shared" si="4"/>
        <v>203</v>
      </c>
      <c r="B204" s="18"/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87600</v>
      </c>
      <c r="R204" s="17">
        <v>102492</v>
      </c>
      <c r="S204" s="17">
        <v>120011.99999999999</v>
      </c>
    </row>
    <row r="205" spans="1:19" ht="14.25">
      <c r="A205" s="23">
        <f t="shared" si="4"/>
        <v>204</v>
      </c>
      <c r="B205" s="18"/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88330</v>
      </c>
      <c r="N205" s="17">
        <v>106879.3</v>
      </c>
      <c r="O205" s="17">
        <v>133378.29999999999</v>
      </c>
      <c r="P205" s="17">
        <v>154577.5</v>
      </c>
      <c r="Q205" s="17">
        <v>178426.6</v>
      </c>
      <c r="R205" s="17">
        <v>178426.6</v>
      </c>
      <c r="S205" s="17">
        <v>178426.6</v>
      </c>
    </row>
    <row r="206" spans="1:19" ht="14.25">
      <c r="A206" s="23">
        <f t="shared" si="4"/>
        <v>205</v>
      </c>
      <c r="B206" s="18"/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</row>
    <row r="207" spans="1:19" ht="14.25">
      <c r="A207" s="23">
        <f t="shared" si="4"/>
        <v>206</v>
      </c>
      <c r="B207" s="18"/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104755</v>
      </c>
      <c r="K207" s="17">
        <v>97422.15</v>
      </c>
      <c r="L207" s="17">
        <v>113135.39999999998</v>
      </c>
      <c r="M207" s="17">
        <v>93231.949999999983</v>
      </c>
      <c r="N207" s="17">
        <v>105802.54999999997</v>
      </c>
      <c r="O207" s="17">
        <v>105802.54999999997</v>
      </c>
      <c r="P207" s="17">
        <v>98469.699999999968</v>
      </c>
      <c r="Q207" s="17">
        <v>107897.64999999998</v>
      </c>
      <c r="R207" s="17">
        <v>124658.44999999997</v>
      </c>
      <c r="S207" s="17">
        <v>138276.59999999998</v>
      </c>
    </row>
    <row r="208" spans="1:19" ht="14.25">
      <c r="A208" s="23">
        <f t="shared" si="4"/>
        <v>207</v>
      </c>
      <c r="B208" s="18"/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79570</v>
      </c>
      <c r="L208" s="17">
        <v>97871.1</v>
      </c>
      <c r="M208" s="17">
        <v>95484</v>
      </c>
      <c r="N208" s="17">
        <v>111398</v>
      </c>
      <c r="O208" s="17">
        <v>111398</v>
      </c>
      <c r="P208" s="17">
        <v>135269</v>
      </c>
      <c r="Q208" s="17">
        <v>121742.1</v>
      </c>
      <c r="R208" s="17">
        <v>141634.6</v>
      </c>
      <c r="S208" s="17">
        <v>148795.9</v>
      </c>
    </row>
    <row r="209" spans="1:19" ht="14.25">
      <c r="A209" s="23">
        <f t="shared" si="4"/>
        <v>208</v>
      </c>
      <c r="B209" s="18"/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79205</v>
      </c>
    </row>
    <row r="210" spans="1:19" ht="14.25">
      <c r="A210" s="23">
        <f t="shared" si="4"/>
        <v>209</v>
      </c>
      <c r="B210" s="18"/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86140</v>
      </c>
    </row>
    <row r="211" spans="1:19" ht="14.25">
      <c r="A211" s="23">
        <f t="shared" si="4"/>
        <v>210</v>
      </c>
      <c r="B211" s="18"/>
      <c r="C211" s="17">
        <v>0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72635</v>
      </c>
      <c r="R211" s="17">
        <v>72635</v>
      </c>
      <c r="S211" s="17">
        <v>71182.3</v>
      </c>
    </row>
    <row r="212" spans="1:19" ht="14.25">
      <c r="A212" s="23">
        <f t="shared" si="4"/>
        <v>211</v>
      </c>
      <c r="B212" s="18"/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102565</v>
      </c>
      <c r="P212" s="17">
        <v>91282.85</v>
      </c>
      <c r="Q212" s="17">
        <v>91282.85</v>
      </c>
      <c r="R212" s="17">
        <v>91282.85</v>
      </c>
      <c r="S212" s="17">
        <v>120001.04999999999</v>
      </c>
    </row>
    <row r="213" spans="1:19" ht="14.25">
      <c r="A213" s="23">
        <f t="shared" si="4"/>
        <v>212</v>
      </c>
      <c r="B213" s="18"/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87600</v>
      </c>
      <c r="O213" s="17">
        <v>84096</v>
      </c>
      <c r="P213" s="17">
        <v>76212</v>
      </c>
      <c r="Q213" s="17">
        <v>76212</v>
      </c>
      <c r="R213" s="17">
        <v>85848</v>
      </c>
      <c r="S213" s="17">
        <v>85848</v>
      </c>
    </row>
    <row r="214" spans="1:19" ht="14.25">
      <c r="A214" s="23">
        <f t="shared" si="4"/>
        <v>213</v>
      </c>
      <c r="B214" s="18"/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81030</v>
      </c>
      <c r="K214" s="17">
        <v>101287.5</v>
      </c>
      <c r="L214" s="17">
        <v>95615.4</v>
      </c>
      <c r="M214" s="17">
        <v>95615.4</v>
      </c>
      <c r="N214" s="17">
        <v>105338.99999999999</v>
      </c>
      <c r="O214" s="17">
        <v>104528.69999999998</v>
      </c>
      <c r="P214" s="17">
        <v>119924.39999999998</v>
      </c>
      <c r="Q214" s="17">
        <v>119924.39999999998</v>
      </c>
      <c r="R214" s="17">
        <v>126406.79999999999</v>
      </c>
      <c r="S214" s="17">
        <v>132078.9</v>
      </c>
    </row>
    <row r="215" spans="1:19" ht="14.25">
      <c r="A215" s="23">
        <f t="shared" si="4"/>
        <v>214</v>
      </c>
      <c r="B215" s="18"/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75555</v>
      </c>
      <c r="O215" s="17">
        <v>75555</v>
      </c>
      <c r="P215" s="17">
        <v>93688.2</v>
      </c>
      <c r="Q215" s="17">
        <v>98221.5</v>
      </c>
      <c r="R215" s="17">
        <v>98221.5</v>
      </c>
      <c r="S215" s="17">
        <v>94443.75</v>
      </c>
    </row>
    <row r="216" spans="1:19" ht="14.25">
      <c r="A216" s="23">
        <f t="shared" si="4"/>
        <v>215</v>
      </c>
      <c r="B216" s="18"/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82855</v>
      </c>
      <c r="O216" s="17">
        <v>92797.6</v>
      </c>
      <c r="P216" s="17">
        <v>114339.90000000001</v>
      </c>
      <c r="Q216" s="17">
        <v>114339.90000000001</v>
      </c>
      <c r="R216" s="17">
        <v>130082.35</v>
      </c>
      <c r="S216" s="17">
        <v>151624.65</v>
      </c>
    </row>
    <row r="217" spans="1:19" ht="14.25">
      <c r="A217" s="23">
        <f t="shared" si="4"/>
        <v>216</v>
      </c>
      <c r="B217" s="18"/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66065</v>
      </c>
      <c r="Q217" s="17">
        <v>62101.1</v>
      </c>
      <c r="R217" s="17">
        <v>52851.999999999993</v>
      </c>
      <c r="S217" s="17">
        <v>50209.399999999994</v>
      </c>
    </row>
    <row r="218" spans="1:19" ht="14.25">
      <c r="A218" s="23">
        <f t="shared" si="4"/>
        <v>217</v>
      </c>
      <c r="B218" s="18"/>
      <c r="C218" s="17">
        <v>90520</v>
      </c>
      <c r="D218" s="17">
        <v>105908.4</v>
      </c>
      <c r="E218" s="17">
        <v>95045.999999999985</v>
      </c>
      <c r="F218" s="17">
        <v>80562.799999999988</v>
      </c>
      <c r="G218" s="17">
        <v>88709.599999999977</v>
      </c>
      <c r="H218" s="17">
        <v>75131.599999999977</v>
      </c>
      <c r="I218" s="17">
        <v>87804.39999999998</v>
      </c>
      <c r="J218" s="17">
        <v>87804.39999999998</v>
      </c>
      <c r="K218" s="17">
        <v>74226.39999999998</v>
      </c>
      <c r="L218" s="17">
        <v>65174.39999999998</v>
      </c>
      <c r="M218" s="17">
        <v>52501.599999999977</v>
      </c>
      <c r="N218" s="17">
        <v>39828.799999999974</v>
      </c>
      <c r="O218" s="17">
        <v>39828.799999999974</v>
      </c>
      <c r="P218" s="17">
        <v>57027.599999999969</v>
      </c>
      <c r="Q218" s="17">
        <v>57027.599999999969</v>
      </c>
      <c r="R218" s="17">
        <v>57027.599999999969</v>
      </c>
      <c r="S218" s="17">
        <v>70605.599999999977</v>
      </c>
    </row>
    <row r="219" spans="1:19" ht="14.25">
      <c r="A219" s="23">
        <f t="shared" si="4"/>
        <v>218</v>
      </c>
      <c r="B219" s="18"/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70445</v>
      </c>
    </row>
    <row r="220" spans="1:19" ht="14.25">
      <c r="A220" s="23">
        <f t="shared" si="4"/>
        <v>219</v>
      </c>
      <c r="B220" s="18"/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78475</v>
      </c>
      <c r="R220" s="17">
        <v>102017.5</v>
      </c>
      <c r="S220" s="17">
        <v>102017.5</v>
      </c>
    </row>
    <row r="221" spans="1:19" ht="14.25">
      <c r="A221" s="23">
        <f t="shared" si="4"/>
        <v>220</v>
      </c>
      <c r="B221" s="18"/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79205</v>
      </c>
      <c r="M221" s="17">
        <v>100590.35</v>
      </c>
      <c r="N221" s="17">
        <v>100590.35</v>
      </c>
      <c r="O221" s="17">
        <v>111679.05000000002</v>
      </c>
      <c r="P221" s="17">
        <v>102174.45</v>
      </c>
      <c r="Q221" s="17">
        <v>118015.45</v>
      </c>
      <c r="R221" s="17">
        <v>114847.25</v>
      </c>
      <c r="S221" s="17">
        <v>120391.6</v>
      </c>
    </row>
    <row r="222" spans="1:19" ht="14.25">
      <c r="A222" s="23">
        <f t="shared" si="4"/>
        <v>221</v>
      </c>
      <c r="B222" s="18"/>
      <c r="C222" s="17">
        <v>0</v>
      </c>
      <c r="D222" s="17">
        <v>0</v>
      </c>
      <c r="E222" s="17">
        <v>0</v>
      </c>
      <c r="F222" s="17">
        <v>0</v>
      </c>
      <c r="G222" s="17">
        <v>86505</v>
      </c>
      <c r="H222" s="17">
        <v>86505</v>
      </c>
      <c r="I222" s="17">
        <v>103806</v>
      </c>
      <c r="J222" s="17">
        <v>120241.95</v>
      </c>
      <c r="K222" s="17">
        <v>120241.95</v>
      </c>
      <c r="L222" s="17">
        <v>142733.25</v>
      </c>
      <c r="M222" s="17">
        <v>167819.69999999998</v>
      </c>
      <c r="N222" s="17">
        <v>181660.5</v>
      </c>
      <c r="O222" s="17">
        <v>170414.85</v>
      </c>
      <c r="P222" s="17">
        <v>0</v>
      </c>
      <c r="Q222" s="17">
        <v>0</v>
      </c>
      <c r="R222" s="17">
        <v>0</v>
      </c>
      <c r="S222" s="17">
        <v>0</v>
      </c>
    </row>
    <row r="223" spans="1:19" ht="14.25">
      <c r="A223" s="23">
        <f t="shared" si="4"/>
        <v>222</v>
      </c>
      <c r="B223" s="18"/>
      <c r="C223" s="17">
        <v>70810</v>
      </c>
      <c r="D223" s="17">
        <v>66561.399999999994</v>
      </c>
      <c r="E223" s="17">
        <v>84972</v>
      </c>
      <c r="F223" s="17">
        <v>78599.099999999991</v>
      </c>
      <c r="G223" s="17">
        <v>78599.099999999991</v>
      </c>
      <c r="H223" s="17">
        <v>92052.999999999985</v>
      </c>
      <c r="I223" s="17">
        <v>99134</v>
      </c>
      <c r="J223" s="17">
        <v>108339.29999999999</v>
      </c>
      <c r="K223" s="17">
        <v>123209.39999999998</v>
      </c>
      <c r="L223" s="17">
        <v>122501.29999999999</v>
      </c>
      <c r="M223" s="17">
        <v>115420.29999999997</v>
      </c>
      <c r="N223" s="17">
        <v>127457.99999999997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</row>
    <row r="224" spans="1:19" ht="14.25">
      <c r="A224" s="23">
        <f t="shared" si="4"/>
        <v>223</v>
      </c>
      <c r="B224" s="18"/>
      <c r="C224" s="17">
        <v>0</v>
      </c>
      <c r="D224" s="17">
        <v>0</v>
      </c>
      <c r="E224" s="17">
        <v>66795</v>
      </c>
      <c r="F224" s="17">
        <v>64123.199999999997</v>
      </c>
      <c r="G224" s="17">
        <v>64123.199999999997</v>
      </c>
      <c r="H224" s="17">
        <v>82157.850000000006</v>
      </c>
      <c r="I224" s="17">
        <v>82157.850000000006</v>
      </c>
      <c r="J224" s="17">
        <v>101528.4</v>
      </c>
      <c r="K224" s="17">
        <v>115555.35</v>
      </c>
      <c r="L224" s="17">
        <v>129582.3</v>
      </c>
      <c r="M224" s="17">
        <v>148952.85</v>
      </c>
      <c r="N224" s="17">
        <v>165651.6</v>
      </c>
      <c r="O224" s="17">
        <v>181014.45</v>
      </c>
      <c r="P224" s="17">
        <v>199717.05000000002</v>
      </c>
      <c r="Q224" s="17">
        <v>207064.5</v>
      </c>
      <c r="R224" s="17">
        <v>216415.80000000002</v>
      </c>
      <c r="S224" s="17">
        <v>216415.80000000002</v>
      </c>
    </row>
    <row r="225" spans="1:19" ht="14.25">
      <c r="A225" s="23">
        <f t="shared" si="4"/>
        <v>224</v>
      </c>
      <c r="B225" s="18"/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104390</v>
      </c>
      <c r="M225" s="17">
        <v>84555.900000000009</v>
      </c>
      <c r="N225" s="17">
        <v>110653.40000000001</v>
      </c>
      <c r="O225" s="17">
        <v>130487.5</v>
      </c>
      <c r="P225" s="17">
        <v>130487.5</v>
      </c>
      <c r="Q225" s="17">
        <v>112741.20000000001</v>
      </c>
      <c r="R225" s="17">
        <v>117960.70000000001</v>
      </c>
      <c r="S225" s="17">
        <v>128399.70000000003</v>
      </c>
    </row>
    <row r="226" spans="1:19" ht="14.25">
      <c r="A226" s="23">
        <f t="shared" si="4"/>
        <v>225</v>
      </c>
      <c r="B226" s="18"/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98550</v>
      </c>
      <c r="M226" s="17">
        <v>123187.5</v>
      </c>
      <c r="N226" s="17">
        <v>149796</v>
      </c>
      <c r="O226" s="17">
        <v>167535</v>
      </c>
      <c r="P226" s="17">
        <v>147825</v>
      </c>
      <c r="Q226" s="17">
        <v>134028</v>
      </c>
      <c r="R226" s="17">
        <v>139941</v>
      </c>
      <c r="S226" s="17">
        <v>136984.5</v>
      </c>
    </row>
    <row r="227" spans="1:19" ht="14.25">
      <c r="A227" s="23">
        <f t="shared" si="4"/>
        <v>226</v>
      </c>
      <c r="B227" s="18"/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99645</v>
      </c>
      <c r="J227" s="17">
        <v>118577.54999999999</v>
      </c>
      <c r="K227" s="17">
        <v>127545.60000000001</v>
      </c>
      <c r="L227" s="17">
        <v>147474.6</v>
      </c>
      <c r="M227" s="17">
        <v>156442.65</v>
      </c>
      <c r="N227" s="17">
        <v>177368.1</v>
      </c>
      <c r="O227" s="17">
        <v>182350.35</v>
      </c>
      <c r="P227" s="17">
        <v>182350.35</v>
      </c>
      <c r="Q227" s="17">
        <v>172385.85</v>
      </c>
      <c r="R227" s="17">
        <v>196300.65</v>
      </c>
      <c r="S227" s="17">
        <v>226194.15</v>
      </c>
    </row>
    <row r="228" spans="1:19" ht="14.25">
      <c r="A228" s="23">
        <f t="shared" si="4"/>
        <v>227</v>
      </c>
      <c r="B228" s="18"/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73365</v>
      </c>
      <c r="J228" s="17">
        <v>67495.8</v>
      </c>
      <c r="K228" s="17">
        <v>78500.55</v>
      </c>
      <c r="L228" s="17">
        <v>96841.8</v>
      </c>
      <c r="M228" s="17">
        <v>90972.6</v>
      </c>
      <c r="N228" s="17">
        <v>107112.9</v>
      </c>
      <c r="O228" s="17">
        <v>112248.45</v>
      </c>
      <c r="P228" s="17">
        <v>126187.8</v>
      </c>
      <c r="Q228" s="17">
        <v>126187.8</v>
      </c>
      <c r="R228" s="17">
        <v>130589.7</v>
      </c>
      <c r="S228" s="17">
        <v>152599.20000000001</v>
      </c>
    </row>
    <row r="229" spans="1:19" ht="14.25">
      <c r="A229" s="23">
        <f t="shared" si="4"/>
        <v>228</v>
      </c>
      <c r="B229" s="18"/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71540</v>
      </c>
      <c r="J229" s="17">
        <v>84417.2</v>
      </c>
      <c r="K229" s="17">
        <v>84417.2</v>
      </c>
      <c r="L229" s="17">
        <v>70824.600000000006</v>
      </c>
      <c r="M229" s="17">
        <v>75117</v>
      </c>
      <c r="N229" s="17">
        <v>90140.4</v>
      </c>
      <c r="O229" s="17">
        <v>90140.4</v>
      </c>
      <c r="P229" s="17">
        <v>90140.4</v>
      </c>
      <c r="Q229" s="17">
        <v>90140.4</v>
      </c>
      <c r="R229" s="17">
        <v>110171.6</v>
      </c>
      <c r="S229" s="17">
        <v>115179.40000000001</v>
      </c>
    </row>
    <row r="230" spans="1:19" ht="14.25">
      <c r="A230" s="23">
        <f t="shared" si="4"/>
        <v>229</v>
      </c>
      <c r="B230" s="18"/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96360</v>
      </c>
      <c r="J230" s="17">
        <v>114668.4</v>
      </c>
      <c r="K230" s="17">
        <v>139722</v>
      </c>
      <c r="L230" s="17">
        <v>150321.60000000001</v>
      </c>
      <c r="M230" s="17">
        <v>166702.79999999999</v>
      </c>
      <c r="N230" s="17">
        <v>172484.4</v>
      </c>
      <c r="O230" s="17">
        <v>172484.4</v>
      </c>
      <c r="P230" s="17">
        <v>165739.20000000001</v>
      </c>
      <c r="Q230" s="17">
        <v>185974.8</v>
      </c>
      <c r="R230" s="17">
        <v>185974.8</v>
      </c>
      <c r="S230" s="17">
        <v>207174</v>
      </c>
    </row>
    <row r="231" spans="1:19" ht="14.25">
      <c r="A231" s="23">
        <f t="shared" si="4"/>
        <v>230</v>
      </c>
      <c r="B231" s="18"/>
      <c r="C231" s="17">
        <v>0</v>
      </c>
      <c r="D231" s="17">
        <v>0</v>
      </c>
      <c r="E231" s="17">
        <v>97820</v>
      </c>
      <c r="F231" s="17">
        <v>83147</v>
      </c>
      <c r="G231" s="17">
        <v>65539.399999999994</v>
      </c>
      <c r="H231" s="17">
        <v>81190.599999999991</v>
      </c>
      <c r="I231" s="17">
        <v>97820</v>
      </c>
      <c r="J231" s="17">
        <v>103689.20000000001</v>
      </c>
      <c r="K231" s="17">
        <v>118362.2</v>
      </c>
      <c r="L231" s="17">
        <v>123253.2</v>
      </c>
      <c r="M231" s="17">
        <v>130100.6</v>
      </c>
      <c r="N231" s="17">
        <v>130100.6</v>
      </c>
      <c r="O231" s="17">
        <v>146730</v>
      </c>
      <c r="P231" s="17">
        <v>161403</v>
      </c>
      <c r="Q231" s="17">
        <v>161403</v>
      </c>
      <c r="R231" s="17">
        <v>181945.19999999998</v>
      </c>
      <c r="S231" s="17">
        <v>190749</v>
      </c>
    </row>
    <row r="232" spans="1:19" ht="14.25">
      <c r="A232" s="23">
        <f t="shared" si="4"/>
        <v>231</v>
      </c>
      <c r="B232" s="18"/>
      <c r="C232" s="17">
        <v>0</v>
      </c>
      <c r="D232" s="17">
        <v>0</v>
      </c>
      <c r="E232" s="17">
        <v>0</v>
      </c>
      <c r="F232" s="17">
        <v>0</v>
      </c>
      <c r="G232" s="17">
        <v>94535</v>
      </c>
      <c r="H232" s="17">
        <v>117223.4</v>
      </c>
      <c r="I232" s="17">
        <v>126676.90000000001</v>
      </c>
      <c r="J232" s="17">
        <v>138021.1</v>
      </c>
      <c r="K232" s="17">
        <v>147474.6</v>
      </c>
      <c r="L232" s="17">
        <v>132349</v>
      </c>
      <c r="M232" s="17">
        <v>158818.80000000002</v>
      </c>
      <c r="N232" s="17">
        <v>146529.25000000003</v>
      </c>
      <c r="O232" s="17">
        <v>153146.70000000004</v>
      </c>
      <c r="P232" s="17">
        <v>153146.70000000004</v>
      </c>
      <c r="Q232" s="17">
        <v>157873.45000000004</v>
      </c>
      <c r="R232" s="17">
        <v>184343.25000000003</v>
      </c>
      <c r="S232" s="17">
        <v>195687.45000000004</v>
      </c>
    </row>
    <row r="233" spans="1:19" ht="14.25">
      <c r="A233" s="23">
        <f t="shared" si="4"/>
        <v>232</v>
      </c>
      <c r="B233" s="18"/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</row>
    <row r="234" spans="1:19" ht="14.25">
      <c r="A234" s="23">
        <f t="shared" si="4"/>
        <v>233</v>
      </c>
      <c r="B234" s="18"/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93805</v>
      </c>
      <c r="S234" s="17">
        <v>93805</v>
      </c>
    </row>
    <row r="235" spans="1:19" ht="14.25">
      <c r="A235" s="23">
        <f t="shared" si="4"/>
        <v>234</v>
      </c>
      <c r="B235" s="18"/>
      <c r="C235" s="17">
        <v>0</v>
      </c>
      <c r="D235" s="17">
        <v>0</v>
      </c>
      <c r="E235" s="17">
        <v>0</v>
      </c>
      <c r="F235" s="17">
        <v>0</v>
      </c>
      <c r="G235" s="17">
        <v>102930</v>
      </c>
      <c r="H235" s="17">
        <v>100871.4</v>
      </c>
      <c r="I235" s="17">
        <v>126603.9</v>
      </c>
      <c r="J235" s="17">
        <v>135867.6</v>
      </c>
      <c r="K235" s="17">
        <v>116310.90000000001</v>
      </c>
      <c r="L235" s="17">
        <v>116310.90000000001</v>
      </c>
      <c r="M235" s="17">
        <v>102930</v>
      </c>
      <c r="N235" s="17">
        <v>124545.3</v>
      </c>
      <c r="O235" s="17">
        <v>152336.4</v>
      </c>
      <c r="P235" s="17">
        <v>150277.79999999999</v>
      </c>
      <c r="Q235" s="17">
        <v>150277.79999999999</v>
      </c>
      <c r="R235" s="17">
        <v>130721.1</v>
      </c>
      <c r="S235" s="17">
        <v>158512.20000000001</v>
      </c>
    </row>
    <row r="236" spans="1:19" ht="14.25">
      <c r="A236" s="23">
        <f t="shared" si="4"/>
        <v>235</v>
      </c>
      <c r="B236" s="18"/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95995</v>
      </c>
      <c r="M236" s="17">
        <v>110394.24999999999</v>
      </c>
      <c r="N236" s="17">
        <v>102714.64999999998</v>
      </c>
      <c r="O236" s="17">
        <v>123833.54999999999</v>
      </c>
      <c r="P236" s="17">
        <v>149752.19999999998</v>
      </c>
      <c r="Q236" s="17">
        <v>171831.05</v>
      </c>
      <c r="R236" s="17">
        <v>180470.59999999998</v>
      </c>
      <c r="S236" s="17">
        <v>180470.59999999998</v>
      </c>
    </row>
    <row r="237" spans="1:19" ht="14.25">
      <c r="A237" s="23">
        <f t="shared" si="4"/>
        <v>236</v>
      </c>
      <c r="B237" s="18"/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90155</v>
      </c>
      <c r="O237" s="17">
        <v>78434.850000000006</v>
      </c>
      <c r="P237" s="17">
        <v>97367.400000000009</v>
      </c>
      <c r="Q237" s="17">
        <v>97367.400000000009</v>
      </c>
      <c r="R237" s="17">
        <v>97367.400000000009</v>
      </c>
      <c r="S237" s="17">
        <v>97367.400000000009</v>
      </c>
    </row>
    <row r="238" spans="1:19" ht="14.25">
      <c r="A238" s="23">
        <f t="shared" si="4"/>
        <v>237</v>
      </c>
      <c r="B238" s="18"/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102200</v>
      </c>
      <c r="L238" s="17">
        <v>107310</v>
      </c>
      <c r="M238" s="17">
        <v>113442.00000000001</v>
      </c>
      <c r="N238" s="17">
        <v>126728.00000000001</v>
      </c>
      <c r="O238" s="17">
        <v>133882.00000000003</v>
      </c>
      <c r="P238" s="17">
        <v>158410.00000000003</v>
      </c>
      <c r="Q238" s="17">
        <v>167608.00000000003</v>
      </c>
      <c r="R238" s="17">
        <v>161476.00000000003</v>
      </c>
      <c r="S238" s="17">
        <v>141036.00000000003</v>
      </c>
    </row>
    <row r="239" spans="1:19" ht="14.25">
      <c r="A239" s="23">
        <f t="shared" si="4"/>
        <v>238</v>
      </c>
      <c r="B239" s="18"/>
      <c r="C239" s="17">
        <v>70080</v>
      </c>
      <c r="D239" s="17">
        <v>77088</v>
      </c>
      <c r="E239" s="17">
        <v>95308.800000000003</v>
      </c>
      <c r="F239" s="17">
        <v>114931.20000000001</v>
      </c>
      <c r="G239" s="17">
        <v>108624</v>
      </c>
      <c r="H239" s="17">
        <v>108624</v>
      </c>
      <c r="I239" s="17">
        <v>101616</v>
      </c>
      <c r="J239" s="17">
        <v>87600</v>
      </c>
      <c r="K239" s="17">
        <v>87600</v>
      </c>
      <c r="L239" s="17">
        <v>107923.2</v>
      </c>
      <c r="M239" s="17">
        <v>114230.40000000001</v>
      </c>
      <c r="N239" s="17">
        <v>128947.20000000001</v>
      </c>
      <c r="O239" s="17">
        <v>128947.20000000001</v>
      </c>
      <c r="P239" s="17">
        <v>128947.20000000001</v>
      </c>
      <c r="Q239" s="17">
        <v>128947.20000000001</v>
      </c>
      <c r="R239" s="17">
        <v>132451.20000000001</v>
      </c>
      <c r="S239" s="17">
        <v>145766.39999999999</v>
      </c>
    </row>
    <row r="240" spans="1:19" ht="14.25">
      <c r="A240" s="23">
        <f t="shared" si="4"/>
        <v>239</v>
      </c>
      <c r="B240" s="18"/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67890</v>
      </c>
    </row>
    <row r="241" spans="1:19" ht="14.25">
      <c r="A241" s="23">
        <f t="shared" si="4"/>
        <v>240</v>
      </c>
      <c r="B241" s="18"/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77380</v>
      </c>
      <c r="R241" s="17">
        <v>77380</v>
      </c>
      <c r="S241" s="17">
        <v>84344.200000000012</v>
      </c>
    </row>
    <row r="242" spans="1:19" ht="14.25">
      <c r="A242" s="23">
        <f t="shared" si="4"/>
        <v>241</v>
      </c>
      <c r="B242" s="18"/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93075</v>
      </c>
      <c r="M242" s="17">
        <v>116343.75</v>
      </c>
      <c r="N242" s="17">
        <v>105174.74999999999</v>
      </c>
      <c r="O242" s="17">
        <v>121928.24999999999</v>
      </c>
      <c r="P242" s="17">
        <v>121928.24999999999</v>
      </c>
      <c r="Q242" s="17">
        <v>147989.25</v>
      </c>
      <c r="R242" s="17">
        <v>147989.25</v>
      </c>
      <c r="S242" s="17">
        <v>143335.49999999997</v>
      </c>
    </row>
    <row r="243" spans="1:19" ht="14.25">
      <c r="A243" s="23">
        <f t="shared" si="4"/>
        <v>242</v>
      </c>
      <c r="B243" s="18"/>
      <c r="C243" s="17">
        <v>0</v>
      </c>
      <c r="D243" s="17">
        <v>0</v>
      </c>
      <c r="E243" s="17">
        <v>96360</v>
      </c>
      <c r="F243" s="17">
        <v>113704.79999999999</v>
      </c>
      <c r="G243" s="17">
        <v>109850.4</v>
      </c>
      <c r="H243" s="17">
        <v>118522.8</v>
      </c>
      <c r="I243" s="17">
        <v>132976.79999999999</v>
      </c>
      <c r="J243" s="17">
        <v>142612.79999999999</v>
      </c>
      <c r="K243" s="17">
        <v>171520.8</v>
      </c>
      <c r="L243" s="17">
        <v>196574.4</v>
      </c>
      <c r="M243" s="17">
        <v>185011.19999999998</v>
      </c>
      <c r="N243" s="17">
        <v>185011.19999999998</v>
      </c>
      <c r="O243" s="17">
        <v>193683.59999999998</v>
      </c>
      <c r="P243" s="17">
        <v>202355.99999999997</v>
      </c>
      <c r="Q243" s="17">
        <v>231263.99999999994</v>
      </c>
      <c r="R243" s="17">
        <v>236081.99999999994</v>
      </c>
      <c r="S243" s="17">
        <v>236081.99999999994</v>
      </c>
    </row>
    <row r="244" spans="1:19" ht="14.25">
      <c r="A244" s="23">
        <f t="shared" si="4"/>
        <v>243</v>
      </c>
      <c r="B244" s="18"/>
      <c r="C244" s="17">
        <v>78110</v>
      </c>
      <c r="D244" s="17">
        <v>96075.3</v>
      </c>
      <c r="E244" s="17">
        <v>84358.8</v>
      </c>
      <c r="F244" s="17">
        <v>75766.700000000012</v>
      </c>
      <c r="G244" s="17">
        <v>64050.200000000004</v>
      </c>
      <c r="H244" s="17">
        <v>74204.5</v>
      </c>
      <c r="I244" s="17">
        <v>74204.5</v>
      </c>
      <c r="J244" s="17">
        <v>84358.8</v>
      </c>
      <c r="K244" s="17">
        <v>93732.000000000015</v>
      </c>
      <c r="L244" s="17">
        <v>81234.400000000023</v>
      </c>
      <c r="M244" s="17">
        <v>85139.900000000023</v>
      </c>
      <c r="N244" s="17">
        <v>74985.60000000002</v>
      </c>
      <c r="O244" s="17">
        <v>84358.800000000017</v>
      </c>
      <c r="P244" s="17">
        <v>0</v>
      </c>
      <c r="Q244" s="17">
        <v>0</v>
      </c>
      <c r="R244" s="17">
        <v>0</v>
      </c>
      <c r="S244" s="17">
        <v>0</v>
      </c>
    </row>
    <row r="245" spans="1:19" ht="14.25">
      <c r="A245" s="23">
        <f t="shared" si="4"/>
        <v>244</v>
      </c>
      <c r="B245" s="18"/>
      <c r="C245" s="17">
        <v>0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96360</v>
      </c>
      <c r="K245" s="17">
        <v>114668.4</v>
      </c>
      <c r="L245" s="17">
        <v>125268</v>
      </c>
      <c r="M245" s="17">
        <v>142612.79999999999</v>
      </c>
      <c r="N245" s="17">
        <v>165739.20000000001</v>
      </c>
      <c r="O245" s="17">
        <v>165739.20000000001</v>
      </c>
      <c r="P245" s="17">
        <v>179229.59999999998</v>
      </c>
      <c r="Q245" s="17">
        <v>172484.4</v>
      </c>
      <c r="R245" s="17">
        <v>185974.79999999996</v>
      </c>
      <c r="S245" s="17">
        <v>185974.79999999996</v>
      </c>
    </row>
    <row r="246" spans="1:19" ht="14.25">
      <c r="A246" s="23">
        <f t="shared" si="4"/>
        <v>245</v>
      </c>
      <c r="B246" s="18"/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83585</v>
      </c>
      <c r="O246" s="17">
        <v>82749.149999999994</v>
      </c>
      <c r="P246" s="17">
        <v>68539.7</v>
      </c>
      <c r="Q246" s="17">
        <v>62688.75</v>
      </c>
      <c r="R246" s="17">
        <v>69375.55</v>
      </c>
      <c r="S246" s="17">
        <v>93615.2</v>
      </c>
    </row>
    <row r="247" spans="1:19" ht="14.25">
      <c r="A247" s="23">
        <f t="shared" si="4"/>
        <v>246</v>
      </c>
      <c r="B247" s="18"/>
      <c r="C247" s="17">
        <v>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100375</v>
      </c>
      <c r="K247" s="17">
        <v>127476.25</v>
      </c>
      <c r="L247" s="17">
        <v>127476.25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</row>
    <row r="248" spans="1:19" ht="14.25">
      <c r="A248" s="23">
        <f t="shared" si="4"/>
        <v>247</v>
      </c>
      <c r="B248" s="18"/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102200</v>
      </c>
      <c r="N248" s="17">
        <v>131838</v>
      </c>
      <c r="O248" s="17">
        <v>162498</v>
      </c>
      <c r="P248" s="17">
        <v>162498</v>
      </c>
      <c r="Q248" s="17">
        <v>171696.00000000003</v>
      </c>
      <c r="R248" s="17">
        <v>196224.00000000003</v>
      </c>
      <c r="S248" s="17">
        <v>220752</v>
      </c>
    </row>
    <row r="249" spans="1:19" ht="14.25">
      <c r="A249" s="23">
        <f t="shared" si="4"/>
        <v>248</v>
      </c>
      <c r="B249" s="18"/>
      <c r="C249" s="17">
        <v>75190</v>
      </c>
      <c r="D249" s="17">
        <v>92483.7</v>
      </c>
      <c r="E249" s="17">
        <v>92483.7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</row>
    <row r="250" spans="1:19" ht="14.25">
      <c r="A250" s="23">
        <f t="shared" si="4"/>
        <v>249</v>
      </c>
      <c r="B250" s="18"/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90885</v>
      </c>
      <c r="N250" s="17">
        <v>90885</v>
      </c>
      <c r="O250" s="17">
        <v>103608.90000000001</v>
      </c>
      <c r="P250" s="17">
        <v>125421.30000000002</v>
      </c>
      <c r="Q250" s="17">
        <v>135418.65000000002</v>
      </c>
      <c r="R250" s="17">
        <v>162684.15000000002</v>
      </c>
      <c r="S250" s="17">
        <v>185405.4</v>
      </c>
    </row>
    <row r="251" spans="1:19" ht="14.25">
      <c r="A251" s="23">
        <f t="shared" si="4"/>
        <v>250</v>
      </c>
      <c r="B251" s="18"/>
      <c r="C251" s="17">
        <v>89060</v>
      </c>
      <c r="D251" s="17">
        <v>105981.4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0</v>
      </c>
      <c r="R251" s="17">
        <v>0</v>
      </c>
      <c r="S251" s="17">
        <v>0</v>
      </c>
    </row>
    <row r="252" spans="1:19" ht="14.25">
      <c r="A252" s="23">
        <f t="shared" si="4"/>
        <v>251</v>
      </c>
      <c r="B252" s="18"/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83585</v>
      </c>
      <c r="S252" s="17">
        <v>99466.15</v>
      </c>
    </row>
    <row r="253" spans="1:19" ht="14.25">
      <c r="A253" s="23">
        <f t="shared" si="4"/>
        <v>252</v>
      </c>
      <c r="B253" s="18"/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73365</v>
      </c>
      <c r="P253" s="17">
        <v>81435.150000000009</v>
      </c>
      <c r="Q253" s="17">
        <v>99776.400000000009</v>
      </c>
      <c r="R253" s="17">
        <v>99776.400000000009</v>
      </c>
      <c r="S253" s="17">
        <v>113715.75</v>
      </c>
    </row>
    <row r="254" spans="1:19" ht="14.25">
      <c r="A254" s="23">
        <f t="shared" si="4"/>
        <v>253</v>
      </c>
      <c r="B254" s="18"/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77380</v>
      </c>
      <c r="O254" s="17">
        <v>88987</v>
      </c>
      <c r="P254" s="17">
        <v>92856</v>
      </c>
      <c r="Q254" s="17">
        <v>82022.8</v>
      </c>
      <c r="R254" s="17">
        <v>95951.2</v>
      </c>
      <c r="S254" s="17">
        <v>102141.6</v>
      </c>
    </row>
    <row r="255" spans="1:19" ht="14.25">
      <c r="A255" s="23">
        <f t="shared" si="4"/>
        <v>254</v>
      </c>
      <c r="B255" s="18"/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71905</v>
      </c>
      <c r="N255" s="17">
        <v>85566.95</v>
      </c>
      <c r="O255" s="17">
        <v>75500.249999999985</v>
      </c>
      <c r="P255" s="17">
        <v>84847.89999999998</v>
      </c>
      <c r="Q255" s="17">
        <v>84847.89999999998</v>
      </c>
      <c r="R255" s="17">
        <v>106419.39999999998</v>
      </c>
      <c r="S255" s="17">
        <v>93476.499999999985</v>
      </c>
    </row>
    <row r="256" spans="1:19" ht="14.25">
      <c r="A256" s="23">
        <f t="shared" si="4"/>
        <v>255</v>
      </c>
      <c r="B256" s="18"/>
      <c r="C256" s="17">
        <v>103660</v>
      </c>
      <c r="D256" s="17">
        <v>114026.00000000001</v>
      </c>
      <c r="E256" s="17">
        <v>114026.00000000001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</row>
    <row r="257" spans="1:19" ht="14.25">
      <c r="A257" s="23">
        <f t="shared" si="4"/>
        <v>256</v>
      </c>
      <c r="B257" s="18"/>
      <c r="C257" s="17">
        <v>73000</v>
      </c>
      <c r="D257" s="17">
        <v>64970</v>
      </c>
      <c r="E257" s="17">
        <v>64240</v>
      </c>
      <c r="F257" s="17">
        <v>70080</v>
      </c>
      <c r="G257" s="17">
        <v>75920</v>
      </c>
      <c r="H257" s="17">
        <v>84680.000000000015</v>
      </c>
      <c r="I257" s="17">
        <v>96360</v>
      </c>
      <c r="J257" s="17">
        <v>116070</v>
      </c>
      <c r="K257" s="17">
        <v>122640.00000000001</v>
      </c>
      <c r="L257" s="17">
        <v>122640.00000000001</v>
      </c>
      <c r="M257" s="17">
        <v>130670.00000000001</v>
      </c>
      <c r="N257" s="17">
        <v>150380.00000000003</v>
      </c>
      <c r="O257" s="17">
        <v>167170.00000000003</v>
      </c>
      <c r="P257" s="17">
        <v>159140.00000000006</v>
      </c>
      <c r="Q257" s="17">
        <v>171550.00000000003</v>
      </c>
      <c r="R257" s="17">
        <v>0</v>
      </c>
      <c r="S257" s="17">
        <v>0</v>
      </c>
    </row>
    <row r="258" spans="1:19" ht="14.25">
      <c r="A258" s="23">
        <f t="shared" si="4"/>
        <v>257</v>
      </c>
      <c r="B258" s="18"/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76285</v>
      </c>
      <c r="S258" s="17">
        <v>90016.299999999988</v>
      </c>
    </row>
    <row r="259" spans="1:19" ht="14.25">
      <c r="A259" s="23">
        <f t="shared" ref="A259:A322" si="5">+A258+1</f>
        <v>258</v>
      </c>
      <c r="B259" s="18"/>
      <c r="C259" s="17">
        <v>0</v>
      </c>
      <c r="D259" s="17">
        <v>0</v>
      </c>
      <c r="E259" s="17">
        <v>0</v>
      </c>
      <c r="F259" s="17">
        <v>0</v>
      </c>
      <c r="G259" s="17">
        <v>81030</v>
      </c>
      <c r="H259" s="17">
        <v>85081.5</v>
      </c>
      <c r="I259" s="17">
        <v>90753.600000000006</v>
      </c>
      <c r="J259" s="17">
        <v>106959.6</v>
      </c>
      <c r="K259" s="17">
        <v>130458.3</v>
      </c>
      <c r="L259" s="17">
        <v>136130.40000000002</v>
      </c>
      <c r="M259" s="17">
        <v>122355.30000000002</v>
      </c>
      <c r="N259" s="17">
        <v>118303.80000000002</v>
      </c>
      <c r="O259" s="17">
        <v>103718.40000000002</v>
      </c>
      <c r="P259" s="17">
        <v>123165.60000000002</v>
      </c>
      <c r="Q259" s="17">
        <v>117493.50000000001</v>
      </c>
      <c r="R259" s="17">
        <v>114252.30000000002</v>
      </c>
      <c r="S259" s="17">
        <v>126406.8</v>
      </c>
    </row>
    <row r="260" spans="1:19" ht="14.25">
      <c r="A260" s="23">
        <f t="shared" si="5"/>
        <v>259</v>
      </c>
      <c r="B260" s="18"/>
      <c r="C260" s="17">
        <v>71540</v>
      </c>
      <c r="D260" s="17">
        <v>90140.4</v>
      </c>
      <c r="E260" s="17">
        <v>77263.200000000012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</row>
    <row r="261" spans="1:19" ht="14.25">
      <c r="A261" s="23">
        <f t="shared" si="5"/>
        <v>260</v>
      </c>
      <c r="B261" s="18"/>
      <c r="C261" s="17">
        <v>0</v>
      </c>
      <c r="D261" s="17">
        <v>0</v>
      </c>
      <c r="E261" s="17">
        <v>71175</v>
      </c>
      <c r="F261" s="17">
        <v>60498.75</v>
      </c>
      <c r="G261" s="17">
        <v>54804.75</v>
      </c>
      <c r="H261" s="17">
        <v>54804.75</v>
      </c>
      <c r="I261" s="17">
        <v>59075.250000000007</v>
      </c>
      <c r="J261" s="17">
        <v>71886.75</v>
      </c>
      <c r="K261" s="17">
        <v>91104</v>
      </c>
      <c r="L261" s="17">
        <v>99645</v>
      </c>
      <c r="M261" s="17">
        <v>99645</v>
      </c>
      <c r="N261" s="17">
        <v>86833.5</v>
      </c>
      <c r="O261" s="17">
        <v>86833.5</v>
      </c>
      <c r="P261" s="17">
        <v>86833.5</v>
      </c>
      <c r="Q261" s="17">
        <v>102492</v>
      </c>
      <c r="R261" s="17">
        <v>94662.749999999985</v>
      </c>
      <c r="S261" s="17">
        <v>82563</v>
      </c>
    </row>
    <row r="262" spans="1:19" ht="14.25">
      <c r="A262" s="23">
        <f t="shared" si="5"/>
        <v>261</v>
      </c>
      <c r="B262" s="18"/>
      <c r="C262" s="17">
        <v>75190</v>
      </c>
      <c r="D262" s="17">
        <v>92483.7</v>
      </c>
      <c r="E262" s="17">
        <v>81205.200000000012</v>
      </c>
      <c r="F262" s="17">
        <v>87972.300000000017</v>
      </c>
      <c r="G262" s="17">
        <v>87972.300000000017</v>
      </c>
      <c r="H262" s="17">
        <v>93987.500000000015</v>
      </c>
      <c r="I262" s="17">
        <v>102258.40000000002</v>
      </c>
      <c r="J262" s="17">
        <v>93987.500000000015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</row>
    <row r="263" spans="1:19" ht="14.25">
      <c r="A263" s="23">
        <f t="shared" si="5"/>
        <v>262</v>
      </c>
      <c r="B263" s="18"/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91615</v>
      </c>
      <c r="S263" s="17">
        <v>98944.200000000012</v>
      </c>
    </row>
    <row r="264" spans="1:19" ht="14.25">
      <c r="A264" s="23">
        <f t="shared" si="5"/>
        <v>263</v>
      </c>
      <c r="B264" s="18"/>
      <c r="C264" s="17">
        <v>79935</v>
      </c>
      <c r="D264" s="17">
        <v>89527.200000000012</v>
      </c>
      <c r="E264" s="17">
        <v>110310.3</v>
      </c>
      <c r="F264" s="17">
        <v>131093.40000000002</v>
      </c>
      <c r="G264" s="17">
        <v>138287.55000000002</v>
      </c>
      <c r="H264" s="17">
        <v>135090.15000000002</v>
      </c>
      <c r="I264" s="17">
        <v>135090.15000000002</v>
      </c>
      <c r="J264" s="17">
        <v>150277.80000000002</v>
      </c>
      <c r="K264" s="17">
        <v>163067.4</v>
      </c>
      <c r="L264" s="17">
        <v>163067.4</v>
      </c>
      <c r="M264" s="17">
        <v>176656.35</v>
      </c>
      <c r="N264" s="17">
        <v>176656.35</v>
      </c>
      <c r="O264" s="17">
        <v>186248.55000000002</v>
      </c>
      <c r="P264" s="17">
        <v>198238.8</v>
      </c>
      <c r="Q264" s="17">
        <v>203034.9</v>
      </c>
      <c r="R264" s="17">
        <v>0</v>
      </c>
      <c r="S264" s="17">
        <v>0</v>
      </c>
    </row>
    <row r="265" spans="1:19" ht="14.25">
      <c r="A265" s="23">
        <f t="shared" si="5"/>
        <v>264</v>
      </c>
      <c r="B265" s="18"/>
      <c r="C265" s="17">
        <v>75555</v>
      </c>
      <c r="D265" s="17">
        <v>84621.6</v>
      </c>
      <c r="E265" s="17">
        <v>88399.35</v>
      </c>
      <c r="F265" s="17">
        <v>88399.35</v>
      </c>
      <c r="G265" s="17">
        <v>106532.55000000002</v>
      </c>
      <c r="H265" s="17">
        <v>106532.55000000002</v>
      </c>
      <c r="I265" s="17">
        <v>117110.25000000001</v>
      </c>
      <c r="J265" s="17">
        <v>124665.75000000003</v>
      </c>
      <c r="K265" s="17">
        <v>124665.75000000003</v>
      </c>
      <c r="L265" s="17">
        <v>111065.85000000003</v>
      </c>
      <c r="M265" s="17">
        <v>133732.35000000003</v>
      </c>
      <c r="N265" s="17">
        <v>154887.75000000006</v>
      </c>
      <c r="O265" s="17">
        <v>161687.70000000004</v>
      </c>
      <c r="P265" s="17">
        <v>168487.65000000002</v>
      </c>
      <c r="Q265" s="17">
        <v>174532.05000000005</v>
      </c>
      <c r="R265" s="17">
        <v>160176.60000000003</v>
      </c>
      <c r="S265" s="17">
        <v>148843.35000000003</v>
      </c>
    </row>
    <row r="266" spans="1:19" ht="14.25">
      <c r="A266" s="23">
        <f t="shared" si="5"/>
        <v>265</v>
      </c>
      <c r="B266" s="18"/>
      <c r="C266" s="17">
        <v>105850</v>
      </c>
      <c r="D266" s="17">
        <v>105850</v>
      </c>
      <c r="E266" s="17">
        <v>99499</v>
      </c>
      <c r="F266" s="17">
        <v>109025.5</v>
      </c>
      <c r="G266" s="17">
        <v>132312.5</v>
      </c>
      <c r="H266" s="17">
        <v>132312.5</v>
      </c>
      <c r="I266" s="17">
        <v>152424</v>
      </c>
      <c r="J266" s="17">
        <v>171477</v>
      </c>
      <c r="K266" s="17">
        <v>154541</v>
      </c>
      <c r="L266" s="17">
        <v>186296</v>
      </c>
      <c r="M266" s="17">
        <v>186296</v>
      </c>
      <c r="N266" s="17">
        <v>205349</v>
      </c>
      <c r="O266" s="17">
        <v>205349</v>
      </c>
      <c r="P266" s="17">
        <v>205349</v>
      </c>
      <c r="Q266" s="17">
        <v>224402</v>
      </c>
      <c r="R266" s="17">
        <v>250864.5</v>
      </c>
      <c r="S266" s="17">
        <v>262508</v>
      </c>
    </row>
    <row r="267" spans="1:19" ht="14.25">
      <c r="A267" s="23">
        <f t="shared" si="5"/>
        <v>266</v>
      </c>
      <c r="B267" s="18"/>
      <c r="C267" s="17">
        <v>0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81030</v>
      </c>
    </row>
    <row r="268" spans="1:19" ht="14.25">
      <c r="A268" s="23">
        <f t="shared" si="5"/>
        <v>267</v>
      </c>
      <c r="B268" s="18"/>
      <c r="C268" s="17">
        <v>101105</v>
      </c>
      <c r="D268" s="17">
        <v>130425.45</v>
      </c>
      <c r="E268" s="17">
        <v>153679.6</v>
      </c>
      <c r="F268" s="17">
        <v>151657.5</v>
      </c>
      <c r="G268" s="17">
        <v>144580.15</v>
      </c>
      <c r="H268" s="17">
        <v>144580.15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</row>
    <row r="269" spans="1:19" ht="14.25">
      <c r="A269" s="23">
        <f t="shared" si="5"/>
        <v>268</v>
      </c>
      <c r="B269" s="18"/>
      <c r="C269" s="17">
        <v>0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85045</v>
      </c>
      <c r="M269" s="17">
        <v>73138.7</v>
      </c>
      <c r="N269" s="17">
        <v>83344.099999999991</v>
      </c>
      <c r="O269" s="17">
        <v>70587.349999999991</v>
      </c>
      <c r="P269" s="17">
        <v>90998.14999999998</v>
      </c>
      <c r="Q269" s="17">
        <v>84194.549999999988</v>
      </c>
      <c r="R269" s="17">
        <v>95250.4</v>
      </c>
      <c r="S269" s="17">
        <v>115661.19999999998</v>
      </c>
    </row>
    <row r="270" spans="1:19" ht="14.25">
      <c r="A270" s="23">
        <f t="shared" si="5"/>
        <v>269</v>
      </c>
      <c r="B270" s="18"/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73000</v>
      </c>
      <c r="M270" s="17">
        <v>60590</v>
      </c>
      <c r="N270" s="17">
        <v>60590</v>
      </c>
      <c r="O270" s="17">
        <v>73730</v>
      </c>
      <c r="P270" s="17">
        <v>73730</v>
      </c>
      <c r="Q270" s="17">
        <v>83220.000000000015</v>
      </c>
      <c r="R270" s="17">
        <v>69350.000000000015</v>
      </c>
      <c r="S270" s="17">
        <v>81030</v>
      </c>
    </row>
    <row r="271" spans="1:19" ht="14.25">
      <c r="A271" s="23">
        <f t="shared" si="5"/>
        <v>270</v>
      </c>
      <c r="B271" s="18"/>
      <c r="C271" s="17">
        <v>0</v>
      </c>
      <c r="D271" s="17">
        <v>0</v>
      </c>
      <c r="E271" s="17">
        <v>0</v>
      </c>
      <c r="F271" s="17">
        <v>0</v>
      </c>
      <c r="G271" s="17">
        <v>0</v>
      </c>
      <c r="H271" s="17">
        <v>0</v>
      </c>
      <c r="I271" s="17">
        <v>104755</v>
      </c>
      <c r="J271" s="17">
        <v>127801.09999999999</v>
      </c>
      <c r="K271" s="17">
        <v>150847.19999999998</v>
      </c>
      <c r="L271" s="17">
        <v>178083.5</v>
      </c>
      <c r="M271" s="17">
        <v>173893.3</v>
      </c>
      <c r="N271" s="17">
        <v>193796.75</v>
      </c>
      <c r="O271" s="17">
        <v>199034.5</v>
      </c>
      <c r="P271" s="17">
        <v>188558.99999999997</v>
      </c>
      <c r="Q271" s="17">
        <v>203224.69999999998</v>
      </c>
      <c r="R271" s="17">
        <v>184368.8</v>
      </c>
      <c r="S271" s="17">
        <v>213700.2</v>
      </c>
    </row>
    <row r="272" spans="1:19" ht="14.25">
      <c r="A272" s="23">
        <f t="shared" si="5"/>
        <v>271</v>
      </c>
      <c r="B272" s="18"/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102930</v>
      </c>
      <c r="Q272" s="17">
        <v>102930</v>
      </c>
      <c r="R272" s="17">
        <v>123516</v>
      </c>
      <c r="S272" s="17">
        <v>151307.1</v>
      </c>
    </row>
    <row r="273" spans="1:19" ht="14.25">
      <c r="A273" s="23">
        <f t="shared" si="5"/>
        <v>272</v>
      </c>
      <c r="B273" s="18"/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80665</v>
      </c>
      <c r="L273" s="17">
        <v>96798</v>
      </c>
      <c r="M273" s="17">
        <v>113737.65</v>
      </c>
      <c r="N273" s="17">
        <v>118577.55</v>
      </c>
      <c r="O273" s="17">
        <v>129870.65</v>
      </c>
      <c r="P273" s="17">
        <v>115350.95</v>
      </c>
      <c r="Q273" s="17">
        <v>126644.04999999999</v>
      </c>
      <c r="R273" s="17">
        <v>136323.85</v>
      </c>
      <c r="S273" s="17">
        <v>158103.4</v>
      </c>
    </row>
    <row r="274" spans="1:19" ht="14.25">
      <c r="A274" s="23">
        <f t="shared" si="5"/>
        <v>273</v>
      </c>
      <c r="B274" s="18"/>
      <c r="C274" s="17">
        <v>105850</v>
      </c>
      <c r="D274" s="17">
        <v>105850</v>
      </c>
      <c r="E274" s="17">
        <v>136546.5</v>
      </c>
      <c r="F274" s="17">
        <v>143956</v>
      </c>
      <c r="G274" s="17">
        <v>159833.5</v>
      </c>
      <c r="H274" s="17">
        <v>177828</v>
      </c>
      <c r="I274" s="17">
        <v>158775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</row>
    <row r="275" spans="1:19" ht="14.25">
      <c r="A275" s="23">
        <f t="shared" si="5"/>
        <v>274</v>
      </c>
      <c r="B275" s="18"/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85410</v>
      </c>
      <c r="M275" s="17">
        <v>93951.000000000015</v>
      </c>
      <c r="N275" s="17">
        <v>93951.000000000015</v>
      </c>
      <c r="O275" s="17">
        <v>111887.1</v>
      </c>
      <c r="P275" s="17">
        <v>128115</v>
      </c>
      <c r="Q275" s="17">
        <v>136656</v>
      </c>
      <c r="R275" s="17">
        <v>148613.40000000002</v>
      </c>
      <c r="S275" s="17">
        <v>148613.40000000002</v>
      </c>
    </row>
    <row r="276" spans="1:19" ht="14.25">
      <c r="A276" s="23">
        <f t="shared" si="5"/>
        <v>275</v>
      </c>
      <c r="B276" s="18"/>
      <c r="C276" s="17">
        <v>0</v>
      </c>
      <c r="D276" s="17">
        <v>0</v>
      </c>
      <c r="E276" s="17">
        <v>0</v>
      </c>
      <c r="F276" s="17">
        <v>92345</v>
      </c>
      <c r="G276" s="17">
        <v>92345</v>
      </c>
      <c r="H276" s="17">
        <v>97885.700000000012</v>
      </c>
      <c r="I276" s="17">
        <v>97885.700000000012</v>
      </c>
      <c r="J276" s="17">
        <v>81263.600000000006</v>
      </c>
      <c r="K276" s="17">
        <v>99732.6</v>
      </c>
      <c r="L276" s="17">
        <v>110814.00000000001</v>
      </c>
      <c r="M276" s="17">
        <v>110814.00000000001</v>
      </c>
      <c r="N276" s="17">
        <v>131129.90000000002</v>
      </c>
      <c r="O276" s="17">
        <v>131129.90000000002</v>
      </c>
      <c r="P276" s="17">
        <v>137594.05000000002</v>
      </c>
      <c r="Q276" s="17">
        <v>163450.65000000002</v>
      </c>
      <c r="R276" s="17">
        <v>189307.25000000003</v>
      </c>
      <c r="S276" s="17">
        <v>170838.25000000003</v>
      </c>
    </row>
    <row r="277" spans="1:19" ht="14.25">
      <c r="A277" s="23">
        <f t="shared" si="5"/>
        <v>276</v>
      </c>
      <c r="B277" s="18"/>
      <c r="C277" s="17">
        <v>0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67525</v>
      </c>
      <c r="N277" s="17">
        <v>79004.25</v>
      </c>
      <c r="O277" s="17">
        <v>74952.749999999985</v>
      </c>
      <c r="P277" s="17">
        <v>87107.249999999985</v>
      </c>
      <c r="Q277" s="17">
        <v>100612.24999999999</v>
      </c>
      <c r="R277" s="17">
        <v>119519.24999999999</v>
      </c>
      <c r="S277" s="17">
        <v>119519.24999999999</v>
      </c>
    </row>
    <row r="278" spans="1:19" ht="14.25">
      <c r="A278" s="23">
        <f t="shared" si="5"/>
        <v>277</v>
      </c>
      <c r="B278" s="18"/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96725</v>
      </c>
      <c r="L278" s="17">
        <v>96725</v>
      </c>
      <c r="M278" s="17">
        <v>120906.25</v>
      </c>
      <c r="N278" s="17">
        <v>127677</v>
      </c>
      <c r="O278" s="17">
        <v>140251.25000000003</v>
      </c>
      <c r="P278" s="17">
        <v>164432.50000000003</v>
      </c>
      <c r="Q278" s="17">
        <v>164432.50000000003</v>
      </c>
      <c r="R278" s="17">
        <v>155727.25</v>
      </c>
      <c r="S278" s="17">
        <v>183777.5</v>
      </c>
    </row>
    <row r="279" spans="1:19" ht="14.25">
      <c r="A279" s="23">
        <f t="shared" si="5"/>
        <v>278</v>
      </c>
      <c r="B279" s="18"/>
      <c r="C279" s="17">
        <v>101835</v>
      </c>
      <c r="D279" s="17">
        <v>125257.05</v>
      </c>
      <c r="E279" s="17">
        <v>133403.85</v>
      </c>
      <c r="F279" s="17">
        <v>158862.6</v>
      </c>
      <c r="G279" s="17">
        <v>182284.65</v>
      </c>
      <c r="H279" s="17">
        <v>182284.65</v>
      </c>
      <c r="I279" s="17">
        <v>202651.65</v>
      </c>
      <c r="J279" s="17">
        <v>212835.15</v>
      </c>
      <c r="K279" s="17">
        <v>204688.34999999998</v>
      </c>
      <c r="L279" s="17">
        <v>235238.84999999995</v>
      </c>
      <c r="M279" s="17">
        <v>260697.59999999995</v>
      </c>
      <c r="N279" s="17">
        <v>270881.09999999998</v>
      </c>
      <c r="O279" s="17">
        <v>297358.2</v>
      </c>
      <c r="P279" s="17">
        <v>309578.40000000002</v>
      </c>
      <c r="Q279" s="17">
        <v>0</v>
      </c>
      <c r="R279" s="17">
        <v>0</v>
      </c>
      <c r="S279" s="17">
        <v>0</v>
      </c>
    </row>
    <row r="280" spans="1:19" ht="14.25">
      <c r="A280" s="23">
        <f t="shared" si="5"/>
        <v>279</v>
      </c>
      <c r="B280" s="18"/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85045</v>
      </c>
      <c r="Q280" s="17">
        <v>85045</v>
      </c>
      <c r="R280" s="17">
        <v>92699.05</v>
      </c>
      <c r="S280" s="17">
        <v>84194.55</v>
      </c>
    </row>
    <row r="281" spans="1:19" ht="14.25">
      <c r="A281" s="23">
        <f t="shared" si="5"/>
        <v>280</v>
      </c>
      <c r="B281" s="18"/>
      <c r="C281" s="17">
        <v>101835</v>
      </c>
      <c r="D281" s="17">
        <v>101835</v>
      </c>
      <c r="E281" s="17">
        <v>106926.75</v>
      </c>
      <c r="F281" s="17">
        <v>116091.90000000001</v>
      </c>
      <c r="G281" s="17">
        <v>138495.6</v>
      </c>
      <c r="H281" s="17">
        <v>138495.6</v>
      </c>
      <c r="I281" s="17">
        <v>164972.70000000001</v>
      </c>
      <c r="J281" s="17">
        <v>163954.35</v>
      </c>
      <c r="K281" s="17">
        <v>143587.35</v>
      </c>
      <c r="L281" s="17">
        <v>136458.9</v>
      </c>
      <c r="M281" s="17">
        <v>127293.75</v>
      </c>
      <c r="N281" s="17">
        <v>137477.25</v>
      </c>
      <c r="O281" s="17">
        <v>156825.9</v>
      </c>
      <c r="P281" s="17">
        <v>146642.4</v>
      </c>
      <c r="Q281" s="17">
        <v>169046.1</v>
      </c>
      <c r="R281" s="17">
        <v>174137.85</v>
      </c>
      <c r="S281" s="17">
        <v>167009.4</v>
      </c>
    </row>
    <row r="282" spans="1:19" ht="14.25">
      <c r="A282" s="23">
        <f t="shared" si="5"/>
        <v>281</v>
      </c>
      <c r="B282" s="18"/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</row>
    <row r="283" spans="1:19" ht="14.25">
      <c r="A283" s="23">
        <f t="shared" si="5"/>
        <v>282</v>
      </c>
      <c r="B283" s="18"/>
      <c r="C283" s="17">
        <v>0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66065</v>
      </c>
      <c r="J283" s="17">
        <v>66065</v>
      </c>
      <c r="K283" s="17">
        <v>65404.35</v>
      </c>
      <c r="L283" s="17">
        <v>54173.299999999996</v>
      </c>
      <c r="M283" s="17">
        <v>72010.849999999991</v>
      </c>
      <c r="N283" s="17">
        <v>72010.849999999991</v>
      </c>
      <c r="O283" s="17">
        <v>72010.849999999991</v>
      </c>
      <c r="P283" s="17">
        <v>75974.75</v>
      </c>
      <c r="Q283" s="17">
        <v>66725.64999999998</v>
      </c>
      <c r="R283" s="17">
        <v>71350.2</v>
      </c>
      <c r="S283" s="17">
        <v>82581.249999999985</v>
      </c>
    </row>
    <row r="284" spans="1:19" ht="14.25">
      <c r="A284" s="23">
        <f t="shared" si="5"/>
        <v>283</v>
      </c>
      <c r="B284" s="18"/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69350</v>
      </c>
      <c r="P284" s="17">
        <v>73511</v>
      </c>
      <c r="Q284" s="17">
        <v>91542</v>
      </c>
      <c r="R284" s="17">
        <v>110960</v>
      </c>
      <c r="S284" s="17">
        <v>117895.00000000001</v>
      </c>
    </row>
    <row r="285" spans="1:19" ht="14.25">
      <c r="A285" s="23">
        <f t="shared" si="5"/>
        <v>284</v>
      </c>
      <c r="B285" s="18"/>
      <c r="C285" s="17">
        <v>101470</v>
      </c>
      <c r="D285" s="17">
        <v>99440.599999999991</v>
      </c>
      <c r="E285" s="17">
        <v>88278.9</v>
      </c>
      <c r="F285" s="17">
        <v>88278.9</v>
      </c>
      <c r="G285" s="17">
        <v>93352.400000000009</v>
      </c>
      <c r="H285" s="17">
        <v>93352.400000000009</v>
      </c>
      <c r="I285" s="17">
        <v>113646.40000000001</v>
      </c>
      <c r="J285" s="17">
        <v>144087.40000000002</v>
      </c>
      <c r="K285" s="17">
        <v>156263.80000000002</v>
      </c>
      <c r="L285" s="17">
        <v>182646</v>
      </c>
      <c r="M285" s="17">
        <v>182646</v>
      </c>
      <c r="N285" s="17">
        <v>213087</v>
      </c>
      <c r="O285" s="17">
        <v>238454.5</v>
      </c>
      <c r="P285" s="17">
        <v>0</v>
      </c>
      <c r="Q285" s="17">
        <v>0</v>
      </c>
      <c r="R285" s="17">
        <v>0</v>
      </c>
      <c r="S285" s="17">
        <v>0</v>
      </c>
    </row>
    <row r="286" spans="1:19" ht="14.25">
      <c r="A286" s="23">
        <f t="shared" si="5"/>
        <v>285</v>
      </c>
      <c r="B286" s="18"/>
      <c r="C286" s="17">
        <v>0</v>
      </c>
      <c r="D286" s="17">
        <v>97820</v>
      </c>
      <c r="E286" s="17">
        <v>117384</v>
      </c>
      <c r="F286" s="17">
        <v>123253.2</v>
      </c>
      <c r="G286" s="17">
        <v>150642.80000000002</v>
      </c>
      <c r="H286" s="17">
        <v>179010.6</v>
      </c>
      <c r="I286" s="17">
        <v>170206.8</v>
      </c>
      <c r="J286" s="17">
        <v>170206.8</v>
      </c>
      <c r="K286" s="17">
        <v>190749</v>
      </c>
      <c r="L286" s="17">
        <v>190749</v>
      </c>
      <c r="M286" s="17">
        <v>218138.6</v>
      </c>
      <c r="N286" s="17">
        <v>235746.2</v>
      </c>
      <c r="O286" s="17">
        <v>256288.40000000002</v>
      </c>
      <c r="P286" s="17">
        <v>278787</v>
      </c>
      <c r="Q286" s="17">
        <v>278787</v>
      </c>
      <c r="R286" s="17">
        <v>261179.4</v>
      </c>
      <c r="S286" s="17">
        <v>285634.39999999997</v>
      </c>
    </row>
    <row r="287" spans="1:19" ht="14.25">
      <c r="A287" s="23">
        <f t="shared" si="5"/>
        <v>286</v>
      </c>
      <c r="B287" s="18"/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89060</v>
      </c>
      <c r="M287" s="17">
        <v>108653.2</v>
      </c>
      <c r="N287" s="17">
        <v>108653.2</v>
      </c>
      <c r="O287" s="17">
        <v>108653.2</v>
      </c>
      <c r="P287" s="17">
        <v>120231.00000000001</v>
      </c>
      <c r="Q287" s="17">
        <v>116668.6</v>
      </c>
      <c r="R287" s="17">
        <v>137152.4</v>
      </c>
      <c r="S287" s="17">
        <v>130918.2</v>
      </c>
    </row>
    <row r="288" spans="1:19" ht="14.25">
      <c r="A288" s="23">
        <f t="shared" si="5"/>
        <v>287</v>
      </c>
      <c r="B288" s="18"/>
      <c r="C288" s="17">
        <v>94900</v>
      </c>
      <c r="D288" s="17">
        <v>94900</v>
      </c>
      <c r="E288" s="17">
        <v>99645</v>
      </c>
      <c r="F288" s="17">
        <v>114829</v>
      </c>
      <c r="G288" s="17">
        <v>124319</v>
      </c>
      <c r="H288" s="17">
        <v>136656</v>
      </c>
      <c r="I288" s="17">
        <v>136656</v>
      </c>
      <c r="J288" s="17">
        <v>158483</v>
      </c>
      <c r="K288" s="17">
        <v>177463</v>
      </c>
      <c r="L288" s="17">
        <v>186004</v>
      </c>
      <c r="M288" s="17">
        <v>167973</v>
      </c>
      <c r="N288" s="17">
        <v>178412</v>
      </c>
      <c r="O288" s="17">
        <v>199290</v>
      </c>
      <c r="P288" s="17">
        <v>199290</v>
      </c>
      <c r="Q288" s="17">
        <v>187902</v>
      </c>
      <c r="R288" s="17">
        <v>203086</v>
      </c>
      <c r="S288" s="17">
        <v>217321</v>
      </c>
    </row>
    <row r="289" spans="1:19" ht="14.25">
      <c r="A289" s="23">
        <f t="shared" si="5"/>
        <v>288</v>
      </c>
      <c r="B289" s="18"/>
      <c r="C289" s="17">
        <v>0</v>
      </c>
      <c r="D289" s="17">
        <v>0</v>
      </c>
      <c r="E289" s="17">
        <v>0</v>
      </c>
      <c r="F289" s="17">
        <v>99280</v>
      </c>
      <c r="G289" s="17">
        <v>98287.2</v>
      </c>
      <c r="H289" s="17">
        <v>126085.6</v>
      </c>
      <c r="I289" s="17">
        <v>107222.40000000001</v>
      </c>
      <c r="J289" s="17">
        <v>115164.80000000002</v>
      </c>
      <c r="K289" s="17">
        <v>113179.20000000001</v>
      </c>
      <c r="L289" s="17">
        <v>122114.40000000002</v>
      </c>
      <c r="M289" s="17">
        <v>107222.40000000002</v>
      </c>
      <c r="N289" s="17">
        <v>116157.60000000003</v>
      </c>
      <c r="O289" s="17">
        <v>125092.80000000005</v>
      </c>
      <c r="P289" s="17">
        <v>137006.40000000002</v>
      </c>
      <c r="Q289" s="17">
        <v>117150.40000000004</v>
      </c>
      <c r="R289" s="17">
        <v>123107.20000000004</v>
      </c>
      <c r="S289" s="17">
        <v>123107.20000000004</v>
      </c>
    </row>
    <row r="290" spans="1:19" ht="14.25">
      <c r="A290" s="23">
        <f t="shared" si="5"/>
        <v>289</v>
      </c>
      <c r="B290" s="18"/>
      <c r="C290" s="17">
        <v>70080</v>
      </c>
      <c r="D290" s="17">
        <v>74284.800000000003</v>
      </c>
      <c r="E290" s="17">
        <v>84796.800000000003</v>
      </c>
      <c r="F290" s="17">
        <v>90403.199999999997</v>
      </c>
      <c r="G290" s="17">
        <v>76387.200000000012</v>
      </c>
      <c r="H290" s="17">
        <v>80592.000000000015</v>
      </c>
      <c r="I290" s="17">
        <v>93206.400000000009</v>
      </c>
      <c r="J290" s="17">
        <v>91104</v>
      </c>
      <c r="K290" s="17">
        <v>91104</v>
      </c>
      <c r="L290" s="17">
        <v>105820.8</v>
      </c>
      <c r="M290" s="17">
        <v>105820.8</v>
      </c>
      <c r="N290" s="17">
        <v>121238.39999999999</v>
      </c>
      <c r="O290" s="17">
        <v>139459.20000000001</v>
      </c>
      <c r="P290" s="17">
        <v>139459.20000000001</v>
      </c>
      <c r="Q290" s="17">
        <v>134553.60000000001</v>
      </c>
      <c r="R290" s="17">
        <v>143664</v>
      </c>
      <c r="S290" s="17">
        <v>157680</v>
      </c>
    </row>
    <row r="291" spans="1:19" ht="14.25">
      <c r="A291" s="23">
        <f t="shared" si="5"/>
        <v>290</v>
      </c>
      <c r="B291" s="18"/>
      <c r="C291" s="17">
        <v>66430</v>
      </c>
      <c r="D291" s="17">
        <v>77058.799999999988</v>
      </c>
      <c r="E291" s="17">
        <v>80380.3</v>
      </c>
      <c r="F291" s="17">
        <v>84366.1</v>
      </c>
      <c r="G291" s="17">
        <v>100973.6</v>
      </c>
      <c r="H291" s="17">
        <v>119574</v>
      </c>
      <c r="I291" s="17">
        <v>139503</v>
      </c>
      <c r="J291" s="17">
        <v>157439.1</v>
      </c>
      <c r="K291" s="17">
        <v>176703.80000000002</v>
      </c>
      <c r="L291" s="17">
        <v>187996.9</v>
      </c>
      <c r="M291" s="17">
        <v>192647</v>
      </c>
      <c r="N291" s="17">
        <v>192647</v>
      </c>
      <c r="O291" s="17">
        <v>192647</v>
      </c>
      <c r="P291" s="17">
        <v>192647</v>
      </c>
      <c r="Q291" s="17">
        <v>0</v>
      </c>
      <c r="R291" s="17">
        <v>0</v>
      </c>
      <c r="S291" s="17">
        <v>0</v>
      </c>
    </row>
    <row r="292" spans="1:19" ht="14.25">
      <c r="A292" s="23">
        <f t="shared" si="5"/>
        <v>291</v>
      </c>
      <c r="B292" s="18"/>
      <c r="C292" s="17">
        <v>93440</v>
      </c>
      <c r="D292" s="17">
        <v>84096</v>
      </c>
      <c r="E292" s="17">
        <v>99980.800000000003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</row>
    <row r="293" spans="1:19" ht="14.25">
      <c r="A293" s="23">
        <f t="shared" si="5"/>
        <v>292</v>
      </c>
      <c r="B293" s="18"/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89425</v>
      </c>
      <c r="L293" s="17">
        <v>89425</v>
      </c>
      <c r="M293" s="17">
        <v>80482.5</v>
      </c>
      <c r="N293" s="17">
        <v>80482.5</v>
      </c>
      <c r="O293" s="17">
        <v>89425</v>
      </c>
      <c r="P293" s="17">
        <v>115358.25</v>
      </c>
      <c r="Q293" s="17">
        <v>131454.75</v>
      </c>
      <c r="R293" s="17">
        <v>148445.5</v>
      </c>
      <c r="S293" s="17">
        <v>162753.5</v>
      </c>
    </row>
    <row r="294" spans="1:19" ht="14.25">
      <c r="A294" s="23">
        <f t="shared" si="5"/>
        <v>293</v>
      </c>
      <c r="B294" s="18"/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79570</v>
      </c>
      <c r="P294" s="17">
        <v>79570</v>
      </c>
      <c r="Q294" s="17">
        <v>93096.9</v>
      </c>
      <c r="R294" s="17">
        <v>77182.899999999994</v>
      </c>
      <c r="S294" s="17">
        <v>94688.3</v>
      </c>
    </row>
    <row r="295" spans="1:19" ht="14.25">
      <c r="A295" s="23">
        <f t="shared" si="5"/>
        <v>294</v>
      </c>
      <c r="B295" s="18"/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72270</v>
      </c>
      <c r="R295" s="17">
        <v>63597.599999999999</v>
      </c>
      <c r="S295" s="17">
        <v>63597.599999999999</v>
      </c>
    </row>
    <row r="296" spans="1:19" ht="14.25">
      <c r="A296" s="23">
        <f t="shared" si="5"/>
        <v>295</v>
      </c>
      <c r="B296" s="18"/>
      <c r="C296" s="17">
        <v>96360</v>
      </c>
      <c r="D296" s="17">
        <v>108886.79999999999</v>
      </c>
      <c r="E296" s="17">
        <v>108886.79999999999</v>
      </c>
      <c r="F296" s="17">
        <v>119486.39999999999</v>
      </c>
      <c r="G296" s="17">
        <v>119486.39999999999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</row>
    <row r="297" spans="1:19" ht="14.25">
      <c r="A297" s="23">
        <f t="shared" si="5"/>
        <v>296</v>
      </c>
      <c r="B297" s="18"/>
      <c r="C297" s="17">
        <v>0</v>
      </c>
      <c r="D297" s="17">
        <v>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79205</v>
      </c>
      <c r="S297" s="17">
        <v>79205</v>
      </c>
    </row>
    <row r="298" spans="1:19" ht="14.25">
      <c r="A298" s="23">
        <f t="shared" si="5"/>
        <v>297</v>
      </c>
      <c r="B298" s="18"/>
      <c r="C298" s="17">
        <v>85410</v>
      </c>
      <c r="D298" s="17">
        <v>90534.6</v>
      </c>
      <c r="E298" s="17">
        <v>112741.20000000001</v>
      </c>
      <c r="F298" s="17">
        <v>129823.2</v>
      </c>
      <c r="G298" s="17">
        <v>116157.6</v>
      </c>
      <c r="H298" s="17">
        <v>125552.70000000001</v>
      </c>
      <c r="I298" s="17">
        <v>148613.40000000002</v>
      </c>
      <c r="J298" s="17">
        <v>170820</v>
      </c>
      <c r="K298" s="17">
        <v>161424.9</v>
      </c>
      <c r="L298" s="17">
        <v>173382.3</v>
      </c>
      <c r="M298" s="17">
        <v>181069.19999999998</v>
      </c>
      <c r="N298" s="17">
        <v>181069.19999999998</v>
      </c>
      <c r="O298" s="17">
        <v>181069.19999999998</v>
      </c>
      <c r="P298" s="17">
        <v>205838.09999999998</v>
      </c>
      <c r="Q298" s="17">
        <v>205838.09999999998</v>
      </c>
      <c r="R298" s="17">
        <v>203275.8</v>
      </c>
      <c r="S298" s="17">
        <v>203275.8</v>
      </c>
    </row>
    <row r="299" spans="1:19" ht="14.25">
      <c r="A299" s="23">
        <f t="shared" si="5"/>
        <v>298</v>
      </c>
      <c r="B299" s="18"/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66795</v>
      </c>
      <c r="L299" s="17">
        <v>66795</v>
      </c>
      <c r="M299" s="17">
        <v>76146.3</v>
      </c>
      <c r="N299" s="17">
        <v>76146.3</v>
      </c>
      <c r="O299" s="17">
        <v>89505.3</v>
      </c>
      <c r="P299" s="17">
        <v>98856.6</v>
      </c>
      <c r="Q299" s="17">
        <v>98856.6</v>
      </c>
      <c r="R299" s="17">
        <v>108207.90000000001</v>
      </c>
      <c r="S299" s="17">
        <v>118895.1</v>
      </c>
    </row>
    <row r="300" spans="1:19" ht="14.25">
      <c r="A300" s="23">
        <f t="shared" si="5"/>
        <v>299</v>
      </c>
      <c r="B300" s="18"/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91615</v>
      </c>
      <c r="I300" s="17">
        <v>91615</v>
      </c>
      <c r="J300" s="17">
        <v>109021.84999999999</v>
      </c>
      <c r="K300" s="17">
        <v>104441.09999999999</v>
      </c>
      <c r="L300" s="17">
        <v>102608.79999999999</v>
      </c>
      <c r="M300" s="17">
        <v>112686.45</v>
      </c>
      <c r="N300" s="17">
        <v>132841.75</v>
      </c>
      <c r="O300" s="17">
        <v>120931.79999999999</v>
      </c>
      <c r="P300" s="17">
        <v>131009.45</v>
      </c>
      <c r="Q300" s="17">
        <v>139254.79999999999</v>
      </c>
      <c r="R300" s="17">
        <v>156661.65</v>
      </c>
      <c r="S300" s="17">
        <v>180481.55</v>
      </c>
    </row>
    <row r="301" spans="1:19" ht="14.25">
      <c r="A301" s="23">
        <f t="shared" si="5"/>
        <v>300</v>
      </c>
      <c r="B301" s="18"/>
      <c r="C301" s="17">
        <v>81760</v>
      </c>
      <c r="D301" s="17">
        <v>81760</v>
      </c>
      <c r="E301" s="17">
        <v>85848</v>
      </c>
      <c r="F301" s="17">
        <v>109558.40000000001</v>
      </c>
      <c r="G301" s="17">
        <v>109558.40000000001</v>
      </c>
      <c r="H301" s="17">
        <v>103017.60000000001</v>
      </c>
      <c r="I301" s="17">
        <v>103017.60000000001</v>
      </c>
      <c r="J301" s="17">
        <v>103017.60000000001</v>
      </c>
      <c r="K301" s="17">
        <v>103017.60000000001</v>
      </c>
      <c r="L301" s="17">
        <v>89936</v>
      </c>
      <c r="M301" s="17">
        <v>89118.400000000009</v>
      </c>
      <c r="N301" s="17">
        <v>89118.400000000009</v>
      </c>
      <c r="O301" s="17">
        <v>109558.40000000001</v>
      </c>
      <c r="P301" s="17">
        <v>128363.20000000001</v>
      </c>
      <c r="Q301" s="17">
        <v>144715.20000000001</v>
      </c>
      <c r="R301" s="17">
        <v>151256</v>
      </c>
      <c r="S301" s="17">
        <v>175784</v>
      </c>
    </row>
    <row r="302" spans="1:19" ht="14.25">
      <c r="A302" s="23">
        <f t="shared" si="5"/>
        <v>301</v>
      </c>
      <c r="B302" s="18"/>
      <c r="C302" s="17">
        <v>85045</v>
      </c>
      <c r="D302" s="17">
        <v>105455.8</v>
      </c>
      <c r="E302" s="17">
        <v>121614.34999999999</v>
      </c>
      <c r="F302" s="17">
        <v>119913.45</v>
      </c>
      <c r="G302" s="17">
        <v>102904.45</v>
      </c>
      <c r="H302" s="17">
        <v>88446.8</v>
      </c>
      <c r="I302" s="17">
        <v>87596.35</v>
      </c>
      <c r="J302" s="17">
        <v>87596.35</v>
      </c>
      <c r="K302" s="17">
        <v>87596.35</v>
      </c>
      <c r="L302" s="17">
        <v>94399.950000000012</v>
      </c>
      <c r="M302" s="17">
        <v>105455.80000000002</v>
      </c>
      <c r="N302" s="17">
        <v>105455.80000000002</v>
      </c>
      <c r="O302" s="17">
        <v>105455.80000000002</v>
      </c>
      <c r="P302" s="17">
        <v>111408.95000000003</v>
      </c>
      <c r="Q302" s="17">
        <v>117362.10000000003</v>
      </c>
      <c r="R302" s="17">
        <v>103754.90000000004</v>
      </c>
      <c r="S302" s="17">
        <v>90998.150000000038</v>
      </c>
    </row>
    <row r="303" spans="1:19" ht="14.25">
      <c r="A303" s="23">
        <f t="shared" si="5"/>
        <v>302</v>
      </c>
      <c r="B303" s="18"/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90155</v>
      </c>
      <c r="J303" s="17">
        <v>113595.3</v>
      </c>
      <c r="K303" s="17">
        <v>119004.6</v>
      </c>
      <c r="L303" s="17">
        <v>139740.25</v>
      </c>
      <c r="M303" s="17">
        <v>162279</v>
      </c>
      <c r="N303" s="17">
        <v>162279</v>
      </c>
      <c r="O303" s="17">
        <v>184817.74999999997</v>
      </c>
      <c r="P303" s="17">
        <v>191128.59999999998</v>
      </c>
      <c r="Q303" s="17">
        <v>210061.14999999997</v>
      </c>
      <c r="R303" s="17">
        <v>209159.59999999998</v>
      </c>
      <c r="S303" s="17">
        <v>231698.34999999998</v>
      </c>
    </row>
    <row r="304" spans="1:19" ht="14.25">
      <c r="A304" s="23">
        <f t="shared" si="5"/>
        <v>303</v>
      </c>
      <c r="B304" s="18"/>
      <c r="C304" s="17">
        <v>95630</v>
      </c>
      <c r="D304" s="17">
        <v>118581.2</v>
      </c>
      <c r="E304" s="17">
        <v>107105.60000000001</v>
      </c>
      <c r="F304" s="17">
        <v>129100.50000000001</v>
      </c>
      <c r="G304" s="17">
        <v>143445</v>
      </c>
      <c r="H304" s="17">
        <v>143445</v>
      </c>
      <c r="I304" s="17">
        <v>127187.90000000001</v>
      </c>
      <c r="J304" s="17">
        <v>152051.70000000001</v>
      </c>
      <c r="K304" s="17">
        <v>158745.80000000002</v>
      </c>
      <c r="L304" s="17">
        <v>179784.40000000002</v>
      </c>
      <c r="M304" s="17">
        <v>196997.80000000002</v>
      </c>
      <c r="N304" s="17">
        <v>177871.80000000002</v>
      </c>
      <c r="O304" s="17">
        <v>204648.2</v>
      </c>
      <c r="P304" s="17">
        <v>227599.4</v>
      </c>
      <c r="Q304" s="17">
        <v>251506.9</v>
      </c>
      <c r="R304" s="17">
        <v>261069.9</v>
      </c>
      <c r="S304" s="17">
        <v>268720.3</v>
      </c>
    </row>
    <row r="305" spans="1:19" ht="14.25">
      <c r="A305" s="23">
        <f t="shared" si="5"/>
        <v>304</v>
      </c>
      <c r="B305" s="18"/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71540</v>
      </c>
      <c r="M305" s="17">
        <v>90855.8</v>
      </c>
      <c r="N305" s="17">
        <v>107310</v>
      </c>
      <c r="O305" s="17">
        <v>111602.40000000001</v>
      </c>
      <c r="P305" s="17">
        <v>110887</v>
      </c>
      <c r="Q305" s="17">
        <v>110887</v>
      </c>
      <c r="R305" s="17">
        <v>132349</v>
      </c>
      <c r="S305" s="17">
        <v>132349</v>
      </c>
    </row>
    <row r="306" spans="1:19" ht="14.25">
      <c r="A306" s="23">
        <f t="shared" si="5"/>
        <v>305</v>
      </c>
      <c r="B306" s="18"/>
      <c r="C306" s="17">
        <v>98915</v>
      </c>
      <c r="D306" s="17">
        <v>117708.84999999999</v>
      </c>
      <c r="E306" s="17">
        <v>105839.04999999999</v>
      </c>
      <c r="F306" s="17">
        <v>119687.15</v>
      </c>
      <c r="G306" s="17">
        <v>100893.3</v>
      </c>
      <c r="H306" s="17">
        <v>105839.05</v>
      </c>
      <c r="I306" s="17">
        <v>96936.700000000012</v>
      </c>
      <c r="J306" s="17">
        <v>123643.75</v>
      </c>
      <c r="K306" s="17">
        <v>123643.75</v>
      </c>
      <c r="L306" s="17">
        <v>151339.95000000001</v>
      </c>
      <c r="M306" s="17">
        <v>177057.85</v>
      </c>
      <c r="N306" s="17">
        <v>191895.1</v>
      </c>
      <c r="O306" s="17">
        <v>204754.05</v>
      </c>
      <c r="P306" s="17">
        <v>219591.3</v>
      </c>
      <c r="Q306" s="17">
        <v>239374.3</v>
      </c>
      <c r="R306" s="17">
        <v>226515.35</v>
      </c>
      <c r="S306" s="17">
        <v>0</v>
      </c>
    </row>
    <row r="307" spans="1:19" ht="14.25">
      <c r="A307" s="23">
        <f t="shared" si="5"/>
        <v>306</v>
      </c>
      <c r="B307" s="18"/>
      <c r="C307" s="17">
        <v>0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99280</v>
      </c>
      <c r="N307" s="17">
        <v>114171.99999999999</v>
      </c>
      <c r="O307" s="17">
        <v>139984.79999999999</v>
      </c>
      <c r="P307" s="17">
        <v>139984.79999999999</v>
      </c>
      <c r="Q307" s="17">
        <v>149912.79999999999</v>
      </c>
      <c r="R307" s="17">
        <v>142963.19999999998</v>
      </c>
      <c r="S307" s="17">
        <v>133035.19999999998</v>
      </c>
    </row>
    <row r="308" spans="1:19" ht="14.25">
      <c r="A308" s="23">
        <f t="shared" si="5"/>
        <v>307</v>
      </c>
      <c r="B308" s="18"/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81030</v>
      </c>
      <c r="R308" s="17">
        <v>81030</v>
      </c>
      <c r="S308" s="17">
        <v>76978.5</v>
      </c>
    </row>
    <row r="309" spans="1:19" ht="14.25">
      <c r="A309" s="23">
        <f t="shared" si="5"/>
        <v>308</v>
      </c>
      <c r="B309" s="18"/>
      <c r="C309" s="17">
        <v>71540</v>
      </c>
      <c r="D309" s="17">
        <v>90140.4</v>
      </c>
      <c r="E309" s="17">
        <v>90140.4</v>
      </c>
      <c r="F309" s="17">
        <v>77263.200000000012</v>
      </c>
      <c r="G309" s="17">
        <v>81555.600000000006</v>
      </c>
      <c r="H309" s="17">
        <v>98725.200000000012</v>
      </c>
      <c r="I309" s="17">
        <v>105163.80000000002</v>
      </c>
      <c r="J309" s="17">
        <v>103733.00000000001</v>
      </c>
      <c r="K309" s="17">
        <v>108740.80000000002</v>
      </c>
      <c r="L309" s="17">
        <v>102302.20000000001</v>
      </c>
      <c r="M309" s="17">
        <v>108740.80000000002</v>
      </c>
      <c r="N309" s="17">
        <v>118756.40000000001</v>
      </c>
      <c r="O309" s="17">
        <v>135210.6</v>
      </c>
      <c r="P309" s="17">
        <v>140933.80000000002</v>
      </c>
      <c r="Q309" s="17">
        <v>126625.80000000002</v>
      </c>
      <c r="R309" s="17">
        <v>126625.80000000002</v>
      </c>
      <c r="S309" s="17">
        <v>123048.80000000002</v>
      </c>
    </row>
    <row r="310" spans="1:19" ht="14.25">
      <c r="A310" s="23">
        <f t="shared" si="5"/>
        <v>309</v>
      </c>
      <c r="B310" s="18"/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93075</v>
      </c>
      <c r="J310" s="17">
        <v>86559.75</v>
      </c>
      <c r="K310" s="17">
        <v>81905.999999999985</v>
      </c>
      <c r="L310" s="17">
        <v>67944.749999999985</v>
      </c>
      <c r="M310" s="17">
        <v>87490.499999999985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</row>
    <row r="311" spans="1:19" ht="14.25">
      <c r="A311" s="23">
        <f t="shared" si="5"/>
        <v>310</v>
      </c>
      <c r="B311" s="18"/>
      <c r="C311" s="17">
        <v>75920</v>
      </c>
      <c r="D311" s="17">
        <v>92622.399999999994</v>
      </c>
      <c r="E311" s="17">
        <v>108565.59999999999</v>
      </c>
      <c r="F311" s="17">
        <v>97936.8</v>
      </c>
      <c r="G311" s="17">
        <v>97936.8</v>
      </c>
      <c r="H311" s="17">
        <v>97936.8</v>
      </c>
      <c r="I311" s="17">
        <v>119953.60000000001</v>
      </c>
      <c r="J311" s="17">
        <v>129823.2</v>
      </c>
      <c r="K311" s="17">
        <v>141211.19999999998</v>
      </c>
      <c r="L311" s="17">
        <v>141211.19999999998</v>
      </c>
      <c r="M311" s="17">
        <v>155636</v>
      </c>
      <c r="N311" s="17">
        <v>163987.19999999998</v>
      </c>
      <c r="O311" s="17">
        <v>184485.59999999998</v>
      </c>
      <c r="P311" s="17">
        <v>199669.6</v>
      </c>
      <c r="Q311" s="17">
        <v>199669.6</v>
      </c>
      <c r="R311" s="17">
        <v>218649.60000000001</v>
      </c>
      <c r="S311" s="17">
        <v>209539.19999999998</v>
      </c>
    </row>
    <row r="312" spans="1:19" ht="14.25">
      <c r="A312" s="23">
        <f t="shared" si="5"/>
        <v>311</v>
      </c>
      <c r="B312" s="18"/>
      <c r="C312" s="17">
        <v>0</v>
      </c>
      <c r="D312" s="17">
        <v>0</v>
      </c>
      <c r="E312" s="17">
        <v>0</v>
      </c>
      <c r="F312" s="17">
        <v>0</v>
      </c>
      <c r="G312" s="17">
        <v>83220</v>
      </c>
      <c r="H312" s="17">
        <v>66576</v>
      </c>
      <c r="I312" s="17">
        <v>71569.200000000012</v>
      </c>
      <c r="J312" s="17">
        <v>71569.200000000012</v>
      </c>
      <c r="K312" s="17">
        <v>83220</v>
      </c>
      <c r="L312" s="17">
        <v>101528.4</v>
      </c>
      <c r="M312" s="17">
        <v>97367.4</v>
      </c>
      <c r="N312" s="17">
        <v>122333.4</v>
      </c>
      <c r="O312" s="17">
        <v>128991</v>
      </c>
      <c r="P312" s="17">
        <v>150628.20000000001</v>
      </c>
      <c r="Q312" s="17">
        <v>156453.6</v>
      </c>
      <c r="R312" s="17">
        <v>156453.6</v>
      </c>
      <c r="S312" s="17">
        <v>146467.20000000001</v>
      </c>
    </row>
    <row r="313" spans="1:19" ht="14.25">
      <c r="A313" s="23">
        <f t="shared" si="5"/>
        <v>312</v>
      </c>
      <c r="B313" s="18"/>
      <c r="C313" s="17">
        <v>0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83585</v>
      </c>
      <c r="Q313" s="17">
        <v>66868</v>
      </c>
      <c r="R313" s="17">
        <v>88600.1</v>
      </c>
      <c r="S313" s="17">
        <v>98630.300000000017</v>
      </c>
    </row>
    <row r="314" spans="1:19" ht="14.25">
      <c r="A314" s="23">
        <f t="shared" si="5"/>
        <v>313</v>
      </c>
      <c r="B314" s="18"/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65700</v>
      </c>
      <c r="P314" s="17">
        <v>85410</v>
      </c>
      <c r="Q314" s="17">
        <v>90666.000000000015</v>
      </c>
      <c r="R314" s="17">
        <v>90666.000000000015</v>
      </c>
      <c r="S314" s="17">
        <v>93951.000000000015</v>
      </c>
    </row>
    <row r="315" spans="1:19" ht="14.25">
      <c r="A315" s="23">
        <f t="shared" si="5"/>
        <v>314</v>
      </c>
      <c r="B315" s="18"/>
      <c r="C315" s="17">
        <v>0</v>
      </c>
      <c r="D315" s="17">
        <v>0</v>
      </c>
      <c r="E315" s="17">
        <v>0</v>
      </c>
      <c r="F315" s="17">
        <v>97090</v>
      </c>
      <c r="G315" s="17">
        <v>108740.80000000002</v>
      </c>
      <c r="H315" s="17">
        <v>104857.20000000001</v>
      </c>
      <c r="I315" s="17">
        <v>120391.6</v>
      </c>
      <c r="J315" s="17">
        <v>138838.69999999998</v>
      </c>
      <c r="K315" s="17">
        <v>164082.1</v>
      </c>
      <c r="L315" s="17">
        <v>164082.1</v>
      </c>
      <c r="M315" s="17">
        <v>164082.1</v>
      </c>
      <c r="N315" s="17">
        <v>186412.79999999999</v>
      </c>
      <c r="O315" s="17">
        <v>172820.19999999998</v>
      </c>
      <c r="P315" s="17">
        <v>172820.19999999998</v>
      </c>
      <c r="Q315" s="17">
        <v>181558.3</v>
      </c>
      <c r="R315" s="17">
        <v>163111.19999999998</v>
      </c>
      <c r="S315" s="17">
        <v>170878.4</v>
      </c>
    </row>
    <row r="316" spans="1:19" ht="14.25">
      <c r="A316" s="23">
        <f t="shared" si="5"/>
        <v>315</v>
      </c>
      <c r="B316" s="18"/>
      <c r="C316" s="17">
        <v>99280</v>
      </c>
      <c r="D316" s="17">
        <v>105236.8</v>
      </c>
      <c r="E316" s="17">
        <v>126085.6</v>
      </c>
      <c r="F316" s="17">
        <v>133035.20000000001</v>
      </c>
      <c r="G316" s="17">
        <v>138992</v>
      </c>
      <c r="H316" s="17">
        <v>147927.20000000001</v>
      </c>
      <c r="I316" s="17">
        <v>147927.20000000001</v>
      </c>
      <c r="J316" s="17">
        <v>147927.20000000001</v>
      </c>
      <c r="K316" s="17">
        <v>158848.00000000003</v>
      </c>
      <c r="L316" s="17">
        <v>187639.20000000004</v>
      </c>
      <c r="M316" s="17">
        <v>187639.20000000004</v>
      </c>
      <c r="N316" s="17">
        <v>187639.20000000004</v>
      </c>
      <c r="O316" s="17">
        <v>215437.60000000003</v>
      </c>
      <c r="P316" s="17">
        <v>239264.80000000002</v>
      </c>
      <c r="Q316" s="17">
        <v>0</v>
      </c>
      <c r="R316" s="17">
        <v>0</v>
      </c>
      <c r="S316" s="17">
        <v>0</v>
      </c>
    </row>
    <row r="317" spans="1:19" ht="14.25">
      <c r="A317" s="23">
        <f t="shared" si="5"/>
        <v>316</v>
      </c>
      <c r="B317" s="18"/>
      <c r="C317" s="17">
        <v>0</v>
      </c>
      <c r="D317" s="17">
        <v>0</v>
      </c>
      <c r="E317" s="17">
        <v>0</v>
      </c>
      <c r="F317" s="17">
        <v>104025</v>
      </c>
      <c r="G317" s="17">
        <v>104025</v>
      </c>
      <c r="H317" s="17">
        <v>120668.99999999999</v>
      </c>
      <c r="I317" s="17">
        <v>119628.74999999999</v>
      </c>
      <c r="J317" s="17">
        <v>107145.74999999999</v>
      </c>
      <c r="K317" s="17">
        <v>123789.74999999997</v>
      </c>
      <c r="L317" s="17">
        <v>148755.74999999997</v>
      </c>
      <c r="M317" s="17">
        <v>158117.99999999997</v>
      </c>
      <c r="N317" s="17">
        <v>189325.49999999997</v>
      </c>
      <c r="O317" s="17">
        <v>216372</v>
      </c>
      <c r="P317" s="17">
        <v>243418.49999999997</v>
      </c>
      <c r="Q317" s="17">
        <v>243418.49999999997</v>
      </c>
      <c r="R317" s="17">
        <v>243418.49999999997</v>
      </c>
      <c r="S317" s="17">
        <v>0</v>
      </c>
    </row>
    <row r="318" spans="1:19" ht="14.25">
      <c r="A318" s="23">
        <f t="shared" si="5"/>
        <v>317</v>
      </c>
      <c r="B318" s="18"/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90155</v>
      </c>
      <c r="Q318" s="17">
        <v>90155</v>
      </c>
      <c r="R318" s="17">
        <v>90155</v>
      </c>
      <c r="S318" s="17">
        <v>104579.79999999999</v>
      </c>
    </row>
    <row r="319" spans="1:19" ht="14.25">
      <c r="A319" s="23">
        <f t="shared" si="5"/>
        <v>318</v>
      </c>
      <c r="B319" s="18"/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76650</v>
      </c>
      <c r="P319" s="17">
        <v>89680.5</v>
      </c>
      <c r="Q319" s="17">
        <v>99644.999999999985</v>
      </c>
      <c r="R319" s="17">
        <v>108843</v>
      </c>
      <c r="S319" s="17">
        <v>108843</v>
      </c>
    </row>
    <row r="320" spans="1:19" ht="14.25">
      <c r="A320" s="23">
        <f t="shared" si="5"/>
        <v>319</v>
      </c>
      <c r="B320" s="18"/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102930</v>
      </c>
      <c r="S320" s="17">
        <v>125574.59999999999</v>
      </c>
    </row>
    <row r="321" spans="1:19" ht="14.25">
      <c r="A321" s="23">
        <f t="shared" si="5"/>
        <v>320</v>
      </c>
      <c r="B321" s="18"/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74825</v>
      </c>
      <c r="N321" s="17">
        <v>67342.5</v>
      </c>
      <c r="O321" s="17">
        <v>56867</v>
      </c>
      <c r="P321" s="17">
        <v>65097.75</v>
      </c>
      <c r="Q321" s="17">
        <v>69587.25</v>
      </c>
      <c r="R321" s="17">
        <v>69587.25</v>
      </c>
      <c r="S321" s="17">
        <v>81559.249999999985</v>
      </c>
    </row>
    <row r="322" spans="1:19" ht="14.25">
      <c r="A322" s="23">
        <f t="shared" si="5"/>
        <v>321</v>
      </c>
      <c r="B322" s="18"/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76285</v>
      </c>
      <c r="Q322" s="17">
        <v>80099.25</v>
      </c>
      <c r="R322" s="17">
        <v>77810.7</v>
      </c>
      <c r="S322" s="17">
        <v>73996.45</v>
      </c>
    </row>
    <row r="323" spans="1:19" ht="14.25">
      <c r="A323" s="23">
        <f t="shared" ref="A323:A386" si="6">+A322+1</f>
        <v>322</v>
      </c>
      <c r="B323" s="18"/>
      <c r="C323" s="17">
        <v>69715</v>
      </c>
      <c r="D323" s="17">
        <v>82263.7</v>
      </c>
      <c r="E323" s="17">
        <v>69017.850000000006</v>
      </c>
      <c r="F323" s="17">
        <v>63440.65</v>
      </c>
      <c r="G323" s="17">
        <v>63440.65</v>
      </c>
      <c r="H323" s="17">
        <v>63440.65</v>
      </c>
      <c r="I323" s="17">
        <v>70412.149999999994</v>
      </c>
      <c r="J323" s="17">
        <v>85749.45</v>
      </c>
      <c r="K323" s="17">
        <v>98995.299999999988</v>
      </c>
      <c r="L323" s="17">
        <v>118515.5</v>
      </c>
      <c r="M323" s="17">
        <v>123395.55</v>
      </c>
      <c r="N323" s="17">
        <v>123395.55</v>
      </c>
      <c r="O323" s="17">
        <v>144310.04999999999</v>
      </c>
      <c r="P323" s="17">
        <v>144310.04999999999</v>
      </c>
      <c r="Q323" s="17">
        <v>143612.9</v>
      </c>
      <c r="R323" s="17">
        <v>133155.65000000002</v>
      </c>
      <c r="S323" s="17">
        <v>151281.54999999999</v>
      </c>
    </row>
    <row r="324" spans="1:19" ht="14.25">
      <c r="A324" s="23">
        <f t="shared" si="6"/>
        <v>323</v>
      </c>
      <c r="B324" s="18"/>
      <c r="C324" s="17">
        <v>68255</v>
      </c>
      <c r="D324" s="17">
        <v>84636.2</v>
      </c>
      <c r="E324" s="17">
        <v>103065.05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</row>
    <row r="325" spans="1:19" ht="14.25">
      <c r="A325" s="23">
        <f t="shared" si="6"/>
        <v>324</v>
      </c>
      <c r="B325" s="18"/>
      <c r="C325" s="17">
        <v>0</v>
      </c>
      <c r="D325" s="17">
        <v>0</v>
      </c>
      <c r="E325" s="17">
        <v>78110</v>
      </c>
      <c r="F325" s="17">
        <v>72642.299999999988</v>
      </c>
      <c r="G325" s="17">
        <v>57020.299999999996</v>
      </c>
      <c r="H325" s="17">
        <v>57020.299999999996</v>
      </c>
      <c r="I325" s="17">
        <v>61706.9</v>
      </c>
      <c r="J325" s="17">
        <v>47647.100000000006</v>
      </c>
      <c r="K325" s="17">
        <v>69517.900000000009</v>
      </c>
      <c r="L325" s="17">
        <v>89826.500000000015</v>
      </c>
      <c r="M325" s="17">
        <v>108572.90000000001</v>
      </c>
      <c r="N325" s="17">
        <v>98418.60000000002</v>
      </c>
      <c r="O325" s="17">
        <v>106229.60000000002</v>
      </c>
      <c r="P325" s="17">
        <v>114821.70000000003</v>
      </c>
      <c r="Q325" s="17">
        <v>114821.70000000003</v>
      </c>
      <c r="R325" s="17">
        <v>114821.70000000003</v>
      </c>
      <c r="S325" s="17">
        <v>104667.40000000002</v>
      </c>
    </row>
    <row r="326" spans="1:19" ht="14.25">
      <c r="A326" s="23">
        <f t="shared" si="6"/>
        <v>325</v>
      </c>
      <c r="B326" s="18"/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95995</v>
      </c>
      <c r="Q326" s="17">
        <v>105594.50000000001</v>
      </c>
      <c r="R326" s="17">
        <v>130553.20000000001</v>
      </c>
      <c r="S326" s="17">
        <v>130553.20000000001</v>
      </c>
    </row>
    <row r="327" spans="1:19" ht="14.25">
      <c r="A327" s="23">
        <f t="shared" si="6"/>
        <v>326</v>
      </c>
      <c r="B327" s="18"/>
      <c r="C327" s="17">
        <v>103660</v>
      </c>
      <c r="D327" s="17">
        <v>103660</v>
      </c>
      <c r="E327" s="17">
        <v>98477</v>
      </c>
      <c r="F327" s="17">
        <v>109879.6</v>
      </c>
      <c r="G327" s="17">
        <v>109879.6</v>
      </c>
      <c r="H327" s="17">
        <v>127501.8</v>
      </c>
      <c r="I327" s="17">
        <v>154453.4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</row>
    <row r="328" spans="1:19" ht="14.25">
      <c r="A328" s="23">
        <f t="shared" si="6"/>
        <v>327</v>
      </c>
      <c r="B328" s="18"/>
      <c r="C328" s="17">
        <v>85775</v>
      </c>
      <c r="D328" s="17">
        <v>108934.25</v>
      </c>
      <c r="E328" s="17">
        <v>114938.5</v>
      </c>
      <c r="F328" s="17">
        <v>128662.5</v>
      </c>
      <c r="G328" s="17">
        <v>123516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</row>
    <row r="329" spans="1:19" ht="14.25">
      <c r="A329" s="23">
        <f t="shared" si="6"/>
        <v>328</v>
      </c>
      <c r="B329" s="18"/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82125</v>
      </c>
      <c r="S329" s="17">
        <v>99371.25</v>
      </c>
    </row>
    <row r="330" spans="1:19" ht="14.25">
      <c r="A330" s="23">
        <f t="shared" si="6"/>
        <v>329</v>
      </c>
      <c r="B330" s="18"/>
      <c r="C330" s="17">
        <v>0</v>
      </c>
      <c r="D330" s="17">
        <v>0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104390</v>
      </c>
      <c r="K330" s="17">
        <v>109609.5</v>
      </c>
      <c r="L330" s="17">
        <v>138838.70000000001</v>
      </c>
      <c r="M330" s="17">
        <v>170155.7</v>
      </c>
      <c r="N330" s="17">
        <v>170155.7</v>
      </c>
      <c r="O330" s="17">
        <v>170155.7</v>
      </c>
      <c r="P330" s="17">
        <v>186858.1</v>
      </c>
      <c r="Q330" s="17">
        <v>210867.8</v>
      </c>
      <c r="R330" s="17">
        <v>238009.2</v>
      </c>
      <c r="S330" s="17">
        <v>254711.60000000003</v>
      </c>
    </row>
    <row r="331" spans="1:19" ht="14.25">
      <c r="A331" s="23">
        <f t="shared" si="6"/>
        <v>330</v>
      </c>
      <c r="B331" s="18"/>
      <c r="C331" s="17">
        <v>0</v>
      </c>
      <c r="D331" s="17">
        <v>0</v>
      </c>
      <c r="E331" s="17">
        <v>0</v>
      </c>
      <c r="F331" s="17">
        <v>0</v>
      </c>
      <c r="G331" s="17">
        <v>0</v>
      </c>
      <c r="H331" s="17">
        <v>0</v>
      </c>
      <c r="I331" s="17">
        <v>79935</v>
      </c>
      <c r="J331" s="17">
        <v>75138.899999999994</v>
      </c>
      <c r="K331" s="17">
        <v>59151.9</v>
      </c>
      <c r="L331" s="17">
        <v>55155.149999999994</v>
      </c>
      <c r="M331" s="17">
        <v>51957.749999999993</v>
      </c>
      <c r="N331" s="17">
        <v>51957.749999999993</v>
      </c>
      <c r="O331" s="17">
        <v>41566.19999999999</v>
      </c>
      <c r="P331" s="17">
        <v>27177.899999999994</v>
      </c>
      <c r="Q331" s="17">
        <v>35171.399999999994</v>
      </c>
      <c r="R331" s="17">
        <v>34372.049999999996</v>
      </c>
      <c r="S331" s="17">
        <v>58352.549999999996</v>
      </c>
    </row>
    <row r="332" spans="1:19" ht="14.25">
      <c r="A332" s="23">
        <f t="shared" si="6"/>
        <v>331</v>
      </c>
      <c r="B332" s="18"/>
      <c r="C332" s="17">
        <v>88330</v>
      </c>
      <c r="D332" s="17">
        <v>97163.000000000015</v>
      </c>
      <c r="E332" s="17">
        <v>92746.5</v>
      </c>
      <c r="F332" s="17">
        <v>80380.3</v>
      </c>
      <c r="G332" s="17">
        <v>67130.8</v>
      </c>
      <c r="H332" s="17">
        <v>75963.8</v>
      </c>
      <c r="I332" s="17">
        <v>98046.299999999988</v>
      </c>
      <c r="J332" s="17">
        <v>122778.7</v>
      </c>
      <c r="K332" s="17">
        <v>136911.49999999997</v>
      </c>
      <c r="L332" s="17">
        <v>154577.49999999997</v>
      </c>
      <c r="M332" s="17">
        <v>139561.4</v>
      </c>
      <c r="N332" s="17">
        <v>139561.4</v>
      </c>
      <c r="O332" s="17">
        <v>157227.4</v>
      </c>
      <c r="P332" s="17">
        <v>181959.79999999996</v>
      </c>
      <c r="Q332" s="17">
        <v>0</v>
      </c>
      <c r="R332" s="17">
        <v>0</v>
      </c>
      <c r="S332" s="17">
        <v>0</v>
      </c>
    </row>
    <row r="333" spans="1:19" ht="14.25">
      <c r="A333" s="23">
        <f t="shared" si="6"/>
        <v>332</v>
      </c>
      <c r="B333" s="18"/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94535</v>
      </c>
      <c r="M333" s="17">
        <v>94535</v>
      </c>
      <c r="N333" s="17">
        <v>111551.29999999999</v>
      </c>
      <c r="O333" s="17">
        <v>138021.1</v>
      </c>
      <c r="P333" s="17">
        <v>160709.5</v>
      </c>
      <c r="Q333" s="17">
        <v>182452.55</v>
      </c>
      <c r="R333" s="17">
        <v>188124.65</v>
      </c>
      <c r="S333" s="17">
        <v>212703.75</v>
      </c>
    </row>
    <row r="334" spans="1:19" ht="14.25">
      <c r="A334" s="23">
        <f t="shared" si="6"/>
        <v>333</v>
      </c>
      <c r="B334" s="18"/>
      <c r="C334" s="17">
        <v>0</v>
      </c>
      <c r="D334" s="17">
        <v>0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72635</v>
      </c>
      <c r="O334" s="17">
        <v>59560.700000000004</v>
      </c>
      <c r="P334" s="17">
        <v>79172.150000000009</v>
      </c>
      <c r="Q334" s="17">
        <v>75540.400000000009</v>
      </c>
      <c r="R334" s="17">
        <v>96604.55</v>
      </c>
      <c r="S334" s="17">
        <v>110405.2</v>
      </c>
    </row>
    <row r="335" spans="1:19" ht="14.25">
      <c r="A335" s="23">
        <f t="shared" si="6"/>
        <v>334</v>
      </c>
      <c r="B335" s="18"/>
      <c r="C335" s="17">
        <v>0</v>
      </c>
      <c r="D335" s="17">
        <v>0</v>
      </c>
      <c r="E335" s="17">
        <v>0</v>
      </c>
      <c r="F335" s="17">
        <v>0</v>
      </c>
      <c r="G335" s="17">
        <v>74095</v>
      </c>
      <c r="H335" s="17">
        <v>74095</v>
      </c>
      <c r="I335" s="17">
        <v>66685.5</v>
      </c>
      <c r="J335" s="17">
        <v>85950.200000000012</v>
      </c>
      <c r="K335" s="17">
        <v>102251.1</v>
      </c>
      <c r="L335" s="17">
        <v>101510.15000000001</v>
      </c>
      <c r="M335" s="17">
        <v>111883.45000000001</v>
      </c>
      <c r="N335" s="17">
        <v>118552.00000000003</v>
      </c>
      <c r="O335" s="17">
        <v>118552.00000000003</v>
      </c>
      <c r="P335" s="17">
        <v>118552.00000000003</v>
      </c>
      <c r="Q335" s="17">
        <v>112624.40000000002</v>
      </c>
      <c r="R335" s="17">
        <v>99287.300000000017</v>
      </c>
      <c r="S335" s="17">
        <v>116329.15000000002</v>
      </c>
    </row>
    <row r="336" spans="1:19" ht="14.25">
      <c r="A336" s="23">
        <f t="shared" si="6"/>
        <v>335</v>
      </c>
      <c r="B336" s="18"/>
      <c r="C336" s="17">
        <v>72270</v>
      </c>
      <c r="D336" s="17">
        <v>72270</v>
      </c>
      <c r="E336" s="17">
        <v>61429.5</v>
      </c>
      <c r="F336" s="17">
        <v>54202.5</v>
      </c>
      <c r="G336" s="17">
        <v>65765.7</v>
      </c>
      <c r="H336" s="17">
        <v>65765.7</v>
      </c>
      <c r="I336" s="17">
        <v>83110.5</v>
      </c>
      <c r="J336" s="17">
        <v>98287.2</v>
      </c>
      <c r="K336" s="17">
        <v>117800.09999999999</v>
      </c>
      <c r="L336" s="17">
        <v>105514.2</v>
      </c>
      <c r="M336" s="17">
        <v>109850.4</v>
      </c>
      <c r="N336" s="17">
        <v>101900.7</v>
      </c>
      <c r="O336" s="17">
        <v>94673.699999999983</v>
      </c>
      <c r="P336" s="17">
        <v>102623.4</v>
      </c>
      <c r="Q336" s="17">
        <v>114186.59999999999</v>
      </c>
      <c r="R336" s="17">
        <v>114186.59999999999</v>
      </c>
      <c r="S336" s="17">
        <v>103346.09999999999</v>
      </c>
    </row>
    <row r="337" spans="1:19" ht="14.25">
      <c r="A337" s="23">
        <f t="shared" si="6"/>
        <v>336</v>
      </c>
      <c r="B337" s="18"/>
      <c r="C337" s="17">
        <v>0</v>
      </c>
      <c r="D337" s="17">
        <v>0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101470</v>
      </c>
    </row>
    <row r="338" spans="1:19" ht="14.25">
      <c r="A338" s="23">
        <f t="shared" si="6"/>
        <v>337</v>
      </c>
      <c r="B338" s="18"/>
      <c r="C338" s="17">
        <v>73365</v>
      </c>
      <c r="D338" s="17">
        <v>83636.100000000006</v>
      </c>
      <c r="E338" s="17">
        <v>71164.05</v>
      </c>
      <c r="F338" s="17">
        <v>90238.95</v>
      </c>
      <c r="G338" s="17">
        <v>90238.95</v>
      </c>
      <c r="H338" s="17">
        <v>86570.7</v>
      </c>
      <c r="I338" s="17">
        <v>100510.04999999999</v>
      </c>
      <c r="J338" s="17">
        <v>118117.65</v>
      </c>
      <c r="K338" s="17">
        <v>140127.15</v>
      </c>
      <c r="L338" s="17">
        <v>140127.15</v>
      </c>
      <c r="M338" s="17">
        <v>126921.45</v>
      </c>
      <c r="N338" s="17">
        <v>126921.45</v>
      </c>
      <c r="O338" s="17">
        <v>146730</v>
      </c>
      <c r="P338" s="17">
        <v>154066.5</v>
      </c>
      <c r="Q338" s="17">
        <v>151131.9</v>
      </c>
      <c r="R338" s="17">
        <v>166538.54999999999</v>
      </c>
      <c r="S338" s="17">
        <v>182678.85</v>
      </c>
    </row>
    <row r="339" spans="1:19" ht="14.25">
      <c r="A339" s="23">
        <f t="shared" si="6"/>
        <v>338</v>
      </c>
      <c r="B339" s="18"/>
      <c r="C339" s="17">
        <v>85775</v>
      </c>
      <c r="D339" s="17">
        <v>102930</v>
      </c>
      <c r="E339" s="17">
        <v>86632.75</v>
      </c>
      <c r="F339" s="17">
        <v>86632.75</v>
      </c>
      <c r="G339" s="17">
        <v>86632.75</v>
      </c>
      <c r="H339" s="17">
        <v>76339.75</v>
      </c>
      <c r="I339" s="17">
        <v>93494.75</v>
      </c>
      <c r="J339" s="17">
        <v>93494.75</v>
      </c>
      <c r="K339" s="17">
        <v>116654.00000000001</v>
      </c>
      <c r="L339" s="17">
        <v>116654.00000000001</v>
      </c>
      <c r="M339" s="17">
        <v>102930.00000000001</v>
      </c>
      <c r="N339" s="17">
        <v>114080.75</v>
      </c>
      <c r="O339" s="17">
        <v>119227.25000000001</v>
      </c>
      <c r="P339" s="17">
        <v>125231.50000000001</v>
      </c>
      <c r="Q339" s="17">
        <v>148390.75000000003</v>
      </c>
      <c r="R339" s="17">
        <v>169834.50000000003</v>
      </c>
      <c r="S339" s="17">
        <v>190420.50000000003</v>
      </c>
    </row>
    <row r="340" spans="1:19" ht="14.25">
      <c r="A340" s="23">
        <f t="shared" si="6"/>
        <v>339</v>
      </c>
      <c r="B340" s="18"/>
      <c r="C340" s="17">
        <v>0</v>
      </c>
      <c r="D340" s="17">
        <v>0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92710</v>
      </c>
      <c r="O340" s="17">
        <v>86220.299999999988</v>
      </c>
      <c r="P340" s="17">
        <v>107543.59999999999</v>
      </c>
      <c r="Q340" s="17">
        <v>107543.59999999999</v>
      </c>
      <c r="R340" s="17">
        <v>107543.59999999999</v>
      </c>
      <c r="S340" s="17">
        <v>0</v>
      </c>
    </row>
    <row r="341" spans="1:19" ht="14.25">
      <c r="A341" s="23">
        <f t="shared" si="6"/>
        <v>340</v>
      </c>
      <c r="B341" s="18"/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73730</v>
      </c>
      <c r="Q341" s="17">
        <v>89950.599999999991</v>
      </c>
      <c r="R341" s="17">
        <v>99535.5</v>
      </c>
      <c r="S341" s="17">
        <v>104696.6</v>
      </c>
    </row>
    <row r="342" spans="1:19" ht="14.25">
      <c r="A342" s="23">
        <f t="shared" si="6"/>
        <v>341</v>
      </c>
      <c r="B342" s="18"/>
      <c r="C342" s="17">
        <v>0</v>
      </c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70080</v>
      </c>
      <c r="R342" s="17">
        <v>86899.199999999997</v>
      </c>
      <c r="S342" s="17">
        <v>93206.400000000009</v>
      </c>
    </row>
    <row r="343" spans="1:19" ht="14.25">
      <c r="A343" s="23">
        <f t="shared" si="6"/>
        <v>342</v>
      </c>
      <c r="B343" s="18"/>
      <c r="C343" s="17">
        <v>0</v>
      </c>
      <c r="D343" s="17">
        <v>100375</v>
      </c>
      <c r="E343" s="17">
        <v>116434.99999999999</v>
      </c>
      <c r="F343" s="17">
        <v>129483.75</v>
      </c>
      <c r="G343" s="17">
        <v>115431.24999999999</v>
      </c>
      <c r="H343" s="17">
        <v>115431.24999999999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</row>
    <row r="344" spans="1:19" ht="14.25">
      <c r="A344" s="23">
        <f t="shared" si="6"/>
        <v>343</v>
      </c>
      <c r="B344" s="18"/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88695</v>
      </c>
      <c r="S344" s="17">
        <v>88695</v>
      </c>
    </row>
    <row r="345" spans="1:19" ht="14.25">
      <c r="A345" s="23">
        <f t="shared" si="6"/>
        <v>344</v>
      </c>
      <c r="B345" s="18"/>
      <c r="C345" s="17">
        <v>101105</v>
      </c>
      <c r="D345" s="17">
        <v>80884</v>
      </c>
      <c r="E345" s="17">
        <v>73806.649999999994</v>
      </c>
      <c r="F345" s="17">
        <v>95038.7</v>
      </c>
      <c r="G345" s="17">
        <v>95038.7</v>
      </c>
      <c r="H345" s="17">
        <v>82906.099999999991</v>
      </c>
      <c r="I345" s="17">
        <v>94027.65</v>
      </c>
      <c r="J345" s="17">
        <v>100093.95</v>
      </c>
      <c r="K345" s="17">
        <v>110204.45000000001</v>
      </c>
      <c r="L345" s="17">
        <v>132447.55000000002</v>
      </c>
      <c r="M345" s="17">
        <v>143569.1</v>
      </c>
      <c r="N345" s="17">
        <v>173900.6</v>
      </c>
      <c r="O345" s="17">
        <v>189066.35</v>
      </c>
      <c r="P345" s="17">
        <v>215353.65</v>
      </c>
      <c r="Q345" s="17">
        <v>245685.14999999997</v>
      </c>
      <c r="R345" s="17">
        <v>0</v>
      </c>
      <c r="S345" s="17">
        <v>0</v>
      </c>
    </row>
    <row r="346" spans="1:19" ht="14.25">
      <c r="A346" s="23">
        <f t="shared" si="6"/>
        <v>345</v>
      </c>
      <c r="B346" s="18"/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83950</v>
      </c>
      <c r="O346" s="17">
        <v>80592</v>
      </c>
      <c r="P346" s="17">
        <v>80592</v>
      </c>
      <c r="Q346" s="17">
        <v>92345.000000000015</v>
      </c>
      <c r="R346" s="17">
        <v>115011.50000000001</v>
      </c>
      <c r="S346" s="17">
        <v>138517.5</v>
      </c>
    </row>
    <row r="347" spans="1:19" ht="14.25">
      <c r="A347" s="23">
        <f t="shared" si="6"/>
        <v>346</v>
      </c>
      <c r="B347" s="18"/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82125</v>
      </c>
      <c r="N347" s="17">
        <v>88695</v>
      </c>
      <c r="O347" s="17">
        <v>112511.25000000001</v>
      </c>
      <c r="P347" s="17">
        <v>119081.25000000001</v>
      </c>
      <c r="Q347" s="17">
        <v>141255.00000000003</v>
      </c>
      <c r="R347" s="17">
        <v>160143.75000000003</v>
      </c>
      <c r="S347" s="17">
        <v>182317.50000000003</v>
      </c>
    </row>
    <row r="348" spans="1:19" ht="14.25">
      <c r="A348" s="23">
        <f t="shared" si="6"/>
        <v>347</v>
      </c>
      <c r="B348" s="18"/>
      <c r="C348" s="17">
        <v>0</v>
      </c>
      <c r="D348" s="17">
        <v>0</v>
      </c>
      <c r="E348" s="17">
        <v>95995</v>
      </c>
      <c r="F348" s="17">
        <v>95995</v>
      </c>
      <c r="G348" s="17">
        <v>77755.950000000012</v>
      </c>
      <c r="H348" s="17">
        <v>86395.5</v>
      </c>
      <c r="I348" s="17">
        <v>79675.850000000006</v>
      </c>
      <c r="J348" s="17">
        <v>103674.6</v>
      </c>
      <c r="K348" s="17">
        <v>98874.85</v>
      </c>
      <c r="L348" s="17">
        <v>122873.60000000001</v>
      </c>
      <c r="M348" s="17">
        <v>141112.65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</row>
    <row r="349" spans="1:19" ht="14.25">
      <c r="A349" s="23">
        <f t="shared" si="6"/>
        <v>348</v>
      </c>
      <c r="B349" s="18"/>
      <c r="C349" s="17">
        <v>0</v>
      </c>
      <c r="D349" s="17">
        <v>0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69350</v>
      </c>
      <c r="Q349" s="17">
        <v>79059.000000000015</v>
      </c>
      <c r="R349" s="17">
        <v>92929</v>
      </c>
      <c r="S349" s="17">
        <v>81833.000000000015</v>
      </c>
    </row>
    <row r="350" spans="1:19" ht="14.25">
      <c r="A350" s="23">
        <f t="shared" si="6"/>
        <v>349</v>
      </c>
      <c r="B350" s="18"/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0</v>
      </c>
      <c r="K350" s="17">
        <v>0</v>
      </c>
      <c r="L350" s="17">
        <v>0</v>
      </c>
      <c r="M350" s="17">
        <v>74460</v>
      </c>
      <c r="N350" s="17">
        <v>69992.399999999994</v>
      </c>
      <c r="O350" s="17">
        <v>82650.599999999991</v>
      </c>
      <c r="P350" s="17">
        <v>81905.999999999985</v>
      </c>
      <c r="Q350" s="17">
        <v>93819.599999999991</v>
      </c>
      <c r="R350" s="17">
        <v>102010.2</v>
      </c>
      <c r="S350" s="17">
        <v>122859</v>
      </c>
    </row>
    <row r="351" spans="1:19" ht="14.25">
      <c r="A351" s="23">
        <f t="shared" si="6"/>
        <v>350</v>
      </c>
      <c r="B351" s="18"/>
      <c r="C351" s="17">
        <v>0</v>
      </c>
      <c r="D351" s="17">
        <v>0</v>
      </c>
      <c r="E351" s="17">
        <v>0</v>
      </c>
      <c r="F351" s="17">
        <v>0</v>
      </c>
      <c r="G351" s="17">
        <v>0</v>
      </c>
      <c r="H351" s="17">
        <v>0</v>
      </c>
      <c r="I351" s="17">
        <v>0</v>
      </c>
      <c r="J351" s="17">
        <v>0</v>
      </c>
      <c r="K351" s="17">
        <v>87235</v>
      </c>
      <c r="L351" s="17">
        <v>87235</v>
      </c>
      <c r="M351" s="17">
        <v>95958.500000000015</v>
      </c>
      <c r="N351" s="17">
        <v>101192.6</v>
      </c>
      <c r="O351" s="17">
        <v>101192.6</v>
      </c>
      <c r="P351" s="17">
        <v>0</v>
      </c>
      <c r="Q351" s="17">
        <v>0</v>
      </c>
      <c r="R351" s="17">
        <v>0</v>
      </c>
      <c r="S351" s="17">
        <v>0</v>
      </c>
    </row>
    <row r="352" spans="1:19" ht="14.25">
      <c r="A352" s="23">
        <f t="shared" si="6"/>
        <v>351</v>
      </c>
      <c r="B352" s="18"/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</row>
    <row r="353" spans="1:19" ht="14.25">
      <c r="A353" s="23">
        <f t="shared" si="6"/>
        <v>352</v>
      </c>
      <c r="B353" s="18"/>
      <c r="C353" s="17">
        <v>104390</v>
      </c>
      <c r="D353" s="17">
        <v>134663.1</v>
      </c>
      <c r="E353" s="17">
        <v>156585</v>
      </c>
      <c r="F353" s="17">
        <v>181638.6</v>
      </c>
      <c r="G353" s="17">
        <v>180594.7</v>
      </c>
      <c r="H353" s="17">
        <v>192077.6</v>
      </c>
      <c r="I353" s="17">
        <v>202516.6</v>
      </c>
      <c r="J353" s="17">
        <v>197297.1</v>
      </c>
      <c r="K353" s="17">
        <v>216087.30000000002</v>
      </c>
      <c r="L353" s="17">
        <v>216087.30000000002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</row>
    <row r="354" spans="1:19" ht="14.25">
      <c r="A354" s="23">
        <f t="shared" si="6"/>
        <v>353</v>
      </c>
      <c r="B354" s="18"/>
      <c r="C354" s="17">
        <v>0</v>
      </c>
      <c r="D354" s="17">
        <v>0</v>
      </c>
      <c r="E354" s="17">
        <v>0</v>
      </c>
      <c r="F354" s="17">
        <v>0</v>
      </c>
      <c r="G354" s="17">
        <v>0</v>
      </c>
      <c r="H354" s="17">
        <v>0</v>
      </c>
      <c r="I354" s="17">
        <v>0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68985</v>
      </c>
      <c r="Q354" s="17">
        <v>76573.350000000006</v>
      </c>
      <c r="R354" s="17">
        <v>76573.350000000006</v>
      </c>
      <c r="S354" s="17">
        <v>62776.350000000013</v>
      </c>
    </row>
    <row r="355" spans="1:19" ht="14.25">
      <c r="A355" s="23">
        <f t="shared" si="6"/>
        <v>354</v>
      </c>
      <c r="B355" s="18"/>
      <c r="C355" s="17">
        <v>0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66065</v>
      </c>
      <c r="Q355" s="17">
        <v>66065</v>
      </c>
      <c r="R355" s="17">
        <v>73992.800000000003</v>
      </c>
      <c r="S355" s="17">
        <v>73992.800000000003</v>
      </c>
    </row>
    <row r="356" spans="1:19" ht="14.25">
      <c r="A356" s="23">
        <f t="shared" si="6"/>
        <v>355</v>
      </c>
      <c r="B356" s="18"/>
      <c r="C356" s="17">
        <v>0</v>
      </c>
      <c r="D356" s="17">
        <v>0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101105</v>
      </c>
      <c r="Q356" s="17">
        <v>100093.95</v>
      </c>
      <c r="R356" s="17">
        <v>107171.3</v>
      </c>
      <c r="S356" s="17">
        <v>107171.3</v>
      </c>
    </row>
    <row r="357" spans="1:19" ht="14.25">
      <c r="A357" s="23">
        <f t="shared" si="6"/>
        <v>356</v>
      </c>
      <c r="B357" s="18"/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78110</v>
      </c>
      <c r="M357" s="17">
        <v>69517.899999999994</v>
      </c>
      <c r="N357" s="17">
        <v>73423.400000000009</v>
      </c>
      <c r="O357" s="17">
        <v>73423.400000000009</v>
      </c>
      <c r="P357" s="17">
        <v>73423.400000000009</v>
      </c>
      <c r="Q357" s="17">
        <v>58582.5</v>
      </c>
      <c r="R357" s="17">
        <v>65612.399999999994</v>
      </c>
      <c r="S357" s="17">
        <v>56239.199999999997</v>
      </c>
    </row>
    <row r="358" spans="1:19" ht="14.25">
      <c r="A358" s="23">
        <f t="shared" si="6"/>
        <v>357</v>
      </c>
      <c r="B358" s="18"/>
      <c r="C358" s="17">
        <v>104025</v>
      </c>
      <c r="D358" s="17">
        <v>104025</v>
      </c>
      <c r="E358" s="17">
        <v>100904.25</v>
      </c>
      <c r="F358" s="17">
        <v>80099.25</v>
      </c>
      <c r="G358" s="17">
        <v>96743.25</v>
      </c>
      <c r="H358" s="17">
        <v>88421.250000000015</v>
      </c>
      <c r="I358" s="17">
        <v>115467.75000000001</v>
      </c>
      <c r="J358" s="17">
        <v>115467.75000000001</v>
      </c>
      <c r="K358" s="17">
        <v>138353.25</v>
      </c>
      <c r="L358" s="17">
        <v>145635</v>
      </c>
      <c r="M358" s="17">
        <v>167480.25</v>
      </c>
      <c r="N358" s="17">
        <v>198687.75000000003</v>
      </c>
      <c r="O358" s="17">
        <v>198687.75000000003</v>
      </c>
      <c r="P358" s="17">
        <v>198687.75000000003</v>
      </c>
      <c r="Q358" s="17">
        <v>214291.5</v>
      </c>
      <c r="R358" s="17">
        <v>233016.00000000003</v>
      </c>
      <c r="S358" s="17">
        <v>233016.00000000003</v>
      </c>
    </row>
    <row r="359" spans="1:19" ht="14.25">
      <c r="A359" s="23">
        <f t="shared" si="6"/>
        <v>358</v>
      </c>
      <c r="B359" s="18"/>
      <c r="C359" s="17">
        <v>0</v>
      </c>
      <c r="D359" s="17">
        <v>0</v>
      </c>
      <c r="E359" s="17">
        <v>0</v>
      </c>
      <c r="F359" s="17">
        <v>0</v>
      </c>
      <c r="G359" s="17">
        <v>0</v>
      </c>
      <c r="H359" s="17">
        <v>0</v>
      </c>
      <c r="I359" s="17">
        <v>69715</v>
      </c>
      <c r="J359" s="17">
        <v>77383.650000000009</v>
      </c>
      <c r="K359" s="17">
        <v>64834.950000000012</v>
      </c>
      <c r="L359" s="17">
        <v>52983.400000000009</v>
      </c>
      <c r="M359" s="17">
        <v>65532.100000000013</v>
      </c>
      <c r="N359" s="17">
        <v>76686.5</v>
      </c>
      <c r="O359" s="17">
        <v>82263.700000000012</v>
      </c>
      <c r="P359" s="17">
        <v>98298.150000000009</v>
      </c>
      <c r="Q359" s="17">
        <v>115029.75000000001</v>
      </c>
      <c r="R359" s="17">
        <v>0</v>
      </c>
      <c r="S359" s="17">
        <v>0</v>
      </c>
    </row>
    <row r="360" spans="1:19" ht="14.25">
      <c r="A360" s="23">
        <f t="shared" si="6"/>
        <v>359</v>
      </c>
      <c r="B360" s="18"/>
      <c r="C360" s="17">
        <v>0</v>
      </c>
      <c r="D360" s="17">
        <v>0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71540</v>
      </c>
      <c r="Q360" s="17">
        <v>80124.800000000003</v>
      </c>
      <c r="R360" s="17">
        <v>80124.800000000003</v>
      </c>
      <c r="S360" s="17">
        <v>101586.80000000002</v>
      </c>
    </row>
    <row r="361" spans="1:19" ht="14.25">
      <c r="A361" s="23">
        <f t="shared" si="6"/>
        <v>360</v>
      </c>
      <c r="B361" s="18"/>
      <c r="C361" s="17">
        <v>0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95995</v>
      </c>
      <c r="M361" s="17">
        <v>95995</v>
      </c>
      <c r="N361" s="17">
        <v>105594.50000000001</v>
      </c>
      <c r="O361" s="17">
        <v>86395.500000000015</v>
      </c>
      <c r="P361" s="17">
        <v>105594.50000000001</v>
      </c>
      <c r="Q361" s="17">
        <v>119993.75</v>
      </c>
      <c r="R361" s="17">
        <v>135352.94999999998</v>
      </c>
      <c r="S361" s="17">
        <v>145912.4</v>
      </c>
    </row>
    <row r="362" spans="1:19" ht="14.25">
      <c r="A362" s="23">
        <f t="shared" si="6"/>
        <v>361</v>
      </c>
      <c r="B362" s="18"/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73365</v>
      </c>
      <c r="O362" s="17">
        <v>90972.6</v>
      </c>
      <c r="P362" s="17">
        <v>112248.45</v>
      </c>
      <c r="Q362" s="17">
        <v>112248.45</v>
      </c>
      <c r="R362" s="17">
        <v>116650.35</v>
      </c>
      <c r="S362" s="17">
        <v>126187.80000000002</v>
      </c>
    </row>
    <row r="363" spans="1:19" ht="14.25">
      <c r="A363" s="23">
        <f t="shared" si="6"/>
        <v>362</v>
      </c>
      <c r="B363" s="18"/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105850</v>
      </c>
    </row>
    <row r="364" spans="1:19" ht="14.25">
      <c r="A364" s="23">
        <f t="shared" si="6"/>
        <v>363</v>
      </c>
      <c r="B364" s="18"/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78475</v>
      </c>
      <c r="O364" s="17">
        <v>98093.75</v>
      </c>
      <c r="P364" s="17">
        <v>118497.25</v>
      </c>
      <c r="Q364" s="17">
        <v>107510.75000000001</v>
      </c>
      <c r="R364" s="17">
        <v>117712.5</v>
      </c>
      <c r="S364" s="17">
        <v>112219.25</v>
      </c>
    </row>
    <row r="365" spans="1:19" ht="14.25">
      <c r="A365" s="23">
        <f t="shared" si="6"/>
        <v>364</v>
      </c>
      <c r="B365" s="18"/>
      <c r="C365" s="17">
        <v>0</v>
      </c>
      <c r="D365" s="17">
        <v>75190</v>
      </c>
      <c r="E365" s="17">
        <v>97747</v>
      </c>
      <c r="F365" s="17">
        <v>87972.299999999988</v>
      </c>
      <c r="G365" s="17">
        <v>87972.299999999988</v>
      </c>
      <c r="H365" s="17">
        <v>98498.900000000009</v>
      </c>
      <c r="I365" s="17">
        <v>98498.900000000009</v>
      </c>
      <c r="J365" s="17">
        <v>97747</v>
      </c>
      <c r="K365" s="17">
        <v>87972.299999999988</v>
      </c>
      <c r="L365" s="17">
        <v>103010.29999999999</v>
      </c>
      <c r="M365" s="17">
        <v>103010.29999999999</v>
      </c>
      <c r="N365" s="17">
        <v>106769.79999999999</v>
      </c>
      <c r="O365" s="17">
        <v>106769.79999999999</v>
      </c>
      <c r="P365" s="17">
        <v>106769.79999999999</v>
      </c>
      <c r="Q365" s="17">
        <v>125567.29999999999</v>
      </c>
      <c r="R365" s="17">
        <v>125567.29999999999</v>
      </c>
      <c r="S365" s="17">
        <v>145116.69999999998</v>
      </c>
    </row>
    <row r="366" spans="1:19" ht="14.25">
      <c r="A366" s="23">
        <f t="shared" si="6"/>
        <v>365</v>
      </c>
      <c r="B366" s="18"/>
      <c r="C366" s="17">
        <v>96360</v>
      </c>
      <c r="D366" s="17">
        <v>96360</v>
      </c>
      <c r="E366" s="17">
        <v>103105.20000000001</v>
      </c>
      <c r="F366" s="17">
        <v>124304.40000000001</v>
      </c>
      <c r="G366" s="17">
        <v>121413.6</v>
      </c>
      <c r="H366" s="17">
        <v>138758.39999999999</v>
      </c>
      <c r="I366" s="17">
        <v>138758.39999999999</v>
      </c>
      <c r="J366" s="17">
        <v>138758.39999999999</v>
      </c>
      <c r="K366" s="17">
        <v>166702.79999999999</v>
      </c>
      <c r="L366" s="17">
        <v>184047.6</v>
      </c>
      <c r="M366" s="17">
        <v>184047.6</v>
      </c>
      <c r="N366" s="17">
        <v>190792.8</v>
      </c>
      <c r="O366" s="17">
        <v>210064.80000000002</v>
      </c>
      <c r="P366" s="17">
        <v>227409.60000000003</v>
      </c>
      <c r="Q366" s="17">
        <v>254390.40000000005</v>
      </c>
      <c r="R366" s="17">
        <v>254390.40000000005</v>
      </c>
      <c r="S366" s="17">
        <v>248608.80000000005</v>
      </c>
    </row>
    <row r="367" spans="1:19" ht="14.25">
      <c r="A367" s="23">
        <f t="shared" si="6"/>
        <v>366</v>
      </c>
      <c r="B367" s="18"/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0</v>
      </c>
      <c r="K367" s="17">
        <v>101835</v>
      </c>
      <c r="L367" s="17">
        <v>90633.15</v>
      </c>
      <c r="M367" s="17">
        <v>104890.05</v>
      </c>
      <c r="N367" s="17">
        <v>104890.05</v>
      </c>
      <c r="O367" s="17">
        <v>104890.05</v>
      </c>
      <c r="P367" s="17">
        <v>119146.95</v>
      </c>
      <c r="Q367" s="17">
        <v>145624.04999999999</v>
      </c>
      <c r="R367" s="17">
        <v>158862.6</v>
      </c>
      <c r="S367" s="17">
        <v>183303</v>
      </c>
    </row>
    <row r="368" spans="1:19" ht="14.25">
      <c r="A368" s="23">
        <f t="shared" si="6"/>
        <v>367</v>
      </c>
      <c r="B368" s="18"/>
      <c r="C368" s="17">
        <v>0</v>
      </c>
      <c r="D368" s="17">
        <v>0</v>
      </c>
      <c r="E368" s="17">
        <v>0</v>
      </c>
      <c r="F368" s="17">
        <v>68255</v>
      </c>
      <c r="G368" s="17">
        <v>79175.799999999988</v>
      </c>
      <c r="H368" s="17">
        <v>78493.25</v>
      </c>
      <c r="I368" s="17">
        <v>71667.749999999985</v>
      </c>
      <c r="J368" s="17">
        <v>82588.549999999988</v>
      </c>
      <c r="K368" s="17">
        <v>68937.549999999988</v>
      </c>
      <c r="L368" s="17">
        <v>75763.049999999988</v>
      </c>
      <c r="M368" s="17">
        <v>94191.9</v>
      </c>
      <c r="N368" s="17">
        <v>94191.9</v>
      </c>
      <c r="O368" s="17">
        <v>103747.6</v>
      </c>
      <c r="P368" s="17">
        <v>103747.6</v>
      </c>
      <c r="Q368" s="17">
        <v>114668.4</v>
      </c>
      <c r="R368" s="17">
        <v>114668.4</v>
      </c>
      <c r="S368" s="17">
        <v>126271.74999999999</v>
      </c>
    </row>
    <row r="369" spans="1:19" ht="14.25">
      <c r="A369" s="23">
        <f t="shared" si="6"/>
        <v>368</v>
      </c>
      <c r="B369" s="18"/>
      <c r="C369" s="17">
        <v>73000</v>
      </c>
      <c r="D369" s="17">
        <v>73000</v>
      </c>
      <c r="E369" s="17">
        <v>87600</v>
      </c>
      <c r="F369" s="17">
        <v>86870</v>
      </c>
      <c r="G369" s="17">
        <v>108770</v>
      </c>
      <c r="H369" s="17">
        <v>94900</v>
      </c>
      <c r="I369" s="17">
        <v>106580</v>
      </c>
      <c r="J369" s="17">
        <v>106580</v>
      </c>
      <c r="K369" s="17">
        <v>102200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</row>
    <row r="370" spans="1:19" ht="14.25">
      <c r="A370" s="23">
        <f t="shared" si="6"/>
        <v>369</v>
      </c>
      <c r="B370" s="18"/>
      <c r="C370" s="17">
        <v>83950</v>
      </c>
      <c r="D370" s="17">
        <v>100740</v>
      </c>
      <c r="E370" s="17">
        <v>125085.5</v>
      </c>
      <c r="F370" s="17">
        <v>134320</v>
      </c>
      <c r="G370" s="17">
        <v>134320</v>
      </c>
      <c r="H370" s="17">
        <v>157826</v>
      </c>
      <c r="I370" s="17">
        <v>157826</v>
      </c>
      <c r="J370" s="17">
        <v>169579</v>
      </c>
      <c r="K370" s="17">
        <v>178813.5</v>
      </c>
      <c r="L370" s="17">
        <v>199801</v>
      </c>
      <c r="M370" s="17">
        <v>199801</v>
      </c>
      <c r="N370" s="17">
        <v>209035.49999999997</v>
      </c>
      <c r="O370" s="17">
        <v>220788.5</v>
      </c>
      <c r="P370" s="17">
        <v>220788.5</v>
      </c>
      <c r="Q370" s="17">
        <v>220788.5</v>
      </c>
      <c r="R370" s="17">
        <v>232541.5</v>
      </c>
      <c r="S370" s="17">
        <v>219949</v>
      </c>
    </row>
    <row r="371" spans="1:19" ht="14.25">
      <c r="A371" s="23">
        <f t="shared" si="6"/>
        <v>370</v>
      </c>
      <c r="B371" s="18"/>
      <c r="C371" s="17">
        <v>71905</v>
      </c>
      <c r="D371" s="17">
        <v>71905</v>
      </c>
      <c r="E371" s="17">
        <v>83409.799999999988</v>
      </c>
      <c r="F371" s="17">
        <v>87005.05</v>
      </c>
      <c r="G371" s="17">
        <v>73343.100000000006</v>
      </c>
      <c r="H371" s="17">
        <v>76938.350000000006</v>
      </c>
      <c r="I371" s="17">
        <v>92038.400000000009</v>
      </c>
      <c r="J371" s="17">
        <v>92038.400000000009</v>
      </c>
      <c r="K371" s="17">
        <v>80533.600000000006</v>
      </c>
      <c r="L371" s="17">
        <v>86286.000000000015</v>
      </c>
      <c r="M371" s="17">
        <v>90600.300000000017</v>
      </c>
      <c r="N371" s="17">
        <v>105700.35000000002</v>
      </c>
      <c r="O371" s="17">
        <v>97071.75</v>
      </c>
      <c r="P371" s="17">
        <v>105700.35000000002</v>
      </c>
      <c r="Q371" s="17">
        <v>0</v>
      </c>
      <c r="R371" s="17">
        <v>0</v>
      </c>
      <c r="S371" s="17">
        <v>0</v>
      </c>
    </row>
    <row r="372" spans="1:19" ht="14.25">
      <c r="A372" s="23">
        <f t="shared" si="6"/>
        <v>371</v>
      </c>
      <c r="B372" s="18"/>
      <c r="C372" s="17">
        <v>67160</v>
      </c>
      <c r="D372" s="17">
        <v>85964.800000000003</v>
      </c>
      <c r="E372" s="17">
        <v>90666</v>
      </c>
      <c r="F372" s="17">
        <v>108799.20000000001</v>
      </c>
      <c r="G372" s="17">
        <v>126932.40000000001</v>
      </c>
      <c r="H372" s="17">
        <v>124917.6</v>
      </c>
      <c r="I372" s="17">
        <v>124917.6</v>
      </c>
      <c r="J372" s="17">
        <v>129618.80000000002</v>
      </c>
      <c r="K372" s="17">
        <v>132976.80000000002</v>
      </c>
      <c r="L372" s="17">
        <v>143050.80000000002</v>
      </c>
      <c r="M372" s="17">
        <v>153124.80000000002</v>
      </c>
      <c r="N372" s="17">
        <v>153124.80000000002</v>
      </c>
      <c r="O372" s="17">
        <v>167228.40000000002</v>
      </c>
      <c r="P372" s="17">
        <v>155811.20000000001</v>
      </c>
      <c r="Q372" s="17">
        <v>0</v>
      </c>
      <c r="R372" s="17">
        <v>0</v>
      </c>
      <c r="S372" s="17">
        <v>0</v>
      </c>
    </row>
    <row r="373" spans="1:19" ht="14.25">
      <c r="A373" s="23">
        <f t="shared" si="6"/>
        <v>372</v>
      </c>
      <c r="B373" s="18"/>
      <c r="C373" s="17">
        <v>0</v>
      </c>
      <c r="D373" s="17">
        <v>97455</v>
      </c>
      <c r="E373" s="17">
        <v>97455</v>
      </c>
      <c r="F373" s="17">
        <v>78938.55</v>
      </c>
      <c r="G373" s="17">
        <v>99404.1</v>
      </c>
      <c r="H373" s="17">
        <v>82836.75</v>
      </c>
      <c r="I373" s="17">
        <v>82836.75</v>
      </c>
      <c r="J373" s="17">
        <v>103302.3</v>
      </c>
      <c r="K373" s="17">
        <v>111098.70000000001</v>
      </c>
      <c r="L373" s="17">
        <v>122793.30000000002</v>
      </c>
      <c r="M373" s="17">
        <v>149106.15000000002</v>
      </c>
      <c r="N373" s="17">
        <v>160800.75000000003</v>
      </c>
      <c r="O373" s="17">
        <v>185164.50000000003</v>
      </c>
      <c r="P373" s="17">
        <v>185164.50000000003</v>
      </c>
      <c r="Q373" s="17">
        <v>207579.15000000002</v>
      </c>
      <c r="R373" s="17">
        <v>217324.65000000005</v>
      </c>
      <c r="S373" s="17">
        <v>246561.15000000002</v>
      </c>
    </row>
    <row r="374" spans="1:19" ht="14.25">
      <c r="A374" s="23">
        <f t="shared" si="6"/>
        <v>373</v>
      </c>
      <c r="B374" s="18"/>
      <c r="C374" s="17">
        <v>72270</v>
      </c>
      <c r="D374" s="17">
        <v>86724</v>
      </c>
      <c r="E374" s="17">
        <v>99009.9</v>
      </c>
      <c r="F374" s="17">
        <v>99009.9</v>
      </c>
      <c r="G374" s="17">
        <v>87446.7</v>
      </c>
      <c r="H374" s="17">
        <v>87446.7</v>
      </c>
      <c r="I374" s="17">
        <v>87446.7</v>
      </c>
      <c r="J374" s="17">
        <v>99732.599999999991</v>
      </c>
      <c r="K374" s="17">
        <v>99732.599999999991</v>
      </c>
      <c r="L374" s="17">
        <v>112741.19999999998</v>
      </c>
      <c r="M374" s="17">
        <v>123581.69999999998</v>
      </c>
      <c r="N374" s="17">
        <v>138035.69999999998</v>
      </c>
      <c r="O374" s="17">
        <v>143094.59999999998</v>
      </c>
      <c r="P374" s="17">
        <v>154657.79999999999</v>
      </c>
      <c r="Q374" s="17">
        <v>154657.79999999999</v>
      </c>
      <c r="R374" s="17">
        <v>174893.4</v>
      </c>
      <c r="S374" s="17">
        <v>165498.29999999999</v>
      </c>
    </row>
    <row r="375" spans="1:19" ht="14.25">
      <c r="A375" s="23">
        <f t="shared" si="6"/>
        <v>374</v>
      </c>
      <c r="B375" s="18"/>
      <c r="C375" s="17">
        <v>0</v>
      </c>
      <c r="D375" s="17">
        <v>0</v>
      </c>
      <c r="E375" s="17">
        <v>0</v>
      </c>
      <c r="F375" s="17">
        <v>0</v>
      </c>
      <c r="G375" s="17">
        <v>0</v>
      </c>
      <c r="H375" s="17">
        <v>0</v>
      </c>
      <c r="I375" s="17">
        <v>0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65700</v>
      </c>
    </row>
    <row r="376" spans="1:19" ht="14.25">
      <c r="A376" s="23">
        <f t="shared" si="6"/>
        <v>375</v>
      </c>
      <c r="B376" s="18"/>
      <c r="C376" s="17">
        <v>0</v>
      </c>
      <c r="D376" s="17">
        <v>0</v>
      </c>
      <c r="E376" s="17">
        <v>0</v>
      </c>
      <c r="F376" s="17">
        <v>0</v>
      </c>
      <c r="G376" s="17">
        <v>0</v>
      </c>
      <c r="H376" s="17">
        <v>105485</v>
      </c>
      <c r="I376" s="17">
        <v>116033.50000000001</v>
      </c>
      <c r="J376" s="17">
        <v>133965.95000000001</v>
      </c>
      <c r="K376" s="17">
        <v>139240.20000000001</v>
      </c>
      <c r="L376" s="17">
        <v>146624.15000000002</v>
      </c>
      <c r="M376" s="17">
        <v>168776</v>
      </c>
      <c r="N376" s="17">
        <v>168776</v>
      </c>
      <c r="O376" s="17">
        <v>181434.2</v>
      </c>
      <c r="P376" s="17">
        <v>167721.15000000002</v>
      </c>
      <c r="Q376" s="17">
        <v>198311.80000000005</v>
      </c>
      <c r="R376" s="17">
        <v>219408.80000000005</v>
      </c>
      <c r="S376" s="17">
        <v>247889.75000000006</v>
      </c>
    </row>
    <row r="377" spans="1:19" ht="14.25">
      <c r="A377" s="23">
        <f t="shared" si="6"/>
        <v>376</v>
      </c>
      <c r="B377" s="18"/>
      <c r="C377" s="17">
        <v>86505</v>
      </c>
      <c r="D377" s="17">
        <v>102075.9</v>
      </c>
      <c r="E377" s="17">
        <v>91695.3</v>
      </c>
      <c r="F377" s="17">
        <v>115916.70000000001</v>
      </c>
      <c r="G377" s="17">
        <v>113321.55</v>
      </c>
      <c r="H377" s="17">
        <v>125432.25000000001</v>
      </c>
      <c r="I377" s="17">
        <v>125432.25000000001</v>
      </c>
      <c r="J377" s="17">
        <v>151383.75000000003</v>
      </c>
      <c r="K377" s="17">
        <v>156574.05000000002</v>
      </c>
      <c r="L377" s="17">
        <v>161764.35000000003</v>
      </c>
      <c r="M377" s="17">
        <v>168684.75000000003</v>
      </c>
      <c r="N377" s="17">
        <v>192906.15000000002</v>
      </c>
      <c r="O377" s="17">
        <v>176470.20000000004</v>
      </c>
      <c r="P377" s="17">
        <v>176470.20000000004</v>
      </c>
      <c r="Q377" s="17">
        <v>0</v>
      </c>
      <c r="R377" s="17">
        <v>0</v>
      </c>
      <c r="S377" s="17">
        <v>0</v>
      </c>
    </row>
    <row r="378" spans="1:19" ht="14.25">
      <c r="A378" s="23">
        <f t="shared" si="6"/>
        <v>377</v>
      </c>
      <c r="B378" s="18"/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104390</v>
      </c>
      <c r="Q378" s="17">
        <v>104390</v>
      </c>
      <c r="R378" s="17">
        <v>129443.6</v>
      </c>
      <c r="S378" s="17">
        <v>136750.9</v>
      </c>
    </row>
    <row r="379" spans="1:19" ht="14.25">
      <c r="A379" s="23">
        <f t="shared" si="6"/>
        <v>378</v>
      </c>
      <c r="B379" s="18"/>
      <c r="C379" s="17">
        <v>0</v>
      </c>
      <c r="D379" s="17">
        <v>0</v>
      </c>
      <c r="E379" s="17">
        <v>73730</v>
      </c>
      <c r="F379" s="17">
        <v>81840.3</v>
      </c>
      <c r="G379" s="17">
        <v>81840.3</v>
      </c>
      <c r="H379" s="17">
        <v>85526.800000000017</v>
      </c>
      <c r="I379" s="17">
        <v>84052.200000000012</v>
      </c>
      <c r="J379" s="17">
        <v>84052.200000000012</v>
      </c>
      <c r="K379" s="17">
        <v>84052.200000000012</v>
      </c>
      <c r="L379" s="17">
        <v>97323.6</v>
      </c>
      <c r="M379" s="17">
        <v>104696.6</v>
      </c>
      <c r="N379" s="17">
        <v>104696.6</v>
      </c>
      <c r="O379" s="17">
        <v>103222.00000000001</v>
      </c>
      <c r="P379" s="17">
        <v>103222.00000000001</v>
      </c>
      <c r="Q379" s="17">
        <v>112069.6</v>
      </c>
      <c r="R379" s="17">
        <v>109120.4</v>
      </c>
      <c r="S379" s="17">
        <v>107645.8</v>
      </c>
    </row>
    <row r="380" spans="1:19" ht="14.25">
      <c r="A380" s="23">
        <f t="shared" si="6"/>
        <v>379</v>
      </c>
      <c r="B380" s="18"/>
      <c r="C380" s="17">
        <v>0</v>
      </c>
      <c r="D380" s="17">
        <v>0</v>
      </c>
      <c r="E380" s="17">
        <v>76650</v>
      </c>
      <c r="F380" s="17">
        <v>76650</v>
      </c>
      <c r="G380" s="17">
        <v>86614.499999999985</v>
      </c>
      <c r="H380" s="17">
        <v>86614.499999999985</v>
      </c>
      <c r="I380" s="17">
        <v>85081.499999999985</v>
      </c>
      <c r="J380" s="17">
        <v>73583.999999999985</v>
      </c>
      <c r="K380" s="17">
        <v>70517.999999999985</v>
      </c>
      <c r="L380" s="17">
        <v>91979.999999999985</v>
      </c>
      <c r="M380" s="17">
        <v>110375.99999999999</v>
      </c>
      <c r="N380" s="17">
        <v>124172.99999999997</v>
      </c>
      <c r="O380" s="17">
        <v>139502.99999999997</v>
      </c>
      <c r="P380" s="17">
        <v>139502.99999999997</v>
      </c>
      <c r="Q380" s="17">
        <v>132604.49999999997</v>
      </c>
      <c r="R380" s="17">
        <v>142568.99999999997</v>
      </c>
      <c r="S380" s="17">
        <v>163264.49999999997</v>
      </c>
    </row>
    <row r="381" spans="1:19" ht="14.25">
      <c r="A381" s="23">
        <f t="shared" si="6"/>
        <v>380</v>
      </c>
      <c r="B381" s="18"/>
      <c r="C381" s="17">
        <v>67525</v>
      </c>
      <c r="D381" s="17">
        <v>72927</v>
      </c>
      <c r="E381" s="17">
        <v>83055.75</v>
      </c>
      <c r="F381" s="17">
        <v>81030</v>
      </c>
      <c r="G381" s="17">
        <v>70226</v>
      </c>
      <c r="H381" s="17">
        <v>89808.25</v>
      </c>
      <c r="I381" s="17">
        <v>89808.25</v>
      </c>
      <c r="J381" s="17">
        <v>93859.750000000015</v>
      </c>
      <c r="K381" s="17">
        <v>93859.750000000015</v>
      </c>
      <c r="L381" s="17">
        <v>112766.75000000001</v>
      </c>
      <c r="M381" s="17">
        <v>129648.00000000001</v>
      </c>
      <c r="N381" s="17">
        <v>129648.00000000001</v>
      </c>
      <c r="O381" s="17">
        <v>139776.75000000003</v>
      </c>
      <c r="P381" s="17">
        <v>146529.25000000003</v>
      </c>
      <c r="Q381" s="17">
        <v>146529.25000000003</v>
      </c>
      <c r="R381" s="17">
        <v>146529.25000000003</v>
      </c>
      <c r="S381" s="17">
        <v>0</v>
      </c>
    </row>
    <row r="382" spans="1:19" ht="14.25">
      <c r="A382" s="23">
        <f t="shared" si="6"/>
        <v>381</v>
      </c>
      <c r="B382" s="18"/>
      <c r="C382" s="17">
        <v>0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79570</v>
      </c>
      <c r="N382" s="17">
        <v>78774.3</v>
      </c>
      <c r="O382" s="17">
        <v>78774.3</v>
      </c>
      <c r="P382" s="17">
        <v>99462.5</v>
      </c>
      <c r="Q382" s="17">
        <v>99462.5</v>
      </c>
      <c r="R382" s="17">
        <v>105032.40000000001</v>
      </c>
      <c r="S382" s="17">
        <v>128107.70000000001</v>
      </c>
    </row>
    <row r="383" spans="1:19" ht="14.25">
      <c r="A383" s="23">
        <f t="shared" si="6"/>
        <v>382</v>
      </c>
      <c r="B383" s="18"/>
      <c r="C383" s="17">
        <v>93075</v>
      </c>
      <c r="D383" s="17">
        <v>112620.75</v>
      </c>
      <c r="E383" s="17">
        <v>131235.75</v>
      </c>
      <c r="F383" s="17">
        <v>113551.5</v>
      </c>
      <c r="G383" s="17">
        <v>101451.74999999999</v>
      </c>
      <c r="H383" s="17">
        <v>101451.74999999999</v>
      </c>
      <c r="I383" s="17">
        <v>126581.99999999999</v>
      </c>
      <c r="J383" s="17">
        <v>134958.75</v>
      </c>
      <c r="K383" s="17">
        <v>150781.5</v>
      </c>
      <c r="L383" s="17">
        <v>133097.25</v>
      </c>
      <c r="M383" s="17">
        <v>120066.75</v>
      </c>
      <c r="N383" s="17">
        <v>104244.00000000001</v>
      </c>
      <c r="O383" s="17">
        <v>104244.00000000001</v>
      </c>
      <c r="P383" s="17">
        <v>120997.5</v>
      </c>
      <c r="Q383" s="17">
        <v>142404.75</v>
      </c>
      <c r="R383" s="17">
        <v>153573.75</v>
      </c>
      <c r="S383" s="17">
        <v>161019.75</v>
      </c>
    </row>
    <row r="384" spans="1:19" ht="14.25">
      <c r="A384" s="23">
        <f t="shared" si="6"/>
        <v>383</v>
      </c>
      <c r="B384" s="18"/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91615</v>
      </c>
      <c r="Q384" s="17">
        <v>96195.75</v>
      </c>
      <c r="R384" s="17">
        <v>107189.54999999999</v>
      </c>
      <c r="S384" s="17">
        <v>107189.54999999999</v>
      </c>
    </row>
    <row r="385" spans="1:19" ht="14.25">
      <c r="A385" s="23">
        <f t="shared" si="6"/>
        <v>384</v>
      </c>
      <c r="B385" s="18"/>
      <c r="C385" s="17">
        <v>0</v>
      </c>
      <c r="D385" s="17">
        <v>89425</v>
      </c>
      <c r="E385" s="17">
        <v>96579</v>
      </c>
      <c r="F385" s="17">
        <v>109098.50000000001</v>
      </c>
      <c r="G385" s="17">
        <v>135031.75000000003</v>
      </c>
      <c r="H385" s="17">
        <v>152022.50000000003</v>
      </c>
      <c r="I385" s="17">
        <v>174378.75000000003</v>
      </c>
      <c r="J385" s="17">
        <v>174378.75000000003</v>
      </c>
      <c r="K385" s="17">
        <v>197629.25</v>
      </c>
      <c r="L385" s="17">
        <v>220879.74999999997</v>
      </c>
      <c r="M385" s="17">
        <v>220879.74999999997</v>
      </c>
      <c r="N385" s="17">
        <v>236976.25</v>
      </c>
      <c r="O385" s="17">
        <v>236976.25</v>
      </c>
      <c r="P385" s="17">
        <v>223562.5</v>
      </c>
      <c r="Q385" s="17">
        <v>240553.25</v>
      </c>
      <c r="R385" s="17">
        <v>250389.99999999997</v>
      </c>
      <c r="S385" s="17">
        <v>250389.99999999997</v>
      </c>
    </row>
    <row r="386" spans="1:19" ht="14.25">
      <c r="A386" s="23">
        <f t="shared" si="6"/>
        <v>385</v>
      </c>
      <c r="B386" s="18"/>
      <c r="C386" s="17">
        <v>0</v>
      </c>
      <c r="D386" s="17">
        <v>0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81760</v>
      </c>
      <c r="M386" s="17">
        <v>101382.39999999999</v>
      </c>
      <c r="N386" s="17">
        <v>101382.39999999999</v>
      </c>
      <c r="O386" s="17">
        <v>89118.400000000009</v>
      </c>
      <c r="P386" s="17">
        <v>89118.400000000009</v>
      </c>
      <c r="Q386" s="17">
        <v>0</v>
      </c>
      <c r="R386" s="17">
        <v>0</v>
      </c>
      <c r="S386" s="17">
        <v>0</v>
      </c>
    </row>
    <row r="387" spans="1:19" ht="14.25">
      <c r="A387" s="23">
        <f t="shared" ref="A387:A450" si="7">+A386+1</f>
        <v>386</v>
      </c>
      <c r="B387" s="18"/>
      <c r="C387" s="17">
        <v>0</v>
      </c>
      <c r="D387" s="17">
        <v>0</v>
      </c>
      <c r="E387" s="17">
        <v>0</v>
      </c>
      <c r="F387" s="17">
        <v>0</v>
      </c>
      <c r="G387" s="17">
        <v>0</v>
      </c>
      <c r="H387" s="17">
        <v>0</v>
      </c>
      <c r="I387" s="17">
        <v>0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0</v>
      </c>
      <c r="Q387" s="17">
        <v>87965</v>
      </c>
      <c r="R387" s="17">
        <v>110835.9</v>
      </c>
      <c r="S387" s="17">
        <v>93242.900000000009</v>
      </c>
    </row>
    <row r="388" spans="1:19" ht="14.25">
      <c r="A388" s="23">
        <f t="shared" si="7"/>
        <v>387</v>
      </c>
      <c r="B388" s="18"/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0</v>
      </c>
      <c r="K388" s="17">
        <v>0</v>
      </c>
      <c r="L388" s="17">
        <v>0</v>
      </c>
      <c r="M388" s="17">
        <v>101105</v>
      </c>
      <c r="N388" s="17">
        <v>101105</v>
      </c>
      <c r="O388" s="17">
        <v>101105</v>
      </c>
      <c r="P388" s="17">
        <v>130425.45</v>
      </c>
      <c r="Q388" s="17">
        <v>130425.45</v>
      </c>
      <c r="R388" s="17">
        <v>146602.25</v>
      </c>
      <c r="S388" s="17">
        <v>175922.7</v>
      </c>
    </row>
    <row r="389" spans="1:19" ht="14.25">
      <c r="A389" s="23">
        <f t="shared" si="7"/>
        <v>388</v>
      </c>
      <c r="B389" s="18"/>
      <c r="C389" s="17">
        <v>71175</v>
      </c>
      <c r="D389" s="17">
        <v>90392.25</v>
      </c>
      <c r="E389" s="17">
        <v>96798</v>
      </c>
      <c r="F389" s="17">
        <v>100356.75000000001</v>
      </c>
      <c r="G389" s="17">
        <v>115303.50000000001</v>
      </c>
      <c r="H389" s="17">
        <v>115303.50000000001</v>
      </c>
      <c r="I389" s="17">
        <v>111033</v>
      </c>
      <c r="J389" s="17">
        <v>130250.25</v>
      </c>
      <c r="K389" s="17">
        <v>130250.25</v>
      </c>
      <c r="L389" s="17">
        <v>130250.25</v>
      </c>
      <c r="M389" s="17">
        <v>130250.25</v>
      </c>
      <c r="N389" s="17">
        <v>135944.25</v>
      </c>
      <c r="O389" s="17">
        <v>153738</v>
      </c>
      <c r="P389" s="17">
        <v>167261.25</v>
      </c>
      <c r="Q389" s="17">
        <v>158720.25</v>
      </c>
      <c r="R389" s="17">
        <v>144485.25</v>
      </c>
      <c r="S389" s="17">
        <v>134520.74999999997</v>
      </c>
    </row>
    <row r="390" spans="1:19" ht="14.25">
      <c r="A390" s="23">
        <f t="shared" si="7"/>
        <v>389</v>
      </c>
      <c r="B390" s="18"/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87965</v>
      </c>
      <c r="Q390" s="17">
        <v>105558</v>
      </c>
      <c r="R390" s="17">
        <v>112595.2</v>
      </c>
      <c r="S390" s="17">
        <v>105558</v>
      </c>
    </row>
    <row r="391" spans="1:19" ht="14.25">
      <c r="A391" s="23">
        <f t="shared" si="7"/>
        <v>390</v>
      </c>
      <c r="B391" s="18"/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100375</v>
      </c>
      <c r="L391" s="17">
        <v>124465</v>
      </c>
      <c r="M391" s="17">
        <v>152570</v>
      </c>
      <c r="N391" s="17">
        <v>152570</v>
      </c>
      <c r="O391" s="17">
        <v>171641.25</v>
      </c>
      <c r="P391" s="17">
        <v>171641.25</v>
      </c>
      <c r="Q391" s="17">
        <v>171641.25</v>
      </c>
      <c r="R391" s="17">
        <v>190712.5</v>
      </c>
      <c r="S391" s="17">
        <v>179671.24999999997</v>
      </c>
    </row>
    <row r="392" spans="1:19" ht="14.25">
      <c r="A392" s="23">
        <f t="shared" si="7"/>
        <v>391</v>
      </c>
      <c r="B392" s="18"/>
      <c r="C392" s="17">
        <v>73730</v>
      </c>
      <c r="D392" s="17">
        <v>73730</v>
      </c>
      <c r="E392" s="17">
        <v>85526.799999999988</v>
      </c>
      <c r="F392" s="17">
        <v>95848.999999999985</v>
      </c>
      <c r="G392" s="17">
        <v>113544.19999999998</v>
      </c>
      <c r="H392" s="17">
        <v>124603.69999999998</v>
      </c>
      <c r="I392" s="17">
        <v>140824.29999999999</v>
      </c>
      <c r="J392" s="17">
        <v>140086.99999999997</v>
      </c>
      <c r="K392" s="17">
        <v>151883.79999999996</v>
      </c>
      <c r="L392" s="17">
        <v>169579</v>
      </c>
      <c r="M392" s="17">
        <v>179163.89999999997</v>
      </c>
      <c r="N392" s="17">
        <v>189486.09999999998</v>
      </c>
      <c r="O392" s="17">
        <v>206444</v>
      </c>
      <c r="P392" s="17">
        <v>228562.99999999997</v>
      </c>
      <c r="Q392" s="17">
        <v>241097.09999999998</v>
      </c>
      <c r="R392" s="17">
        <v>227825.69999999995</v>
      </c>
      <c r="S392" s="17">
        <v>216028.89999999994</v>
      </c>
    </row>
    <row r="393" spans="1:19" ht="14.25">
      <c r="A393" s="23">
        <f t="shared" si="7"/>
        <v>392</v>
      </c>
      <c r="B393" s="18"/>
      <c r="C393" s="17">
        <v>0</v>
      </c>
      <c r="D393" s="17">
        <v>0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67160</v>
      </c>
      <c r="M393" s="17">
        <v>84621.6</v>
      </c>
      <c r="N393" s="17">
        <v>84621.6</v>
      </c>
      <c r="O393" s="17">
        <v>99396.800000000003</v>
      </c>
      <c r="P393" s="17">
        <v>99396.800000000003</v>
      </c>
      <c r="Q393" s="17">
        <v>118873.2</v>
      </c>
      <c r="R393" s="17">
        <v>129618.8</v>
      </c>
      <c r="S393" s="17">
        <v>123574.39999999999</v>
      </c>
    </row>
    <row r="394" spans="1:19" ht="14.25">
      <c r="A394" s="23">
        <f t="shared" si="7"/>
        <v>393</v>
      </c>
      <c r="B394" s="18"/>
      <c r="C394" s="17">
        <v>0</v>
      </c>
      <c r="D394" s="17">
        <v>0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103295</v>
      </c>
      <c r="Q394" s="17">
        <v>115690.40000000001</v>
      </c>
      <c r="R394" s="17">
        <v>115690.40000000001</v>
      </c>
      <c r="S394" s="17">
        <v>140481.20000000001</v>
      </c>
    </row>
    <row r="395" spans="1:19" ht="14.25">
      <c r="A395" s="23">
        <f t="shared" si="7"/>
        <v>394</v>
      </c>
      <c r="B395" s="18"/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91615</v>
      </c>
      <c r="N395" s="17">
        <v>91615</v>
      </c>
      <c r="O395" s="17">
        <v>109021.84999999999</v>
      </c>
      <c r="P395" s="17">
        <v>120015.65000000001</v>
      </c>
      <c r="Q395" s="17">
        <v>140170.95000000001</v>
      </c>
      <c r="R395" s="17">
        <v>140170.95000000001</v>
      </c>
      <c r="S395" s="17">
        <v>152997.04999999999</v>
      </c>
    </row>
    <row r="396" spans="1:19" ht="14.25">
      <c r="A396" s="23">
        <f t="shared" si="7"/>
        <v>395</v>
      </c>
      <c r="B396" s="18"/>
      <c r="C396" s="17">
        <v>88695</v>
      </c>
      <c r="D396" s="17">
        <v>110868.75</v>
      </c>
      <c r="E396" s="17">
        <v>110868.75</v>
      </c>
      <c r="F396" s="17">
        <v>110868.75</v>
      </c>
      <c r="G396" s="17">
        <v>110868.75</v>
      </c>
      <c r="H396" s="17">
        <v>108207.9</v>
      </c>
      <c r="I396" s="17">
        <v>108207.9</v>
      </c>
      <c r="J396" s="17">
        <v>113529.60000000001</v>
      </c>
      <c r="K396" s="17">
        <v>96677.55</v>
      </c>
      <c r="L396" s="17">
        <v>101999.25000000001</v>
      </c>
      <c r="M396" s="17">
        <v>106434.00000000001</v>
      </c>
      <c r="N396" s="17">
        <v>112642.65000000002</v>
      </c>
      <c r="O396" s="17">
        <v>103773.15000000001</v>
      </c>
      <c r="P396" s="17">
        <v>108207.90000000002</v>
      </c>
      <c r="Q396" s="17">
        <v>108207.90000000002</v>
      </c>
      <c r="R396" s="17">
        <v>125946.90000000001</v>
      </c>
      <c r="S396" s="17">
        <v>125946.90000000001</v>
      </c>
    </row>
    <row r="397" spans="1:19" ht="14.25">
      <c r="A397" s="23">
        <f t="shared" si="7"/>
        <v>396</v>
      </c>
      <c r="B397" s="18"/>
      <c r="C397" s="17">
        <v>77380</v>
      </c>
      <c r="D397" s="17">
        <v>99046.400000000009</v>
      </c>
      <c r="E397" s="17">
        <v>120712.8</v>
      </c>
      <c r="F397" s="17">
        <v>135415</v>
      </c>
      <c r="G397" s="17">
        <v>135415</v>
      </c>
      <c r="H397" s="17">
        <v>147022</v>
      </c>
      <c r="I397" s="17">
        <v>147022</v>
      </c>
      <c r="J397" s="17">
        <v>144700.59999999998</v>
      </c>
      <c r="K397" s="17">
        <v>144700.59999999998</v>
      </c>
      <c r="L397" s="17">
        <v>143153</v>
      </c>
      <c r="M397" s="17">
        <v>143153</v>
      </c>
      <c r="N397" s="17">
        <v>143153</v>
      </c>
      <c r="O397" s="17">
        <v>158629</v>
      </c>
      <c r="P397" s="17">
        <v>164045.59999999998</v>
      </c>
      <c r="Q397" s="17">
        <v>167914.59999999995</v>
      </c>
      <c r="R397" s="17">
        <v>186485.79999999993</v>
      </c>
      <c r="S397" s="17">
        <v>0</v>
      </c>
    </row>
    <row r="398" spans="1:19" ht="14.25">
      <c r="A398" s="23">
        <f t="shared" si="7"/>
        <v>397</v>
      </c>
      <c r="B398" s="18"/>
      <c r="C398" s="17">
        <v>0</v>
      </c>
      <c r="D398" s="17">
        <v>0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96360</v>
      </c>
      <c r="M398" s="17">
        <v>96360</v>
      </c>
      <c r="N398" s="17">
        <v>96360</v>
      </c>
      <c r="O398" s="17">
        <v>115632</v>
      </c>
      <c r="P398" s="17">
        <v>114668.4</v>
      </c>
      <c r="Q398" s="17">
        <v>123340.8</v>
      </c>
      <c r="R398" s="17">
        <v>132013.20000000001</v>
      </c>
      <c r="S398" s="17">
        <v>136831.20000000001</v>
      </c>
    </row>
    <row r="399" spans="1:19" ht="14.25">
      <c r="A399" s="23">
        <f t="shared" si="7"/>
        <v>398</v>
      </c>
      <c r="B399" s="18"/>
      <c r="C399" s="17">
        <v>0</v>
      </c>
      <c r="D399" s="17">
        <v>0</v>
      </c>
      <c r="E399" s="17">
        <v>0</v>
      </c>
      <c r="F399" s="17">
        <v>0</v>
      </c>
      <c r="G399" s="17">
        <v>0</v>
      </c>
      <c r="H399" s="17">
        <v>89060</v>
      </c>
      <c r="I399" s="17">
        <v>113996.8</v>
      </c>
      <c r="J399" s="17">
        <v>130027.59999999999</v>
      </c>
      <c r="K399" s="17">
        <v>137152.4</v>
      </c>
      <c r="L399" s="17">
        <v>137152.4</v>
      </c>
      <c r="M399" s="17">
        <v>137152.4</v>
      </c>
      <c r="N399" s="17">
        <v>151402</v>
      </c>
      <c r="O399" s="17">
        <v>137152.4</v>
      </c>
      <c r="P399" s="17">
        <v>144277.20000000001</v>
      </c>
      <c r="Q399" s="17">
        <v>127355.80000000002</v>
      </c>
      <c r="R399" s="17">
        <v>133590.00000000003</v>
      </c>
      <c r="S399" s="17">
        <v>117559.20000000003</v>
      </c>
    </row>
    <row r="400" spans="1:19" ht="14.25">
      <c r="A400" s="23">
        <f t="shared" si="7"/>
        <v>399</v>
      </c>
      <c r="B400" s="18"/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81030</v>
      </c>
      <c r="N400" s="17">
        <v>92374.200000000012</v>
      </c>
      <c r="O400" s="17">
        <v>92374.200000000012</v>
      </c>
      <c r="P400" s="17">
        <v>92374.200000000012</v>
      </c>
      <c r="Q400" s="17">
        <v>105339</v>
      </c>
      <c r="R400" s="17">
        <v>89943.3</v>
      </c>
      <c r="S400" s="17">
        <v>100477.20000000001</v>
      </c>
    </row>
    <row r="401" spans="1:19" ht="14.25">
      <c r="A401" s="23">
        <f t="shared" si="7"/>
        <v>400</v>
      </c>
      <c r="B401" s="18"/>
      <c r="C401" s="17">
        <v>0</v>
      </c>
      <c r="D401" s="17">
        <v>0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93075</v>
      </c>
      <c r="R401" s="17">
        <v>93075</v>
      </c>
      <c r="S401" s="17">
        <v>102382.50000000001</v>
      </c>
    </row>
    <row r="402" spans="1:19" ht="14.25">
      <c r="A402" s="23">
        <f t="shared" si="7"/>
        <v>401</v>
      </c>
      <c r="B402" s="18"/>
      <c r="C402" s="17">
        <v>0</v>
      </c>
      <c r="D402" s="17">
        <v>93805</v>
      </c>
      <c r="E402" s="17">
        <v>121008.45</v>
      </c>
      <c r="F402" s="17">
        <v>134141.15000000002</v>
      </c>
      <c r="G402" s="17">
        <v>0</v>
      </c>
      <c r="H402" s="17">
        <v>0</v>
      </c>
      <c r="I402" s="17">
        <v>0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0</v>
      </c>
      <c r="Q402" s="17">
        <v>0</v>
      </c>
      <c r="R402" s="17">
        <v>0</v>
      </c>
      <c r="S402" s="17">
        <v>0</v>
      </c>
    </row>
    <row r="403" spans="1:19" ht="14.25">
      <c r="A403" s="23">
        <f t="shared" si="7"/>
        <v>402</v>
      </c>
      <c r="B403" s="18"/>
      <c r="C403" s="17">
        <v>0</v>
      </c>
      <c r="D403" s="17">
        <v>0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83950</v>
      </c>
      <c r="R403" s="17">
        <v>102419</v>
      </c>
      <c r="S403" s="17">
        <v>120888</v>
      </c>
    </row>
    <row r="404" spans="1:19" ht="14.25">
      <c r="A404" s="23">
        <f t="shared" si="7"/>
        <v>403</v>
      </c>
      <c r="B404" s="18"/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0</v>
      </c>
      <c r="Q404" s="17">
        <v>0</v>
      </c>
      <c r="R404" s="17">
        <v>67160</v>
      </c>
      <c r="S404" s="17">
        <v>56414.400000000001</v>
      </c>
    </row>
    <row r="405" spans="1:19" ht="14.25">
      <c r="A405" s="23">
        <f t="shared" si="7"/>
        <v>404</v>
      </c>
      <c r="B405" s="18"/>
      <c r="C405" s="17">
        <v>0</v>
      </c>
      <c r="D405" s="17">
        <v>0</v>
      </c>
      <c r="E405" s="17">
        <v>0</v>
      </c>
      <c r="F405" s="17">
        <v>0</v>
      </c>
      <c r="G405" s="17">
        <v>0</v>
      </c>
      <c r="H405" s="17">
        <v>88330</v>
      </c>
      <c r="I405" s="17">
        <v>104229.4</v>
      </c>
      <c r="J405" s="17">
        <v>115712.3</v>
      </c>
      <c r="K405" s="17">
        <v>108645.9</v>
      </c>
      <c r="L405" s="17">
        <v>133378.29999999999</v>
      </c>
      <c r="M405" s="17">
        <v>156344.1</v>
      </c>
      <c r="N405" s="17">
        <v>181959.80000000002</v>
      </c>
      <c r="O405" s="17">
        <v>198742.5</v>
      </c>
      <c r="P405" s="17">
        <v>186376.3</v>
      </c>
      <c r="Q405" s="17">
        <v>211108.69999999998</v>
      </c>
      <c r="R405" s="17">
        <v>232307.9</v>
      </c>
      <c r="S405" s="17">
        <v>246440.7</v>
      </c>
    </row>
    <row r="406" spans="1:19" ht="14.25">
      <c r="A406" s="23">
        <f t="shared" si="7"/>
        <v>405</v>
      </c>
      <c r="B406" s="18"/>
      <c r="C406" s="17">
        <v>0</v>
      </c>
      <c r="D406" s="17">
        <v>0</v>
      </c>
      <c r="E406" s="17">
        <v>0</v>
      </c>
      <c r="F406" s="17">
        <v>0</v>
      </c>
      <c r="G406" s="17">
        <v>0</v>
      </c>
      <c r="H406" s="17">
        <v>73730</v>
      </c>
      <c r="I406" s="17">
        <v>81103</v>
      </c>
      <c r="J406" s="17">
        <v>89950.60000000002</v>
      </c>
      <c r="K406" s="17">
        <v>109120.40000000001</v>
      </c>
      <c r="L406" s="17">
        <v>109120.40000000001</v>
      </c>
      <c r="M406" s="17">
        <v>120917.20000000001</v>
      </c>
      <c r="N406" s="17">
        <v>120917.20000000001</v>
      </c>
      <c r="O406" s="17">
        <v>128290.20000000001</v>
      </c>
      <c r="P406" s="17">
        <v>128290.20000000001</v>
      </c>
      <c r="Q406" s="17">
        <v>137137.80000000002</v>
      </c>
      <c r="R406" s="17">
        <v>157782.20000000004</v>
      </c>
      <c r="S406" s="17">
        <v>166629.80000000005</v>
      </c>
    </row>
    <row r="407" spans="1:19" ht="14.25">
      <c r="A407" s="23">
        <f t="shared" si="7"/>
        <v>406</v>
      </c>
      <c r="B407" s="18"/>
      <c r="C407" s="17">
        <v>0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17">
        <v>0</v>
      </c>
      <c r="K407" s="17">
        <v>0</v>
      </c>
      <c r="L407" s="17">
        <v>0</v>
      </c>
      <c r="M407" s="17">
        <v>0</v>
      </c>
      <c r="N407" s="17">
        <v>0</v>
      </c>
      <c r="O407" s="17">
        <v>0</v>
      </c>
      <c r="P407" s="17">
        <v>0</v>
      </c>
      <c r="Q407" s="17">
        <v>73000</v>
      </c>
      <c r="R407" s="17">
        <v>73000</v>
      </c>
      <c r="S407" s="17">
        <v>86870</v>
      </c>
    </row>
    <row r="408" spans="1:19" ht="14.25">
      <c r="A408" s="23">
        <f t="shared" si="7"/>
        <v>407</v>
      </c>
      <c r="B408" s="18"/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68985</v>
      </c>
      <c r="N408" s="17">
        <v>63466.200000000004</v>
      </c>
      <c r="O408" s="17">
        <v>67605.3</v>
      </c>
      <c r="P408" s="17">
        <v>71054.55</v>
      </c>
      <c r="Q408" s="17">
        <v>61396.65</v>
      </c>
      <c r="R408" s="17">
        <v>80022.600000000006</v>
      </c>
      <c r="S408" s="17">
        <v>80022.600000000006</v>
      </c>
    </row>
    <row r="409" spans="1:19" ht="14.25">
      <c r="A409" s="23">
        <f t="shared" si="7"/>
        <v>408</v>
      </c>
      <c r="B409" s="18"/>
      <c r="C409" s="17">
        <v>0</v>
      </c>
      <c r="D409" s="17">
        <v>0</v>
      </c>
      <c r="E409" s="17">
        <v>0</v>
      </c>
      <c r="F409" s="17">
        <v>0</v>
      </c>
      <c r="G409" s="17">
        <v>0</v>
      </c>
      <c r="H409" s="17">
        <v>0</v>
      </c>
      <c r="I409" s="17">
        <v>0</v>
      </c>
      <c r="J409" s="17">
        <v>0</v>
      </c>
      <c r="K409" s="17">
        <v>0</v>
      </c>
      <c r="L409" s="17">
        <v>0</v>
      </c>
      <c r="M409" s="17">
        <v>104025</v>
      </c>
      <c r="N409" s="17">
        <v>83220</v>
      </c>
      <c r="O409" s="17">
        <v>101944.5</v>
      </c>
      <c r="P409" s="17">
        <v>101944.5</v>
      </c>
      <c r="Q409" s="17">
        <v>101944.5</v>
      </c>
      <c r="R409" s="17">
        <v>101944.5</v>
      </c>
      <c r="S409" s="17">
        <v>125870.25</v>
      </c>
    </row>
    <row r="410" spans="1:19" ht="14.25">
      <c r="A410" s="23">
        <f t="shared" si="7"/>
        <v>409</v>
      </c>
      <c r="B410" s="18"/>
      <c r="C410" s="17">
        <v>0</v>
      </c>
      <c r="D410" s="17">
        <v>0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77745</v>
      </c>
    </row>
    <row r="411" spans="1:19" ht="14.25">
      <c r="A411" s="23">
        <f t="shared" si="7"/>
        <v>410</v>
      </c>
      <c r="B411" s="18"/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85410</v>
      </c>
      <c r="Q411" s="17">
        <v>97367.400000000009</v>
      </c>
      <c r="R411" s="17">
        <v>119574.00000000001</v>
      </c>
      <c r="S411" s="17">
        <v>117865.8</v>
      </c>
    </row>
    <row r="412" spans="1:19" ht="14.25">
      <c r="A412" s="23">
        <f t="shared" si="7"/>
        <v>411</v>
      </c>
      <c r="B412" s="18"/>
      <c r="C412" s="17">
        <v>74460</v>
      </c>
      <c r="D412" s="17">
        <v>68503.199999999997</v>
      </c>
      <c r="E412" s="17">
        <v>78183</v>
      </c>
      <c r="F412" s="17">
        <v>93075</v>
      </c>
      <c r="G412" s="17">
        <v>93075</v>
      </c>
      <c r="H412" s="17">
        <v>110200.8</v>
      </c>
      <c r="I412" s="17">
        <v>125837.4</v>
      </c>
      <c r="J412" s="17">
        <v>125837.4</v>
      </c>
      <c r="K412" s="17">
        <v>137006.39999999999</v>
      </c>
      <c r="L412" s="17">
        <v>153387.6</v>
      </c>
      <c r="M412" s="17">
        <v>158599.79999999999</v>
      </c>
      <c r="N412" s="17">
        <v>174236.4</v>
      </c>
      <c r="O412" s="17">
        <v>193595.99999999997</v>
      </c>
      <c r="P412" s="17">
        <v>181682.39999999997</v>
      </c>
      <c r="Q412" s="17">
        <v>189128.39999999997</v>
      </c>
      <c r="R412" s="17">
        <v>189128.39999999997</v>
      </c>
      <c r="S412" s="17">
        <v>198808.19999999995</v>
      </c>
    </row>
    <row r="413" spans="1:19" ht="14.25">
      <c r="A413" s="23">
        <f t="shared" si="7"/>
        <v>412</v>
      </c>
      <c r="B413" s="18"/>
      <c r="C413" s="17">
        <v>0</v>
      </c>
      <c r="D413" s="17">
        <v>0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73730</v>
      </c>
      <c r="L413" s="17">
        <v>93637.1</v>
      </c>
      <c r="M413" s="17">
        <v>93637.1</v>
      </c>
      <c r="N413" s="17">
        <v>106171.2</v>
      </c>
      <c r="O413" s="17">
        <v>106171.2</v>
      </c>
      <c r="P413" s="17">
        <v>92162.5</v>
      </c>
      <c r="Q413" s="17">
        <v>92162.5</v>
      </c>
      <c r="R413" s="17">
        <v>90687.9</v>
      </c>
      <c r="S413" s="17">
        <v>98798.200000000012</v>
      </c>
    </row>
    <row r="414" spans="1:19" ht="14.25">
      <c r="A414" s="23">
        <f t="shared" si="7"/>
        <v>413</v>
      </c>
      <c r="B414" s="18"/>
      <c r="C414" s="17">
        <v>82855</v>
      </c>
      <c r="D414" s="17">
        <v>82855</v>
      </c>
      <c r="E414" s="17">
        <v>69598.2</v>
      </c>
      <c r="F414" s="17">
        <v>69598.2</v>
      </c>
      <c r="G414" s="17">
        <v>86169.2</v>
      </c>
      <c r="H414" s="17">
        <v>107711.5</v>
      </c>
      <c r="I414" s="17">
        <v>116825.55000000002</v>
      </c>
      <c r="J414" s="17">
        <v>114339.90000000001</v>
      </c>
      <c r="K414" s="17">
        <v>131739.45000000001</v>
      </c>
      <c r="L414" s="17">
        <v>140853.50000000003</v>
      </c>
      <c r="M414" s="17">
        <v>157424.5</v>
      </c>
      <c r="N414" s="17">
        <v>178138.25000000003</v>
      </c>
      <c r="O414" s="17">
        <v>178138.25000000003</v>
      </c>
      <c r="P414" s="17">
        <v>178138.25000000003</v>
      </c>
      <c r="Q414" s="17">
        <v>0</v>
      </c>
      <c r="R414" s="17">
        <v>0</v>
      </c>
      <c r="S414" s="17">
        <v>0</v>
      </c>
    </row>
    <row r="415" spans="1:19" ht="14.25">
      <c r="A415" s="23">
        <f t="shared" si="7"/>
        <v>414</v>
      </c>
      <c r="B415" s="18"/>
      <c r="C415" s="17">
        <v>0</v>
      </c>
      <c r="D415" s="17">
        <v>0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85045</v>
      </c>
      <c r="Q415" s="17">
        <v>100353.09999999999</v>
      </c>
      <c r="R415" s="17">
        <v>100353.09999999999</v>
      </c>
      <c r="S415" s="17">
        <v>84194.55</v>
      </c>
    </row>
    <row r="416" spans="1:19" ht="14.25">
      <c r="A416" s="23">
        <f t="shared" si="7"/>
        <v>415</v>
      </c>
      <c r="B416" s="18"/>
      <c r="C416" s="17">
        <v>75190</v>
      </c>
      <c r="D416" s="17">
        <v>84212.800000000003</v>
      </c>
      <c r="E416" s="17">
        <v>102258.40000000001</v>
      </c>
      <c r="F416" s="17">
        <v>121807.8</v>
      </c>
      <c r="G416" s="17">
        <v>138349.6</v>
      </c>
      <c r="H416" s="17">
        <v>138349.6</v>
      </c>
      <c r="I416" s="17">
        <v>138349.6</v>
      </c>
      <c r="J416" s="17">
        <v>148876.20000000001</v>
      </c>
      <c r="K416" s="17">
        <v>167673.70000000001</v>
      </c>
      <c r="L416" s="17">
        <v>184967.4</v>
      </c>
      <c r="M416" s="17">
        <v>188726.9</v>
      </c>
      <c r="N416" s="17">
        <v>196245.9</v>
      </c>
      <c r="O416" s="17">
        <v>201509.19999999998</v>
      </c>
      <c r="P416" s="17">
        <v>209780.09999999998</v>
      </c>
      <c r="Q416" s="17">
        <v>208276.29999999996</v>
      </c>
      <c r="R416" s="17">
        <v>229329.5</v>
      </c>
      <c r="S416" s="17">
        <v>218051</v>
      </c>
    </row>
    <row r="417" spans="1:19" ht="14.25">
      <c r="A417" s="23">
        <f t="shared" si="7"/>
        <v>416</v>
      </c>
      <c r="B417" s="18"/>
      <c r="C417" s="17">
        <v>0</v>
      </c>
      <c r="D417" s="17">
        <v>0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77380</v>
      </c>
      <c r="P417" s="17">
        <v>92082.2</v>
      </c>
      <c r="Q417" s="17">
        <v>97498.8</v>
      </c>
      <c r="R417" s="17">
        <v>109879.59999999999</v>
      </c>
      <c r="S417" s="17">
        <v>129998.39999999999</v>
      </c>
    </row>
    <row r="418" spans="1:19" ht="14.25">
      <c r="A418" s="23">
        <f t="shared" si="7"/>
        <v>417</v>
      </c>
      <c r="B418" s="18"/>
      <c r="C418" s="17">
        <v>0</v>
      </c>
      <c r="D418" s="17">
        <v>0</v>
      </c>
      <c r="E418" s="17">
        <v>0</v>
      </c>
      <c r="F418" s="17">
        <v>0</v>
      </c>
      <c r="G418" s="17">
        <v>0</v>
      </c>
      <c r="H418" s="17">
        <v>0</v>
      </c>
      <c r="I418" s="17">
        <v>0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0</v>
      </c>
      <c r="Q418" s="17">
        <v>101105</v>
      </c>
      <c r="R418" s="17">
        <v>112226.55</v>
      </c>
      <c r="S418" s="17">
        <v>93016.60000000002</v>
      </c>
    </row>
    <row r="419" spans="1:19" ht="14.25">
      <c r="A419" s="23">
        <f t="shared" si="7"/>
        <v>418</v>
      </c>
      <c r="B419" s="18"/>
      <c r="C419" s="17">
        <v>104390</v>
      </c>
      <c r="D419" s="17">
        <v>132575.29999999999</v>
      </c>
      <c r="E419" s="17">
        <v>132575.29999999999</v>
      </c>
      <c r="F419" s="17">
        <v>132575.29999999999</v>
      </c>
      <c r="G419" s="17">
        <v>138838.70000000001</v>
      </c>
      <c r="H419" s="17">
        <v>160760.6</v>
      </c>
      <c r="I419" s="17">
        <v>153453.29999999999</v>
      </c>
      <c r="J419" s="17">
        <v>153453.29999999999</v>
      </c>
      <c r="K419" s="17">
        <v>175375.19999999998</v>
      </c>
      <c r="L419" s="17">
        <v>187901.99999999997</v>
      </c>
      <c r="M419" s="17">
        <v>218175.09999999998</v>
      </c>
      <c r="N419" s="17">
        <v>234877.5</v>
      </c>
      <c r="O419" s="17">
        <v>256799.4</v>
      </c>
      <c r="P419" s="17">
        <v>256799.4</v>
      </c>
      <c r="Q419" s="17">
        <v>282896.90000000002</v>
      </c>
      <c r="R419" s="17">
        <v>282896.90000000002</v>
      </c>
      <c r="S419" s="17">
        <v>307950.5</v>
      </c>
    </row>
    <row r="420" spans="1:19" ht="14.25">
      <c r="A420" s="23">
        <f t="shared" si="7"/>
        <v>419</v>
      </c>
      <c r="B420" s="18"/>
      <c r="C420" s="17">
        <v>85045</v>
      </c>
      <c r="D420" s="17">
        <v>85045</v>
      </c>
      <c r="E420" s="17">
        <v>97801.749999999985</v>
      </c>
      <c r="F420" s="17">
        <v>119913.45</v>
      </c>
      <c r="G420" s="17">
        <v>117362.09999999999</v>
      </c>
      <c r="H420" s="17">
        <v>131819.74999999997</v>
      </c>
      <c r="I420" s="17">
        <v>137772.9</v>
      </c>
      <c r="J420" s="17">
        <v>137772.9</v>
      </c>
      <c r="K420" s="17">
        <v>147127.85</v>
      </c>
      <c r="L420" s="17">
        <v>172641.34999999998</v>
      </c>
      <c r="M420" s="17">
        <v>183697.19999999998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</row>
    <row r="421" spans="1:19" ht="14.25">
      <c r="A421" s="23">
        <f t="shared" si="7"/>
        <v>420</v>
      </c>
      <c r="B421" s="18"/>
      <c r="C421" s="17">
        <v>0</v>
      </c>
      <c r="D421" s="17">
        <v>0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79935</v>
      </c>
      <c r="L421" s="17">
        <v>102316.8</v>
      </c>
      <c r="M421" s="17">
        <v>123099.90000000001</v>
      </c>
      <c r="N421" s="17">
        <v>132692.1</v>
      </c>
      <c r="O421" s="17">
        <v>132692.1</v>
      </c>
      <c r="P421" s="17">
        <v>141484.95000000001</v>
      </c>
      <c r="Q421" s="17">
        <v>130294.05000000003</v>
      </c>
      <c r="R421" s="17">
        <v>146281.05000000002</v>
      </c>
      <c r="S421" s="17">
        <v>162268.05000000002</v>
      </c>
    </row>
    <row r="422" spans="1:19" ht="14.25">
      <c r="A422" s="23">
        <f t="shared" si="7"/>
        <v>421</v>
      </c>
      <c r="B422" s="18"/>
      <c r="C422" s="17">
        <v>0</v>
      </c>
      <c r="D422" s="17">
        <v>0</v>
      </c>
      <c r="E422" s="17">
        <v>66430</v>
      </c>
      <c r="F422" s="17">
        <v>78387.399999999994</v>
      </c>
      <c r="G422" s="17">
        <v>73737.299999999988</v>
      </c>
      <c r="H422" s="17">
        <v>88351.9</v>
      </c>
      <c r="I422" s="17">
        <v>108280.9</v>
      </c>
      <c r="J422" s="17">
        <v>120902.59999999999</v>
      </c>
      <c r="K422" s="17">
        <v>107616.59999999999</v>
      </c>
      <c r="L422" s="17">
        <v>94994.9</v>
      </c>
      <c r="M422" s="17">
        <v>100309.3</v>
      </c>
      <c r="N422" s="17">
        <v>87687.6</v>
      </c>
      <c r="O422" s="17">
        <v>105623.70000000001</v>
      </c>
      <c r="P422" s="17">
        <v>119574</v>
      </c>
      <c r="Q422" s="17">
        <v>115588.2</v>
      </c>
      <c r="R422" s="17">
        <v>130867.09999999999</v>
      </c>
      <c r="S422" s="17">
        <v>130867.09999999999</v>
      </c>
    </row>
    <row r="423" spans="1:19" ht="14.25">
      <c r="A423" s="23">
        <f t="shared" si="7"/>
        <v>422</v>
      </c>
      <c r="B423" s="18"/>
      <c r="C423" s="17">
        <v>0</v>
      </c>
      <c r="D423" s="17">
        <v>0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87235</v>
      </c>
    </row>
    <row r="424" spans="1:19" ht="14.25">
      <c r="A424" s="23">
        <f t="shared" si="7"/>
        <v>423</v>
      </c>
      <c r="B424" s="18"/>
      <c r="C424" s="17">
        <v>0</v>
      </c>
      <c r="D424" s="17">
        <v>0</v>
      </c>
      <c r="E424" s="17">
        <v>0</v>
      </c>
      <c r="F424" s="17">
        <v>85410</v>
      </c>
      <c r="G424" s="17">
        <v>85410</v>
      </c>
      <c r="H424" s="17">
        <v>109324.8</v>
      </c>
      <c r="I424" s="17">
        <v>131531.4</v>
      </c>
      <c r="J424" s="17">
        <v>140926.5</v>
      </c>
      <c r="K424" s="17">
        <v>133239.6</v>
      </c>
      <c r="L424" s="17">
        <v>142634.70000000001</v>
      </c>
      <c r="M424" s="17">
        <v>154592.1</v>
      </c>
      <c r="N424" s="17">
        <v>154592.1</v>
      </c>
      <c r="O424" s="17">
        <v>172528.2</v>
      </c>
      <c r="P424" s="17">
        <v>176798.69999999998</v>
      </c>
      <c r="Q424" s="17">
        <v>176798.69999999998</v>
      </c>
      <c r="R424" s="17">
        <v>175090.49999999997</v>
      </c>
      <c r="S424" s="17">
        <v>175090.49999999997</v>
      </c>
    </row>
    <row r="425" spans="1:19" ht="14.25">
      <c r="A425" s="23">
        <f t="shared" si="7"/>
        <v>424</v>
      </c>
      <c r="B425" s="18"/>
      <c r="C425" s="17">
        <v>95995</v>
      </c>
      <c r="D425" s="17">
        <v>107514.40000000001</v>
      </c>
      <c r="E425" s="17">
        <v>118073.85000000002</v>
      </c>
      <c r="F425" s="17">
        <v>122873.60000000002</v>
      </c>
      <c r="G425" s="17">
        <v>149752.20000000004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</row>
    <row r="426" spans="1:19" ht="14.25">
      <c r="A426" s="23">
        <f t="shared" si="7"/>
        <v>425</v>
      </c>
      <c r="B426" s="18"/>
      <c r="C426" s="17">
        <v>0</v>
      </c>
      <c r="D426" s="17">
        <v>0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99645</v>
      </c>
      <c r="P426" s="17">
        <v>120570.45</v>
      </c>
      <c r="Q426" s="17">
        <v>120570.45</v>
      </c>
      <c r="R426" s="17">
        <v>140499.44999999998</v>
      </c>
      <c r="S426" s="17">
        <v>151460.4</v>
      </c>
    </row>
    <row r="427" spans="1:19" ht="14.25">
      <c r="A427" s="23">
        <f t="shared" si="7"/>
        <v>426</v>
      </c>
      <c r="B427" s="18"/>
      <c r="C427" s="17">
        <v>0</v>
      </c>
      <c r="D427" s="17">
        <v>0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102565</v>
      </c>
      <c r="R427" s="17">
        <v>126154.95</v>
      </c>
      <c r="S427" s="17">
        <v>152821.85</v>
      </c>
    </row>
    <row r="428" spans="1:19" ht="14.25">
      <c r="A428" s="23">
        <f t="shared" si="7"/>
        <v>427</v>
      </c>
      <c r="B428" s="18"/>
      <c r="C428" s="17">
        <v>67160</v>
      </c>
      <c r="D428" s="17">
        <v>81263.599999999991</v>
      </c>
      <c r="E428" s="17">
        <v>97382</v>
      </c>
      <c r="F428" s="17">
        <v>85964.800000000003</v>
      </c>
      <c r="G428" s="17">
        <v>89322.8</v>
      </c>
      <c r="H428" s="17">
        <v>107456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</row>
    <row r="429" spans="1:19" ht="14.25">
      <c r="A429" s="23">
        <f t="shared" si="7"/>
        <v>428</v>
      </c>
      <c r="B429" s="18"/>
      <c r="C429" s="17">
        <v>0</v>
      </c>
      <c r="D429" s="17">
        <v>0</v>
      </c>
      <c r="E429" s="17">
        <v>0</v>
      </c>
      <c r="F429" s="17">
        <v>0</v>
      </c>
      <c r="G429" s="17">
        <v>0</v>
      </c>
      <c r="H429" s="17">
        <v>0</v>
      </c>
      <c r="I429" s="17">
        <v>0</v>
      </c>
      <c r="J429" s="17">
        <v>0</v>
      </c>
      <c r="K429" s="17">
        <v>0</v>
      </c>
      <c r="L429" s="17">
        <v>67890</v>
      </c>
      <c r="M429" s="17">
        <v>88257</v>
      </c>
      <c r="N429" s="17">
        <v>82146.899999999994</v>
      </c>
      <c r="O429" s="17">
        <v>94367.099999999991</v>
      </c>
      <c r="P429" s="17">
        <v>99119.4</v>
      </c>
      <c r="Q429" s="17">
        <v>116091.9</v>
      </c>
      <c r="R429" s="17">
        <v>116091.9</v>
      </c>
      <c r="S429" s="17">
        <v>120165.3</v>
      </c>
    </row>
    <row r="430" spans="1:19" ht="14.25">
      <c r="A430" s="23">
        <f t="shared" si="7"/>
        <v>429</v>
      </c>
      <c r="B430" s="18"/>
      <c r="C430" s="17">
        <v>0</v>
      </c>
      <c r="D430" s="17">
        <v>0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96725</v>
      </c>
      <c r="O430" s="17">
        <v>96725</v>
      </c>
      <c r="P430" s="17">
        <v>111233.74999999999</v>
      </c>
      <c r="Q430" s="17">
        <v>134447.75</v>
      </c>
      <c r="R430" s="17">
        <v>157661.75</v>
      </c>
      <c r="S430" s="17">
        <v>166367</v>
      </c>
    </row>
    <row r="431" spans="1:19" ht="14.25">
      <c r="A431" s="23">
        <f t="shared" si="7"/>
        <v>430</v>
      </c>
      <c r="B431" s="18"/>
      <c r="C431" s="17">
        <v>0</v>
      </c>
      <c r="D431" s="17">
        <v>0</v>
      </c>
      <c r="E431" s="17">
        <v>0</v>
      </c>
      <c r="F431" s="17">
        <v>0</v>
      </c>
      <c r="G431" s="17">
        <v>0</v>
      </c>
      <c r="H431" s="17">
        <v>0</v>
      </c>
      <c r="I431" s="17">
        <v>0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100010</v>
      </c>
      <c r="S431" s="17">
        <v>107010.70000000001</v>
      </c>
    </row>
    <row r="432" spans="1:19" ht="14.25">
      <c r="A432" s="23">
        <f t="shared" si="7"/>
        <v>431</v>
      </c>
      <c r="B432" s="18"/>
      <c r="C432" s="17">
        <v>100010</v>
      </c>
      <c r="D432" s="17">
        <v>100010</v>
      </c>
      <c r="E432" s="17">
        <v>129012.90000000001</v>
      </c>
      <c r="F432" s="17">
        <v>129012.90000000001</v>
      </c>
      <c r="G432" s="17">
        <v>138013.80000000002</v>
      </c>
      <c r="H432" s="17">
        <v>122012.20000000003</v>
      </c>
      <c r="I432" s="17">
        <v>135013.5</v>
      </c>
      <c r="J432" s="17">
        <v>135013.5</v>
      </c>
      <c r="K432" s="17">
        <v>158015.80000000002</v>
      </c>
      <c r="L432" s="17">
        <v>188018.80000000002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</row>
    <row r="433" spans="1:19" ht="14.25">
      <c r="A433" s="23">
        <f t="shared" si="7"/>
        <v>432</v>
      </c>
      <c r="B433" s="18"/>
      <c r="C433" s="17">
        <v>80300</v>
      </c>
      <c r="D433" s="17">
        <v>67452</v>
      </c>
      <c r="E433" s="17">
        <v>87526.999999999985</v>
      </c>
      <c r="F433" s="17">
        <v>87526.999999999985</v>
      </c>
      <c r="G433" s="17">
        <v>94754</v>
      </c>
      <c r="H433" s="17">
        <v>85920.999999999985</v>
      </c>
      <c r="I433" s="17">
        <v>99571.999999999985</v>
      </c>
      <c r="J433" s="17">
        <v>110813.99999999999</v>
      </c>
      <c r="K433" s="17">
        <v>110813.99999999999</v>
      </c>
      <c r="L433" s="17">
        <v>114829</v>
      </c>
      <c r="M433" s="17">
        <v>114829</v>
      </c>
      <c r="N433" s="17">
        <v>134101</v>
      </c>
      <c r="O433" s="17">
        <v>158191</v>
      </c>
      <c r="P433" s="17">
        <v>158191</v>
      </c>
      <c r="Q433" s="17">
        <v>165418</v>
      </c>
      <c r="R433" s="17">
        <v>165418</v>
      </c>
      <c r="S433" s="17">
        <v>165418</v>
      </c>
    </row>
    <row r="434" spans="1:19" ht="14.25">
      <c r="A434" s="23">
        <f t="shared" si="7"/>
        <v>433</v>
      </c>
      <c r="B434" s="18"/>
      <c r="C434" s="17">
        <v>0</v>
      </c>
      <c r="D434" s="17">
        <v>0</v>
      </c>
      <c r="E434" s="17">
        <v>0</v>
      </c>
      <c r="F434" s="17">
        <v>0</v>
      </c>
      <c r="G434" s="17">
        <v>0</v>
      </c>
      <c r="H434" s="17">
        <v>83585</v>
      </c>
      <c r="I434" s="17">
        <v>83585</v>
      </c>
      <c r="J434" s="17">
        <v>92779.35</v>
      </c>
      <c r="K434" s="17">
        <v>92779.35</v>
      </c>
      <c r="L434" s="17">
        <v>117019.00000000001</v>
      </c>
      <c r="M434" s="17">
        <v>123705.80000000002</v>
      </c>
      <c r="N434" s="17">
        <v>112003.90000000002</v>
      </c>
      <c r="O434" s="17">
        <v>136243.55000000002</v>
      </c>
      <c r="P434" s="17">
        <v>140422.80000000002</v>
      </c>
      <c r="Q434" s="17">
        <v>156303.95000000004</v>
      </c>
      <c r="R434" s="17">
        <v>156303.95000000004</v>
      </c>
      <c r="S434" s="17">
        <v>181379.45000000004</v>
      </c>
    </row>
    <row r="435" spans="1:19" ht="14.25">
      <c r="A435" s="23">
        <f t="shared" si="7"/>
        <v>434</v>
      </c>
      <c r="B435" s="18"/>
      <c r="C435" s="17">
        <v>0</v>
      </c>
      <c r="D435" s="17">
        <v>0</v>
      </c>
      <c r="E435" s="17">
        <v>0</v>
      </c>
      <c r="F435" s="17">
        <v>0</v>
      </c>
      <c r="G435" s="17">
        <v>0</v>
      </c>
      <c r="H435" s="17">
        <v>0</v>
      </c>
      <c r="I435" s="17">
        <v>95995</v>
      </c>
      <c r="J435" s="17">
        <v>123833.55</v>
      </c>
      <c r="K435" s="17">
        <v>123833.55</v>
      </c>
      <c r="L435" s="17">
        <v>152632.05000000002</v>
      </c>
      <c r="M435" s="17">
        <v>152632.05000000002</v>
      </c>
      <c r="N435" s="17">
        <v>143032.54999999999</v>
      </c>
      <c r="O435" s="17">
        <v>142072.6</v>
      </c>
      <c r="P435" s="17">
        <v>142072.6</v>
      </c>
      <c r="Q435" s="17">
        <v>122873.60000000001</v>
      </c>
      <c r="R435" s="17">
        <v>121913.65000000001</v>
      </c>
      <c r="S435" s="17">
        <v>140152.69999999998</v>
      </c>
    </row>
    <row r="436" spans="1:19" ht="14.25">
      <c r="A436" s="23">
        <f t="shared" si="7"/>
        <v>435</v>
      </c>
      <c r="B436" s="18"/>
      <c r="C436" s="17">
        <v>0</v>
      </c>
      <c r="D436" s="17">
        <v>0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104390</v>
      </c>
      <c r="R436" s="17">
        <v>88731.5</v>
      </c>
      <c r="S436" s="17">
        <v>97082.7</v>
      </c>
    </row>
    <row r="437" spans="1:19" ht="14.25">
      <c r="A437" s="23">
        <f t="shared" si="7"/>
        <v>436</v>
      </c>
      <c r="B437" s="18"/>
      <c r="C437" s="17">
        <v>87965</v>
      </c>
      <c r="D437" s="17">
        <v>87965</v>
      </c>
      <c r="E437" s="17">
        <v>102919.04999999999</v>
      </c>
      <c r="F437" s="17">
        <v>122271.34999999999</v>
      </c>
      <c r="G437" s="17">
        <v>126669.59999999999</v>
      </c>
      <c r="H437" s="17">
        <v>136345.75</v>
      </c>
      <c r="I437" s="17">
        <v>126669.59999999999</v>
      </c>
      <c r="J437" s="17">
        <v>138105.04999999999</v>
      </c>
      <c r="K437" s="17">
        <v>124910.29999999999</v>
      </c>
      <c r="L437" s="17">
        <v>124910.29999999999</v>
      </c>
      <c r="M437" s="17">
        <v>142503.29999999999</v>
      </c>
      <c r="N437" s="17">
        <v>155698.04999999999</v>
      </c>
      <c r="O437" s="17">
        <v>155698.04999999999</v>
      </c>
      <c r="P437" s="17">
        <v>178568.94999999998</v>
      </c>
      <c r="Q437" s="17">
        <v>161855.59999999998</v>
      </c>
      <c r="R437" s="17">
        <v>167133.5</v>
      </c>
      <c r="S437" s="17">
        <v>182967.2</v>
      </c>
    </row>
    <row r="438" spans="1:19" ht="14.25">
      <c r="A438" s="23">
        <f t="shared" si="7"/>
        <v>437</v>
      </c>
      <c r="B438" s="18"/>
      <c r="C438" s="17">
        <v>0</v>
      </c>
      <c r="D438" s="17">
        <v>0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71175</v>
      </c>
      <c r="S438" s="17">
        <v>81851.25</v>
      </c>
    </row>
    <row r="439" spans="1:19" ht="14.25">
      <c r="A439" s="23">
        <f t="shared" si="7"/>
        <v>438</v>
      </c>
      <c r="B439" s="18"/>
      <c r="C439" s="17">
        <v>0</v>
      </c>
      <c r="D439" s="17">
        <v>0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93075</v>
      </c>
    </row>
    <row r="440" spans="1:19" ht="14.25">
      <c r="A440" s="23">
        <f t="shared" si="7"/>
        <v>439</v>
      </c>
      <c r="B440" s="18"/>
      <c r="C440" s="17">
        <v>0</v>
      </c>
      <c r="D440" s="17">
        <v>0</v>
      </c>
      <c r="E440" s="17">
        <v>0</v>
      </c>
      <c r="F440" s="17">
        <v>0</v>
      </c>
      <c r="G440" s="17">
        <v>71175</v>
      </c>
      <c r="H440" s="17">
        <v>71175</v>
      </c>
      <c r="I440" s="17">
        <v>71175</v>
      </c>
      <c r="J440" s="17">
        <v>71175</v>
      </c>
      <c r="K440" s="17">
        <v>77580.75</v>
      </c>
      <c r="L440" s="17">
        <v>83986.500000000015</v>
      </c>
      <c r="M440" s="17">
        <v>74022</v>
      </c>
      <c r="N440" s="17">
        <v>77580.75</v>
      </c>
      <c r="O440" s="17">
        <v>98933.250000000015</v>
      </c>
      <c r="P440" s="17">
        <v>104627.25000000001</v>
      </c>
      <c r="Q440" s="17">
        <v>93951.000000000015</v>
      </c>
      <c r="R440" s="17">
        <v>104627.25000000001</v>
      </c>
      <c r="S440" s="17">
        <v>121709.25000000001</v>
      </c>
    </row>
    <row r="441" spans="1:19" ht="14.25">
      <c r="A441" s="23">
        <f t="shared" si="7"/>
        <v>440</v>
      </c>
      <c r="B441" s="18"/>
      <c r="C441" s="17">
        <v>0</v>
      </c>
      <c r="D441" s="17">
        <v>0</v>
      </c>
      <c r="E441" s="17">
        <v>101105</v>
      </c>
      <c r="F441" s="17">
        <v>113237.6</v>
      </c>
      <c r="G441" s="17">
        <v>113237.6</v>
      </c>
      <c r="H441" s="17">
        <v>125370.20000000003</v>
      </c>
      <c r="I441" s="17">
        <v>125370.20000000003</v>
      </c>
      <c r="J441" s="17">
        <v>132447.55000000002</v>
      </c>
      <c r="K441" s="17">
        <v>156712.75000000003</v>
      </c>
      <c r="L441" s="17">
        <v>143569.10000000003</v>
      </c>
      <c r="M441" s="17">
        <v>157723.80000000005</v>
      </c>
      <c r="N441" s="17">
        <v>187044.25000000006</v>
      </c>
      <c r="O441" s="17">
        <v>185022.15000000005</v>
      </c>
      <c r="P441" s="17">
        <v>205243.15000000008</v>
      </c>
      <c r="Q441" s="17">
        <v>214342.60000000006</v>
      </c>
      <c r="R441" s="17">
        <v>202210.00000000006</v>
      </c>
      <c r="S441" s="17">
        <v>202210.00000000006</v>
      </c>
    </row>
    <row r="442" spans="1:19" ht="14.25">
      <c r="A442" s="23">
        <f t="shared" si="7"/>
        <v>441</v>
      </c>
      <c r="B442" s="18"/>
      <c r="C442" s="17">
        <v>0</v>
      </c>
      <c r="D442" s="17">
        <v>0</v>
      </c>
      <c r="E442" s="17">
        <v>0</v>
      </c>
      <c r="F442" s="17">
        <v>0</v>
      </c>
      <c r="G442" s="17">
        <v>0</v>
      </c>
      <c r="H442" s="17">
        <v>86870</v>
      </c>
      <c r="I442" s="17">
        <v>86870</v>
      </c>
      <c r="J442" s="17">
        <v>86870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</row>
    <row r="443" spans="1:19" ht="14.25">
      <c r="A443" s="23">
        <f t="shared" si="7"/>
        <v>442</v>
      </c>
      <c r="B443" s="18"/>
      <c r="C443" s="17">
        <v>0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7">
        <v>82125</v>
      </c>
      <c r="J443" s="17">
        <v>82125</v>
      </c>
      <c r="K443" s="17">
        <v>102656.25</v>
      </c>
      <c r="L443" s="17">
        <v>102656.25</v>
      </c>
      <c r="M443" s="17">
        <v>102656.25</v>
      </c>
      <c r="N443" s="17">
        <v>88695</v>
      </c>
      <c r="O443" s="17">
        <v>93622.500000000015</v>
      </c>
      <c r="P443" s="17">
        <v>107583.75</v>
      </c>
      <c r="Q443" s="17">
        <v>107583.75</v>
      </c>
      <c r="R443" s="17">
        <v>0</v>
      </c>
      <c r="S443" s="17">
        <v>0</v>
      </c>
    </row>
    <row r="444" spans="1:19" ht="14.25">
      <c r="A444" s="23">
        <f t="shared" si="7"/>
        <v>443</v>
      </c>
      <c r="B444" s="18"/>
      <c r="C444" s="17">
        <v>0</v>
      </c>
      <c r="D444" s="17">
        <v>0</v>
      </c>
      <c r="E444" s="17">
        <v>0</v>
      </c>
      <c r="F444" s="17">
        <v>0</v>
      </c>
      <c r="G444" s="17">
        <v>0</v>
      </c>
      <c r="H444" s="17">
        <v>69715</v>
      </c>
      <c r="I444" s="17">
        <v>69715</v>
      </c>
      <c r="J444" s="17">
        <v>69715</v>
      </c>
      <c r="K444" s="17">
        <v>81566.549999999988</v>
      </c>
      <c r="L444" s="17">
        <v>81566.549999999988</v>
      </c>
      <c r="M444" s="17">
        <v>92023.799999999988</v>
      </c>
      <c r="N444" s="17">
        <v>107361.09999999999</v>
      </c>
      <c r="O444" s="17">
        <v>112938.29999999999</v>
      </c>
      <c r="P444" s="17">
        <v>109452.54999999999</v>
      </c>
      <c r="Q444" s="17">
        <v>109452.54999999999</v>
      </c>
      <c r="R444" s="17">
        <v>109452.54999999999</v>
      </c>
      <c r="S444" s="17">
        <v>115726.9</v>
      </c>
    </row>
    <row r="445" spans="1:19" ht="14.25">
      <c r="A445" s="23">
        <f t="shared" si="7"/>
        <v>444</v>
      </c>
      <c r="B445" s="18"/>
      <c r="C445" s="17">
        <v>0</v>
      </c>
      <c r="D445" s="17">
        <v>0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87600</v>
      </c>
      <c r="S445" s="17">
        <v>105996</v>
      </c>
    </row>
    <row r="446" spans="1:19" ht="14.25">
      <c r="A446" s="23">
        <f t="shared" si="7"/>
        <v>445</v>
      </c>
      <c r="B446" s="18"/>
      <c r="C446" s="17">
        <v>0</v>
      </c>
      <c r="D446" s="17">
        <v>0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89060</v>
      </c>
      <c r="R446" s="17">
        <v>73919.8</v>
      </c>
      <c r="S446" s="17">
        <v>90841.2</v>
      </c>
    </row>
    <row r="447" spans="1:19" ht="14.25">
      <c r="A447" s="23">
        <f t="shared" si="7"/>
        <v>446</v>
      </c>
      <c r="B447" s="18"/>
      <c r="C447" s="17">
        <v>0</v>
      </c>
      <c r="D447" s="17">
        <v>0</v>
      </c>
      <c r="E447" s="17">
        <v>0</v>
      </c>
      <c r="F447" s="17">
        <v>0</v>
      </c>
      <c r="G447" s="17">
        <v>0</v>
      </c>
      <c r="H447" s="17">
        <v>0</v>
      </c>
      <c r="I447" s="17">
        <v>0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69715</v>
      </c>
      <c r="P447" s="17">
        <v>80172.25</v>
      </c>
      <c r="Q447" s="17">
        <v>80172.25</v>
      </c>
      <c r="R447" s="17">
        <v>85749.45</v>
      </c>
      <c r="S447" s="17">
        <v>89235.199999999997</v>
      </c>
    </row>
    <row r="448" spans="1:19" ht="14.25">
      <c r="A448" s="23">
        <f t="shared" si="7"/>
        <v>447</v>
      </c>
      <c r="B448" s="18"/>
      <c r="C448" s="17">
        <v>0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66065</v>
      </c>
      <c r="K448" s="17">
        <v>66065</v>
      </c>
      <c r="L448" s="17">
        <v>66065</v>
      </c>
      <c r="M448" s="17">
        <v>66065</v>
      </c>
      <c r="N448" s="17">
        <v>53512.65</v>
      </c>
      <c r="O448" s="17">
        <v>73332.150000000009</v>
      </c>
      <c r="P448" s="17">
        <v>73332.150000000009</v>
      </c>
      <c r="Q448" s="17">
        <v>63422.400000000001</v>
      </c>
      <c r="R448" s="17">
        <v>58797.850000000006</v>
      </c>
      <c r="S448" s="17">
        <v>58797.850000000006</v>
      </c>
    </row>
    <row r="449" spans="1:19" ht="14.25">
      <c r="A449" s="23">
        <f t="shared" si="7"/>
        <v>448</v>
      </c>
      <c r="B449" s="18"/>
      <c r="C449" s="17">
        <v>0</v>
      </c>
      <c r="D449" s="17">
        <v>0</v>
      </c>
      <c r="E449" s="17">
        <v>95995</v>
      </c>
      <c r="F449" s="17">
        <v>119033.8</v>
      </c>
      <c r="G449" s="17">
        <v>135352.94999999998</v>
      </c>
      <c r="H449" s="17">
        <v>135352.94999999998</v>
      </c>
      <c r="I449" s="17">
        <v>153592</v>
      </c>
      <c r="J449" s="17">
        <v>168951.19999999998</v>
      </c>
      <c r="K449" s="17">
        <v>191030.05</v>
      </c>
      <c r="L449" s="17">
        <v>216948.69999999998</v>
      </c>
      <c r="M449" s="17">
        <v>227508.14999999997</v>
      </c>
      <c r="N449" s="17">
        <v>224628.3</v>
      </c>
      <c r="O449" s="17">
        <v>208309.15</v>
      </c>
      <c r="P449" s="17">
        <v>224628.3</v>
      </c>
      <c r="Q449" s="17">
        <v>205429.29999999996</v>
      </c>
      <c r="R449" s="17">
        <v>215028.8</v>
      </c>
      <c r="S449" s="17">
        <v>215028.8</v>
      </c>
    </row>
    <row r="450" spans="1:19" ht="14.25">
      <c r="A450" s="23">
        <f t="shared" si="7"/>
        <v>449</v>
      </c>
      <c r="B450" s="18"/>
      <c r="C450" s="17">
        <v>74460</v>
      </c>
      <c r="D450" s="17">
        <v>64035.6</v>
      </c>
      <c r="E450" s="17">
        <v>64035.6</v>
      </c>
      <c r="F450" s="17">
        <v>81906</v>
      </c>
      <c r="G450" s="17">
        <v>90096.60000000002</v>
      </c>
      <c r="H450" s="17">
        <v>100521</v>
      </c>
      <c r="I450" s="17">
        <v>100521</v>
      </c>
      <c r="J450" s="17">
        <v>87118.200000000012</v>
      </c>
      <c r="K450" s="17">
        <v>81906</v>
      </c>
      <c r="L450" s="17">
        <v>96053.400000000009</v>
      </c>
      <c r="M450" s="17">
        <v>95308.800000000003</v>
      </c>
      <c r="N450" s="17">
        <v>86373.6</v>
      </c>
      <c r="O450" s="17">
        <v>107967.00000000001</v>
      </c>
      <c r="P450" s="17">
        <v>121369.8</v>
      </c>
      <c r="Q450" s="17">
        <v>137006.39999999999</v>
      </c>
      <c r="R450" s="17">
        <v>132538.79999999999</v>
      </c>
      <c r="S450" s="17">
        <v>132538.79999999999</v>
      </c>
    </row>
    <row r="451" spans="1:19" ht="14.25">
      <c r="A451" s="23">
        <f t="shared" ref="A451:A514" si="8">+A450+1</f>
        <v>450</v>
      </c>
      <c r="B451" s="18"/>
      <c r="C451" s="17">
        <v>101105</v>
      </c>
      <c r="D451" s="17">
        <v>115259.70000000001</v>
      </c>
      <c r="E451" s="17">
        <v>112226.55</v>
      </c>
      <c r="F451" s="17">
        <v>112226.55</v>
      </c>
      <c r="G451" s="17">
        <v>96049.75</v>
      </c>
      <c r="H451" s="17">
        <v>0</v>
      </c>
      <c r="I451" s="17">
        <v>0</v>
      </c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</row>
    <row r="452" spans="1:19" ht="14.25">
      <c r="A452" s="23">
        <f t="shared" si="8"/>
        <v>451</v>
      </c>
      <c r="B452" s="18"/>
      <c r="C452" s="17">
        <v>89425</v>
      </c>
      <c r="D452" s="17">
        <v>110887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</row>
    <row r="453" spans="1:19" ht="14.25">
      <c r="A453" s="23">
        <f t="shared" si="8"/>
        <v>452</v>
      </c>
      <c r="B453" s="18"/>
      <c r="C453" s="17">
        <v>0</v>
      </c>
      <c r="D453" s="17">
        <v>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  <c r="P453" s="17">
        <v>97455</v>
      </c>
      <c r="Q453" s="17">
        <v>97455</v>
      </c>
      <c r="R453" s="17">
        <v>119869.65</v>
      </c>
      <c r="S453" s="17">
        <v>112073.24999999999</v>
      </c>
    </row>
    <row r="454" spans="1:19" ht="14.25">
      <c r="A454" s="23">
        <f t="shared" si="8"/>
        <v>453</v>
      </c>
      <c r="B454" s="18"/>
      <c r="C454" s="17">
        <v>0</v>
      </c>
      <c r="D454" s="17">
        <v>0</v>
      </c>
      <c r="E454" s="17">
        <v>0</v>
      </c>
      <c r="F454" s="17">
        <v>0</v>
      </c>
      <c r="G454" s="17">
        <v>0</v>
      </c>
      <c r="H454" s="17">
        <v>77745</v>
      </c>
      <c r="I454" s="17">
        <v>83187.150000000009</v>
      </c>
      <c r="J454" s="17">
        <v>83187.150000000009</v>
      </c>
      <c r="K454" s="17">
        <v>88629.3</v>
      </c>
      <c r="L454" s="17">
        <v>88629.3</v>
      </c>
      <c r="M454" s="17">
        <v>88629.3</v>
      </c>
      <c r="N454" s="17">
        <v>80077.350000000006</v>
      </c>
      <c r="O454" s="17">
        <v>87074.400000000009</v>
      </c>
      <c r="P454" s="17">
        <v>104955.75</v>
      </c>
      <c r="Q454" s="17">
        <v>120504.75</v>
      </c>
      <c r="R454" s="17">
        <v>120504.75</v>
      </c>
      <c r="S454" s="17">
        <v>120504.75</v>
      </c>
    </row>
    <row r="455" spans="1:19" ht="14.25">
      <c r="A455" s="23">
        <f t="shared" si="8"/>
        <v>454</v>
      </c>
      <c r="B455" s="18"/>
      <c r="C455" s="17">
        <v>97090</v>
      </c>
      <c r="D455" s="17">
        <v>111653.49999999999</v>
      </c>
      <c r="E455" s="17">
        <v>118449.8</v>
      </c>
      <c r="F455" s="17">
        <v>132042.4</v>
      </c>
      <c r="G455" s="17">
        <v>121362.49999999999</v>
      </c>
      <c r="H455" s="17">
        <v>121362.49999999999</v>
      </c>
      <c r="I455" s="17">
        <v>121362.49999999999</v>
      </c>
      <c r="J455" s="17">
        <v>126216.99999999999</v>
      </c>
      <c r="K455" s="17">
        <v>151460.4</v>
      </c>
      <c r="L455" s="17">
        <v>165052.99999999997</v>
      </c>
      <c r="M455" s="17">
        <v>147576.79999999999</v>
      </c>
      <c r="N455" s="17">
        <v>147576.79999999999</v>
      </c>
      <c r="O455" s="17">
        <v>139809.59999999998</v>
      </c>
      <c r="P455" s="17">
        <v>121362.49999999999</v>
      </c>
      <c r="Q455" s="17">
        <v>138838.69999999998</v>
      </c>
      <c r="R455" s="17">
        <v>156314.89999999997</v>
      </c>
      <c r="S455" s="17">
        <v>156314.89999999997</v>
      </c>
    </row>
    <row r="456" spans="1:19" ht="14.25">
      <c r="A456" s="23">
        <f t="shared" si="8"/>
        <v>455</v>
      </c>
      <c r="B456" s="18"/>
      <c r="C456" s="17">
        <v>85775</v>
      </c>
      <c r="D456" s="17">
        <v>98641.249999999985</v>
      </c>
      <c r="E456" s="17">
        <v>98641.249999999985</v>
      </c>
      <c r="F456" s="17">
        <v>124373.75</v>
      </c>
      <c r="G456" s="17">
        <v>145817.5</v>
      </c>
      <c r="H456" s="17">
        <v>150964</v>
      </c>
      <c r="I456" s="17">
        <v>159541.5</v>
      </c>
      <c r="J456" s="17">
        <v>159541.5</v>
      </c>
      <c r="K456" s="17">
        <v>174123.25000000003</v>
      </c>
      <c r="L456" s="17">
        <v>181843</v>
      </c>
      <c r="M456" s="17">
        <v>193851.50000000003</v>
      </c>
      <c r="N456" s="17">
        <v>208433.25</v>
      </c>
      <c r="O456" s="17">
        <v>194709.25</v>
      </c>
      <c r="P456" s="17">
        <v>192993.75</v>
      </c>
      <c r="Q456" s="17">
        <v>192993.75</v>
      </c>
      <c r="R456" s="17">
        <v>199855.75</v>
      </c>
      <c r="S456" s="17">
        <v>0</v>
      </c>
    </row>
    <row r="457" spans="1:19" ht="14.25">
      <c r="A457" s="23">
        <f t="shared" si="8"/>
        <v>456</v>
      </c>
      <c r="B457" s="18"/>
      <c r="C457" s="17">
        <v>0</v>
      </c>
      <c r="D457" s="17">
        <v>0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68985</v>
      </c>
      <c r="N457" s="17">
        <v>62086.5</v>
      </c>
      <c r="O457" s="17">
        <v>66915.45</v>
      </c>
      <c r="P457" s="17">
        <v>75193.649999999994</v>
      </c>
      <c r="Q457" s="17">
        <v>64845.899999999987</v>
      </c>
      <c r="R457" s="17">
        <v>64845.899999999987</v>
      </c>
      <c r="S457" s="17">
        <v>80712.45</v>
      </c>
    </row>
    <row r="458" spans="1:19" ht="14.25">
      <c r="A458" s="23">
        <f t="shared" si="8"/>
        <v>457</v>
      </c>
      <c r="B458" s="18"/>
      <c r="C458" s="17">
        <v>0</v>
      </c>
      <c r="D458" s="17">
        <v>0</v>
      </c>
      <c r="E458" s="17">
        <v>0</v>
      </c>
      <c r="F458" s="17">
        <v>0</v>
      </c>
      <c r="G458" s="17">
        <v>82855</v>
      </c>
      <c r="H458" s="17">
        <v>72083.850000000006</v>
      </c>
      <c r="I458" s="17">
        <v>92797.6</v>
      </c>
      <c r="J458" s="17">
        <v>97768.900000000009</v>
      </c>
      <c r="K458" s="17">
        <v>84512.10000000002</v>
      </c>
      <c r="L458" s="17">
        <v>84512.10000000002</v>
      </c>
      <c r="M458" s="17">
        <v>67941.10000000002</v>
      </c>
      <c r="N458" s="17">
        <v>67941.10000000002</v>
      </c>
      <c r="O458" s="17">
        <v>67941.10000000002</v>
      </c>
      <c r="P458" s="17">
        <v>91140.500000000029</v>
      </c>
      <c r="Q458" s="17">
        <v>106054.40000000002</v>
      </c>
      <c r="R458" s="17">
        <v>126768.15000000002</v>
      </c>
      <c r="S458" s="17">
        <v>126768.15000000002</v>
      </c>
    </row>
    <row r="459" spans="1:19" ht="14.25">
      <c r="A459" s="23">
        <f t="shared" si="8"/>
        <v>458</v>
      </c>
      <c r="B459" s="18"/>
      <c r="C459" s="17">
        <v>90885</v>
      </c>
      <c r="D459" s="17">
        <v>105426.59999999999</v>
      </c>
      <c r="E459" s="17">
        <v>105426.59999999999</v>
      </c>
      <c r="F459" s="17">
        <v>105426.59999999999</v>
      </c>
      <c r="G459" s="17">
        <v>122694.74999999999</v>
      </c>
      <c r="H459" s="17">
        <v>122694.74999999999</v>
      </c>
      <c r="I459" s="17">
        <v>122694.74999999999</v>
      </c>
      <c r="J459" s="17">
        <v>109970.84999999999</v>
      </c>
      <c r="K459" s="17">
        <v>133600.95000000001</v>
      </c>
      <c r="L459" s="17">
        <v>147233.69999999998</v>
      </c>
      <c r="M459" s="17">
        <v>154504.5</v>
      </c>
      <c r="N459" s="17">
        <v>177225.75</v>
      </c>
      <c r="O459" s="17">
        <v>176316.9</v>
      </c>
      <c r="P459" s="17">
        <v>189949.65</v>
      </c>
      <c r="Q459" s="17">
        <v>213579.74999999997</v>
      </c>
      <c r="R459" s="17">
        <v>226303.64999999997</v>
      </c>
      <c r="S459" s="17">
        <v>250842.59999999998</v>
      </c>
    </row>
    <row r="460" spans="1:19" ht="14.25">
      <c r="A460" s="23">
        <f t="shared" si="8"/>
        <v>459</v>
      </c>
      <c r="B460" s="18"/>
      <c r="C460" s="17">
        <v>0</v>
      </c>
      <c r="D460" s="17">
        <v>0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75920</v>
      </c>
      <c r="L460" s="17">
        <v>75920</v>
      </c>
      <c r="M460" s="17">
        <v>62254.400000000001</v>
      </c>
      <c r="N460" s="17">
        <v>78956.800000000003</v>
      </c>
      <c r="O460" s="17">
        <v>78956.800000000003</v>
      </c>
      <c r="P460" s="17">
        <v>63772.800000000003</v>
      </c>
      <c r="Q460" s="17">
        <v>86548.800000000003</v>
      </c>
      <c r="R460" s="17">
        <v>102492</v>
      </c>
      <c r="S460" s="17">
        <v>117676</v>
      </c>
    </row>
    <row r="461" spans="1:19" ht="14.25">
      <c r="A461" s="23">
        <f t="shared" si="8"/>
        <v>460</v>
      </c>
      <c r="B461" s="18"/>
      <c r="C461" s="17">
        <v>0</v>
      </c>
      <c r="D461" s="17">
        <v>0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71905</v>
      </c>
      <c r="L461" s="17">
        <v>79814.55</v>
      </c>
      <c r="M461" s="17">
        <v>85566.950000000012</v>
      </c>
      <c r="N461" s="17">
        <v>85566.950000000012</v>
      </c>
      <c r="O461" s="17">
        <v>104981.30000000002</v>
      </c>
      <c r="P461" s="17">
        <v>117205.15000000001</v>
      </c>
      <c r="Q461" s="17">
        <v>102824.15000000001</v>
      </c>
      <c r="R461" s="17">
        <v>102824.15000000001</v>
      </c>
      <c r="S461" s="17">
        <v>96352.700000000012</v>
      </c>
    </row>
    <row r="462" spans="1:19" ht="14.25">
      <c r="A462" s="23">
        <f t="shared" si="8"/>
        <v>461</v>
      </c>
      <c r="B462" s="18"/>
      <c r="C462" s="17">
        <v>0</v>
      </c>
      <c r="D462" s="17">
        <v>77015</v>
      </c>
      <c r="E462" s="17">
        <v>77015</v>
      </c>
      <c r="F462" s="17">
        <v>87797.1</v>
      </c>
      <c r="G462" s="17">
        <v>107821.00000000001</v>
      </c>
      <c r="H462" s="17">
        <v>107821.00000000001</v>
      </c>
      <c r="I462" s="17">
        <v>99349.35</v>
      </c>
      <c r="J462" s="17">
        <v>99349.35</v>
      </c>
      <c r="K462" s="17">
        <v>110131.45000000001</v>
      </c>
      <c r="L462" s="17">
        <v>117832.95000000003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</row>
    <row r="463" spans="1:19" ht="14.25">
      <c r="A463" s="23">
        <f t="shared" si="8"/>
        <v>462</v>
      </c>
      <c r="B463" s="18"/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102565</v>
      </c>
    </row>
    <row r="464" spans="1:19" ht="14.25">
      <c r="A464" s="23">
        <f t="shared" si="8"/>
        <v>463</v>
      </c>
      <c r="B464" s="18"/>
      <c r="C464" s="17">
        <v>96725</v>
      </c>
      <c r="D464" s="17">
        <v>96725</v>
      </c>
      <c r="E464" s="17">
        <v>96725</v>
      </c>
      <c r="F464" s="17">
        <v>89954.25</v>
      </c>
      <c r="G464" s="17">
        <v>104462.99999999999</v>
      </c>
      <c r="H464" s="17">
        <v>89954.249999999985</v>
      </c>
      <c r="I464" s="17">
        <v>89954.249999999985</v>
      </c>
      <c r="J464" s="17">
        <v>98659.499999999985</v>
      </c>
      <c r="K464" s="17">
        <v>105430.24999999999</v>
      </c>
      <c r="L464" s="17">
        <v>105430.24999999999</v>
      </c>
      <c r="M464" s="17">
        <v>133480.5</v>
      </c>
      <c r="N464" s="17">
        <v>143153</v>
      </c>
      <c r="O464" s="17">
        <v>160563.5</v>
      </c>
      <c r="P464" s="17">
        <v>160563.5</v>
      </c>
      <c r="Q464" s="17">
        <v>169268.75</v>
      </c>
      <c r="R464" s="17">
        <v>169268.75</v>
      </c>
      <c r="S464" s="17">
        <v>182810.25</v>
      </c>
    </row>
    <row r="465" spans="1:19" ht="14.25">
      <c r="A465" s="23">
        <f t="shared" si="8"/>
        <v>464</v>
      </c>
      <c r="B465" s="18"/>
      <c r="C465" s="17">
        <v>94170</v>
      </c>
      <c r="D465" s="17">
        <v>109237.2</v>
      </c>
      <c r="E465" s="17">
        <v>109237.2</v>
      </c>
      <c r="F465" s="17">
        <v>127129.49999999999</v>
      </c>
      <c r="G465" s="17">
        <v>115829.09999999999</v>
      </c>
      <c r="H465" s="17">
        <v>120537.60000000001</v>
      </c>
      <c r="I465" s="17">
        <v>131838</v>
      </c>
      <c r="J465" s="17">
        <v>142196.70000000001</v>
      </c>
      <c r="K465" s="17">
        <v>135604.79999999999</v>
      </c>
      <c r="L465" s="17">
        <v>152555.4</v>
      </c>
      <c r="M465" s="17">
        <v>164797.5</v>
      </c>
      <c r="N465" s="17">
        <v>156322.19999999998</v>
      </c>
      <c r="O465" s="17">
        <v>156322.19999999998</v>
      </c>
      <c r="P465" s="17">
        <v>161972.4</v>
      </c>
      <c r="Q465" s="17">
        <v>174214.5</v>
      </c>
      <c r="R465" s="17">
        <v>193990.2</v>
      </c>
      <c r="S465" s="17">
        <v>0</v>
      </c>
    </row>
    <row r="466" spans="1:19" ht="14.25">
      <c r="A466" s="23">
        <f t="shared" si="8"/>
        <v>465</v>
      </c>
      <c r="B466" s="18"/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70445</v>
      </c>
      <c r="R466" s="17">
        <v>91578.5</v>
      </c>
      <c r="S466" s="17">
        <v>91578.5</v>
      </c>
    </row>
    <row r="467" spans="1:19" ht="14.25">
      <c r="A467" s="23">
        <f t="shared" si="8"/>
        <v>466</v>
      </c>
      <c r="B467" s="18"/>
      <c r="C467" s="17">
        <v>93440</v>
      </c>
      <c r="D467" s="17">
        <v>114931.2</v>
      </c>
      <c r="E467" s="17">
        <v>141094.39999999999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</row>
    <row r="468" spans="1:19" ht="14.25">
      <c r="A468" s="23">
        <f t="shared" si="8"/>
        <v>467</v>
      </c>
      <c r="B468" s="18"/>
      <c r="C468" s="17">
        <v>0</v>
      </c>
      <c r="D468" s="17">
        <v>0</v>
      </c>
      <c r="E468" s="17">
        <v>0</v>
      </c>
      <c r="F468" s="17">
        <v>0</v>
      </c>
      <c r="G468" s="17">
        <v>0</v>
      </c>
      <c r="H468" s="17">
        <v>0</v>
      </c>
      <c r="I468" s="17">
        <v>0</v>
      </c>
      <c r="J468" s="17">
        <v>0</v>
      </c>
      <c r="K468" s="17">
        <v>0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69715</v>
      </c>
    </row>
    <row r="469" spans="1:19" ht="14.25">
      <c r="A469" s="23">
        <f t="shared" si="8"/>
        <v>468</v>
      </c>
      <c r="B469" s="18"/>
      <c r="C469" s="17">
        <v>0</v>
      </c>
      <c r="D469" s="17">
        <v>0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82490</v>
      </c>
      <c r="K469" s="17">
        <v>90739.000000000015</v>
      </c>
      <c r="L469" s="17">
        <v>74241.000000000015</v>
      </c>
      <c r="M469" s="17">
        <v>94863.500000000015</v>
      </c>
      <c r="N469" s="17">
        <v>113836.20000000001</v>
      </c>
      <c r="O469" s="17">
        <v>113836.20000000001</v>
      </c>
      <c r="P469" s="17">
        <v>110536.6</v>
      </c>
      <c r="Q469" s="17">
        <v>110536.6</v>
      </c>
      <c r="R469" s="17">
        <v>121260.30000000002</v>
      </c>
      <c r="S469" s="17">
        <v>126209.70000000003</v>
      </c>
    </row>
    <row r="470" spans="1:19" ht="14.25">
      <c r="A470" s="23">
        <f t="shared" si="8"/>
        <v>469</v>
      </c>
      <c r="B470" s="18"/>
      <c r="C470" s="17">
        <v>0</v>
      </c>
      <c r="D470" s="17">
        <v>0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86870</v>
      </c>
      <c r="S470" s="17">
        <v>93819.6</v>
      </c>
    </row>
    <row r="471" spans="1:19" ht="14.25">
      <c r="A471" s="23">
        <f t="shared" si="8"/>
        <v>470</v>
      </c>
      <c r="B471" s="18"/>
      <c r="C471" s="17">
        <v>0</v>
      </c>
      <c r="D471" s="17">
        <v>0</v>
      </c>
      <c r="E471" s="17">
        <v>0</v>
      </c>
      <c r="F471" s="17">
        <v>0</v>
      </c>
      <c r="G471" s="17">
        <v>0</v>
      </c>
      <c r="H471" s="17">
        <v>0</v>
      </c>
      <c r="I471" s="17">
        <v>0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79570</v>
      </c>
      <c r="P471" s="17">
        <v>87527</v>
      </c>
      <c r="Q471" s="17">
        <v>78774.3</v>
      </c>
      <c r="R471" s="17">
        <v>89914.1</v>
      </c>
      <c r="S471" s="17">
        <v>108215.20000000001</v>
      </c>
    </row>
    <row r="472" spans="1:19" ht="14.25">
      <c r="A472" s="23">
        <f t="shared" si="8"/>
        <v>471</v>
      </c>
      <c r="B472" s="18"/>
      <c r="C472" s="17">
        <v>0</v>
      </c>
      <c r="D472" s="17">
        <v>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</row>
    <row r="473" spans="1:19" ht="14.25">
      <c r="A473" s="23">
        <f t="shared" si="8"/>
        <v>472</v>
      </c>
      <c r="B473" s="18"/>
      <c r="C473" s="17">
        <v>0</v>
      </c>
      <c r="D473" s="17">
        <v>0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98915</v>
      </c>
      <c r="O473" s="17">
        <v>98915</v>
      </c>
      <c r="P473" s="17">
        <v>122654.6</v>
      </c>
      <c r="Q473" s="17">
        <v>138481</v>
      </c>
      <c r="R473" s="17">
        <v>138481</v>
      </c>
      <c r="S473" s="17">
        <v>163209.75</v>
      </c>
    </row>
    <row r="474" spans="1:19" ht="14.25">
      <c r="A474" s="23">
        <f t="shared" si="8"/>
        <v>473</v>
      </c>
      <c r="B474" s="18"/>
      <c r="C474" s="17">
        <v>0</v>
      </c>
      <c r="D474" s="17">
        <v>0</v>
      </c>
      <c r="E474" s="17">
        <v>0</v>
      </c>
      <c r="F474" s="17">
        <v>0</v>
      </c>
      <c r="G474" s="17">
        <v>0</v>
      </c>
      <c r="H474" s="17">
        <v>0</v>
      </c>
      <c r="I474" s="17">
        <v>0</v>
      </c>
      <c r="J474" s="17">
        <v>65700</v>
      </c>
      <c r="K474" s="17">
        <v>65700</v>
      </c>
      <c r="L474" s="17">
        <v>79497</v>
      </c>
      <c r="M474" s="17">
        <v>78183</v>
      </c>
      <c r="N474" s="17">
        <v>95265</v>
      </c>
      <c r="O474" s="17">
        <v>107091</v>
      </c>
      <c r="P474" s="17">
        <v>126144</v>
      </c>
      <c r="Q474" s="17">
        <v>132714</v>
      </c>
      <c r="R474" s="17">
        <v>143883</v>
      </c>
      <c r="S474" s="17">
        <v>158337</v>
      </c>
    </row>
    <row r="475" spans="1:19" ht="14.25">
      <c r="A475" s="23">
        <f t="shared" si="8"/>
        <v>474</v>
      </c>
      <c r="B475" s="18"/>
      <c r="C475" s="17">
        <v>81760</v>
      </c>
      <c r="D475" s="17">
        <v>81760</v>
      </c>
      <c r="E475" s="17">
        <v>65408</v>
      </c>
      <c r="F475" s="17">
        <v>80942.399999999994</v>
      </c>
      <c r="G475" s="17">
        <v>91571.200000000012</v>
      </c>
      <c r="H475" s="17">
        <v>100564.80000000002</v>
      </c>
      <c r="I475" s="17">
        <v>116916.80000000002</v>
      </c>
      <c r="J475" s="17">
        <v>129998.40000000001</v>
      </c>
      <c r="K475" s="17">
        <v>138992</v>
      </c>
      <c r="L475" s="17">
        <v>158614.40000000002</v>
      </c>
      <c r="M475" s="17">
        <v>154526.40000000002</v>
      </c>
      <c r="N475" s="17">
        <v>177419.19999999998</v>
      </c>
      <c r="O475" s="17">
        <v>177419.19999999998</v>
      </c>
      <c r="P475" s="17">
        <v>177419.19999999998</v>
      </c>
      <c r="Q475" s="17">
        <v>177419.19999999998</v>
      </c>
      <c r="R475" s="17">
        <v>164337.59999999998</v>
      </c>
      <c r="S475" s="17">
        <v>0</v>
      </c>
    </row>
    <row r="476" spans="1:19" ht="14.25">
      <c r="A476" s="23">
        <f t="shared" si="8"/>
        <v>475</v>
      </c>
      <c r="B476" s="18"/>
      <c r="C476" s="17">
        <v>0</v>
      </c>
      <c r="D476" s="17">
        <v>0</v>
      </c>
      <c r="E476" s="17">
        <v>0</v>
      </c>
      <c r="F476" s="17">
        <v>0</v>
      </c>
      <c r="G476" s="17">
        <v>85045</v>
      </c>
      <c r="H476" s="17">
        <v>85045</v>
      </c>
      <c r="I476" s="17">
        <v>89297.25</v>
      </c>
      <c r="J476" s="17">
        <v>110558.5</v>
      </c>
      <c r="K476" s="17">
        <v>120763.9</v>
      </c>
      <c r="L476" s="17">
        <v>133520.65</v>
      </c>
      <c r="M476" s="17">
        <v>133520.65</v>
      </c>
      <c r="N476" s="17">
        <v>128417.94999999998</v>
      </c>
      <c r="O476" s="17">
        <v>137772.9</v>
      </c>
      <c r="P476" s="17">
        <v>159884.59999999998</v>
      </c>
      <c r="Q476" s="17">
        <v>180295.40000000002</v>
      </c>
      <c r="R476" s="17">
        <v>201556.65000000002</v>
      </c>
      <c r="S476" s="17">
        <v>217715.20000000001</v>
      </c>
    </row>
    <row r="477" spans="1:19" ht="14.25">
      <c r="A477" s="23">
        <f t="shared" si="8"/>
        <v>476</v>
      </c>
      <c r="B477" s="18"/>
      <c r="C477" s="17">
        <v>86140</v>
      </c>
      <c r="D477" s="17">
        <v>95615.400000000009</v>
      </c>
      <c r="E477" s="17">
        <v>95615.400000000009</v>
      </c>
      <c r="F477" s="17">
        <v>115427.6</v>
      </c>
      <c r="G477" s="17">
        <v>130071.4</v>
      </c>
      <c r="H477" s="17">
        <v>130071.4</v>
      </c>
      <c r="I477" s="17">
        <v>130071.4</v>
      </c>
      <c r="J477" s="17">
        <v>116289.00000000001</v>
      </c>
      <c r="K477" s="17">
        <v>116289.00000000001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</row>
    <row r="478" spans="1:19" ht="14.25">
      <c r="A478" s="23">
        <f t="shared" si="8"/>
        <v>477</v>
      </c>
      <c r="B478" s="18"/>
      <c r="C478" s="17">
        <v>0</v>
      </c>
      <c r="D478" s="17">
        <v>0</v>
      </c>
      <c r="E478" s="17">
        <v>0</v>
      </c>
      <c r="F478" s="17">
        <v>0</v>
      </c>
      <c r="G478" s="17">
        <v>65700</v>
      </c>
      <c r="H478" s="17">
        <v>62415</v>
      </c>
      <c r="I478" s="17">
        <v>62415</v>
      </c>
      <c r="J478" s="17">
        <v>82125</v>
      </c>
      <c r="K478" s="17">
        <v>90009</v>
      </c>
      <c r="L478" s="17">
        <v>101835</v>
      </c>
      <c r="M478" s="17">
        <v>101835</v>
      </c>
      <c r="N478" s="17">
        <v>118917</v>
      </c>
      <c r="O478" s="17">
        <v>118917</v>
      </c>
      <c r="P478" s="17">
        <v>127458</v>
      </c>
      <c r="Q478" s="17">
        <v>137313</v>
      </c>
      <c r="R478" s="17">
        <v>147167.99999999997</v>
      </c>
      <c r="S478" s="17">
        <v>164250</v>
      </c>
    </row>
    <row r="479" spans="1:19" ht="14.25">
      <c r="A479" s="23">
        <f t="shared" si="8"/>
        <v>478</v>
      </c>
      <c r="B479" s="18"/>
      <c r="C479" s="17">
        <v>0</v>
      </c>
      <c r="D479" s="17">
        <v>94535</v>
      </c>
      <c r="E479" s="17">
        <v>113442</v>
      </c>
      <c r="F479" s="17">
        <v>110605.95</v>
      </c>
      <c r="G479" s="17">
        <v>138021.1</v>
      </c>
      <c r="H479" s="17">
        <v>134239.69999999998</v>
      </c>
      <c r="I479" s="17">
        <v>146529.24999999997</v>
      </c>
      <c r="J479" s="17">
        <v>146529.24999999997</v>
      </c>
      <c r="K479" s="17">
        <v>146529.24999999997</v>
      </c>
      <c r="L479" s="17">
        <v>133294.34999999998</v>
      </c>
      <c r="M479" s="17">
        <v>128567.59999999996</v>
      </c>
      <c r="N479" s="17">
        <v>150310.64999999997</v>
      </c>
      <c r="O479" s="17">
        <v>177725.79999999996</v>
      </c>
      <c r="P479" s="17">
        <v>177725.79999999996</v>
      </c>
      <c r="Q479" s="17">
        <v>186233.94999999998</v>
      </c>
      <c r="R479" s="17">
        <v>194742.09999999998</v>
      </c>
      <c r="S479" s="17">
        <v>203250.24999999994</v>
      </c>
    </row>
    <row r="480" spans="1:19" ht="14.25">
      <c r="A480" s="23">
        <f t="shared" si="8"/>
        <v>479</v>
      </c>
      <c r="B480" s="18"/>
      <c r="C480" s="17">
        <v>79205</v>
      </c>
      <c r="D480" s="17">
        <v>72868.600000000006</v>
      </c>
      <c r="E480" s="17">
        <v>81581.150000000009</v>
      </c>
      <c r="F480" s="17">
        <v>91085.75</v>
      </c>
      <c r="G480" s="17">
        <v>103758.54999999999</v>
      </c>
      <c r="H480" s="17">
        <v>103758.54999999999</v>
      </c>
      <c r="I480" s="17">
        <v>91085.75</v>
      </c>
      <c r="J480" s="17">
        <v>104550.59999999999</v>
      </c>
      <c r="K480" s="17">
        <v>114847.24999999999</v>
      </c>
      <c r="L480" s="17">
        <v>99798.299999999988</v>
      </c>
      <c r="M480" s="17">
        <v>106926.74999999999</v>
      </c>
      <c r="N480" s="17">
        <v>111679.04999999999</v>
      </c>
      <c r="O480" s="17">
        <v>96630.099999999991</v>
      </c>
      <c r="P480" s="17">
        <v>106926.75</v>
      </c>
      <c r="Q480" s="17">
        <v>106926.75</v>
      </c>
      <c r="R480" s="17">
        <v>121975.7</v>
      </c>
      <c r="S480" s="17">
        <v>137816.70000000001</v>
      </c>
    </row>
    <row r="481" spans="1:19" ht="14.25">
      <c r="A481" s="23">
        <f t="shared" si="8"/>
        <v>480</v>
      </c>
      <c r="B481" s="18"/>
      <c r="C481" s="17">
        <v>0</v>
      </c>
      <c r="D481" s="17">
        <v>0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91615</v>
      </c>
      <c r="M481" s="17">
        <v>103524.95</v>
      </c>
      <c r="N481" s="17">
        <v>103524.95</v>
      </c>
      <c r="O481" s="17">
        <v>103524.95</v>
      </c>
      <c r="P481" s="17">
        <v>128260.99999999999</v>
      </c>
      <c r="Q481" s="17">
        <v>141087.1</v>
      </c>
      <c r="R481" s="17">
        <v>162158.54999999999</v>
      </c>
      <c r="S481" s="17">
        <v>181397.7</v>
      </c>
    </row>
    <row r="482" spans="1:19" ht="14.25">
      <c r="A482" s="23">
        <f t="shared" si="8"/>
        <v>481</v>
      </c>
      <c r="B482" s="18"/>
      <c r="C482" s="17">
        <v>88695</v>
      </c>
      <c r="D482" s="17">
        <v>104660.09999999999</v>
      </c>
      <c r="E482" s="17">
        <v>104660.09999999999</v>
      </c>
      <c r="F482" s="17">
        <v>111755.7</v>
      </c>
      <c r="G482" s="17">
        <v>133929.45000000001</v>
      </c>
      <c r="H482" s="17">
        <v>133929.45000000001</v>
      </c>
      <c r="I482" s="17">
        <v>158764.05000000002</v>
      </c>
      <c r="J482" s="17">
        <v>178276.95</v>
      </c>
      <c r="K482" s="17">
        <v>173842.2</v>
      </c>
      <c r="L482" s="17">
        <v>173842.2</v>
      </c>
      <c r="M482" s="17">
        <v>166746.6</v>
      </c>
      <c r="N482" s="17">
        <v>155216.25</v>
      </c>
      <c r="O482" s="17">
        <v>154329.29999999999</v>
      </c>
      <c r="P482" s="17">
        <v>175616.1</v>
      </c>
      <c r="Q482" s="17">
        <v>202224.59999999998</v>
      </c>
      <c r="R482" s="17">
        <v>225285.30000000002</v>
      </c>
      <c r="S482" s="17">
        <v>233267.84999999998</v>
      </c>
    </row>
    <row r="483" spans="1:19" ht="14.25">
      <c r="A483" s="23">
        <f t="shared" si="8"/>
        <v>482</v>
      </c>
      <c r="B483" s="18"/>
      <c r="C483" s="17">
        <v>0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86505</v>
      </c>
      <c r="K483" s="17">
        <v>102075.9</v>
      </c>
      <c r="L483" s="17">
        <v>120241.95</v>
      </c>
      <c r="M483" s="17">
        <v>145328.4</v>
      </c>
      <c r="N483" s="17">
        <v>128892.45</v>
      </c>
      <c r="O483" s="17">
        <v>141003.15</v>
      </c>
      <c r="P483" s="17">
        <v>161764.34999999998</v>
      </c>
      <c r="Q483" s="17">
        <v>161764.34999999998</v>
      </c>
      <c r="R483" s="17">
        <v>173010</v>
      </c>
      <c r="S483" s="17">
        <v>193771.2</v>
      </c>
    </row>
    <row r="484" spans="1:19" ht="14.25">
      <c r="A484" s="23">
        <f t="shared" si="8"/>
        <v>483</v>
      </c>
      <c r="B484" s="18"/>
      <c r="C484" s="17">
        <v>91615</v>
      </c>
      <c r="D484" s="17">
        <v>99860.35</v>
      </c>
      <c r="E484" s="17">
        <v>118183.35</v>
      </c>
      <c r="F484" s="17">
        <v>105357.24999999999</v>
      </c>
      <c r="G484" s="17">
        <v>110854.15</v>
      </c>
      <c r="H484" s="17">
        <v>135590.20000000001</v>
      </c>
      <c r="I484" s="17">
        <v>135590.20000000001</v>
      </c>
      <c r="J484" s="17">
        <v>141087.1</v>
      </c>
      <c r="K484" s="17">
        <v>166739.30000000002</v>
      </c>
      <c r="L484" s="17">
        <v>176816.95</v>
      </c>
      <c r="M484" s="17">
        <v>181397.7</v>
      </c>
      <c r="N484" s="17">
        <v>207966.05</v>
      </c>
      <c r="O484" s="17">
        <v>207966.05</v>
      </c>
      <c r="P484" s="17">
        <v>233618.24999999997</v>
      </c>
      <c r="Q484" s="17">
        <v>231785.94999999998</v>
      </c>
      <c r="R484" s="17">
        <v>231785.94999999998</v>
      </c>
      <c r="S484" s="17">
        <v>0</v>
      </c>
    </row>
    <row r="485" spans="1:19" ht="14.25">
      <c r="A485" s="23">
        <f t="shared" si="8"/>
        <v>484</v>
      </c>
      <c r="B485" s="18"/>
      <c r="C485" s="17">
        <v>0</v>
      </c>
      <c r="D485" s="17">
        <v>98550</v>
      </c>
      <c r="E485" s="17">
        <v>108405.00000000001</v>
      </c>
      <c r="F485" s="17">
        <v>135999</v>
      </c>
      <c r="G485" s="17">
        <v>127129.5</v>
      </c>
      <c r="H485" s="17">
        <v>132057</v>
      </c>
      <c r="I485" s="17">
        <v>132057</v>
      </c>
      <c r="J485" s="17">
        <v>155709</v>
      </c>
      <c r="K485" s="17">
        <v>172462.5</v>
      </c>
      <c r="L485" s="17">
        <v>189216</v>
      </c>
      <c r="M485" s="17">
        <v>189216</v>
      </c>
      <c r="N485" s="17">
        <v>169506</v>
      </c>
      <c r="O485" s="17">
        <v>184288.5</v>
      </c>
      <c r="P485" s="17">
        <v>211882.5</v>
      </c>
      <c r="Q485" s="17">
        <v>232578</v>
      </c>
      <c r="R485" s="17">
        <v>232578</v>
      </c>
      <c r="S485" s="17">
        <v>255244.5</v>
      </c>
    </row>
    <row r="486" spans="1:19" ht="14.25">
      <c r="A486" s="23">
        <f t="shared" si="8"/>
        <v>485</v>
      </c>
      <c r="B486" s="18"/>
      <c r="C486" s="17">
        <v>0</v>
      </c>
      <c r="D486" s="17">
        <v>0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77745</v>
      </c>
      <c r="M486" s="17">
        <v>99513.600000000006</v>
      </c>
      <c r="N486" s="17">
        <v>118949.85</v>
      </c>
      <c r="O486" s="17">
        <v>118949.85</v>
      </c>
      <c r="P486" s="17">
        <v>118949.85</v>
      </c>
      <c r="Q486" s="17">
        <v>139163.54999999999</v>
      </c>
      <c r="R486" s="17">
        <v>152380.20000000001</v>
      </c>
      <c r="S486" s="17">
        <v>164819.4</v>
      </c>
    </row>
    <row r="487" spans="1:19" ht="14.25">
      <c r="A487" s="23">
        <f t="shared" si="8"/>
        <v>486</v>
      </c>
      <c r="B487" s="18"/>
      <c r="C487" s="17">
        <v>0</v>
      </c>
      <c r="D487" s="17">
        <v>0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67890</v>
      </c>
      <c r="R487" s="17">
        <v>80789.099999999991</v>
      </c>
      <c r="S487" s="17">
        <v>86899.199999999997</v>
      </c>
    </row>
    <row r="488" spans="1:19" ht="14.25">
      <c r="A488" s="23">
        <f t="shared" si="8"/>
        <v>487</v>
      </c>
      <c r="B488" s="18"/>
      <c r="C488" s="17">
        <v>82490</v>
      </c>
      <c r="D488" s="17">
        <v>88264.3</v>
      </c>
      <c r="E488" s="17">
        <v>80840.200000000012</v>
      </c>
      <c r="F488" s="17">
        <v>96513.300000000017</v>
      </c>
      <c r="G488" s="17">
        <v>96513.300000000017</v>
      </c>
      <c r="H488" s="17">
        <v>96513.300000000017</v>
      </c>
      <c r="I488" s="17">
        <v>89089.200000000012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</row>
    <row r="489" spans="1:19" ht="14.25">
      <c r="A489" s="23">
        <f t="shared" si="8"/>
        <v>488</v>
      </c>
      <c r="B489" s="18"/>
      <c r="C489" s="17">
        <v>0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90155</v>
      </c>
      <c r="K489" s="17">
        <v>104579.79999999999</v>
      </c>
      <c r="L489" s="17">
        <v>122610.79999999999</v>
      </c>
      <c r="M489" s="17">
        <v>141543.34999999998</v>
      </c>
      <c r="N489" s="17">
        <v>141543.34999999998</v>
      </c>
      <c r="O489" s="17">
        <v>127118.54999999999</v>
      </c>
      <c r="P489" s="17">
        <v>127118.54999999999</v>
      </c>
      <c r="Q489" s="17">
        <v>137035.6</v>
      </c>
      <c r="R489" s="17">
        <v>158672.79999999999</v>
      </c>
      <c r="S489" s="17">
        <v>141543.35</v>
      </c>
    </row>
    <row r="490" spans="1:19" ht="14.25">
      <c r="A490" s="23">
        <f t="shared" si="8"/>
        <v>489</v>
      </c>
      <c r="B490" s="18"/>
      <c r="C490" s="17">
        <v>0</v>
      </c>
      <c r="D490" s="17">
        <v>0</v>
      </c>
      <c r="E490" s="17">
        <v>0</v>
      </c>
      <c r="F490" s="17">
        <v>0</v>
      </c>
      <c r="G490" s="17">
        <v>74460</v>
      </c>
      <c r="H490" s="17">
        <v>79672.200000000012</v>
      </c>
      <c r="I490" s="17">
        <v>89352.000000000015</v>
      </c>
      <c r="J490" s="17">
        <v>83395.200000000012</v>
      </c>
      <c r="K490" s="17">
        <v>99031.8</v>
      </c>
      <c r="L490" s="17">
        <v>120625.20000000001</v>
      </c>
      <c r="M490" s="17">
        <v>140729.40000000002</v>
      </c>
      <c r="N490" s="17">
        <v>145941.6</v>
      </c>
      <c r="O490" s="17">
        <v>145941.6</v>
      </c>
      <c r="P490" s="17">
        <v>145941.6</v>
      </c>
      <c r="Q490" s="17">
        <v>139984.80000000002</v>
      </c>
      <c r="R490" s="17">
        <v>143707.80000000002</v>
      </c>
      <c r="S490" s="17">
        <v>154876.80000000002</v>
      </c>
    </row>
    <row r="491" spans="1:19" ht="14.25">
      <c r="A491" s="23">
        <f t="shared" si="8"/>
        <v>490</v>
      </c>
      <c r="B491" s="18"/>
      <c r="C491" s="17">
        <v>0</v>
      </c>
      <c r="D491" s="17">
        <v>0</v>
      </c>
      <c r="E491" s="17">
        <v>0</v>
      </c>
      <c r="F491" s="17">
        <v>0</v>
      </c>
      <c r="G491" s="17">
        <v>0</v>
      </c>
      <c r="H491" s="17">
        <v>0</v>
      </c>
      <c r="I491" s="17">
        <v>0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89425</v>
      </c>
    </row>
    <row r="492" spans="1:19" ht="14.25">
      <c r="A492" s="23">
        <f t="shared" si="8"/>
        <v>491</v>
      </c>
      <c r="B492" s="18"/>
      <c r="C492" s="17">
        <v>0</v>
      </c>
      <c r="D492" s="17">
        <v>0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91615</v>
      </c>
      <c r="R492" s="17">
        <v>91615</v>
      </c>
      <c r="S492" s="17">
        <v>109021.84999999999</v>
      </c>
    </row>
    <row r="493" spans="1:19" ht="14.25">
      <c r="A493" s="23">
        <f t="shared" si="8"/>
        <v>492</v>
      </c>
      <c r="B493" s="18"/>
      <c r="C493" s="17">
        <v>0</v>
      </c>
      <c r="D493" s="17">
        <v>0</v>
      </c>
      <c r="E493" s="17">
        <v>0</v>
      </c>
      <c r="F493" s="17">
        <v>0</v>
      </c>
      <c r="G493" s="17">
        <v>0</v>
      </c>
      <c r="H493" s="17">
        <v>0</v>
      </c>
      <c r="I493" s="17">
        <v>0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98185</v>
      </c>
      <c r="P493" s="17">
        <v>109967.20000000001</v>
      </c>
      <c r="Q493" s="17">
        <v>136477.15000000002</v>
      </c>
      <c r="R493" s="17">
        <v>136477.15000000002</v>
      </c>
      <c r="S493" s="17">
        <v>161023.40000000002</v>
      </c>
    </row>
    <row r="494" spans="1:19" ht="14.25">
      <c r="A494" s="23">
        <f t="shared" si="8"/>
        <v>493</v>
      </c>
      <c r="B494" s="18"/>
      <c r="C494" s="17">
        <v>0</v>
      </c>
      <c r="D494" s="17">
        <v>0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103660</v>
      </c>
      <c r="P494" s="17">
        <v>112989.40000000001</v>
      </c>
      <c r="Q494" s="17">
        <v>130611.6</v>
      </c>
      <c r="R494" s="17">
        <v>128538.4</v>
      </c>
      <c r="S494" s="17">
        <v>124392</v>
      </c>
    </row>
    <row r="495" spans="1:19" ht="14.25">
      <c r="A495" s="23">
        <f t="shared" si="8"/>
        <v>494</v>
      </c>
      <c r="B495" s="18"/>
      <c r="C495" s="17">
        <v>0</v>
      </c>
      <c r="D495" s="17">
        <v>104390</v>
      </c>
      <c r="E495" s="17">
        <v>97082.7</v>
      </c>
      <c r="F495" s="17">
        <v>97082.7</v>
      </c>
      <c r="G495" s="17">
        <v>97082.7</v>
      </c>
      <c r="H495" s="17">
        <v>116916.79999999999</v>
      </c>
      <c r="I495" s="17">
        <v>114828.99999999999</v>
      </c>
      <c r="J495" s="17">
        <v>121092.4</v>
      </c>
      <c r="K495" s="17">
        <v>134663.1</v>
      </c>
      <c r="L495" s="17">
        <v>134663.1</v>
      </c>
      <c r="M495" s="17">
        <v>149277.70000000001</v>
      </c>
      <c r="N495" s="17">
        <v>173287.40000000002</v>
      </c>
      <c r="O495" s="17">
        <v>178506.90000000002</v>
      </c>
      <c r="P495" s="17">
        <v>178506.90000000002</v>
      </c>
      <c r="Q495" s="17">
        <v>201472.7</v>
      </c>
      <c r="R495" s="17">
        <v>211911.7</v>
      </c>
      <c r="S495" s="17">
        <v>218175.10000000003</v>
      </c>
    </row>
    <row r="496" spans="1:19" ht="14.25">
      <c r="A496" s="23">
        <f t="shared" si="8"/>
        <v>495</v>
      </c>
      <c r="B496" s="18"/>
      <c r="C496" s="17">
        <v>0</v>
      </c>
      <c r="D496" s="17">
        <v>0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95630</v>
      </c>
      <c r="R496" s="17">
        <v>102324.1</v>
      </c>
      <c r="S496" s="17">
        <v>129100.50000000001</v>
      </c>
    </row>
    <row r="497" spans="1:19" ht="14.25">
      <c r="A497" s="23">
        <f t="shared" si="8"/>
        <v>496</v>
      </c>
      <c r="B497" s="18"/>
      <c r="C497" s="17">
        <v>0</v>
      </c>
      <c r="D497" s="17">
        <v>0</v>
      </c>
      <c r="E497" s="17">
        <v>0</v>
      </c>
      <c r="F497" s="17">
        <v>0</v>
      </c>
      <c r="G497" s="17">
        <v>0</v>
      </c>
      <c r="H497" s="17">
        <v>0</v>
      </c>
      <c r="I497" s="17">
        <v>0</v>
      </c>
      <c r="J497" s="17">
        <v>0</v>
      </c>
      <c r="K497" s="17">
        <v>0</v>
      </c>
      <c r="L497" s="17">
        <v>0</v>
      </c>
      <c r="M497" s="17">
        <v>0</v>
      </c>
      <c r="N497" s="17">
        <v>86870</v>
      </c>
      <c r="O497" s="17">
        <v>103375.29999999999</v>
      </c>
      <c r="P497" s="17">
        <v>113799.70000000001</v>
      </c>
      <c r="Q497" s="17">
        <v>137254.6</v>
      </c>
      <c r="R497" s="17">
        <v>143335.5</v>
      </c>
      <c r="S497" s="17">
        <v>166790.40000000002</v>
      </c>
    </row>
    <row r="498" spans="1:19" ht="14.25">
      <c r="A498" s="23">
        <f t="shared" si="8"/>
        <v>497</v>
      </c>
      <c r="B498" s="18"/>
      <c r="C498" s="17">
        <v>0</v>
      </c>
      <c r="D498" s="17">
        <v>0</v>
      </c>
      <c r="E498" s="17">
        <v>0</v>
      </c>
      <c r="F498" s="17">
        <v>0</v>
      </c>
      <c r="G498" s="17">
        <v>0</v>
      </c>
      <c r="H498" s="17">
        <v>0</v>
      </c>
      <c r="I498" s="17">
        <v>0</v>
      </c>
      <c r="J498" s="17">
        <v>0</v>
      </c>
      <c r="K498" s="17">
        <v>0</v>
      </c>
      <c r="L498" s="17">
        <v>0</v>
      </c>
      <c r="M498" s="17">
        <v>0</v>
      </c>
      <c r="N498" s="17">
        <v>98915</v>
      </c>
      <c r="O498" s="17">
        <v>115730.54999999999</v>
      </c>
      <c r="P498" s="17">
        <v>137491.84999999998</v>
      </c>
      <c r="Q498" s="17">
        <v>121665.45</v>
      </c>
      <c r="R498" s="17">
        <v>149361.65</v>
      </c>
      <c r="S498" s="17">
        <v>149361.65</v>
      </c>
    </row>
    <row r="499" spans="1:19" ht="14.25">
      <c r="A499" s="23">
        <f t="shared" si="8"/>
        <v>498</v>
      </c>
      <c r="B499" s="18"/>
      <c r="C499" s="17">
        <v>0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103660</v>
      </c>
      <c r="M499" s="17">
        <v>133721.4</v>
      </c>
      <c r="N499" s="17">
        <v>133721.4</v>
      </c>
      <c r="O499" s="17">
        <v>144087.40000000002</v>
      </c>
      <c r="P499" s="17">
        <v>167929.2</v>
      </c>
      <c r="Q499" s="17">
        <v>167929.2</v>
      </c>
      <c r="R499" s="17">
        <v>167929.2</v>
      </c>
      <c r="S499" s="17">
        <v>147197.20000000001</v>
      </c>
    </row>
    <row r="500" spans="1:19" ht="14.25">
      <c r="A500" s="23">
        <f t="shared" si="8"/>
        <v>499</v>
      </c>
      <c r="B500" s="18"/>
      <c r="C500" s="17">
        <v>71175</v>
      </c>
      <c r="D500" s="17">
        <v>81851.25</v>
      </c>
      <c r="E500" s="17">
        <v>95374.499999999985</v>
      </c>
      <c r="F500" s="17">
        <v>98933.25</v>
      </c>
      <c r="G500" s="17">
        <v>111032.99999999999</v>
      </c>
      <c r="H500" s="17">
        <v>111032.99999999999</v>
      </c>
      <c r="I500" s="17">
        <v>128826.74999999999</v>
      </c>
      <c r="J500" s="17">
        <v>138079.5</v>
      </c>
      <c r="K500" s="17">
        <v>131673.75</v>
      </c>
      <c r="L500" s="17">
        <v>131673.75</v>
      </c>
      <c r="M500" s="17">
        <v>121709.25</v>
      </c>
      <c r="N500" s="17">
        <v>125268</v>
      </c>
      <c r="O500" s="17">
        <v>125268</v>
      </c>
      <c r="P500" s="17">
        <v>121709.25</v>
      </c>
      <c r="Q500" s="17">
        <v>121709.25</v>
      </c>
      <c r="R500" s="17">
        <v>125979.75</v>
      </c>
      <c r="S500" s="17">
        <v>135232.5</v>
      </c>
    </row>
    <row r="501" spans="1:19" ht="14.25">
      <c r="A501" s="23">
        <f t="shared" si="8"/>
        <v>500</v>
      </c>
      <c r="B501" s="18"/>
      <c r="C501" s="17">
        <v>0</v>
      </c>
      <c r="D501" s="17">
        <v>0</v>
      </c>
      <c r="E501" s="17">
        <v>0</v>
      </c>
      <c r="F501" s="17">
        <v>0</v>
      </c>
      <c r="G501" s="17">
        <v>0</v>
      </c>
      <c r="H501" s="17">
        <v>0</v>
      </c>
      <c r="I501" s="17">
        <v>0</v>
      </c>
      <c r="J501" s="17">
        <v>0</v>
      </c>
      <c r="K501" s="17">
        <v>0</v>
      </c>
      <c r="L501" s="17">
        <v>0</v>
      </c>
      <c r="M501" s="17">
        <v>0</v>
      </c>
      <c r="N501" s="17">
        <v>100375</v>
      </c>
      <c r="O501" s="17">
        <v>100375</v>
      </c>
      <c r="P501" s="17">
        <v>119446.25</v>
      </c>
      <c r="Q501" s="17">
        <v>136510</v>
      </c>
      <c r="R501" s="17">
        <v>151566.24999999997</v>
      </c>
      <c r="S501" s="17">
        <v>0</v>
      </c>
    </row>
    <row r="502" spans="1:19" ht="14.25">
      <c r="A502" s="23">
        <f t="shared" si="8"/>
        <v>501</v>
      </c>
      <c r="B502" s="18"/>
      <c r="C502" s="17">
        <v>67525</v>
      </c>
      <c r="D502" s="17">
        <v>73602.25</v>
      </c>
      <c r="E502" s="17">
        <v>82380.500000000015</v>
      </c>
      <c r="F502" s="17">
        <v>82380.500000000015</v>
      </c>
      <c r="G502" s="17">
        <v>100612.25000000001</v>
      </c>
      <c r="H502" s="17">
        <v>88457.750000000015</v>
      </c>
      <c r="I502" s="17">
        <v>88457.750000000015</v>
      </c>
      <c r="J502" s="17">
        <v>104663.75000000001</v>
      </c>
      <c r="K502" s="17">
        <v>109390.50000000003</v>
      </c>
      <c r="L502" s="17">
        <v>109390.50000000003</v>
      </c>
      <c r="M502" s="17">
        <v>109390.50000000003</v>
      </c>
      <c r="N502" s="17">
        <v>105339.00000000001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</row>
    <row r="503" spans="1:19" ht="14.25">
      <c r="A503" s="23">
        <f t="shared" si="8"/>
        <v>502</v>
      </c>
      <c r="B503" s="18"/>
      <c r="C503" s="17">
        <v>0</v>
      </c>
      <c r="D503" s="17">
        <v>0</v>
      </c>
      <c r="E503" s="17">
        <v>0</v>
      </c>
      <c r="F503" s="17">
        <v>66065</v>
      </c>
      <c r="G503" s="17">
        <v>66065</v>
      </c>
      <c r="H503" s="17">
        <v>66065</v>
      </c>
      <c r="I503" s="17">
        <v>66065</v>
      </c>
      <c r="J503" s="17">
        <v>66065</v>
      </c>
      <c r="K503" s="17">
        <v>58797.85</v>
      </c>
      <c r="L503" s="17">
        <v>52191.350000000006</v>
      </c>
      <c r="M503" s="17">
        <v>40960.300000000003</v>
      </c>
      <c r="N503" s="17">
        <v>35675.100000000006</v>
      </c>
      <c r="O503" s="17">
        <v>46906.15</v>
      </c>
      <c r="P503" s="17">
        <v>46906.15</v>
      </c>
      <c r="Q503" s="17">
        <v>46906.15</v>
      </c>
      <c r="R503" s="17">
        <v>58137.200000000004</v>
      </c>
      <c r="S503" s="17">
        <v>76635.400000000009</v>
      </c>
    </row>
    <row r="504" spans="1:19" ht="14.25">
      <c r="A504" s="23">
        <f t="shared" si="8"/>
        <v>503</v>
      </c>
      <c r="B504" s="18"/>
      <c r="C504" s="17">
        <v>0</v>
      </c>
      <c r="D504" s="17">
        <v>0</v>
      </c>
      <c r="E504" s="17">
        <v>0</v>
      </c>
      <c r="F504" s="17">
        <v>0</v>
      </c>
      <c r="G504" s="17">
        <v>0</v>
      </c>
      <c r="H504" s="17">
        <v>0</v>
      </c>
      <c r="I504" s="17">
        <v>0</v>
      </c>
      <c r="J504" s="17">
        <v>0</v>
      </c>
      <c r="K504" s="17">
        <v>0</v>
      </c>
      <c r="L504" s="17">
        <v>0</v>
      </c>
      <c r="M504" s="17">
        <v>0</v>
      </c>
      <c r="N504" s="17">
        <v>98185</v>
      </c>
      <c r="O504" s="17">
        <v>94257.599999999991</v>
      </c>
      <c r="P504" s="17">
        <v>120767.55</v>
      </c>
      <c r="Q504" s="17">
        <v>101130.55</v>
      </c>
      <c r="R504" s="17">
        <v>125676.8</v>
      </c>
      <c r="S504" s="17">
        <v>125676.8</v>
      </c>
    </row>
    <row r="505" spans="1:19" ht="14.25">
      <c r="A505" s="23">
        <f t="shared" si="8"/>
        <v>504</v>
      </c>
      <c r="B505" s="18"/>
      <c r="C505" s="17">
        <v>0</v>
      </c>
      <c r="D505" s="17">
        <v>0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95265</v>
      </c>
      <c r="P505" s="17">
        <v>112412.7</v>
      </c>
      <c r="Q505" s="17">
        <v>117175.95</v>
      </c>
      <c r="R505" s="17">
        <v>138134.25</v>
      </c>
      <c r="S505" s="17">
        <v>148613.4</v>
      </c>
    </row>
    <row r="506" spans="1:19" ht="14.25">
      <c r="A506" s="23">
        <f t="shared" si="8"/>
        <v>505</v>
      </c>
      <c r="B506" s="18"/>
      <c r="C506" s="17">
        <v>0</v>
      </c>
      <c r="D506" s="17">
        <v>0</v>
      </c>
      <c r="E506" s="17">
        <v>94900</v>
      </c>
      <c r="F506" s="17">
        <v>111033</v>
      </c>
      <c r="G506" s="17">
        <v>111033</v>
      </c>
      <c r="H506" s="17">
        <v>128114.99999999999</v>
      </c>
      <c r="I506" s="17">
        <v>152789</v>
      </c>
      <c r="J506" s="17">
        <v>152789</v>
      </c>
      <c r="K506" s="17">
        <v>136656</v>
      </c>
      <c r="L506" s="17">
        <v>153738</v>
      </c>
      <c r="M506" s="17">
        <v>153738</v>
      </c>
      <c r="N506" s="17">
        <v>174616</v>
      </c>
      <c r="O506" s="17">
        <v>182208</v>
      </c>
      <c r="P506" s="17">
        <v>169871</v>
      </c>
      <c r="Q506" s="17">
        <v>198341</v>
      </c>
      <c r="R506" s="17">
        <v>221117</v>
      </c>
      <c r="S506" s="17">
        <v>232505.00000000003</v>
      </c>
    </row>
    <row r="507" spans="1:19" ht="14.25">
      <c r="A507" s="23">
        <f t="shared" si="8"/>
        <v>506</v>
      </c>
      <c r="B507" s="18"/>
      <c r="C507" s="17">
        <v>0</v>
      </c>
      <c r="D507" s="17">
        <v>0</v>
      </c>
      <c r="E507" s="17">
        <v>0</v>
      </c>
      <c r="F507" s="17">
        <v>0</v>
      </c>
      <c r="G507" s="17">
        <v>68620</v>
      </c>
      <c r="H507" s="17">
        <v>88519.8</v>
      </c>
      <c r="I507" s="17">
        <v>102243.8</v>
      </c>
      <c r="J507" s="17">
        <v>113223</v>
      </c>
      <c r="K507" s="17">
        <v>100871.4</v>
      </c>
      <c r="L507" s="17">
        <v>106361</v>
      </c>
      <c r="M507" s="17">
        <v>106361</v>
      </c>
      <c r="N507" s="17">
        <v>106361</v>
      </c>
      <c r="O507" s="17">
        <v>122829.8</v>
      </c>
      <c r="P507" s="17">
        <v>122829.8</v>
      </c>
      <c r="Q507" s="17">
        <v>118712.6</v>
      </c>
      <c r="R507" s="17">
        <v>107733.40000000001</v>
      </c>
      <c r="S507" s="17">
        <v>98126.6</v>
      </c>
    </row>
    <row r="508" spans="1:19" ht="14.25">
      <c r="A508" s="23">
        <f t="shared" si="8"/>
        <v>507</v>
      </c>
      <c r="B508" s="18"/>
      <c r="C508" s="17">
        <v>0</v>
      </c>
      <c r="D508" s="17">
        <v>0</v>
      </c>
      <c r="E508" s="17">
        <v>0</v>
      </c>
      <c r="F508" s="17">
        <v>0</v>
      </c>
      <c r="G508" s="17">
        <v>0</v>
      </c>
      <c r="H508" s="17">
        <v>70080</v>
      </c>
      <c r="I508" s="17">
        <v>70080</v>
      </c>
      <c r="J508" s="17">
        <v>67977.599999999991</v>
      </c>
      <c r="K508" s="17">
        <v>84796.800000000003</v>
      </c>
      <c r="L508" s="17">
        <v>80592</v>
      </c>
      <c r="M508" s="17">
        <v>79190.399999999994</v>
      </c>
      <c r="N508" s="17">
        <v>88300.799999999988</v>
      </c>
      <c r="O508" s="17">
        <v>88300.799999999988</v>
      </c>
      <c r="P508" s="17">
        <v>81292.799999999974</v>
      </c>
      <c r="Q508" s="17">
        <v>74985.599999999977</v>
      </c>
      <c r="R508" s="17">
        <v>88300.799999999974</v>
      </c>
      <c r="S508" s="17">
        <v>94607.999999999971</v>
      </c>
    </row>
    <row r="509" spans="1:19" ht="14.25">
      <c r="A509" s="23">
        <f t="shared" si="8"/>
        <v>508</v>
      </c>
      <c r="B509" s="18"/>
      <c r="C509" s="17">
        <v>0</v>
      </c>
      <c r="D509" s="17">
        <v>0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74825</v>
      </c>
      <c r="M509" s="17">
        <v>87545.25</v>
      </c>
      <c r="N509" s="17">
        <v>106251.5</v>
      </c>
      <c r="O509" s="17">
        <v>106251.5</v>
      </c>
      <c r="P509" s="17">
        <v>124209.5</v>
      </c>
      <c r="Q509" s="17">
        <v>130943.75</v>
      </c>
      <c r="R509" s="17">
        <v>130943.75</v>
      </c>
      <c r="S509" s="17">
        <v>130943.75</v>
      </c>
    </row>
    <row r="510" spans="1:19" ht="14.25">
      <c r="A510" s="23">
        <f t="shared" si="8"/>
        <v>509</v>
      </c>
      <c r="B510" s="18"/>
      <c r="C510" s="17">
        <v>0</v>
      </c>
      <c r="D510" s="17">
        <v>0</v>
      </c>
      <c r="E510" s="17">
        <v>0</v>
      </c>
      <c r="F510" s="17">
        <v>0</v>
      </c>
      <c r="G510" s="17">
        <v>0</v>
      </c>
      <c r="H510" s="17">
        <v>0</v>
      </c>
      <c r="I510" s="17">
        <v>0</v>
      </c>
      <c r="J510" s="17">
        <v>0</v>
      </c>
      <c r="K510" s="17">
        <v>0</v>
      </c>
      <c r="L510" s="17">
        <v>87235</v>
      </c>
      <c r="M510" s="17">
        <v>110788.45</v>
      </c>
      <c r="N510" s="17">
        <v>122128.99999999999</v>
      </c>
      <c r="O510" s="17">
        <v>122128.99999999999</v>
      </c>
      <c r="P510" s="17">
        <v>122128.99999999999</v>
      </c>
      <c r="Q510" s="17">
        <v>0</v>
      </c>
      <c r="R510" s="17">
        <v>0</v>
      </c>
      <c r="S510" s="17">
        <v>0</v>
      </c>
    </row>
    <row r="511" spans="1:19" ht="14.25">
      <c r="A511" s="23">
        <f t="shared" si="8"/>
        <v>510</v>
      </c>
      <c r="B511" s="18"/>
      <c r="C511" s="17">
        <v>83950</v>
      </c>
      <c r="D511" s="17">
        <v>83950</v>
      </c>
      <c r="E511" s="17">
        <v>81431.5</v>
      </c>
      <c r="F511" s="17">
        <v>81431.5</v>
      </c>
      <c r="G511" s="17">
        <v>88987</v>
      </c>
      <c r="H511" s="17">
        <v>109974.5</v>
      </c>
      <c r="I511" s="17">
        <v>109974.5</v>
      </c>
      <c r="J511" s="17">
        <v>100740</v>
      </c>
      <c r="K511" s="17">
        <v>108295.5</v>
      </c>
      <c r="L511" s="17">
        <v>105777</v>
      </c>
      <c r="M511" s="17">
        <v>124246</v>
      </c>
      <c r="N511" s="17">
        <v>146912.5</v>
      </c>
      <c r="O511" s="17">
        <v>131801.5</v>
      </c>
      <c r="P511" s="17">
        <v>146912.5</v>
      </c>
      <c r="Q511" s="17">
        <v>146912.5</v>
      </c>
      <c r="R511" s="17">
        <v>0</v>
      </c>
      <c r="S511" s="17">
        <v>0</v>
      </c>
    </row>
    <row r="512" spans="1:19" ht="14.25">
      <c r="A512" s="23">
        <f t="shared" si="8"/>
        <v>511</v>
      </c>
      <c r="B512" s="18"/>
      <c r="C512" s="17">
        <v>97455</v>
      </c>
      <c r="D512" s="17">
        <v>90633.15</v>
      </c>
      <c r="E512" s="17">
        <v>99404.1</v>
      </c>
      <c r="F512" s="17">
        <v>109149.6</v>
      </c>
      <c r="G512" s="17">
        <v>115971.45000000001</v>
      </c>
      <c r="H512" s="17">
        <v>115971.45000000001</v>
      </c>
      <c r="I512" s="17">
        <v>138386.1</v>
      </c>
      <c r="J512" s="17">
        <v>138386.1</v>
      </c>
      <c r="K512" s="17">
        <v>156902.55000000002</v>
      </c>
      <c r="L512" s="17">
        <v>170546.25</v>
      </c>
      <c r="M512" s="17">
        <v>189062.69999999998</v>
      </c>
      <c r="N512" s="17">
        <v>175418.99999999997</v>
      </c>
      <c r="O512" s="17">
        <v>196859.1</v>
      </c>
      <c r="P512" s="17">
        <v>194910</v>
      </c>
      <c r="Q512" s="17">
        <v>200757.30000000002</v>
      </c>
      <c r="R512" s="17">
        <v>0</v>
      </c>
      <c r="S512" s="17">
        <v>0</v>
      </c>
    </row>
    <row r="513" spans="1:19" ht="14.25">
      <c r="A513" s="23">
        <f t="shared" si="8"/>
        <v>512</v>
      </c>
      <c r="B513" s="18"/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101105</v>
      </c>
      <c r="S513" s="17">
        <v>101105</v>
      </c>
    </row>
    <row r="514" spans="1:19" ht="14.25">
      <c r="A514" s="23">
        <f t="shared" si="8"/>
        <v>513</v>
      </c>
      <c r="B514" s="18"/>
      <c r="C514" s="17">
        <v>0</v>
      </c>
      <c r="D514" s="17">
        <v>0</v>
      </c>
      <c r="E514" s="17">
        <v>0</v>
      </c>
      <c r="F514" s="17">
        <v>0</v>
      </c>
      <c r="G514" s="17">
        <v>0</v>
      </c>
      <c r="H514" s="17">
        <v>0</v>
      </c>
      <c r="I514" s="17">
        <v>0</v>
      </c>
      <c r="J514" s="17">
        <v>0</v>
      </c>
      <c r="K514" s="17">
        <v>0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68255</v>
      </c>
    </row>
    <row r="515" spans="1:19" ht="14.25">
      <c r="A515" s="23">
        <f t="shared" ref="A515:A578" si="9">+A514+1</f>
        <v>514</v>
      </c>
      <c r="B515" s="18"/>
      <c r="C515" s="17">
        <v>68620</v>
      </c>
      <c r="D515" s="17">
        <v>54896</v>
      </c>
      <c r="E515" s="17">
        <v>60385.599999999999</v>
      </c>
      <c r="F515" s="17">
        <v>69306.2</v>
      </c>
      <c r="G515" s="17">
        <v>74109.600000000006</v>
      </c>
      <c r="H515" s="17">
        <v>80285.400000000009</v>
      </c>
      <c r="I515" s="17">
        <v>85088.800000000017</v>
      </c>
      <c r="J515" s="17">
        <v>104302.40000000002</v>
      </c>
      <c r="K515" s="17">
        <v>114595.40000000001</v>
      </c>
      <c r="L515" s="17">
        <v>122829.8</v>
      </c>
      <c r="M515" s="17">
        <v>110478.20000000001</v>
      </c>
      <c r="N515" s="17">
        <v>101557.6</v>
      </c>
      <c r="O515" s="17">
        <v>119398.8</v>
      </c>
      <c r="P515" s="17">
        <v>0</v>
      </c>
      <c r="Q515" s="17">
        <v>0</v>
      </c>
      <c r="R515" s="17">
        <v>0</v>
      </c>
      <c r="S515" s="17">
        <v>0</v>
      </c>
    </row>
    <row r="516" spans="1:19" ht="14.25">
      <c r="A516" s="23">
        <f t="shared" si="9"/>
        <v>515</v>
      </c>
      <c r="B516" s="18"/>
      <c r="C516" s="17">
        <v>0</v>
      </c>
      <c r="D516" s="17">
        <v>78475</v>
      </c>
      <c r="E516" s="17">
        <v>101232.75</v>
      </c>
      <c r="F516" s="17">
        <v>120066.75</v>
      </c>
      <c r="G516" s="17">
        <v>110649.75000000001</v>
      </c>
      <c r="H516" s="17">
        <v>109865.00000000001</v>
      </c>
      <c r="I516" s="17">
        <v>109865.00000000001</v>
      </c>
      <c r="J516" s="17">
        <v>125560</v>
      </c>
      <c r="K516" s="17">
        <v>125560</v>
      </c>
      <c r="L516" s="17">
        <v>143609.25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</row>
    <row r="517" spans="1:19" ht="14.25">
      <c r="A517" s="23">
        <f t="shared" si="9"/>
        <v>516</v>
      </c>
      <c r="B517" s="18"/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93075</v>
      </c>
    </row>
    <row r="518" spans="1:19" ht="14.25">
      <c r="A518" s="23">
        <f t="shared" si="9"/>
        <v>517</v>
      </c>
      <c r="B518" s="18"/>
      <c r="C518" s="17">
        <v>0</v>
      </c>
      <c r="D518" s="17">
        <v>0</v>
      </c>
      <c r="E518" s="17">
        <v>0</v>
      </c>
      <c r="F518" s="17">
        <v>0</v>
      </c>
      <c r="G518" s="17">
        <v>0</v>
      </c>
      <c r="H518" s="17">
        <v>0</v>
      </c>
      <c r="I518" s="17">
        <v>97455</v>
      </c>
      <c r="J518" s="17">
        <v>122793.3</v>
      </c>
      <c r="K518" s="17">
        <v>141309.75</v>
      </c>
      <c r="L518" s="17">
        <v>146182.5</v>
      </c>
      <c r="M518" s="17">
        <v>166648.04999999999</v>
      </c>
      <c r="N518" s="17">
        <v>191011.8</v>
      </c>
      <c r="O518" s="17">
        <v>191011.8</v>
      </c>
      <c r="P518" s="17">
        <v>203680.94999999998</v>
      </c>
      <c r="Q518" s="17">
        <v>219273.75</v>
      </c>
      <c r="R518" s="17">
        <v>203680.94999999998</v>
      </c>
      <c r="S518" s="17">
        <v>223171.95</v>
      </c>
    </row>
    <row r="519" spans="1:19" ht="14.25">
      <c r="A519" s="23">
        <f t="shared" si="9"/>
        <v>518</v>
      </c>
      <c r="B519" s="18"/>
      <c r="C519" s="17">
        <v>0</v>
      </c>
      <c r="D519" s="17">
        <v>0</v>
      </c>
      <c r="E519" s="17">
        <v>0</v>
      </c>
      <c r="F519" s="17">
        <v>0</v>
      </c>
      <c r="G519" s="17">
        <v>0</v>
      </c>
      <c r="H519" s="17">
        <v>0</v>
      </c>
      <c r="I519" s="17">
        <v>96360</v>
      </c>
      <c r="J519" s="17">
        <v>125268</v>
      </c>
      <c r="K519" s="17">
        <v>105996.00000000001</v>
      </c>
      <c r="L519" s="17">
        <v>105996.00000000001</v>
      </c>
      <c r="M519" s="17">
        <v>133940.40000000002</v>
      </c>
      <c r="N519" s="17">
        <v>141649.20000000001</v>
      </c>
      <c r="O519" s="17">
        <v>141649.20000000001</v>
      </c>
      <c r="P519" s="17">
        <v>153212.40000000002</v>
      </c>
      <c r="Q519" s="17">
        <v>153212.40000000002</v>
      </c>
      <c r="R519" s="17">
        <v>168630.00000000003</v>
      </c>
      <c r="S519" s="17">
        <v>194647.20000000004</v>
      </c>
    </row>
    <row r="520" spans="1:19" ht="14.25">
      <c r="A520" s="23">
        <f t="shared" si="9"/>
        <v>519</v>
      </c>
      <c r="B520" s="18"/>
      <c r="C520" s="17">
        <v>0</v>
      </c>
      <c r="D520" s="17">
        <v>79205</v>
      </c>
      <c r="E520" s="17">
        <v>66532.2</v>
      </c>
      <c r="F520" s="17">
        <v>71284.5</v>
      </c>
      <c r="G520" s="17">
        <v>81581.14999999998</v>
      </c>
      <c r="H520" s="17">
        <v>90293.7</v>
      </c>
      <c r="I520" s="17">
        <v>88709.599999999991</v>
      </c>
      <c r="J520" s="17">
        <v>86333.449999999983</v>
      </c>
      <c r="K520" s="17">
        <v>73660.64999999998</v>
      </c>
      <c r="L520" s="17">
        <v>85541.4</v>
      </c>
      <c r="M520" s="17">
        <v>94253.95</v>
      </c>
      <c r="N520" s="17">
        <v>109302.9</v>
      </c>
      <c r="O520" s="17">
        <v>113263.15</v>
      </c>
      <c r="P520" s="17">
        <v>125935.94999999998</v>
      </c>
      <c r="Q520" s="17">
        <v>129896.2</v>
      </c>
      <c r="R520" s="17">
        <v>137816.70000000001</v>
      </c>
      <c r="S520" s="17">
        <v>144153.1</v>
      </c>
    </row>
    <row r="521" spans="1:19" ht="14.25">
      <c r="A521" s="23">
        <f t="shared" si="9"/>
        <v>520</v>
      </c>
      <c r="B521" s="18"/>
      <c r="C521" s="17">
        <v>0</v>
      </c>
      <c r="D521" s="17">
        <v>0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89060</v>
      </c>
      <c r="L521" s="17">
        <v>77482.2</v>
      </c>
      <c r="M521" s="17">
        <v>103309.59999999999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</row>
    <row r="522" spans="1:19" ht="14.25">
      <c r="A522" s="23">
        <f t="shared" si="9"/>
        <v>521</v>
      </c>
      <c r="B522" s="18"/>
      <c r="C522" s="17">
        <v>0</v>
      </c>
      <c r="D522" s="17">
        <v>0</v>
      </c>
      <c r="E522" s="17">
        <v>66430</v>
      </c>
      <c r="F522" s="17">
        <v>71080.100000000006</v>
      </c>
      <c r="G522" s="17">
        <v>81708.899999999994</v>
      </c>
      <c r="H522" s="17">
        <v>87687.6</v>
      </c>
      <c r="I522" s="17">
        <v>96987.8</v>
      </c>
      <c r="J522" s="17">
        <v>96987.8</v>
      </c>
      <c r="K522" s="17">
        <v>106288</v>
      </c>
      <c r="L522" s="17">
        <v>102302.2</v>
      </c>
      <c r="M522" s="17">
        <v>121566.90000000001</v>
      </c>
      <c r="N522" s="17">
        <v>137510.1</v>
      </c>
      <c r="O522" s="17">
        <v>142824.50000000003</v>
      </c>
      <c r="P522" s="17">
        <v>148138.90000000002</v>
      </c>
      <c r="Q522" s="17">
        <v>134852.90000000002</v>
      </c>
      <c r="R522" s="17">
        <v>142160.20000000001</v>
      </c>
      <c r="S522" s="17">
        <v>150796.1</v>
      </c>
    </row>
    <row r="523" spans="1:19" ht="14.25">
      <c r="A523" s="23">
        <f t="shared" si="9"/>
        <v>522</v>
      </c>
      <c r="B523" s="18"/>
      <c r="C523" s="17">
        <v>0</v>
      </c>
      <c r="D523" s="17">
        <v>0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66795</v>
      </c>
      <c r="K523" s="17">
        <v>83493.75</v>
      </c>
      <c r="L523" s="17">
        <v>93513</v>
      </c>
      <c r="M523" s="17">
        <v>104868.15</v>
      </c>
      <c r="N523" s="17">
        <v>104868.15</v>
      </c>
      <c r="O523" s="17">
        <v>120230.99999999999</v>
      </c>
      <c r="P523" s="17">
        <v>114887.39999999998</v>
      </c>
      <c r="Q523" s="17">
        <v>114887.39999999998</v>
      </c>
      <c r="R523" s="17">
        <v>114887.39999999998</v>
      </c>
      <c r="S523" s="17">
        <v>102196.34999999999</v>
      </c>
    </row>
    <row r="524" spans="1:19" ht="14.25">
      <c r="A524" s="23">
        <f t="shared" si="9"/>
        <v>523</v>
      </c>
      <c r="B524" s="18"/>
      <c r="C524" s="17">
        <v>0</v>
      </c>
      <c r="D524" s="17">
        <v>0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78840</v>
      </c>
      <c r="O524" s="17">
        <v>65437.2</v>
      </c>
      <c r="P524" s="17">
        <v>65437.2</v>
      </c>
      <c r="Q524" s="17">
        <v>69379.199999999997</v>
      </c>
      <c r="R524" s="17">
        <v>87512.400000000009</v>
      </c>
      <c r="S524" s="17">
        <v>108799.20000000001</v>
      </c>
    </row>
    <row r="525" spans="1:19" ht="14.25">
      <c r="A525" s="23">
        <f t="shared" si="9"/>
        <v>524</v>
      </c>
      <c r="B525" s="18"/>
      <c r="C525" s="17">
        <v>0</v>
      </c>
      <c r="D525" s="17">
        <v>0</v>
      </c>
      <c r="E525" s="17">
        <v>0</v>
      </c>
      <c r="F525" s="17">
        <v>0</v>
      </c>
      <c r="G525" s="17">
        <v>0</v>
      </c>
      <c r="H525" s="17">
        <v>82855</v>
      </c>
      <c r="I525" s="17">
        <v>100254.55</v>
      </c>
      <c r="J525" s="17">
        <v>113511.34999999999</v>
      </c>
      <c r="K525" s="17">
        <v>113511.34999999999</v>
      </c>
      <c r="L525" s="17">
        <v>113511.34999999999</v>
      </c>
      <c r="M525" s="17">
        <v>132568</v>
      </c>
      <c r="N525" s="17">
        <v>154110.29999999999</v>
      </c>
      <c r="O525" s="17">
        <v>154110.29999999999</v>
      </c>
      <c r="P525" s="17">
        <v>165710</v>
      </c>
      <c r="Q525" s="17">
        <v>159910.15</v>
      </c>
      <c r="R525" s="17">
        <v>179795.35</v>
      </c>
      <c r="S525" s="17">
        <v>193052.15</v>
      </c>
    </row>
    <row r="526" spans="1:19" ht="14.25">
      <c r="A526" s="23">
        <f t="shared" si="9"/>
        <v>525</v>
      </c>
      <c r="B526" s="18"/>
      <c r="C526" s="17">
        <v>0</v>
      </c>
      <c r="D526" s="17">
        <v>0</v>
      </c>
      <c r="E526" s="17">
        <v>71175</v>
      </c>
      <c r="F526" s="17">
        <v>81139.500000000015</v>
      </c>
      <c r="G526" s="17">
        <v>71886.750000000015</v>
      </c>
      <c r="H526" s="17">
        <v>76869.000000000015</v>
      </c>
      <c r="I526" s="17">
        <v>82563.000000000029</v>
      </c>
      <c r="J526" s="17">
        <v>103915.50000000003</v>
      </c>
      <c r="K526" s="17">
        <v>111033.00000000003</v>
      </c>
      <c r="L526" s="17">
        <v>115303.50000000004</v>
      </c>
      <c r="M526" s="17">
        <v>109609.50000000003</v>
      </c>
      <c r="N526" s="17">
        <v>109609.50000000003</v>
      </c>
      <c r="O526" s="17">
        <v>115303.50000000004</v>
      </c>
      <c r="P526" s="17">
        <v>115303.50000000004</v>
      </c>
      <c r="Q526" s="17">
        <v>113168.25000000004</v>
      </c>
      <c r="R526" s="17">
        <v>126691.50000000003</v>
      </c>
      <c r="S526" s="17">
        <v>148044.00000000003</v>
      </c>
    </row>
    <row r="527" spans="1:19" ht="14.25">
      <c r="A527" s="23">
        <f t="shared" si="9"/>
        <v>526</v>
      </c>
      <c r="B527" s="18"/>
      <c r="C527" s="17">
        <v>0</v>
      </c>
      <c r="D527" s="17">
        <v>0</v>
      </c>
      <c r="E527" s="17">
        <v>0</v>
      </c>
      <c r="F527" s="17">
        <v>80665</v>
      </c>
      <c r="G527" s="17">
        <v>104864.5</v>
      </c>
      <c r="H527" s="17">
        <v>127450.70000000001</v>
      </c>
      <c r="I527" s="17">
        <v>127450.70000000001</v>
      </c>
      <c r="J527" s="17">
        <v>145197</v>
      </c>
      <c r="K527" s="17">
        <v>141163.75</v>
      </c>
      <c r="L527" s="17">
        <v>151650.19999999998</v>
      </c>
      <c r="M527" s="17">
        <v>151650.19999999998</v>
      </c>
      <c r="N527" s="17">
        <v>160523.35</v>
      </c>
      <c r="O527" s="17">
        <v>160523.35</v>
      </c>
      <c r="P527" s="17">
        <v>165363.25</v>
      </c>
      <c r="Q527" s="17">
        <v>162136.65</v>
      </c>
      <c r="R527" s="17">
        <v>148423.59999999998</v>
      </c>
      <c r="S527" s="17">
        <v>132290.6</v>
      </c>
    </row>
    <row r="528" spans="1:19" ht="14.25">
      <c r="A528" s="23">
        <f t="shared" si="9"/>
        <v>527</v>
      </c>
      <c r="B528" s="18"/>
      <c r="C528" s="17">
        <v>0</v>
      </c>
      <c r="D528" s="17">
        <v>83220</v>
      </c>
      <c r="E528" s="17">
        <v>96535.2</v>
      </c>
      <c r="F528" s="17">
        <v>96535.2</v>
      </c>
      <c r="G528" s="17">
        <v>91541.999999999985</v>
      </c>
      <c r="H528" s="17">
        <v>104857.19999999998</v>
      </c>
      <c r="I528" s="17">
        <v>91541.999999999985</v>
      </c>
      <c r="J528" s="17">
        <v>84884.39999999998</v>
      </c>
      <c r="K528" s="17">
        <v>84884.39999999998</v>
      </c>
      <c r="L528" s="17">
        <v>109850.39999999998</v>
      </c>
      <c r="M528" s="17">
        <v>109850.39999999998</v>
      </c>
      <c r="N528" s="17">
        <v>106521.59999999998</v>
      </c>
      <c r="O528" s="17">
        <v>117340.19999999997</v>
      </c>
      <c r="P528" s="17">
        <v>100696.19999999998</v>
      </c>
      <c r="Q528" s="17">
        <v>92374.199999999968</v>
      </c>
      <c r="R528" s="17">
        <v>92374.199999999968</v>
      </c>
      <c r="S528" s="17">
        <v>108185.99999999997</v>
      </c>
    </row>
    <row r="529" spans="1:19" ht="14.25">
      <c r="A529" s="23">
        <f t="shared" si="9"/>
        <v>528</v>
      </c>
      <c r="B529" s="18"/>
      <c r="C529" s="17">
        <v>0</v>
      </c>
      <c r="D529" s="17">
        <v>0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80300</v>
      </c>
      <c r="S529" s="17">
        <v>94754</v>
      </c>
    </row>
    <row r="530" spans="1:19" ht="14.25">
      <c r="A530" s="23">
        <f t="shared" si="9"/>
        <v>529</v>
      </c>
      <c r="B530" s="18"/>
      <c r="C530" s="17">
        <v>0</v>
      </c>
      <c r="D530" s="17">
        <v>0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95265</v>
      </c>
      <c r="P530" s="17">
        <v>113365.34999999999</v>
      </c>
      <c r="Q530" s="17">
        <v>111460.04999999999</v>
      </c>
      <c r="R530" s="17">
        <v>123844.49999999999</v>
      </c>
      <c r="S530" s="17">
        <v>146708.09999999998</v>
      </c>
    </row>
    <row r="531" spans="1:19" ht="14.25">
      <c r="A531" s="23">
        <f t="shared" si="9"/>
        <v>530</v>
      </c>
      <c r="B531" s="18"/>
      <c r="C531" s="17">
        <v>0</v>
      </c>
      <c r="D531" s="17">
        <v>0</v>
      </c>
      <c r="E531" s="17">
        <v>0</v>
      </c>
      <c r="F531" s="17">
        <v>0</v>
      </c>
      <c r="G531" s="17">
        <v>0</v>
      </c>
      <c r="H531" s="17">
        <v>0</v>
      </c>
      <c r="I531" s="17">
        <v>0</v>
      </c>
      <c r="J531" s="17">
        <v>0</v>
      </c>
      <c r="K531" s="17">
        <v>91250</v>
      </c>
      <c r="L531" s="17">
        <v>89425</v>
      </c>
      <c r="M531" s="17">
        <v>89425</v>
      </c>
      <c r="N531" s="17">
        <v>96725</v>
      </c>
      <c r="O531" s="17">
        <v>81212.5</v>
      </c>
      <c r="P531" s="17">
        <v>81212.5</v>
      </c>
      <c r="Q531" s="17">
        <v>66612.5</v>
      </c>
      <c r="R531" s="17">
        <v>53837.5</v>
      </c>
      <c r="S531" s="17">
        <v>65700</v>
      </c>
    </row>
    <row r="532" spans="1:19" ht="14.25">
      <c r="A532" s="23">
        <f t="shared" si="9"/>
        <v>531</v>
      </c>
      <c r="B532" s="18"/>
      <c r="C532" s="17">
        <v>0</v>
      </c>
      <c r="D532" s="17">
        <v>0</v>
      </c>
      <c r="E532" s="17">
        <v>0</v>
      </c>
      <c r="F532" s="17">
        <v>0</v>
      </c>
      <c r="G532" s="17">
        <v>0</v>
      </c>
      <c r="H532" s="17">
        <v>75190</v>
      </c>
      <c r="I532" s="17">
        <v>66919.100000000006</v>
      </c>
      <c r="J532" s="17">
        <v>60152</v>
      </c>
      <c r="K532" s="17">
        <v>60152</v>
      </c>
      <c r="L532" s="17">
        <v>73686.2</v>
      </c>
      <c r="M532" s="17">
        <v>90979.9</v>
      </c>
      <c r="N532" s="17">
        <v>107521.7</v>
      </c>
      <c r="O532" s="17">
        <v>129326.8</v>
      </c>
      <c r="P532" s="17">
        <v>139853.4</v>
      </c>
      <c r="Q532" s="17">
        <v>139101.5</v>
      </c>
      <c r="R532" s="17">
        <v>145116.69999999998</v>
      </c>
      <c r="S532" s="17">
        <v>167673.70000000001</v>
      </c>
    </row>
    <row r="533" spans="1:19" ht="14.25">
      <c r="A533" s="23">
        <f t="shared" si="9"/>
        <v>532</v>
      </c>
      <c r="B533" s="18"/>
      <c r="C533" s="17">
        <v>98185</v>
      </c>
      <c r="D533" s="17">
        <v>98185</v>
      </c>
      <c r="E533" s="17">
        <v>98185</v>
      </c>
      <c r="F533" s="17">
        <v>108003.50000000001</v>
      </c>
      <c r="G533" s="17">
        <v>135495.30000000002</v>
      </c>
      <c r="H533" s="17">
        <v>152186.75</v>
      </c>
      <c r="I533" s="17">
        <v>181642.25</v>
      </c>
      <c r="J533" s="17">
        <v>205206.65</v>
      </c>
      <c r="K533" s="17">
        <v>205206.65</v>
      </c>
      <c r="L533" s="17">
        <v>213061.44999999998</v>
      </c>
      <c r="M533" s="17">
        <v>213061.44999999998</v>
      </c>
      <c r="N533" s="17">
        <v>219934.39999999997</v>
      </c>
      <c r="O533" s="17">
        <v>241535.1</v>
      </c>
      <c r="P533" s="17">
        <v>229752.9</v>
      </c>
      <c r="Q533" s="17">
        <v>0</v>
      </c>
      <c r="R533" s="17">
        <v>0</v>
      </c>
      <c r="S533" s="17">
        <v>0</v>
      </c>
    </row>
    <row r="534" spans="1:19" ht="14.25">
      <c r="A534" s="23">
        <f t="shared" si="9"/>
        <v>533</v>
      </c>
      <c r="B534" s="18"/>
      <c r="C534" s="17">
        <v>103295</v>
      </c>
      <c r="D534" s="17">
        <v>110525.65000000001</v>
      </c>
      <c r="E534" s="17">
        <v>108459.75</v>
      </c>
      <c r="F534" s="17">
        <v>124986.95</v>
      </c>
      <c r="G534" s="17">
        <v>131184.65</v>
      </c>
      <c r="H534" s="17">
        <v>117756.30000000002</v>
      </c>
      <c r="I534" s="17">
        <v>111558.6</v>
      </c>
      <c r="J534" s="17">
        <v>116723.35</v>
      </c>
      <c r="K534" s="17">
        <v>116723.35</v>
      </c>
      <c r="L534" s="17">
        <v>138415.30000000002</v>
      </c>
      <c r="M534" s="17">
        <v>138415.30000000002</v>
      </c>
      <c r="N534" s="17">
        <v>143580.05000000002</v>
      </c>
      <c r="O534" s="17">
        <v>124986.95000000003</v>
      </c>
      <c r="P534" s="17">
        <v>135316.45000000004</v>
      </c>
      <c r="Q534" s="17">
        <v>161140.20000000004</v>
      </c>
      <c r="R534" s="17">
        <v>177667.40000000002</v>
      </c>
      <c r="S534" s="17">
        <v>0</v>
      </c>
    </row>
    <row r="535" spans="1:19" ht="14.25">
      <c r="A535" s="23">
        <f t="shared" si="9"/>
        <v>534</v>
      </c>
      <c r="B535" s="18"/>
      <c r="C535" s="17">
        <v>0</v>
      </c>
      <c r="D535" s="17">
        <v>0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70445</v>
      </c>
      <c r="R535" s="17">
        <v>83829.55</v>
      </c>
      <c r="S535" s="17">
        <v>73262.8</v>
      </c>
    </row>
    <row r="536" spans="1:19" ht="14.25">
      <c r="A536" s="23">
        <f t="shared" si="9"/>
        <v>535</v>
      </c>
      <c r="B536" s="18"/>
      <c r="C536" s="17">
        <v>72270</v>
      </c>
      <c r="D536" s="17">
        <v>72270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</row>
    <row r="537" spans="1:19" ht="14.25">
      <c r="A537" s="23">
        <f t="shared" si="9"/>
        <v>536</v>
      </c>
      <c r="B537" s="18"/>
      <c r="C537" s="17">
        <v>0</v>
      </c>
      <c r="D537" s="17">
        <v>0</v>
      </c>
      <c r="E537" s="17">
        <v>102200</v>
      </c>
      <c r="F537" s="17">
        <v>115485.99999999999</v>
      </c>
      <c r="G537" s="17">
        <v>115485.99999999999</v>
      </c>
      <c r="H537" s="17">
        <v>105265.99999999999</v>
      </c>
      <c r="I537" s="17">
        <v>110375.99999999999</v>
      </c>
      <c r="J537" s="17">
        <v>110375.99999999999</v>
      </c>
      <c r="K537" s="17">
        <v>132859.99999999997</v>
      </c>
      <c r="L537" s="17">
        <v>132859.99999999997</v>
      </c>
      <c r="M537" s="17">
        <v>132859.99999999997</v>
      </c>
      <c r="N537" s="17">
        <v>132859.99999999997</v>
      </c>
      <c r="O537" s="17">
        <v>153299.99999999997</v>
      </c>
      <c r="P537" s="17">
        <v>170673.99999999997</v>
      </c>
      <c r="Q537" s="17">
        <v>181915.99999999997</v>
      </c>
      <c r="R537" s="17">
        <v>199289.99999999997</v>
      </c>
      <c r="S537" s="17">
        <v>209509.99999999997</v>
      </c>
    </row>
    <row r="538" spans="1:19" ht="14.25">
      <c r="A538" s="23">
        <f t="shared" si="9"/>
        <v>537</v>
      </c>
      <c r="B538" s="18"/>
      <c r="C538" s="17">
        <v>0</v>
      </c>
      <c r="D538" s="17">
        <v>0</v>
      </c>
      <c r="E538" s="17">
        <v>0</v>
      </c>
      <c r="F538" s="17">
        <v>0</v>
      </c>
      <c r="G538" s="17">
        <v>94900</v>
      </c>
      <c r="H538" s="17">
        <v>94900</v>
      </c>
      <c r="I538" s="17">
        <v>94900</v>
      </c>
      <c r="J538" s="17">
        <v>103441.00000000001</v>
      </c>
      <c r="K538" s="17">
        <v>102492</v>
      </c>
      <c r="L538" s="17">
        <v>130962.00000000001</v>
      </c>
      <c r="M538" s="17">
        <v>147095</v>
      </c>
      <c r="N538" s="17">
        <v>169871</v>
      </c>
      <c r="O538" s="17">
        <v>192647.00000000003</v>
      </c>
      <c r="P538" s="17">
        <v>205933.00000000003</v>
      </c>
      <c r="Q538" s="17">
        <v>216372.00000000003</v>
      </c>
      <c r="R538" s="17">
        <v>233454.00000000003</v>
      </c>
      <c r="S538" s="17">
        <v>238199.00000000003</v>
      </c>
    </row>
    <row r="539" spans="1:19" ht="14.25">
      <c r="A539" s="23">
        <f t="shared" si="9"/>
        <v>538</v>
      </c>
      <c r="B539" s="18"/>
      <c r="C539" s="17">
        <v>0</v>
      </c>
      <c r="D539" s="17">
        <v>0</v>
      </c>
      <c r="E539" s="17">
        <v>0</v>
      </c>
      <c r="F539" s="17">
        <v>0</v>
      </c>
      <c r="G539" s="17">
        <v>0</v>
      </c>
      <c r="H539" s="17">
        <v>0</v>
      </c>
      <c r="I539" s="17">
        <v>65700</v>
      </c>
      <c r="J539" s="17">
        <v>78840</v>
      </c>
      <c r="K539" s="17">
        <v>70956</v>
      </c>
      <c r="L539" s="17">
        <v>85410</v>
      </c>
      <c r="M539" s="17">
        <v>85410</v>
      </c>
      <c r="N539" s="17">
        <v>89352</v>
      </c>
      <c r="O539" s="17">
        <v>95922.000000000015</v>
      </c>
      <c r="P539" s="17">
        <v>95922.000000000015</v>
      </c>
      <c r="Q539" s="17">
        <v>95922.000000000015</v>
      </c>
      <c r="R539" s="17">
        <v>99864.000000000015</v>
      </c>
      <c r="S539" s="17">
        <v>110376.00000000001</v>
      </c>
    </row>
    <row r="540" spans="1:19" ht="14.25">
      <c r="A540" s="23">
        <f t="shared" si="9"/>
        <v>539</v>
      </c>
      <c r="B540" s="18"/>
      <c r="C540" s="17">
        <v>0</v>
      </c>
      <c r="D540" s="17">
        <v>0</v>
      </c>
      <c r="E540" s="17">
        <v>0</v>
      </c>
      <c r="F540" s="17">
        <v>0</v>
      </c>
      <c r="G540" s="17">
        <v>0</v>
      </c>
      <c r="H540" s="17">
        <v>0</v>
      </c>
      <c r="I540" s="17">
        <v>74460</v>
      </c>
      <c r="J540" s="17">
        <v>74460</v>
      </c>
      <c r="K540" s="17">
        <v>84139.799999999988</v>
      </c>
      <c r="L540" s="17">
        <v>99776.4</v>
      </c>
      <c r="M540" s="17">
        <v>89351.999999999985</v>
      </c>
      <c r="N540" s="17">
        <v>81161.39999999998</v>
      </c>
      <c r="O540" s="17">
        <v>92330.399999999965</v>
      </c>
      <c r="P540" s="17">
        <v>113179.19999999997</v>
      </c>
      <c r="Q540" s="17">
        <v>118391.39999999998</v>
      </c>
      <c r="R540" s="17">
        <v>140729.39999999997</v>
      </c>
      <c r="S540" s="17">
        <v>144452.39999999997</v>
      </c>
    </row>
    <row r="541" spans="1:19" ht="14.25">
      <c r="A541" s="23">
        <f t="shared" si="9"/>
        <v>540</v>
      </c>
      <c r="B541" s="18"/>
      <c r="C541" s="17">
        <v>0</v>
      </c>
      <c r="D541" s="17">
        <v>0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100740</v>
      </c>
    </row>
    <row r="542" spans="1:19" ht="14.25">
      <c r="A542" s="23">
        <f t="shared" si="9"/>
        <v>541</v>
      </c>
      <c r="B542" s="18"/>
      <c r="C542" s="17">
        <v>88330</v>
      </c>
      <c r="D542" s="17">
        <v>113945.7</v>
      </c>
      <c r="E542" s="17">
        <v>113945.7</v>
      </c>
      <c r="F542" s="17">
        <v>130728.4</v>
      </c>
      <c r="G542" s="17">
        <v>136028.20000000001</v>
      </c>
      <c r="H542" s="17">
        <v>143977.90000000002</v>
      </c>
      <c r="I542" s="17">
        <v>129845.10000000002</v>
      </c>
      <c r="J542" s="17">
        <v>146627.80000000002</v>
      </c>
      <c r="K542" s="17">
        <v>168710.30000000002</v>
      </c>
      <c r="L542" s="17">
        <v>193442.70000000004</v>
      </c>
      <c r="M542" s="17">
        <v>192559.40000000005</v>
      </c>
      <c r="N542" s="17">
        <v>216408.50000000006</v>
      </c>
      <c r="O542" s="17">
        <v>242907.50000000003</v>
      </c>
      <c r="P542" s="17">
        <v>268523.20000000007</v>
      </c>
      <c r="Q542" s="17">
        <v>0</v>
      </c>
      <c r="R542" s="17">
        <v>0</v>
      </c>
      <c r="S542" s="17">
        <v>0</v>
      </c>
    </row>
    <row r="543" spans="1:19" ht="14.25">
      <c r="A543" s="23">
        <f t="shared" si="9"/>
        <v>542</v>
      </c>
      <c r="B543" s="18"/>
      <c r="C543" s="17">
        <v>0</v>
      </c>
      <c r="D543" s="17">
        <v>0</v>
      </c>
      <c r="E543" s="17">
        <v>0</v>
      </c>
      <c r="F543" s="17">
        <v>0</v>
      </c>
      <c r="G543" s="17">
        <v>0</v>
      </c>
      <c r="H543" s="17">
        <v>0</v>
      </c>
      <c r="I543" s="17">
        <v>0</v>
      </c>
      <c r="J543" s="17">
        <v>0</v>
      </c>
      <c r="K543" s="17">
        <v>67525</v>
      </c>
      <c r="L543" s="17">
        <v>75628</v>
      </c>
      <c r="M543" s="17">
        <v>75628</v>
      </c>
      <c r="N543" s="17">
        <v>75628</v>
      </c>
      <c r="O543" s="17">
        <v>81705.250000000015</v>
      </c>
      <c r="P543" s="17">
        <v>77653.750000000015</v>
      </c>
      <c r="Q543" s="17">
        <v>90483.5</v>
      </c>
      <c r="R543" s="17">
        <v>102638</v>
      </c>
      <c r="S543" s="17">
        <v>122220.25</v>
      </c>
    </row>
    <row r="544" spans="1:19" ht="14.25">
      <c r="A544" s="23">
        <f t="shared" si="9"/>
        <v>543</v>
      </c>
      <c r="B544" s="18"/>
      <c r="C544" s="17">
        <v>76650</v>
      </c>
      <c r="D544" s="17">
        <v>95046</v>
      </c>
      <c r="E544" s="17">
        <v>103477.5</v>
      </c>
      <c r="F544" s="17">
        <v>103477.5</v>
      </c>
      <c r="G544" s="17">
        <v>121873.5</v>
      </c>
      <c r="H544" s="17">
        <v>140269.5</v>
      </c>
      <c r="I544" s="17">
        <v>127239.00000000001</v>
      </c>
      <c r="J544" s="17">
        <v>132604.50000000003</v>
      </c>
      <c r="K544" s="17">
        <v>132604.50000000003</v>
      </c>
      <c r="L544" s="17">
        <v>125706.00000000001</v>
      </c>
      <c r="M544" s="17">
        <v>134137.50000000003</v>
      </c>
      <c r="N544" s="17">
        <v>157132.50000000003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</row>
    <row r="545" spans="1:19" ht="14.25">
      <c r="A545" s="23">
        <f t="shared" si="9"/>
        <v>544</v>
      </c>
      <c r="B545" s="18"/>
      <c r="C545" s="17">
        <v>0</v>
      </c>
      <c r="D545" s="17">
        <v>78110</v>
      </c>
      <c r="E545" s="17">
        <v>85139.900000000009</v>
      </c>
      <c r="F545" s="17">
        <v>90607.6</v>
      </c>
      <c r="G545" s="17">
        <v>88264.3</v>
      </c>
      <c r="H545" s="17">
        <v>74985.600000000006</v>
      </c>
      <c r="I545" s="17">
        <v>80453.3</v>
      </c>
      <c r="J545" s="17">
        <v>91388.7</v>
      </c>
      <c r="K545" s="17">
        <v>103105.19999999998</v>
      </c>
      <c r="L545" s="17">
        <v>101542.99999999999</v>
      </c>
      <c r="M545" s="17">
        <v>114821.69999999998</v>
      </c>
      <c r="N545" s="17">
        <v>114821.69999999998</v>
      </c>
      <c r="O545" s="17">
        <v>114821.69999999998</v>
      </c>
      <c r="P545" s="17">
        <v>129662.59999999998</v>
      </c>
      <c r="Q545" s="17">
        <v>0</v>
      </c>
      <c r="R545" s="17">
        <v>0</v>
      </c>
      <c r="S545" s="17">
        <v>0</v>
      </c>
    </row>
    <row r="546" spans="1:19" ht="14.25">
      <c r="A546" s="23">
        <f t="shared" si="9"/>
        <v>545</v>
      </c>
      <c r="B546" s="18"/>
      <c r="C546" s="17">
        <v>0</v>
      </c>
      <c r="D546" s="17">
        <v>0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103295</v>
      </c>
      <c r="S546" s="17">
        <v>127052.84999999999</v>
      </c>
    </row>
    <row r="547" spans="1:19" ht="14.25">
      <c r="A547" s="23">
        <f t="shared" si="9"/>
        <v>546</v>
      </c>
      <c r="B547" s="18"/>
      <c r="C547" s="17">
        <v>0</v>
      </c>
      <c r="D547" s="17">
        <v>0</v>
      </c>
      <c r="E547" s="17">
        <v>0</v>
      </c>
      <c r="F547" s="17">
        <v>0</v>
      </c>
      <c r="G547" s="17">
        <v>72270</v>
      </c>
      <c r="H547" s="17">
        <v>80219.700000000012</v>
      </c>
      <c r="I547" s="17">
        <v>90337.5</v>
      </c>
      <c r="J547" s="17">
        <v>103346.09999999999</v>
      </c>
      <c r="K547" s="17">
        <v>107682.3</v>
      </c>
      <c r="L547" s="17">
        <v>128640.6</v>
      </c>
      <c r="M547" s="17">
        <v>149598.9</v>
      </c>
      <c r="N547" s="17">
        <v>166221</v>
      </c>
      <c r="O547" s="17">
        <v>166221</v>
      </c>
      <c r="P547" s="17">
        <v>155380.5</v>
      </c>
      <c r="Q547" s="17">
        <v>173448</v>
      </c>
      <c r="R547" s="17">
        <v>173448</v>
      </c>
      <c r="S547" s="17">
        <v>172725.30000000002</v>
      </c>
    </row>
    <row r="548" spans="1:19" ht="14.25">
      <c r="A548" s="23">
        <f t="shared" si="9"/>
        <v>547</v>
      </c>
      <c r="B548" s="18"/>
      <c r="C548" s="17">
        <v>77380</v>
      </c>
      <c r="D548" s="17">
        <v>69642</v>
      </c>
      <c r="E548" s="17">
        <v>81249</v>
      </c>
      <c r="F548" s="17">
        <v>81249</v>
      </c>
      <c r="G548" s="17">
        <v>81249</v>
      </c>
      <c r="H548" s="17">
        <v>79701.400000000009</v>
      </c>
      <c r="I548" s="17">
        <v>79701.400000000009</v>
      </c>
      <c r="J548" s="17">
        <v>87439.400000000009</v>
      </c>
      <c r="K548" s="17">
        <v>81249</v>
      </c>
      <c r="L548" s="17">
        <v>67320.600000000006</v>
      </c>
      <c r="M548" s="17">
        <v>67320.600000000006</v>
      </c>
      <c r="N548" s="17">
        <v>77380</v>
      </c>
      <c r="O548" s="17">
        <v>77380</v>
      </c>
      <c r="P548" s="17">
        <v>96725</v>
      </c>
      <c r="Q548" s="17">
        <v>103689.20000000001</v>
      </c>
      <c r="R548" s="17">
        <v>126129.40000000001</v>
      </c>
      <c r="S548" s="17">
        <v>143926.80000000002</v>
      </c>
    </row>
    <row r="549" spans="1:19" ht="14.25">
      <c r="A549" s="23">
        <f t="shared" si="9"/>
        <v>548</v>
      </c>
      <c r="B549" s="18"/>
      <c r="C549" s="17">
        <v>0</v>
      </c>
      <c r="D549" s="17">
        <v>0</v>
      </c>
      <c r="E549" s="17">
        <v>0</v>
      </c>
      <c r="F549" s="17">
        <v>74095</v>
      </c>
      <c r="G549" s="17">
        <v>74095</v>
      </c>
      <c r="H549" s="17">
        <v>74095</v>
      </c>
      <c r="I549" s="17">
        <v>74095</v>
      </c>
      <c r="J549" s="17">
        <v>87432.099999999991</v>
      </c>
      <c r="K549" s="17">
        <v>94100.65</v>
      </c>
      <c r="L549" s="17">
        <v>111883.45</v>
      </c>
      <c r="M549" s="17">
        <v>125220.55</v>
      </c>
      <c r="N549" s="17">
        <v>125220.55</v>
      </c>
      <c r="O549" s="17">
        <v>133371</v>
      </c>
      <c r="P549" s="17">
        <v>141521.45000000001</v>
      </c>
      <c r="Q549" s="17">
        <v>140780.5</v>
      </c>
      <c r="R549" s="17">
        <v>0</v>
      </c>
      <c r="S549" s="17">
        <v>0</v>
      </c>
    </row>
    <row r="550" spans="1:19" ht="14.25">
      <c r="A550" s="23">
        <f t="shared" si="9"/>
        <v>549</v>
      </c>
      <c r="B550" s="18"/>
      <c r="C550" s="17">
        <v>77015</v>
      </c>
      <c r="D550" s="17">
        <v>77015</v>
      </c>
      <c r="E550" s="17">
        <v>85486.650000000009</v>
      </c>
      <c r="F550" s="17">
        <v>92418.000000000015</v>
      </c>
      <c r="G550" s="17">
        <v>89337.400000000009</v>
      </c>
      <c r="H550" s="17">
        <v>103970.25</v>
      </c>
      <c r="I550" s="17">
        <v>103970.25</v>
      </c>
      <c r="J550" s="17">
        <v>103970.25</v>
      </c>
      <c r="K550" s="17">
        <v>115522.5</v>
      </c>
      <c r="L550" s="17">
        <v>134006.1</v>
      </c>
      <c r="M550" s="17">
        <v>151719.54999999999</v>
      </c>
      <c r="N550" s="17">
        <v>150179.25</v>
      </c>
      <c r="O550" s="17">
        <v>150179.25</v>
      </c>
      <c r="P550" s="17">
        <v>0</v>
      </c>
      <c r="Q550" s="17">
        <v>0</v>
      </c>
      <c r="R550" s="17">
        <v>0</v>
      </c>
      <c r="S550" s="17">
        <v>0</v>
      </c>
    </row>
    <row r="551" spans="1:19" ht="14.25">
      <c r="A551" s="23">
        <f t="shared" si="9"/>
        <v>550</v>
      </c>
      <c r="B551" s="18"/>
      <c r="C551" s="17">
        <v>100010</v>
      </c>
      <c r="D551" s="17">
        <v>87008.7</v>
      </c>
      <c r="E551" s="17">
        <v>80008</v>
      </c>
      <c r="F551" s="17">
        <v>97009.700000000012</v>
      </c>
      <c r="G551" s="17">
        <v>112011.20000000001</v>
      </c>
      <c r="H551" s="17">
        <v>126012.60000000002</v>
      </c>
      <c r="I551" s="17">
        <v>154015.40000000002</v>
      </c>
      <c r="J551" s="17">
        <v>165016.50000000003</v>
      </c>
      <c r="K551" s="17">
        <v>177017.70000000004</v>
      </c>
      <c r="L551" s="17">
        <v>194019.40000000005</v>
      </c>
      <c r="M551" s="17">
        <v>194019.40000000005</v>
      </c>
      <c r="N551" s="17">
        <v>208020.80000000005</v>
      </c>
      <c r="O551" s="17">
        <v>204020.40000000005</v>
      </c>
      <c r="P551" s="17">
        <v>220022.00000000006</v>
      </c>
      <c r="Q551" s="17">
        <v>228022.80000000008</v>
      </c>
      <c r="R551" s="17">
        <v>220022.00000000006</v>
      </c>
      <c r="S551" s="17">
        <v>220022.00000000006</v>
      </c>
    </row>
    <row r="552" spans="1:19" ht="14.25">
      <c r="A552" s="23">
        <f t="shared" si="9"/>
        <v>551</v>
      </c>
      <c r="B552" s="18"/>
      <c r="C552" s="17">
        <v>0</v>
      </c>
      <c r="D552" s="17">
        <v>0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71175</v>
      </c>
      <c r="R552" s="17">
        <v>56940</v>
      </c>
      <c r="S552" s="17">
        <v>64769.25</v>
      </c>
    </row>
    <row r="553" spans="1:19" ht="14.25">
      <c r="A553" s="23">
        <f t="shared" si="9"/>
        <v>552</v>
      </c>
      <c r="B553" s="18"/>
      <c r="C553" s="17">
        <v>0</v>
      </c>
      <c r="D553" s="17">
        <v>0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85775</v>
      </c>
      <c r="R553" s="17">
        <v>102930</v>
      </c>
      <c r="S553" s="17">
        <v>127804.75</v>
      </c>
    </row>
    <row r="554" spans="1:19" ht="14.25">
      <c r="A554" s="23">
        <f t="shared" si="9"/>
        <v>553</v>
      </c>
      <c r="B554" s="18"/>
      <c r="C554" s="17">
        <v>87965</v>
      </c>
      <c r="D554" s="17">
        <v>87965</v>
      </c>
      <c r="E554" s="17">
        <v>80048.150000000009</v>
      </c>
      <c r="F554" s="17">
        <v>85326.05</v>
      </c>
      <c r="G554" s="17">
        <v>91483.6</v>
      </c>
      <c r="H554" s="17">
        <v>115234.15000000001</v>
      </c>
      <c r="I554" s="17">
        <v>98520.8</v>
      </c>
      <c r="J554" s="17">
        <v>115234.15000000001</v>
      </c>
      <c r="K554" s="17">
        <v>115234.15000000001</v>
      </c>
      <c r="L554" s="17">
        <v>115234.15000000001</v>
      </c>
      <c r="M554" s="17">
        <v>131067.85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</row>
    <row r="555" spans="1:19" ht="14.25">
      <c r="A555" s="23">
        <f t="shared" si="9"/>
        <v>554</v>
      </c>
      <c r="B555" s="18"/>
      <c r="C555" s="17">
        <v>0</v>
      </c>
      <c r="D555" s="17">
        <v>0</v>
      </c>
      <c r="E555" s="17">
        <v>0</v>
      </c>
      <c r="F555" s="17">
        <v>0</v>
      </c>
      <c r="G555" s="17">
        <v>0</v>
      </c>
      <c r="H555" s="17">
        <v>0</v>
      </c>
      <c r="I555" s="17">
        <v>92710</v>
      </c>
      <c r="J555" s="17">
        <v>116814.6</v>
      </c>
      <c r="K555" s="17">
        <v>139065</v>
      </c>
      <c r="L555" s="17">
        <v>139065</v>
      </c>
      <c r="M555" s="17">
        <v>139065</v>
      </c>
      <c r="N555" s="17">
        <v>151117.29999999999</v>
      </c>
      <c r="O555" s="17">
        <v>175221.9</v>
      </c>
      <c r="P555" s="17">
        <v>181711.6</v>
      </c>
      <c r="Q555" s="17">
        <v>181711.6</v>
      </c>
      <c r="R555" s="17">
        <v>209524.59999999998</v>
      </c>
      <c r="S555" s="17">
        <v>209524.59999999998</v>
      </c>
    </row>
    <row r="556" spans="1:19" ht="14.25">
      <c r="A556" s="23">
        <f t="shared" si="9"/>
        <v>555</v>
      </c>
      <c r="B556" s="18"/>
      <c r="C556" s="17">
        <v>0</v>
      </c>
      <c r="D556" s="17">
        <v>0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91980</v>
      </c>
      <c r="Q556" s="17">
        <v>78183</v>
      </c>
      <c r="R556" s="17">
        <v>87381</v>
      </c>
      <c r="S556" s="17">
        <v>100258.19999999998</v>
      </c>
    </row>
    <row r="557" spans="1:19" ht="14.25">
      <c r="A557" s="23">
        <f t="shared" si="9"/>
        <v>556</v>
      </c>
      <c r="B557" s="18"/>
      <c r="C557" s="17">
        <v>0</v>
      </c>
      <c r="D557" s="17">
        <v>0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101470</v>
      </c>
      <c r="P557" s="17">
        <v>116690.49999999999</v>
      </c>
      <c r="Q557" s="17">
        <v>113646.39999999999</v>
      </c>
      <c r="R557" s="17">
        <v>134955.09999999998</v>
      </c>
      <c r="S557" s="17">
        <v>160322.59999999998</v>
      </c>
    </row>
    <row r="558" spans="1:19" ht="14.25">
      <c r="A558" s="23">
        <f t="shared" si="9"/>
        <v>557</v>
      </c>
      <c r="B558" s="18"/>
      <c r="C558" s="17">
        <v>0</v>
      </c>
      <c r="D558" s="17">
        <v>0</v>
      </c>
      <c r="E558" s="17">
        <v>0</v>
      </c>
      <c r="F558" s="17">
        <v>0</v>
      </c>
      <c r="G558" s="17">
        <v>0</v>
      </c>
      <c r="H558" s="17">
        <v>0</v>
      </c>
      <c r="I558" s="17">
        <v>0</v>
      </c>
      <c r="J558" s="17">
        <v>0</v>
      </c>
      <c r="K558" s="17">
        <v>70445</v>
      </c>
      <c r="L558" s="17">
        <v>85942.9</v>
      </c>
      <c r="M558" s="17">
        <v>102145.25</v>
      </c>
      <c r="N558" s="17">
        <v>119756.5</v>
      </c>
      <c r="O558" s="17">
        <v>139481.1</v>
      </c>
      <c r="P558" s="17">
        <v>147934.5</v>
      </c>
      <c r="Q558" s="17">
        <v>157796.80000000002</v>
      </c>
      <c r="R558" s="17">
        <v>157796.80000000002</v>
      </c>
      <c r="S558" s="17">
        <v>168363.55000000002</v>
      </c>
    </row>
    <row r="559" spans="1:19" ht="14.25">
      <c r="A559" s="23">
        <f t="shared" si="9"/>
        <v>558</v>
      </c>
      <c r="B559" s="18"/>
      <c r="C559" s="17">
        <v>0</v>
      </c>
      <c r="D559" s="17">
        <v>0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68985</v>
      </c>
      <c r="K559" s="17">
        <v>82092.149999999994</v>
      </c>
      <c r="L559" s="17">
        <v>95199.299999999988</v>
      </c>
      <c r="M559" s="17">
        <v>84161.7</v>
      </c>
      <c r="N559" s="17">
        <v>75883.5</v>
      </c>
      <c r="O559" s="17">
        <v>75883.5</v>
      </c>
      <c r="P559" s="17">
        <v>85541.400000000009</v>
      </c>
      <c r="Q559" s="17">
        <v>79332.750000000015</v>
      </c>
      <c r="R559" s="17">
        <v>93819.6</v>
      </c>
      <c r="S559" s="17">
        <v>93819.6</v>
      </c>
    </row>
    <row r="560" spans="1:19" ht="14.25">
      <c r="A560" s="23">
        <f t="shared" si="9"/>
        <v>559</v>
      </c>
      <c r="B560" s="18"/>
      <c r="C560" s="17">
        <v>75920</v>
      </c>
      <c r="D560" s="17">
        <v>95659.199999999997</v>
      </c>
      <c r="E560" s="17">
        <v>92622.399999999994</v>
      </c>
      <c r="F560" s="17">
        <v>92622.399999999994</v>
      </c>
      <c r="G560" s="17">
        <v>113120.8</v>
      </c>
      <c r="H560" s="17">
        <v>118435.2</v>
      </c>
      <c r="I560" s="17">
        <v>133619.20000000001</v>
      </c>
      <c r="J560" s="17">
        <v>133619.20000000001</v>
      </c>
      <c r="K560" s="17">
        <v>140452</v>
      </c>
      <c r="L560" s="17">
        <v>160950.39999999999</v>
      </c>
      <c r="M560" s="17">
        <v>160191.20000000001</v>
      </c>
      <c r="N560" s="17">
        <v>151080.80000000002</v>
      </c>
      <c r="O560" s="17">
        <v>160191.20000000001</v>
      </c>
      <c r="P560" s="17">
        <v>166264.80000000002</v>
      </c>
      <c r="Q560" s="17">
        <v>166264.80000000002</v>
      </c>
      <c r="R560" s="17">
        <v>177652.80000000002</v>
      </c>
      <c r="S560" s="17">
        <v>172338.40000000002</v>
      </c>
    </row>
    <row r="561" spans="1:19" ht="14.25">
      <c r="A561" s="23">
        <f t="shared" si="9"/>
        <v>560</v>
      </c>
      <c r="B561" s="18"/>
      <c r="C561" s="17">
        <v>0</v>
      </c>
      <c r="D561" s="17">
        <v>0</v>
      </c>
      <c r="E561" s="17">
        <v>0</v>
      </c>
      <c r="F561" s="17">
        <v>0</v>
      </c>
      <c r="G561" s="17">
        <v>105485</v>
      </c>
      <c r="H561" s="17">
        <v>97046.2</v>
      </c>
      <c r="I561" s="17">
        <v>85442.85</v>
      </c>
      <c r="J561" s="17">
        <v>82278.3</v>
      </c>
      <c r="K561" s="17">
        <v>112868.95000000001</v>
      </c>
      <c r="L561" s="17">
        <v>0</v>
      </c>
      <c r="M561" s="17">
        <v>0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</row>
    <row r="562" spans="1:19" ht="14.25">
      <c r="A562" s="23">
        <f t="shared" si="9"/>
        <v>561</v>
      </c>
      <c r="B562" s="18"/>
      <c r="C562" s="17">
        <v>0</v>
      </c>
      <c r="D562" s="17">
        <v>0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102930</v>
      </c>
    </row>
    <row r="563" spans="1:19" ht="14.25">
      <c r="A563" s="23">
        <f t="shared" si="9"/>
        <v>562</v>
      </c>
      <c r="B563" s="18"/>
      <c r="C563" s="17">
        <v>0</v>
      </c>
      <c r="D563" s="17">
        <v>0</v>
      </c>
      <c r="E563" s="17">
        <v>0</v>
      </c>
      <c r="F563" s="17">
        <v>86505</v>
      </c>
      <c r="G563" s="17">
        <v>96885.6</v>
      </c>
      <c r="H563" s="17">
        <v>83909.85</v>
      </c>
      <c r="I563" s="17">
        <v>83909.85</v>
      </c>
      <c r="J563" s="17">
        <v>97750.650000000009</v>
      </c>
      <c r="K563" s="17">
        <v>85639.950000000012</v>
      </c>
      <c r="L563" s="17">
        <v>96020.55</v>
      </c>
      <c r="M563" s="17">
        <v>89100.150000000009</v>
      </c>
      <c r="N563" s="17">
        <v>78719.55</v>
      </c>
      <c r="O563" s="17">
        <v>84774.9</v>
      </c>
      <c r="P563" s="17">
        <v>84774.9</v>
      </c>
      <c r="Q563" s="17">
        <v>91695.3</v>
      </c>
      <c r="R563" s="17">
        <v>108131.25</v>
      </c>
      <c r="S563" s="17">
        <v>115051.65000000001</v>
      </c>
    </row>
    <row r="564" spans="1:19" ht="14.25">
      <c r="A564" s="23">
        <f t="shared" si="9"/>
        <v>563</v>
      </c>
      <c r="B564" s="18"/>
      <c r="C564" s="17">
        <v>0</v>
      </c>
      <c r="D564" s="17">
        <v>0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70810</v>
      </c>
      <c r="R564" s="17">
        <v>77891</v>
      </c>
      <c r="S564" s="17">
        <v>77182.900000000009</v>
      </c>
    </row>
    <row r="565" spans="1:19" ht="14.25">
      <c r="A565" s="23">
        <f t="shared" si="9"/>
        <v>564</v>
      </c>
      <c r="B565" s="18"/>
      <c r="C565" s="17">
        <v>0</v>
      </c>
      <c r="D565" s="17">
        <v>0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82125</v>
      </c>
      <c r="N565" s="17">
        <v>97728.75</v>
      </c>
      <c r="O565" s="17">
        <v>115796.25</v>
      </c>
      <c r="P565" s="17">
        <v>102656.25</v>
      </c>
      <c r="Q565" s="17">
        <v>122366.25</v>
      </c>
      <c r="R565" s="17">
        <v>122366.25</v>
      </c>
      <c r="S565" s="17">
        <v>127293.75</v>
      </c>
    </row>
    <row r="566" spans="1:19" ht="14.25">
      <c r="A566" s="23">
        <f t="shared" si="9"/>
        <v>565</v>
      </c>
      <c r="B566" s="18"/>
      <c r="C566" s="17">
        <v>0</v>
      </c>
      <c r="D566" s="17">
        <v>0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65700</v>
      </c>
      <c r="S566" s="17">
        <v>70956</v>
      </c>
    </row>
    <row r="567" spans="1:19" ht="14.25">
      <c r="A567" s="23">
        <f t="shared" si="9"/>
        <v>566</v>
      </c>
      <c r="B567" s="18"/>
      <c r="C567" s="17">
        <v>104025</v>
      </c>
      <c r="D567" s="17">
        <v>121709.24999999999</v>
      </c>
      <c r="E567" s="17">
        <v>146675.25</v>
      </c>
      <c r="F567" s="17">
        <v>146675.25</v>
      </c>
      <c r="G567" s="17">
        <v>151876.5</v>
      </c>
      <c r="H567" s="17">
        <v>157077.75</v>
      </c>
      <c r="I567" s="17">
        <v>178923</v>
      </c>
      <c r="J567" s="17">
        <v>188285.25</v>
      </c>
      <c r="K567" s="17">
        <v>199728.00000000003</v>
      </c>
      <c r="L567" s="17">
        <v>204929.25000000003</v>
      </c>
      <c r="M567" s="17">
        <v>214291.5</v>
      </c>
      <c r="N567" s="17">
        <v>230935.50000000003</v>
      </c>
      <c r="O567" s="17">
        <v>249660.00000000003</v>
      </c>
      <c r="P567" s="17">
        <v>255901.50000000003</v>
      </c>
      <c r="Q567" s="17">
        <v>274626.00000000006</v>
      </c>
      <c r="R567" s="17">
        <v>289189.50000000006</v>
      </c>
      <c r="S567" s="17">
        <v>272545.50000000006</v>
      </c>
    </row>
    <row r="568" spans="1:19" ht="14.25">
      <c r="A568" s="23">
        <f t="shared" si="9"/>
        <v>567</v>
      </c>
      <c r="B568" s="18"/>
      <c r="C568" s="17">
        <v>0</v>
      </c>
      <c r="D568" s="17">
        <v>0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101105</v>
      </c>
      <c r="K568" s="17">
        <v>86950.3</v>
      </c>
      <c r="L568" s="17">
        <v>86950.3</v>
      </c>
      <c r="M568" s="17">
        <v>99082.9</v>
      </c>
      <c r="N568" s="17">
        <v>109193.40000000001</v>
      </c>
      <c r="O568" s="17">
        <v>93016.6</v>
      </c>
      <c r="P568" s="17">
        <v>99082.9</v>
      </c>
      <c r="Q568" s="17">
        <v>99082.9</v>
      </c>
      <c r="R568" s="17">
        <v>120314.95</v>
      </c>
      <c r="S568" s="17">
        <v>120314.95</v>
      </c>
    </row>
    <row r="569" spans="1:19" ht="14.25">
      <c r="A569" s="23">
        <f t="shared" si="9"/>
        <v>568</v>
      </c>
      <c r="B569" s="18"/>
      <c r="C569" s="17">
        <v>0</v>
      </c>
      <c r="D569" s="17">
        <v>0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104025</v>
      </c>
      <c r="K569" s="17">
        <v>128991</v>
      </c>
      <c r="L569" s="17">
        <v>135232.5</v>
      </c>
      <c r="M569" s="17">
        <v>135232.5</v>
      </c>
      <c r="N569" s="17">
        <v>153957</v>
      </c>
      <c r="O569" s="17">
        <v>153957</v>
      </c>
      <c r="P569" s="17">
        <v>153957</v>
      </c>
      <c r="Q569" s="17">
        <v>173721.75</v>
      </c>
      <c r="R569" s="17">
        <v>191405.99999999997</v>
      </c>
      <c r="S569" s="17">
        <v>212211</v>
      </c>
    </row>
    <row r="570" spans="1:19" ht="14.25">
      <c r="A570" s="23">
        <f t="shared" si="9"/>
        <v>569</v>
      </c>
      <c r="B570" s="18"/>
      <c r="C570" s="17">
        <v>0</v>
      </c>
      <c r="D570" s="17">
        <v>0</v>
      </c>
      <c r="E570" s="17">
        <v>0</v>
      </c>
      <c r="F570" s="17">
        <v>0</v>
      </c>
      <c r="G570" s="17">
        <v>0</v>
      </c>
      <c r="H570" s="17">
        <v>96725</v>
      </c>
      <c r="I570" s="17">
        <v>102528.5</v>
      </c>
      <c r="J570" s="17">
        <v>102528.5</v>
      </c>
      <c r="K570" s="17">
        <v>102528.5</v>
      </c>
      <c r="L570" s="17">
        <v>101561.25</v>
      </c>
      <c r="M570" s="17">
        <v>98659.5</v>
      </c>
      <c r="N570" s="17">
        <v>107364.75000000001</v>
      </c>
      <c r="O570" s="17">
        <v>107364.75000000001</v>
      </c>
      <c r="P570" s="17">
        <v>128644.25</v>
      </c>
      <c r="Q570" s="17">
        <v>153792.75</v>
      </c>
      <c r="R570" s="17">
        <v>164432.50000000003</v>
      </c>
      <c r="S570" s="17">
        <v>158629</v>
      </c>
    </row>
    <row r="571" spans="1:19" ht="14.25">
      <c r="A571" s="23">
        <f t="shared" si="9"/>
        <v>570</v>
      </c>
      <c r="B571" s="18"/>
      <c r="C571" s="17">
        <v>99645</v>
      </c>
      <c r="D571" s="17">
        <v>126549.15000000001</v>
      </c>
      <c r="E571" s="17">
        <v>110605.95000000001</v>
      </c>
      <c r="F571" s="17">
        <v>106620.15000000001</v>
      </c>
      <c r="G571" s="17">
        <v>117581.10000000002</v>
      </c>
      <c r="H571" s="17">
        <v>132527.85</v>
      </c>
      <c r="I571" s="17">
        <v>153453.30000000002</v>
      </c>
      <c r="J571" s="17">
        <v>161424.90000000002</v>
      </c>
      <c r="K571" s="17">
        <v>144485.25000000003</v>
      </c>
      <c r="L571" s="17">
        <v>135517.20000000001</v>
      </c>
      <c r="M571" s="17">
        <v>159432</v>
      </c>
      <c r="N571" s="17">
        <v>176371.65</v>
      </c>
      <c r="O571" s="17">
        <v>203275.80000000002</v>
      </c>
      <c r="P571" s="17">
        <v>0</v>
      </c>
      <c r="Q571" s="17">
        <v>0</v>
      </c>
      <c r="R571" s="17">
        <v>0</v>
      </c>
      <c r="S571" s="17">
        <v>0</v>
      </c>
    </row>
    <row r="572" spans="1:19" ht="14.25">
      <c r="A572" s="23">
        <f t="shared" si="9"/>
        <v>571</v>
      </c>
      <c r="B572" s="18"/>
      <c r="C572" s="17">
        <v>0</v>
      </c>
      <c r="D572" s="17">
        <v>0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85045</v>
      </c>
      <c r="O572" s="17">
        <v>101203.54999999999</v>
      </c>
      <c r="P572" s="17">
        <v>101203.54999999999</v>
      </c>
      <c r="Q572" s="17">
        <v>117362.09999999999</v>
      </c>
      <c r="R572" s="17">
        <v>101203.54999999999</v>
      </c>
      <c r="S572" s="17">
        <v>108007.15000000001</v>
      </c>
    </row>
    <row r="573" spans="1:19" ht="14.25">
      <c r="A573" s="23">
        <f t="shared" si="9"/>
        <v>572</v>
      </c>
      <c r="B573" s="18"/>
      <c r="C573" s="17">
        <v>67160</v>
      </c>
      <c r="D573" s="17">
        <v>85964.800000000003</v>
      </c>
      <c r="E573" s="17">
        <v>81935.199999999997</v>
      </c>
      <c r="F573" s="17">
        <v>94695.599999999991</v>
      </c>
      <c r="G573" s="17">
        <v>94695.599999999991</v>
      </c>
      <c r="H573" s="17">
        <v>106112.79999999999</v>
      </c>
      <c r="I573" s="17">
        <v>106112.79999999999</v>
      </c>
      <c r="J573" s="17">
        <v>113500.4</v>
      </c>
      <c r="K573" s="17">
        <v>116858.4</v>
      </c>
      <c r="L573" s="17">
        <v>114172</v>
      </c>
      <c r="M573" s="17">
        <v>118873.2</v>
      </c>
      <c r="N573" s="17">
        <v>122902.8</v>
      </c>
      <c r="O573" s="17">
        <v>130962.00000000001</v>
      </c>
      <c r="P573" s="17">
        <v>150438.40000000002</v>
      </c>
      <c r="Q573" s="17">
        <v>145065.60000000001</v>
      </c>
      <c r="R573" s="17">
        <v>145065.60000000001</v>
      </c>
      <c r="S573" s="17">
        <v>157826</v>
      </c>
    </row>
    <row r="574" spans="1:19" ht="14.25">
      <c r="A574" s="23">
        <f t="shared" si="9"/>
        <v>573</v>
      </c>
      <c r="B574" s="18"/>
      <c r="C574" s="17">
        <v>73730</v>
      </c>
      <c r="D574" s="17">
        <v>87001.4</v>
      </c>
      <c r="E574" s="17">
        <v>77416.499999999985</v>
      </c>
      <c r="F574" s="17">
        <v>86264.099999999991</v>
      </c>
      <c r="G574" s="17">
        <v>90687.9</v>
      </c>
      <c r="H574" s="17">
        <v>99535.5</v>
      </c>
      <c r="I574" s="17">
        <v>99535.5</v>
      </c>
      <c r="J574" s="17">
        <v>84789.500000000015</v>
      </c>
      <c r="K574" s="17">
        <v>98798.200000000012</v>
      </c>
      <c r="L574" s="17">
        <v>98798.200000000012</v>
      </c>
      <c r="M574" s="17">
        <v>88476.000000000015</v>
      </c>
      <c r="N574" s="17">
        <v>88476.000000000015</v>
      </c>
      <c r="O574" s="17">
        <v>103959.30000000002</v>
      </c>
      <c r="P574" s="17">
        <v>90687.900000000009</v>
      </c>
      <c r="Q574" s="17">
        <v>81840.300000000017</v>
      </c>
      <c r="R574" s="17">
        <v>99535.500000000029</v>
      </c>
      <c r="S574" s="17">
        <v>99535.500000000029</v>
      </c>
    </row>
    <row r="575" spans="1:19" ht="14.25">
      <c r="A575" s="23">
        <f t="shared" si="9"/>
        <v>574</v>
      </c>
      <c r="B575" s="18"/>
      <c r="C575" s="17">
        <v>0</v>
      </c>
      <c r="D575" s="17">
        <v>0</v>
      </c>
      <c r="E575" s="17">
        <v>75190</v>
      </c>
      <c r="F575" s="17">
        <v>88724.2</v>
      </c>
      <c r="G575" s="17">
        <v>83460.899999999994</v>
      </c>
      <c r="H575" s="17">
        <v>80453.299999999988</v>
      </c>
      <c r="I575" s="17">
        <v>66167.199999999997</v>
      </c>
      <c r="J575" s="17">
        <v>86468.5</v>
      </c>
      <c r="K575" s="17">
        <v>100754.59999999999</v>
      </c>
      <c r="L575" s="17">
        <v>115040.69999999998</v>
      </c>
      <c r="M575" s="17">
        <v>127822.99999999999</v>
      </c>
      <c r="N575" s="17">
        <v>136845.79999999999</v>
      </c>
      <c r="O575" s="17">
        <v>136845.79999999999</v>
      </c>
      <c r="P575" s="17">
        <v>140605.29999999999</v>
      </c>
      <c r="Q575" s="17">
        <v>140605.29999999999</v>
      </c>
      <c r="R575" s="17">
        <v>145116.69999999998</v>
      </c>
      <c r="S575" s="17">
        <v>156395.20000000001</v>
      </c>
    </row>
    <row r="576" spans="1:19" ht="14.25">
      <c r="A576" s="23">
        <f t="shared" si="9"/>
        <v>575</v>
      </c>
      <c r="B576" s="18"/>
      <c r="C576" s="17">
        <v>0</v>
      </c>
      <c r="D576" s="17">
        <v>0</v>
      </c>
      <c r="E576" s="17">
        <v>0</v>
      </c>
      <c r="F576" s="17">
        <v>0</v>
      </c>
      <c r="G576" s="17">
        <v>0</v>
      </c>
      <c r="H576" s="17">
        <v>0</v>
      </c>
      <c r="I576" s="17">
        <v>0</v>
      </c>
      <c r="J576" s="17">
        <v>0</v>
      </c>
      <c r="K576" s="17">
        <v>0</v>
      </c>
      <c r="L576" s="17">
        <v>0</v>
      </c>
      <c r="M576" s="17">
        <v>0</v>
      </c>
      <c r="N576" s="17">
        <v>73730</v>
      </c>
      <c r="O576" s="17">
        <v>73730</v>
      </c>
      <c r="P576" s="17">
        <v>86264.099999999991</v>
      </c>
      <c r="Q576" s="17">
        <v>79628.399999999994</v>
      </c>
      <c r="R576" s="17">
        <v>95848.999999999985</v>
      </c>
      <c r="S576" s="17">
        <v>112806.89999999998</v>
      </c>
    </row>
    <row r="577" spans="1:19" ht="14.25">
      <c r="A577" s="23">
        <f t="shared" si="9"/>
        <v>576</v>
      </c>
      <c r="B577" s="18"/>
      <c r="C577" s="17">
        <v>95995</v>
      </c>
      <c r="D577" s="17">
        <v>100794.75</v>
      </c>
      <c r="E577" s="17">
        <v>100794.75</v>
      </c>
      <c r="F577" s="17">
        <v>87355.45</v>
      </c>
      <c r="G577" s="17">
        <v>71036.3</v>
      </c>
      <c r="H577" s="17">
        <v>98874.85</v>
      </c>
      <c r="I577" s="17">
        <v>127673.35</v>
      </c>
      <c r="J577" s="17">
        <v>127673.35</v>
      </c>
      <c r="K577" s="17">
        <v>153592</v>
      </c>
      <c r="L577" s="17">
        <v>147832.30000000002</v>
      </c>
      <c r="M577" s="17">
        <v>133433.05000000002</v>
      </c>
      <c r="N577" s="17">
        <v>152632.05000000002</v>
      </c>
      <c r="O577" s="17">
        <v>152632.05000000002</v>
      </c>
      <c r="P577" s="17">
        <v>147832.30000000002</v>
      </c>
      <c r="Q577" s="17">
        <v>147832.30000000002</v>
      </c>
      <c r="R577" s="17">
        <v>147832.30000000002</v>
      </c>
      <c r="S577" s="17">
        <v>130553.20000000001</v>
      </c>
    </row>
    <row r="578" spans="1:19" ht="14.25">
      <c r="A578" s="23">
        <f t="shared" si="9"/>
        <v>577</v>
      </c>
      <c r="B578" s="18"/>
      <c r="C578" s="17">
        <v>0</v>
      </c>
      <c r="D578" s="17">
        <v>0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73000</v>
      </c>
      <c r="R578" s="17">
        <v>61320</v>
      </c>
      <c r="S578" s="17">
        <v>78840</v>
      </c>
    </row>
    <row r="579" spans="1:19" ht="14.25">
      <c r="A579" s="23">
        <f t="shared" ref="A579:A642" si="10">+A578+1</f>
        <v>578</v>
      </c>
      <c r="B579" s="18"/>
      <c r="C579" s="17">
        <v>71175</v>
      </c>
      <c r="D579" s="17">
        <v>71175</v>
      </c>
      <c r="E579" s="17">
        <v>85410</v>
      </c>
      <c r="F579" s="17">
        <v>106762.5</v>
      </c>
      <c r="G579" s="17">
        <v>127403.25</v>
      </c>
      <c r="H579" s="17">
        <v>127403.25</v>
      </c>
      <c r="I579" s="17">
        <v>136656</v>
      </c>
      <c r="J579" s="17">
        <v>149467.5</v>
      </c>
      <c r="K579" s="17">
        <v>149467.5</v>
      </c>
      <c r="L579" s="17">
        <v>161567.25</v>
      </c>
      <c r="M579" s="17">
        <v>172243.5</v>
      </c>
      <c r="N579" s="17">
        <v>162279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</row>
    <row r="580" spans="1:19" ht="14.25">
      <c r="A580" s="23">
        <f t="shared" si="10"/>
        <v>579</v>
      </c>
      <c r="B580" s="18"/>
      <c r="C580" s="17">
        <v>0</v>
      </c>
      <c r="D580" s="17">
        <v>0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98185</v>
      </c>
      <c r="L580" s="17">
        <v>104076.1</v>
      </c>
      <c r="M580" s="17">
        <v>116840.15</v>
      </c>
      <c r="N580" s="17">
        <v>141386.4</v>
      </c>
      <c r="O580" s="17">
        <v>141386.4</v>
      </c>
      <c r="P580" s="17">
        <v>149241.20000000001</v>
      </c>
      <c r="Q580" s="17">
        <v>137459</v>
      </c>
      <c r="R580" s="17">
        <v>137459</v>
      </c>
      <c r="S580" s="17">
        <v>148259.35</v>
      </c>
    </row>
    <row r="581" spans="1:19" ht="14.25">
      <c r="A581" s="23">
        <f t="shared" si="10"/>
        <v>580</v>
      </c>
      <c r="B581" s="18"/>
      <c r="C581" s="17">
        <v>0</v>
      </c>
      <c r="D581" s="17">
        <v>0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78840</v>
      </c>
      <c r="S581" s="17">
        <v>78840</v>
      </c>
    </row>
    <row r="582" spans="1:19" ht="14.25">
      <c r="A582" s="23">
        <f t="shared" si="10"/>
        <v>581</v>
      </c>
      <c r="B582" s="18"/>
      <c r="C582" s="17">
        <v>0</v>
      </c>
      <c r="D582" s="17">
        <v>0</v>
      </c>
      <c r="E582" s="17">
        <v>0</v>
      </c>
      <c r="F582" s="17">
        <v>0</v>
      </c>
      <c r="G582" s="17">
        <v>70080</v>
      </c>
      <c r="H582" s="17">
        <v>86899.199999999997</v>
      </c>
      <c r="I582" s="17">
        <v>101616</v>
      </c>
      <c r="J582" s="17">
        <v>116332.79999999999</v>
      </c>
      <c r="K582" s="17">
        <v>110025.59999999999</v>
      </c>
      <c r="L582" s="17">
        <v>120537.59999999998</v>
      </c>
      <c r="M582" s="17">
        <v>136655.99999999997</v>
      </c>
      <c r="N582" s="17">
        <v>154175.99999999997</v>
      </c>
      <c r="O582" s="17">
        <v>140159.99999999997</v>
      </c>
      <c r="P582" s="17">
        <v>160483.19999999998</v>
      </c>
      <c r="Q582" s="17">
        <v>176601.59999999998</v>
      </c>
      <c r="R582" s="17">
        <v>189916.79999999996</v>
      </c>
      <c r="S582" s="17">
        <v>189916.79999999996</v>
      </c>
    </row>
    <row r="583" spans="1:19" ht="14.25">
      <c r="A583" s="23">
        <f t="shared" si="10"/>
        <v>582</v>
      </c>
      <c r="B583" s="18"/>
      <c r="C583" s="17">
        <v>0</v>
      </c>
      <c r="D583" s="17">
        <v>0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102200</v>
      </c>
      <c r="K583" s="17">
        <v>88914</v>
      </c>
      <c r="L583" s="17">
        <v>71540</v>
      </c>
      <c r="M583" s="17">
        <v>84826</v>
      </c>
      <c r="N583" s="17">
        <v>110376</v>
      </c>
      <c r="O583" s="17">
        <v>110376</v>
      </c>
      <c r="P583" s="17">
        <v>134904</v>
      </c>
      <c r="Q583" s="17">
        <v>140014</v>
      </c>
      <c r="R583" s="17">
        <v>170674.00000000003</v>
      </c>
      <c r="S583" s="17">
        <v>161476</v>
      </c>
    </row>
    <row r="584" spans="1:19" ht="14.25">
      <c r="A584" s="23">
        <f t="shared" si="10"/>
        <v>583</v>
      </c>
      <c r="B584" s="18"/>
      <c r="C584" s="17">
        <v>0</v>
      </c>
      <c r="D584" s="17">
        <v>0</v>
      </c>
      <c r="E584" s="17">
        <v>86505</v>
      </c>
      <c r="F584" s="17">
        <v>86505</v>
      </c>
      <c r="G584" s="17">
        <v>86505</v>
      </c>
      <c r="H584" s="17">
        <v>101210.84999999999</v>
      </c>
      <c r="I584" s="17">
        <v>88235.1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</row>
    <row r="585" spans="1:19" ht="14.25">
      <c r="A585" s="23">
        <f t="shared" si="10"/>
        <v>584</v>
      </c>
      <c r="B585" s="18"/>
      <c r="C585" s="17">
        <v>0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86140</v>
      </c>
      <c r="O585" s="17">
        <v>110259.2</v>
      </c>
      <c r="P585" s="17">
        <v>124041.59999999999</v>
      </c>
      <c r="Q585" s="17">
        <v>145576.6</v>
      </c>
      <c r="R585" s="17">
        <v>163666</v>
      </c>
      <c r="S585" s="17">
        <v>163666</v>
      </c>
    </row>
    <row r="586" spans="1:19" ht="14.25">
      <c r="A586" s="23">
        <f t="shared" si="10"/>
        <v>585</v>
      </c>
      <c r="B586" s="18"/>
      <c r="C586" s="17">
        <v>0</v>
      </c>
      <c r="D586" s="17">
        <v>0</v>
      </c>
      <c r="E586" s="17">
        <v>0</v>
      </c>
      <c r="F586" s="17">
        <v>77380</v>
      </c>
      <c r="G586" s="17">
        <v>77380</v>
      </c>
      <c r="H586" s="17">
        <v>84344.200000000012</v>
      </c>
      <c r="I586" s="17">
        <v>102141.6</v>
      </c>
      <c r="J586" s="17">
        <v>119165.2</v>
      </c>
      <c r="K586" s="17">
        <v>127677.00000000001</v>
      </c>
      <c r="L586" s="17">
        <v>140057.80000000002</v>
      </c>
      <c r="M586" s="17">
        <v>155533.80000000002</v>
      </c>
      <c r="N586" s="17">
        <v>152438.6</v>
      </c>
      <c r="O586" s="17">
        <v>169462.20000000004</v>
      </c>
      <c r="P586" s="17">
        <v>184164.40000000002</v>
      </c>
      <c r="Q586" s="17">
        <v>169462.20000000004</v>
      </c>
      <c r="R586" s="17">
        <v>169462.20000000004</v>
      </c>
      <c r="S586" s="17">
        <v>169462.20000000004</v>
      </c>
    </row>
    <row r="587" spans="1:19" ht="14.25">
      <c r="A587" s="23">
        <f t="shared" si="10"/>
        <v>586</v>
      </c>
      <c r="B587" s="18"/>
      <c r="C587" s="17">
        <v>71175</v>
      </c>
      <c r="D587" s="17">
        <v>71175</v>
      </c>
      <c r="E587" s="17">
        <v>88257</v>
      </c>
      <c r="F587" s="17">
        <v>83274.75</v>
      </c>
      <c r="G587" s="17">
        <v>101068.5</v>
      </c>
      <c r="H587" s="17">
        <v>114591.74999999999</v>
      </c>
      <c r="I587" s="17">
        <v>131673.75</v>
      </c>
      <c r="J587" s="17">
        <v>138079.5</v>
      </c>
      <c r="K587" s="17">
        <v>150179.25</v>
      </c>
      <c r="L587" s="17">
        <v>155873.25</v>
      </c>
      <c r="M587" s="17">
        <v>160855.49999999997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</row>
    <row r="588" spans="1:19" ht="14.25">
      <c r="A588" s="23">
        <f t="shared" si="10"/>
        <v>587</v>
      </c>
      <c r="B588" s="18"/>
      <c r="C588" s="17">
        <v>0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69715</v>
      </c>
      <c r="P588" s="17">
        <v>59257.75</v>
      </c>
      <c r="Q588" s="17">
        <v>51589.1</v>
      </c>
      <c r="R588" s="17">
        <v>43223.3</v>
      </c>
      <c r="S588" s="17">
        <v>55074.850000000006</v>
      </c>
    </row>
    <row r="589" spans="1:19" ht="14.25">
      <c r="A589" s="23">
        <f t="shared" si="10"/>
        <v>588</v>
      </c>
      <c r="B589" s="18"/>
      <c r="C589" s="17">
        <v>98550</v>
      </c>
      <c r="D589" s="17">
        <v>98550</v>
      </c>
      <c r="E589" s="17">
        <v>120231</v>
      </c>
      <c r="F589" s="17">
        <v>133042.5</v>
      </c>
      <c r="G589" s="17">
        <v>141912.00000000003</v>
      </c>
      <c r="H589" s="17">
        <v>160636.5</v>
      </c>
      <c r="I589" s="17">
        <v>189216.00000000003</v>
      </c>
      <c r="J589" s="17">
        <v>215824.50000000003</v>
      </c>
      <c r="K589" s="17">
        <v>215824.50000000003</v>
      </c>
      <c r="L589" s="17">
        <v>239476.50000000006</v>
      </c>
      <c r="M589" s="17">
        <v>252288.00000000006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</row>
    <row r="590" spans="1:19" ht="14.25">
      <c r="A590" s="23">
        <f t="shared" si="10"/>
        <v>589</v>
      </c>
      <c r="B590" s="18"/>
      <c r="C590" s="17">
        <v>0</v>
      </c>
      <c r="D590" s="17">
        <v>0</v>
      </c>
      <c r="E590" s="17">
        <v>0</v>
      </c>
      <c r="F590" s="17">
        <v>0</v>
      </c>
      <c r="G590" s="17">
        <v>0</v>
      </c>
      <c r="H590" s="17">
        <v>0</v>
      </c>
      <c r="I590" s="17">
        <v>0</v>
      </c>
      <c r="J590" s="17">
        <v>0</v>
      </c>
      <c r="K590" s="17">
        <v>0</v>
      </c>
      <c r="L590" s="17">
        <v>0</v>
      </c>
      <c r="M590" s="17">
        <v>96360</v>
      </c>
      <c r="N590" s="17">
        <v>109850.40000000001</v>
      </c>
      <c r="O590" s="17">
        <v>118522.80000000002</v>
      </c>
      <c r="P590" s="17">
        <v>145503.60000000003</v>
      </c>
      <c r="Q590" s="17">
        <v>145503.60000000003</v>
      </c>
      <c r="R590" s="17">
        <v>131049.60000000003</v>
      </c>
      <c r="S590" s="17">
        <v>126231.60000000002</v>
      </c>
    </row>
    <row r="591" spans="1:19" ht="14.25">
      <c r="A591" s="23">
        <f t="shared" si="10"/>
        <v>590</v>
      </c>
      <c r="B591" s="18"/>
      <c r="C591" s="17">
        <v>0</v>
      </c>
      <c r="D591" s="17">
        <v>0</v>
      </c>
      <c r="E591" s="17">
        <v>0</v>
      </c>
      <c r="F591" s="17">
        <v>0</v>
      </c>
      <c r="G591" s="17">
        <v>0</v>
      </c>
      <c r="H591" s="17">
        <v>0</v>
      </c>
      <c r="I591" s="17">
        <v>0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86140</v>
      </c>
      <c r="P591" s="17">
        <v>86140</v>
      </c>
      <c r="Q591" s="17">
        <v>70634.8</v>
      </c>
      <c r="R591" s="17">
        <v>92169.8</v>
      </c>
      <c r="S591" s="17">
        <v>81833</v>
      </c>
    </row>
    <row r="592" spans="1:19" ht="14.25">
      <c r="A592" s="23">
        <f t="shared" si="10"/>
        <v>591</v>
      </c>
      <c r="B592" s="18"/>
      <c r="C592" s="17">
        <v>82490</v>
      </c>
      <c r="D592" s="17">
        <v>99812.9</v>
      </c>
      <c r="E592" s="17">
        <v>99812.9</v>
      </c>
      <c r="F592" s="17">
        <v>113011.29999999999</v>
      </c>
      <c r="G592" s="17">
        <v>129509.29999999999</v>
      </c>
      <c r="H592" s="17">
        <v>129509.29999999999</v>
      </c>
      <c r="I592" s="17">
        <v>152606.5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</row>
    <row r="593" spans="1:19" ht="14.25">
      <c r="A593" s="23">
        <f t="shared" si="10"/>
        <v>592</v>
      </c>
      <c r="B593" s="18"/>
      <c r="C593" s="17">
        <v>94900</v>
      </c>
      <c r="D593" s="17">
        <v>89206</v>
      </c>
      <c r="E593" s="17">
        <v>110083.99999999999</v>
      </c>
      <c r="F593" s="17">
        <v>137605</v>
      </c>
      <c r="G593" s="17">
        <v>137605</v>
      </c>
      <c r="H593" s="17">
        <v>148992.99999999997</v>
      </c>
      <c r="I593" s="17">
        <v>148992.99999999997</v>
      </c>
      <c r="J593" s="17">
        <v>148992.99999999997</v>
      </c>
      <c r="K593" s="17">
        <v>163227.99999999997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</row>
    <row r="594" spans="1:19" ht="14.25">
      <c r="A594" s="23">
        <f t="shared" si="10"/>
        <v>593</v>
      </c>
      <c r="B594" s="18"/>
      <c r="C594" s="17">
        <v>0</v>
      </c>
      <c r="D594" s="17">
        <v>0</v>
      </c>
      <c r="E594" s="17">
        <v>0</v>
      </c>
      <c r="F594" s="17">
        <v>0</v>
      </c>
      <c r="G594" s="17">
        <v>80300</v>
      </c>
      <c r="H594" s="17">
        <v>97966</v>
      </c>
      <c r="I594" s="17">
        <v>106799</v>
      </c>
      <c r="J594" s="17">
        <v>126874</v>
      </c>
      <c r="K594" s="17">
        <v>112420.00000000001</v>
      </c>
      <c r="L594" s="17">
        <v>101178.00000000001</v>
      </c>
      <c r="M594" s="17">
        <v>101178.00000000001</v>
      </c>
      <c r="N594" s="17">
        <v>122056.00000000001</v>
      </c>
      <c r="O594" s="17">
        <v>144540.00000000003</v>
      </c>
      <c r="P594" s="17">
        <v>156585</v>
      </c>
      <c r="Q594" s="17">
        <v>168630</v>
      </c>
      <c r="R594" s="17">
        <v>168630</v>
      </c>
      <c r="S594" s="17">
        <v>190311</v>
      </c>
    </row>
    <row r="595" spans="1:19" ht="14.25">
      <c r="A595" s="23">
        <f t="shared" si="10"/>
        <v>594</v>
      </c>
      <c r="B595" s="18"/>
      <c r="C595" s="17">
        <v>0</v>
      </c>
      <c r="D595" s="17">
        <v>0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83950</v>
      </c>
      <c r="K595" s="17">
        <v>83950</v>
      </c>
      <c r="L595" s="17">
        <v>83950</v>
      </c>
      <c r="M595" s="17">
        <v>83950</v>
      </c>
      <c r="N595" s="17">
        <v>92345.000000000015</v>
      </c>
      <c r="O595" s="17">
        <v>112493</v>
      </c>
      <c r="P595" s="17">
        <v>112493</v>
      </c>
      <c r="Q595" s="17">
        <v>112493</v>
      </c>
      <c r="R595" s="17">
        <v>136838.5</v>
      </c>
      <c r="S595" s="17">
        <v>136838.5</v>
      </c>
    </row>
    <row r="596" spans="1:19" ht="14.25">
      <c r="A596" s="23">
        <f t="shared" si="10"/>
        <v>595</v>
      </c>
      <c r="B596" s="18"/>
      <c r="C596" s="17">
        <v>0</v>
      </c>
      <c r="D596" s="17">
        <v>0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72270</v>
      </c>
      <c r="R596" s="17">
        <v>79497</v>
      </c>
      <c r="S596" s="17">
        <v>96841.8</v>
      </c>
    </row>
    <row r="597" spans="1:19" ht="14.25">
      <c r="A597" s="23">
        <f t="shared" si="10"/>
        <v>596</v>
      </c>
      <c r="B597" s="18"/>
      <c r="C597" s="17">
        <v>0</v>
      </c>
      <c r="D597" s="17">
        <v>102930</v>
      </c>
      <c r="E597" s="17">
        <v>91607.7</v>
      </c>
      <c r="F597" s="17">
        <v>91607.7</v>
      </c>
      <c r="G597" s="17">
        <v>96754.200000000012</v>
      </c>
      <c r="H597" s="17">
        <v>113223.00000000001</v>
      </c>
      <c r="I597" s="17">
        <v>127633.20000000003</v>
      </c>
      <c r="J597" s="17">
        <v>127633.20000000003</v>
      </c>
      <c r="K597" s="17">
        <v>127633.20000000003</v>
      </c>
      <c r="L597" s="17">
        <v>127633.20000000003</v>
      </c>
      <c r="M597" s="17">
        <v>133809.00000000003</v>
      </c>
      <c r="N597" s="17">
        <v>127633.20000000003</v>
      </c>
      <c r="O597" s="17">
        <v>147189.90000000002</v>
      </c>
      <c r="P597" s="17">
        <v>161600.10000000003</v>
      </c>
      <c r="Q597" s="17">
        <v>0</v>
      </c>
      <c r="R597" s="17">
        <v>0</v>
      </c>
      <c r="S597" s="17">
        <v>0</v>
      </c>
    </row>
    <row r="598" spans="1:19" ht="14.25">
      <c r="A598" s="23">
        <f t="shared" si="10"/>
        <v>597</v>
      </c>
      <c r="B598" s="18"/>
      <c r="C598" s="17">
        <v>0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100375</v>
      </c>
      <c r="P598" s="17">
        <v>122457.5</v>
      </c>
      <c r="Q598" s="17">
        <v>136510</v>
      </c>
      <c r="R598" s="17">
        <v>163611.25</v>
      </c>
      <c r="S598" s="17">
        <v>152569.99999999997</v>
      </c>
    </row>
    <row r="599" spans="1:19" ht="14.25">
      <c r="A599" s="23">
        <f t="shared" si="10"/>
        <v>598</v>
      </c>
      <c r="B599" s="18"/>
      <c r="C599" s="17">
        <v>95995</v>
      </c>
      <c r="D599" s="17">
        <v>95995</v>
      </c>
      <c r="E599" s="17">
        <v>95995</v>
      </c>
      <c r="F599" s="17">
        <v>103674.6</v>
      </c>
      <c r="G599" s="17">
        <v>95995</v>
      </c>
      <c r="H599" s="17">
        <v>107514.40000000001</v>
      </c>
      <c r="I599" s="17">
        <v>119033.80000000002</v>
      </c>
      <c r="J599" s="17">
        <v>125753.45000000003</v>
      </c>
      <c r="K599" s="17">
        <v>146872.35000000003</v>
      </c>
      <c r="L599" s="17">
        <v>0</v>
      </c>
      <c r="M599" s="17">
        <v>0</v>
      </c>
      <c r="N599" s="17">
        <v>0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</row>
    <row r="600" spans="1:19" ht="14.25">
      <c r="A600" s="23">
        <f t="shared" si="10"/>
        <v>599</v>
      </c>
      <c r="B600" s="18"/>
      <c r="C600" s="17">
        <v>78840</v>
      </c>
      <c r="D600" s="17">
        <v>98550</v>
      </c>
      <c r="E600" s="17">
        <v>113529.59999999999</v>
      </c>
      <c r="F600" s="17">
        <v>0</v>
      </c>
      <c r="G600" s="17">
        <v>0</v>
      </c>
      <c r="H600" s="17">
        <v>0</v>
      </c>
      <c r="I600" s="17">
        <v>0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</row>
    <row r="601" spans="1:19" ht="14.25">
      <c r="A601" s="23">
        <f t="shared" si="10"/>
        <v>600</v>
      </c>
      <c r="B601" s="18"/>
      <c r="C601" s="17">
        <v>98915</v>
      </c>
      <c r="D601" s="17">
        <v>118698</v>
      </c>
      <c r="E601" s="17">
        <v>138481</v>
      </c>
      <c r="F601" s="17">
        <v>138481</v>
      </c>
      <c r="G601" s="17">
        <v>150350.79999999999</v>
      </c>
      <c r="H601" s="17">
        <v>150350.79999999999</v>
      </c>
      <c r="I601" s="17">
        <v>143426.75</v>
      </c>
      <c r="J601" s="17">
        <v>143426.75</v>
      </c>
      <c r="K601" s="17">
        <v>170133.8</v>
      </c>
      <c r="L601" s="17">
        <v>164198.9</v>
      </c>
      <c r="M601" s="17">
        <v>183981.9</v>
      </c>
      <c r="N601" s="17">
        <v>183981.9</v>
      </c>
      <c r="O601" s="17">
        <v>183981.9</v>
      </c>
      <c r="P601" s="17">
        <v>198819.14999999997</v>
      </c>
      <c r="Q601" s="17">
        <v>212667.25</v>
      </c>
      <c r="R601" s="17">
        <v>212667.25</v>
      </c>
      <c r="S601" s="17">
        <v>225526.19999999998</v>
      </c>
    </row>
    <row r="602" spans="1:19" ht="14.25">
      <c r="A602" s="23">
        <f t="shared" si="10"/>
        <v>601</v>
      </c>
      <c r="B602" s="18"/>
      <c r="C602" s="17">
        <v>0</v>
      </c>
      <c r="D602" s="17">
        <v>0</v>
      </c>
      <c r="E602" s="17">
        <v>0</v>
      </c>
      <c r="F602" s="17">
        <v>0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7">
        <v>0</v>
      </c>
      <c r="P602" s="17">
        <v>0</v>
      </c>
      <c r="Q602" s="17">
        <v>0</v>
      </c>
      <c r="R602" s="17">
        <v>87965</v>
      </c>
      <c r="S602" s="17">
        <v>86205.7</v>
      </c>
    </row>
    <row r="603" spans="1:19" ht="14.25">
      <c r="A603" s="23">
        <f t="shared" si="10"/>
        <v>602</v>
      </c>
      <c r="B603" s="18"/>
      <c r="C603" s="17">
        <v>0</v>
      </c>
      <c r="D603" s="17">
        <v>0</v>
      </c>
      <c r="E603" s="17">
        <v>0</v>
      </c>
      <c r="F603" s="17">
        <v>0</v>
      </c>
      <c r="G603" s="17">
        <v>0</v>
      </c>
      <c r="H603" s="17">
        <v>0</v>
      </c>
      <c r="I603" s="17">
        <v>0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71175</v>
      </c>
      <c r="R603" s="17">
        <v>69039.75</v>
      </c>
      <c r="S603" s="17">
        <v>69039.75</v>
      </c>
    </row>
    <row r="604" spans="1:19" ht="14.25">
      <c r="A604" s="23">
        <f t="shared" si="10"/>
        <v>603</v>
      </c>
      <c r="B604" s="18"/>
      <c r="C604" s="17">
        <v>0</v>
      </c>
      <c r="D604" s="17">
        <v>0</v>
      </c>
      <c r="E604" s="17">
        <v>0</v>
      </c>
      <c r="F604" s="17">
        <v>0</v>
      </c>
      <c r="G604" s="17">
        <v>0</v>
      </c>
      <c r="H604" s="17">
        <v>0</v>
      </c>
      <c r="I604" s="17">
        <v>0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0</v>
      </c>
      <c r="Q604" s="17">
        <v>0</v>
      </c>
      <c r="R604" s="17">
        <v>68620</v>
      </c>
      <c r="S604" s="17">
        <v>86461.2</v>
      </c>
    </row>
    <row r="605" spans="1:19" ht="14.25">
      <c r="A605" s="23">
        <f t="shared" si="10"/>
        <v>604</v>
      </c>
      <c r="B605" s="18"/>
      <c r="C605" s="17">
        <v>76650</v>
      </c>
      <c r="D605" s="17">
        <v>88914</v>
      </c>
      <c r="E605" s="17">
        <v>95046</v>
      </c>
      <c r="F605" s="17">
        <v>99645</v>
      </c>
      <c r="G605" s="17">
        <v>99645</v>
      </c>
      <c r="H605" s="17">
        <v>108076.50000000001</v>
      </c>
      <c r="I605" s="17">
        <v>127239.00000000001</v>
      </c>
      <c r="J605" s="17">
        <v>127239.00000000001</v>
      </c>
      <c r="K605" s="17">
        <v>113442.00000000001</v>
      </c>
      <c r="L605" s="17">
        <v>126472.50000000001</v>
      </c>
      <c r="M605" s="17">
        <v>144102</v>
      </c>
      <c r="N605" s="17">
        <v>157132.50000000003</v>
      </c>
      <c r="O605" s="17">
        <v>157132.50000000003</v>
      </c>
      <c r="P605" s="17">
        <v>163264.50000000003</v>
      </c>
      <c r="Q605" s="17">
        <v>186259.5</v>
      </c>
      <c r="R605" s="17">
        <v>202356</v>
      </c>
      <c r="S605" s="17">
        <v>202356</v>
      </c>
    </row>
    <row r="606" spans="1:19" ht="14.25">
      <c r="A606" s="23">
        <f t="shared" si="10"/>
        <v>605</v>
      </c>
      <c r="B606" s="18"/>
      <c r="C606" s="17">
        <v>0</v>
      </c>
      <c r="D606" s="17">
        <v>0</v>
      </c>
      <c r="E606" s="17">
        <v>0</v>
      </c>
      <c r="F606" s="17">
        <v>0</v>
      </c>
      <c r="G606" s="17">
        <v>0</v>
      </c>
      <c r="H606" s="17">
        <v>0</v>
      </c>
      <c r="I606" s="17">
        <v>0</v>
      </c>
      <c r="J606" s="17">
        <v>0</v>
      </c>
      <c r="K606" s="17">
        <v>0</v>
      </c>
      <c r="L606" s="17">
        <v>95995</v>
      </c>
      <c r="M606" s="17">
        <v>100794.75</v>
      </c>
      <c r="N606" s="17">
        <v>129593.25000000001</v>
      </c>
      <c r="O606" s="17">
        <v>151672.1</v>
      </c>
      <c r="P606" s="17">
        <v>151672.1</v>
      </c>
      <c r="Q606" s="17">
        <v>166071.35</v>
      </c>
      <c r="R606" s="17">
        <v>158391.75</v>
      </c>
      <c r="S606" s="17">
        <v>147832.29999999999</v>
      </c>
    </row>
    <row r="607" spans="1:19" ht="14.25">
      <c r="A607" s="23">
        <f t="shared" si="10"/>
        <v>606</v>
      </c>
      <c r="B607" s="18"/>
      <c r="C607" s="17">
        <v>0</v>
      </c>
      <c r="D607" s="17">
        <v>0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105850</v>
      </c>
      <c r="R607" s="17">
        <v>105850</v>
      </c>
      <c r="S607" s="17">
        <v>92089.5</v>
      </c>
    </row>
    <row r="608" spans="1:19" ht="14.25">
      <c r="A608" s="23">
        <f t="shared" si="10"/>
        <v>607</v>
      </c>
      <c r="B608" s="18"/>
      <c r="C608" s="17">
        <v>0</v>
      </c>
      <c r="D608" s="17">
        <v>0</v>
      </c>
      <c r="E608" s="17">
        <v>0</v>
      </c>
      <c r="F608" s="17">
        <v>0</v>
      </c>
      <c r="G608" s="17">
        <v>0</v>
      </c>
      <c r="H608" s="17">
        <v>0</v>
      </c>
      <c r="I608" s="17">
        <v>81030</v>
      </c>
      <c r="J608" s="17">
        <v>81030</v>
      </c>
      <c r="K608" s="17">
        <v>96425.7</v>
      </c>
      <c r="L608" s="17">
        <v>91563.9</v>
      </c>
      <c r="M608" s="17">
        <v>98856.599999999991</v>
      </c>
      <c r="N608" s="17">
        <v>89943.299999999988</v>
      </c>
      <c r="O608" s="17">
        <v>83460.89999999998</v>
      </c>
      <c r="P608" s="17">
        <v>93184.5</v>
      </c>
      <c r="Q608" s="17">
        <v>102097.8</v>
      </c>
      <c r="R608" s="17">
        <v>93994.799999999988</v>
      </c>
      <c r="S608" s="17">
        <v>81840.3</v>
      </c>
    </row>
    <row r="609" spans="1:19" ht="14.25">
      <c r="A609" s="23">
        <f t="shared" si="10"/>
        <v>608</v>
      </c>
      <c r="B609" s="18"/>
      <c r="C609" s="17">
        <v>0</v>
      </c>
      <c r="D609" s="17">
        <v>104390</v>
      </c>
      <c r="E609" s="17">
        <v>87687.599999999991</v>
      </c>
      <c r="F609" s="17">
        <v>103346.1</v>
      </c>
      <c r="G609" s="17">
        <v>110653.40000000001</v>
      </c>
      <c r="H609" s="17">
        <v>132575.29999999999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</row>
    <row r="610" spans="1:19" ht="14.25">
      <c r="A610" s="23">
        <f t="shared" si="10"/>
        <v>609</v>
      </c>
      <c r="B610" s="18"/>
      <c r="C610" s="17">
        <v>92710</v>
      </c>
      <c r="D610" s="17">
        <v>79730.600000000006</v>
      </c>
      <c r="E610" s="17">
        <v>79730.600000000006</v>
      </c>
      <c r="F610" s="17">
        <v>84366.1</v>
      </c>
      <c r="G610" s="17">
        <v>84366.1</v>
      </c>
      <c r="H610" s="17">
        <v>95491.3</v>
      </c>
      <c r="I610" s="17">
        <v>103835.20000000001</v>
      </c>
      <c r="J610" s="17">
        <v>103835.20000000001</v>
      </c>
      <c r="K610" s="17">
        <v>115887.5</v>
      </c>
      <c r="L610" s="17">
        <v>126085.6</v>
      </c>
      <c r="M610" s="17">
        <v>152044.40000000002</v>
      </c>
      <c r="N610" s="17">
        <v>158534.1</v>
      </c>
      <c r="O610" s="17">
        <v>165023.80000000002</v>
      </c>
      <c r="P610" s="17">
        <v>0</v>
      </c>
      <c r="Q610" s="17">
        <v>0</v>
      </c>
      <c r="R610" s="17">
        <v>0</v>
      </c>
      <c r="S610" s="17">
        <v>0</v>
      </c>
    </row>
    <row r="611" spans="1:19" ht="14.25">
      <c r="A611" s="23">
        <f t="shared" si="10"/>
        <v>610</v>
      </c>
      <c r="B611" s="18"/>
      <c r="C611" s="17">
        <v>104390</v>
      </c>
      <c r="D611" s="17">
        <v>134663.1</v>
      </c>
      <c r="E611" s="17">
        <v>158672.79999999999</v>
      </c>
      <c r="F611" s="17">
        <v>140926.5</v>
      </c>
      <c r="G611" s="17">
        <v>155541.10000000003</v>
      </c>
      <c r="H611" s="17">
        <v>154497.20000000001</v>
      </c>
      <c r="I611" s="17">
        <v>161804.50000000003</v>
      </c>
      <c r="J611" s="17">
        <v>161804.50000000003</v>
      </c>
      <c r="K611" s="17">
        <v>148233.80000000005</v>
      </c>
      <c r="L611" s="17">
        <v>164936.20000000004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</row>
    <row r="612" spans="1:19" ht="14.25">
      <c r="A612" s="23">
        <f t="shared" si="10"/>
        <v>611</v>
      </c>
      <c r="B612" s="18"/>
      <c r="C612" s="17">
        <v>0</v>
      </c>
      <c r="D612" s="17">
        <v>0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82855</v>
      </c>
      <c r="P612" s="17">
        <v>82855</v>
      </c>
      <c r="Q612" s="17">
        <v>94454.700000000012</v>
      </c>
      <c r="R612" s="17">
        <v>101083.10000000002</v>
      </c>
      <c r="S612" s="17">
        <v>105225.85000000002</v>
      </c>
    </row>
    <row r="613" spans="1:19" ht="14.25">
      <c r="A613" s="23">
        <f t="shared" si="10"/>
        <v>612</v>
      </c>
      <c r="B613" s="18"/>
      <c r="C613" s="17">
        <v>0</v>
      </c>
      <c r="D613" s="17">
        <v>0</v>
      </c>
      <c r="E613" s="17">
        <v>0</v>
      </c>
      <c r="F613" s="17">
        <v>0</v>
      </c>
      <c r="G613" s="17">
        <v>0</v>
      </c>
      <c r="H613" s="17">
        <v>86140</v>
      </c>
      <c r="I613" s="17">
        <v>107675</v>
      </c>
      <c r="J613" s="17">
        <v>118873.2</v>
      </c>
      <c r="K613" s="17">
        <v>142131</v>
      </c>
      <c r="L613" s="17">
        <v>147299.4</v>
      </c>
      <c r="M613" s="17">
        <v>155052</v>
      </c>
      <c r="N613" s="17">
        <v>155052</v>
      </c>
      <c r="O613" s="17">
        <v>155052</v>
      </c>
      <c r="P613" s="17">
        <v>170557.2</v>
      </c>
      <c r="Q613" s="17">
        <v>170557.2</v>
      </c>
      <c r="R613" s="17">
        <v>179171.20000000001</v>
      </c>
      <c r="S613" s="17">
        <v>204151.80000000002</v>
      </c>
    </row>
    <row r="614" spans="1:19" ht="14.25">
      <c r="A614" s="23">
        <f t="shared" si="10"/>
        <v>613</v>
      </c>
      <c r="B614" s="18"/>
      <c r="C614" s="17">
        <v>0</v>
      </c>
      <c r="D614" s="17">
        <v>0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69350</v>
      </c>
      <c r="O614" s="17">
        <v>76978.5</v>
      </c>
      <c r="P614" s="17">
        <v>76978.5</v>
      </c>
      <c r="Q614" s="17">
        <v>69350</v>
      </c>
      <c r="R614" s="17">
        <v>58947.5</v>
      </c>
      <c r="S614" s="17">
        <v>68656.5</v>
      </c>
    </row>
    <row r="615" spans="1:19" ht="14.25">
      <c r="A615" s="23">
        <f t="shared" si="10"/>
        <v>614</v>
      </c>
      <c r="B615" s="18"/>
      <c r="C615" s="17">
        <v>0</v>
      </c>
      <c r="D615" s="17">
        <v>0</v>
      </c>
      <c r="E615" s="17">
        <v>74460</v>
      </c>
      <c r="F615" s="17">
        <v>91585.8</v>
      </c>
      <c r="G615" s="17">
        <v>101265.59999999999</v>
      </c>
      <c r="H615" s="17">
        <v>123603.59999999999</v>
      </c>
      <c r="I615" s="17">
        <v>121369.79999999999</v>
      </c>
      <c r="J615" s="17">
        <v>128815.8</v>
      </c>
      <c r="K615" s="17">
        <v>121369.79999999999</v>
      </c>
      <c r="L615" s="17">
        <v>121369.79999999999</v>
      </c>
      <c r="M615" s="17">
        <v>130305</v>
      </c>
      <c r="N615" s="17">
        <v>139240.20000000001</v>
      </c>
      <c r="O615" s="17">
        <v>144452.40000000002</v>
      </c>
      <c r="P615" s="17">
        <v>161578.20000000004</v>
      </c>
      <c r="Q615" s="17">
        <v>165301.20000000001</v>
      </c>
      <c r="R615" s="17">
        <v>178704.00000000003</v>
      </c>
      <c r="S615" s="17">
        <v>186150.00000000003</v>
      </c>
    </row>
    <row r="616" spans="1:19" ht="14.25">
      <c r="A616" s="23">
        <f t="shared" si="10"/>
        <v>615</v>
      </c>
      <c r="B616" s="18"/>
      <c r="C616" s="17">
        <v>0</v>
      </c>
      <c r="D616" s="17">
        <v>0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</row>
    <row r="617" spans="1:19" ht="14.25">
      <c r="A617" s="23">
        <f t="shared" si="10"/>
        <v>616</v>
      </c>
      <c r="B617" s="18"/>
      <c r="C617" s="17">
        <v>65700</v>
      </c>
      <c r="D617" s="17">
        <v>65700</v>
      </c>
      <c r="E617" s="17">
        <v>60444</v>
      </c>
      <c r="F617" s="17">
        <v>49932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</row>
    <row r="618" spans="1:19" ht="14.25">
      <c r="A618" s="23">
        <f t="shared" si="10"/>
        <v>617</v>
      </c>
      <c r="B618" s="18"/>
      <c r="C618" s="17">
        <v>101470</v>
      </c>
      <c r="D618" s="17">
        <v>122778.7</v>
      </c>
      <c r="E618" s="17">
        <v>122778.7</v>
      </c>
      <c r="F618" s="17">
        <v>141043.29999999999</v>
      </c>
      <c r="G618" s="17">
        <v>147131.5</v>
      </c>
      <c r="H618" s="17">
        <v>134955.1</v>
      </c>
      <c r="I618" s="17">
        <v>152205</v>
      </c>
      <c r="J618" s="17">
        <v>142058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</row>
    <row r="619" spans="1:19" ht="14.25">
      <c r="A619" s="23">
        <f t="shared" si="10"/>
        <v>618</v>
      </c>
      <c r="B619" s="18"/>
      <c r="C619" s="17">
        <v>87600</v>
      </c>
      <c r="D619" s="17">
        <v>91980</v>
      </c>
      <c r="E619" s="17">
        <v>91980</v>
      </c>
      <c r="F619" s="17">
        <v>115632</v>
      </c>
      <c r="G619" s="17">
        <v>121764.00000000001</v>
      </c>
      <c r="H619" s="17">
        <v>117384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</row>
    <row r="620" spans="1:19" ht="14.25">
      <c r="A620" s="23">
        <f t="shared" si="10"/>
        <v>619</v>
      </c>
      <c r="B620" s="18"/>
      <c r="C620" s="17">
        <v>0</v>
      </c>
      <c r="D620" s="17">
        <v>0</v>
      </c>
      <c r="E620" s="17">
        <v>0</v>
      </c>
      <c r="F620" s="17">
        <v>104025</v>
      </c>
      <c r="G620" s="17">
        <v>111306.75</v>
      </c>
      <c r="H620" s="17">
        <v>125870.25</v>
      </c>
      <c r="I620" s="17">
        <v>125870.25</v>
      </c>
      <c r="J620" s="17">
        <v>147715.5</v>
      </c>
      <c r="K620" s="17">
        <v>177882.75</v>
      </c>
      <c r="L620" s="17">
        <v>167480.25</v>
      </c>
      <c r="M620" s="17">
        <v>187244.99999999997</v>
      </c>
      <c r="N620" s="17">
        <v>215331.74999999997</v>
      </c>
      <c r="O620" s="17">
        <v>239257.49999999997</v>
      </c>
      <c r="P620" s="17">
        <v>239257.49999999997</v>
      </c>
      <c r="Q620" s="17">
        <v>239257.49999999997</v>
      </c>
      <c r="R620" s="17">
        <v>263183.25</v>
      </c>
      <c r="S620" s="17">
        <v>272545.49999999994</v>
      </c>
    </row>
    <row r="621" spans="1:19" ht="14.25">
      <c r="A621" s="23">
        <f t="shared" si="10"/>
        <v>620</v>
      </c>
      <c r="B621" s="18"/>
      <c r="C621" s="17">
        <v>0</v>
      </c>
      <c r="D621" s="17">
        <v>86140</v>
      </c>
      <c r="E621" s="17">
        <v>104229.4</v>
      </c>
      <c r="F621" s="17">
        <v>104229.4</v>
      </c>
      <c r="G621" s="17">
        <v>88724.2</v>
      </c>
      <c r="H621" s="17">
        <v>95615.400000000009</v>
      </c>
      <c r="I621" s="17">
        <v>120596.00000000001</v>
      </c>
      <c r="J621" s="17">
        <v>111982</v>
      </c>
      <c r="K621" s="17">
        <v>131794.20000000001</v>
      </c>
      <c r="L621" s="17">
        <v>150745</v>
      </c>
      <c r="M621" s="17">
        <v>150745</v>
      </c>
      <c r="N621" s="17">
        <v>162804.6</v>
      </c>
      <c r="O621" s="17">
        <v>181755.40000000002</v>
      </c>
      <c r="P621" s="17">
        <v>198122.00000000003</v>
      </c>
      <c r="Q621" s="17">
        <v>198122.00000000003</v>
      </c>
      <c r="R621" s="17">
        <v>209320.2</v>
      </c>
      <c r="S621" s="17">
        <v>229993.8</v>
      </c>
    </row>
    <row r="622" spans="1:19" ht="14.25">
      <c r="A622" s="23">
        <f t="shared" si="10"/>
        <v>621</v>
      </c>
      <c r="B622" s="18"/>
      <c r="C622" s="17">
        <v>0</v>
      </c>
      <c r="D622" s="17">
        <v>0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71175</v>
      </c>
    </row>
    <row r="623" spans="1:19" ht="14.25">
      <c r="A623" s="23">
        <f t="shared" si="10"/>
        <v>622</v>
      </c>
      <c r="B623" s="18"/>
      <c r="C623" s="17">
        <v>0</v>
      </c>
      <c r="D623" s="17">
        <v>0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83950</v>
      </c>
      <c r="R623" s="17">
        <v>67999.5</v>
      </c>
      <c r="S623" s="17">
        <v>86468.5</v>
      </c>
    </row>
    <row r="624" spans="1:19" ht="14.25">
      <c r="A624" s="23">
        <f t="shared" si="10"/>
        <v>623</v>
      </c>
      <c r="B624" s="18"/>
      <c r="C624" s="17">
        <v>0</v>
      </c>
      <c r="D624" s="17">
        <v>0</v>
      </c>
      <c r="E624" s="17">
        <v>0</v>
      </c>
      <c r="F624" s="17">
        <v>0</v>
      </c>
      <c r="G624" s="17">
        <v>0</v>
      </c>
      <c r="H624" s="17">
        <v>0</v>
      </c>
      <c r="I624" s="17">
        <v>0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78110</v>
      </c>
      <c r="Q624" s="17">
        <v>64050.200000000004</v>
      </c>
      <c r="R624" s="17">
        <v>64050.200000000004</v>
      </c>
      <c r="S624" s="17">
        <v>51552.600000000006</v>
      </c>
    </row>
    <row r="625" spans="1:19" ht="14.25">
      <c r="A625" s="23">
        <f t="shared" si="10"/>
        <v>624</v>
      </c>
      <c r="B625" s="18"/>
      <c r="C625" s="17">
        <v>0</v>
      </c>
      <c r="D625" s="17">
        <v>0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99280</v>
      </c>
      <c r="P625" s="17">
        <v>105236.8</v>
      </c>
      <c r="Q625" s="17">
        <v>105236.8</v>
      </c>
      <c r="R625" s="17">
        <v>110200.8</v>
      </c>
      <c r="S625" s="17">
        <v>118143.20000000001</v>
      </c>
    </row>
    <row r="626" spans="1:19" ht="14.25">
      <c r="A626" s="23">
        <f t="shared" si="10"/>
        <v>625</v>
      </c>
      <c r="B626" s="18"/>
      <c r="C626" s="17">
        <v>0</v>
      </c>
      <c r="D626" s="17">
        <v>0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87600</v>
      </c>
      <c r="S626" s="17">
        <v>76212</v>
      </c>
    </row>
    <row r="627" spans="1:19" ht="14.25">
      <c r="A627" s="23">
        <f t="shared" si="10"/>
        <v>626</v>
      </c>
      <c r="B627" s="18"/>
      <c r="C627" s="17">
        <v>0</v>
      </c>
      <c r="D627" s="17">
        <v>0</v>
      </c>
      <c r="E627" s="17">
        <v>0</v>
      </c>
      <c r="F627" s="17">
        <v>0</v>
      </c>
      <c r="G627" s="17">
        <v>0</v>
      </c>
      <c r="H627" s="17">
        <v>73000</v>
      </c>
      <c r="I627" s="17">
        <v>70080</v>
      </c>
      <c r="J627" s="17">
        <v>59860</v>
      </c>
      <c r="K627" s="17">
        <v>76650</v>
      </c>
      <c r="L627" s="17">
        <v>86870</v>
      </c>
      <c r="M627" s="17">
        <v>86870</v>
      </c>
      <c r="N627" s="17">
        <v>84680</v>
      </c>
      <c r="O627" s="17">
        <v>102930</v>
      </c>
      <c r="P627" s="17">
        <v>91980</v>
      </c>
      <c r="Q627" s="17">
        <v>77380</v>
      </c>
      <c r="R627" s="17">
        <v>75920</v>
      </c>
      <c r="S627" s="17">
        <v>75920</v>
      </c>
    </row>
    <row r="628" spans="1:19" ht="14.25">
      <c r="A628" s="23">
        <f t="shared" si="10"/>
        <v>627</v>
      </c>
      <c r="B628" s="18"/>
      <c r="C628" s="17">
        <v>0</v>
      </c>
      <c r="D628" s="17">
        <v>0</v>
      </c>
      <c r="E628" s="17">
        <v>0</v>
      </c>
      <c r="F628" s="17">
        <v>0</v>
      </c>
      <c r="G628" s="17">
        <v>0</v>
      </c>
      <c r="H628" s="17">
        <v>83585</v>
      </c>
      <c r="I628" s="17">
        <v>83585</v>
      </c>
      <c r="J628" s="17">
        <v>76898.2</v>
      </c>
      <c r="K628" s="17">
        <v>96122.750000000015</v>
      </c>
      <c r="L628" s="17">
        <v>121198.25000000001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</row>
    <row r="629" spans="1:19" ht="14.25">
      <c r="A629" s="23">
        <f t="shared" si="10"/>
        <v>628</v>
      </c>
      <c r="B629" s="18"/>
      <c r="C629" s="17">
        <v>96725</v>
      </c>
      <c r="D629" s="17">
        <v>125742.5</v>
      </c>
      <c r="E629" s="17">
        <v>137349.5</v>
      </c>
      <c r="F629" s="17">
        <v>143153</v>
      </c>
      <c r="G629" s="17">
        <v>171203.25</v>
      </c>
      <c r="H629" s="17">
        <v>160563.5</v>
      </c>
      <c r="I629" s="17">
        <v>172170.49999999997</v>
      </c>
      <c r="J629" s="17">
        <v>199253.49999999997</v>
      </c>
      <c r="K629" s="17">
        <v>223434.74999999997</v>
      </c>
      <c r="L629" s="17">
        <v>209893.24999999994</v>
      </c>
      <c r="M629" s="17">
        <v>220532.99999999994</v>
      </c>
      <c r="N629" s="17">
        <v>215696.74999999994</v>
      </c>
      <c r="O629" s="17">
        <v>202155.24999999994</v>
      </c>
      <c r="P629" s="17">
        <v>182810.24999999994</v>
      </c>
      <c r="Q629" s="17">
        <v>182810.24999999994</v>
      </c>
      <c r="R629" s="17">
        <v>176039.49999999994</v>
      </c>
      <c r="S629" s="17">
        <v>174104.99999999994</v>
      </c>
    </row>
    <row r="630" spans="1:19" ht="14.25">
      <c r="A630" s="23">
        <f t="shared" si="10"/>
        <v>629</v>
      </c>
      <c r="B630" s="18"/>
      <c r="C630" s="17">
        <v>0</v>
      </c>
      <c r="D630" s="17">
        <v>0</v>
      </c>
      <c r="E630" s="17">
        <v>0</v>
      </c>
      <c r="F630" s="17">
        <v>0</v>
      </c>
      <c r="G630" s="17">
        <v>73000</v>
      </c>
      <c r="H630" s="17">
        <v>73000</v>
      </c>
      <c r="I630" s="17">
        <v>77380</v>
      </c>
      <c r="J630" s="17">
        <v>77380</v>
      </c>
      <c r="K630" s="17">
        <v>95630</v>
      </c>
      <c r="L630" s="17">
        <v>116070</v>
      </c>
      <c r="M630" s="17">
        <v>124830</v>
      </c>
      <c r="N630" s="17">
        <v>132860</v>
      </c>
      <c r="O630" s="17">
        <v>153300</v>
      </c>
      <c r="P630" s="17">
        <v>172280.00000000003</v>
      </c>
      <c r="Q630" s="17">
        <v>186150.00000000003</v>
      </c>
      <c r="R630" s="17">
        <v>183960.00000000003</v>
      </c>
      <c r="S630" s="17">
        <v>183960.00000000003</v>
      </c>
    </row>
    <row r="631" spans="1:19" ht="14.25">
      <c r="A631" s="23">
        <f t="shared" si="10"/>
        <v>630</v>
      </c>
      <c r="B631" s="18"/>
      <c r="C631" s="17">
        <v>0</v>
      </c>
      <c r="D631" s="17">
        <v>0</v>
      </c>
      <c r="E631" s="17">
        <v>0</v>
      </c>
      <c r="F631" s="17">
        <v>0</v>
      </c>
      <c r="G631" s="17">
        <v>0</v>
      </c>
      <c r="H631" s="17">
        <v>0</v>
      </c>
      <c r="I631" s="17">
        <v>75920</v>
      </c>
      <c r="J631" s="17">
        <v>80475.199999999997</v>
      </c>
      <c r="K631" s="17">
        <v>91104.000000000015</v>
      </c>
      <c r="L631" s="17">
        <v>91104.000000000015</v>
      </c>
      <c r="M631" s="17">
        <v>78197.60000000002</v>
      </c>
      <c r="N631" s="17">
        <v>88826.400000000023</v>
      </c>
      <c r="O631" s="17">
        <v>105528.80000000003</v>
      </c>
      <c r="P631" s="17">
        <v>112361.60000000003</v>
      </c>
      <c r="Q631" s="17">
        <v>135137.60000000003</v>
      </c>
      <c r="R631" s="17">
        <v>133619.20000000004</v>
      </c>
      <c r="S631" s="17">
        <v>141970.40000000005</v>
      </c>
    </row>
    <row r="632" spans="1:19" ht="14.25">
      <c r="A632" s="23">
        <f t="shared" si="10"/>
        <v>631</v>
      </c>
      <c r="B632" s="18"/>
      <c r="C632" s="17">
        <v>0</v>
      </c>
      <c r="D632" s="17">
        <v>0</v>
      </c>
      <c r="E632" s="17">
        <v>0</v>
      </c>
      <c r="F632" s="17">
        <v>0</v>
      </c>
      <c r="G632" s="17">
        <v>79935</v>
      </c>
      <c r="H632" s="17">
        <v>79935</v>
      </c>
      <c r="I632" s="17">
        <v>79935</v>
      </c>
      <c r="J632" s="17">
        <v>99918.75</v>
      </c>
      <c r="K632" s="17">
        <v>99119.4</v>
      </c>
      <c r="L632" s="17">
        <v>116705.09999999999</v>
      </c>
      <c r="M632" s="17">
        <v>139086.9</v>
      </c>
      <c r="N632" s="17">
        <v>139086.9</v>
      </c>
      <c r="O632" s="17">
        <v>139086.9</v>
      </c>
      <c r="P632" s="17">
        <v>148679.09999999998</v>
      </c>
      <c r="Q632" s="17">
        <v>148679.09999999998</v>
      </c>
      <c r="R632" s="17">
        <v>148679.09999999998</v>
      </c>
      <c r="S632" s="17">
        <v>164666.1</v>
      </c>
    </row>
    <row r="633" spans="1:19" ht="14.25">
      <c r="A633" s="23">
        <f t="shared" si="10"/>
        <v>632</v>
      </c>
      <c r="B633" s="18"/>
      <c r="C633" s="17">
        <v>0</v>
      </c>
      <c r="D633" s="17">
        <v>0</v>
      </c>
      <c r="E633" s="17">
        <v>88695</v>
      </c>
      <c r="F633" s="17">
        <v>113529.60000000001</v>
      </c>
      <c r="G633" s="17">
        <v>109981.8</v>
      </c>
      <c r="H633" s="17">
        <v>118851.3</v>
      </c>
      <c r="I633" s="17">
        <v>129494.7</v>
      </c>
      <c r="J633" s="17">
        <v>141025.04999999999</v>
      </c>
      <c r="K633" s="17">
        <v>125059.95</v>
      </c>
      <c r="L633" s="17">
        <v>121512.15</v>
      </c>
      <c r="M633" s="17">
        <v>136590.29999999999</v>
      </c>
      <c r="N633" s="17">
        <v>129494.69999999998</v>
      </c>
      <c r="O633" s="17">
        <v>140138.09999999998</v>
      </c>
      <c r="P633" s="17">
        <v>145459.79999999996</v>
      </c>
      <c r="Q633" s="17">
        <v>172068.3</v>
      </c>
      <c r="R633" s="17">
        <v>0</v>
      </c>
      <c r="S633" s="17">
        <v>0</v>
      </c>
    </row>
    <row r="634" spans="1:19" ht="14.25">
      <c r="A634" s="23">
        <f t="shared" si="10"/>
        <v>633</v>
      </c>
      <c r="B634" s="18"/>
      <c r="C634" s="17">
        <v>0</v>
      </c>
      <c r="D634" s="17">
        <v>0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72270</v>
      </c>
      <c r="N634" s="17">
        <v>91060.2</v>
      </c>
      <c r="O634" s="17">
        <v>101900.7</v>
      </c>
      <c r="P634" s="17">
        <v>93950.999999999985</v>
      </c>
      <c r="Q634" s="17">
        <v>83110.5</v>
      </c>
      <c r="R634" s="17">
        <v>95396.4</v>
      </c>
      <c r="S634" s="17">
        <v>90337.499999999985</v>
      </c>
    </row>
    <row r="635" spans="1:19" ht="14.25">
      <c r="A635" s="23">
        <f t="shared" si="10"/>
        <v>634</v>
      </c>
      <c r="B635" s="18"/>
      <c r="C635" s="17">
        <v>91250</v>
      </c>
      <c r="D635" s="17">
        <v>104937.49999999999</v>
      </c>
      <c r="E635" s="17">
        <v>132312.5</v>
      </c>
      <c r="F635" s="17">
        <v>153300</v>
      </c>
      <c r="G635" s="17">
        <v>153300</v>
      </c>
      <c r="H635" s="17">
        <v>157862.5</v>
      </c>
      <c r="I635" s="17">
        <v>175200</v>
      </c>
      <c r="J635" s="17">
        <v>184325</v>
      </c>
      <c r="K635" s="17">
        <v>188887.49999999997</v>
      </c>
      <c r="L635" s="17">
        <v>208049.99999999997</v>
      </c>
      <c r="M635" s="17">
        <v>195274.99999999997</v>
      </c>
      <c r="N635" s="17">
        <v>205312.49999999997</v>
      </c>
      <c r="O635" s="17">
        <v>229949.99999999997</v>
      </c>
      <c r="P635" s="17">
        <v>257324.99999999994</v>
      </c>
      <c r="Q635" s="17">
        <v>281962.49999999994</v>
      </c>
      <c r="R635" s="17">
        <v>281962.49999999994</v>
      </c>
      <c r="S635" s="17">
        <v>279224.99999999994</v>
      </c>
    </row>
    <row r="636" spans="1:19" ht="14.25">
      <c r="A636" s="23">
        <f t="shared" si="10"/>
        <v>635</v>
      </c>
      <c r="B636" s="18"/>
      <c r="C636" s="17">
        <v>0</v>
      </c>
      <c r="D636" s="17">
        <v>0</v>
      </c>
      <c r="E636" s="17">
        <v>0</v>
      </c>
      <c r="F636" s="17">
        <v>0</v>
      </c>
      <c r="G636" s="17">
        <v>0</v>
      </c>
      <c r="H636" s="17">
        <v>0</v>
      </c>
      <c r="I636" s="17">
        <v>0</v>
      </c>
      <c r="J636" s="17">
        <v>0</v>
      </c>
      <c r="K636" s="17">
        <v>0</v>
      </c>
      <c r="L636" s="17">
        <v>0</v>
      </c>
      <c r="M636" s="17">
        <v>90155</v>
      </c>
      <c r="N636" s="17">
        <v>94662.75</v>
      </c>
      <c r="O636" s="17">
        <v>94662.75</v>
      </c>
      <c r="P636" s="17">
        <v>91056.55</v>
      </c>
      <c r="Q636" s="17">
        <v>73927.100000000006</v>
      </c>
      <c r="R636" s="17">
        <v>70320.900000000009</v>
      </c>
      <c r="S636" s="17">
        <v>81139.5</v>
      </c>
    </row>
    <row r="637" spans="1:19" ht="14.25">
      <c r="A637" s="23">
        <f t="shared" si="10"/>
        <v>636</v>
      </c>
      <c r="B637" s="18"/>
      <c r="C637" s="17">
        <v>0</v>
      </c>
      <c r="D637" s="17">
        <v>0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79935</v>
      </c>
    </row>
    <row r="638" spans="1:19" ht="14.25">
      <c r="A638" s="23">
        <f t="shared" si="10"/>
        <v>637</v>
      </c>
      <c r="B638" s="18"/>
      <c r="C638" s="17">
        <v>74825</v>
      </c>
      <c r="D638" s="17">
        <v>74825</v>
      </c>
      <c r="E638" s="17">
        <v>71832</v>
      </c>
      <c r="F638" s="17">
        <v>80062.75</v>
      </c>
      <c r="G638" s="17">
        <v>102510.25000000001</v>
      </c>
      <c r="H638" s="17">
        <v>102510.25000000001</v>
      </c>
      <c r="I638" s="17">
        <v>121216.50000000001</v>
      </c>
      <c r="J638" s="17">
        <v>143664</v>
      </c>
      <c r="K638" s="17">
        <v>158629</v>
      </c>
      <c r="L638" s="17">
        <v>158629</v>
      </c>
      <c r="M638" s="17">
        <v>150398.25000000003</v>
      </c>
      <c r="N638" s="17">
        <v>161622</v>
      </c>
      <c r="O638" s="17">
        <v>161622</v>
      </c>
      <c r="P638" s="17">
        <v>150398.25000000003</v>
      </c>
      <c r="Q638" s="17">
        <v>156384.25000000003</v>
      </c>
      <c r="R638" s="17">
        <v>170601.00000000003</v>
      </c>
      <c r="S638" s="17">
        <v>181076.50000000003</v>
      </c>
    </row>
    <row r="639" spans="1:19" ht="14.25">
      <c r="A639" s="23">
        <f t="shared" si="10"/>
        <v>638</v>
      </c>
      <c r="B639" s="18"/>
      <c r="C639" s="17">
        <v>0</v>
      </c>
      <c r="D639" s="17">
        <v>0</v>
      </c>
      <c r="E639" s="17">
        <v>0</v>
      </c>
      <c r="F639" s="17">
        <v>0</v>
      </c>
      <c r="G639" s="17">
        <v>0</v>
      </c>
      <c r="H639" s="17">
        <v>0</v>
      </c>
      <c r="I639" s="17">
        <v>0</v>
      </c>
      <c r="J639" s="17">
        <v>0</v>
      </c>
      <c r="K639" s="17">
        <v>0</v>
      </c>
      <c r="L639" s="17">
        <v>0</v>
      </c>
      <c r="M639" s="17">
        <v>0</v>
      </c>
      <c r="N639" s="17">
        <v>104755</v>
      </c>
      <c r="O639" s="17">
        <v>104755</v>
      </c>
      <c r="P639" s="17">
        <v>120468.24999999999</v>
      </c>
      <c r="Q639" s="17">
        <v>141419.25</v>
      </c>
      <c r="R639" s="17">
        <v>151894.75</v>
      </c>
      <c r="S639" s="17">
        <v>182273.7</v>
      </c>
    </row>
    <row r="640" spans="1:19" ht="14.25">
      <c r="A640" s="23">
        <f t="shared" si="10"/>
        <v>639</v>
      </c>
      <c r="B640" s="18"/>
      <c r="C640" s="17">
        <v>0</v>
      </c>
      <c r="D640" s="17">
        <v>0</v>
      </c>
      <c r="E640" s="17">
        <v>0</v>
      </c>
      <c r="F640" s="17">
        <v>0</v>
      </c>
      <c r="G640" s="17">
        <v>0</v>
      </c>
      <c r="H640" s="17">
        <v>0</v>
      </c>
      <c r="I640" s="17">
        <v>0</v>
      </c>
      <c r="J640" s="17">
        <v>0</v>
      </c>
      <c r="K640" s="17">
        <v>0</v>
      </c>
      <c r="L640" s="17">
        <v>0</v>
      </c>
      <c r="M640" s="17">
        <v>65700</v>
      </c>
      <c r="N640" s="17">
        <v>77526</v>
      </c>
      <c r="O640" s="17">
        <v>74898</v>
      </c>
      <c r="P640" s="17">
        <v>89351.999999999985</v>
      </c>
      <c r="Q640" s="17">
        <v>104462.99999999999</v>
      </c>
      <c r="R640" s="17">
        <v>116288.99999999999</v>
      </c>
      <c r="S640" s="17">
        <v>122201.99999999999</v>
      </c>
    </row>
    <row r="641" spans="1:19" ht="14.25">
      <c r="A641" s="23">
        <f t="shared" si="10"/>
        <v>640</v>
      </c>
      <c r="B641" s="18"/>
      <c r="C641" s="17">
        <v>69350</v>
      </c>
      <c r="D641" s="17">
        <v>69350</v>
      </c>
      <c r="E641" s="17">
        <v>85994</v>
      </c>
      <c r="F641" s="17">
        <v>101251</v>
      </c>
      <c r="G641" s="17">
        <v>101251</v>
      </c>
      <c r="H641" s="17">
        <v>119975.5</v>
      </c>
      <c r="I641" s="17">
        <v>132458.5</v>
      </c>
      <c r="J641" s="17">
        <v>126216.99999999999</v>
      </c>
      <c r="K641" s="17">
        <v>133152</v>
      </c>
      <c r="L641" s="17">
        <v>131765</v>
      </c>
      <c r="M641" s="17">
        <v>139393.49999999997</v>
      </c>
      <c r="N641" s="17">
        <v>158118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</row>
    <row r="642" spans="1:19" ht="14.25">
      <c r="A642" s="23">
        <f t="shared" si="10"/>
        <v>641</v>
      </c>
      <c r="B642" s="18"/>
      <c r="C642" s="17">
        <v>98550</v>
      </c>
      <c r="D642" s="17">
        <v>83767.5</v>
      </c>
      <c r="E642" s="17">
        <v>103477.5</v>
      </c>
      <c r="F642" s="17">
        <v>103477.5</v>
      </c>
      <c r="G642" s="17">
        <v>128115</v>
      </c>
      <c r="H642" s="17">
        <v>122202</v>
      </c>
      <c r="I642" s="17">
        <v>136984.5</v>
      </c>
      <c r="J642" s="17">
        <v>165564</v>
      </c>
      <c r="K642" s="17">
        <v>165564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</row>
    <row r="643" spans="1:19" ht="14.25">
      <c r="A643" s="23">
        <f t="shared" ref="A643:A706" si="11">+A642+1</f>
        <v>642</v>
      </c>
      <c r="B643" s="18"/>
      <c r="C643" s="17">
        <v>0</v>
      </c>
      <c r="D643" s="17">
        <v>0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80300</v>
      </c>
      <c r="L643" s="17">
        <v>101981</v>
      </c>
      <c r="M643" s="17">
        <v>105996</v>
      </c>
      <c r="N643" s="17">
        <v>122859</v>
      </c>
      <c r="O643" s="17">
        <v>142934</v>
      </c>
      <c r="P643" s="17">
        <v>142131</v>
      </c>
      <c r="Q643" s="17">
        <v>154176</v>
      </c>
      <c r="R643" s="17">
        <v>160600</v>
      </c>
      <c r="S643" s="17">
        <v>147752</v>
      </c>
    </row>
    <row r="644" spans="1:19" ht="14.25">
      <c r="A644" s="23">
        <f t="shared" si="11"/>
        <v>643</v>
      </c>
      <c r="B644" s="18"/>
      <c r="C644" s="17">
        <v>0</v>
      </c>
      <c r="D644" s="17">
        <v>0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82855</v>
      </c>
    </row>
    <row r="645" spans="1:19" ht="14.25">
      <c r="A645" s="23">
        <f t="shared" si="11"/>
        <v>644</v>
      </c>
      <c r="B645" s="18"/>
      <c r="C645" s="17">
        <v>0</v>
      </c>
      <c r="D645" s="17">
        <v>0</v>
      </c>
      <c r="E645" s="17">
        <v>0</v>
      </c>
      <c r="F645" s="17">
        <v>0</v>
      </c>
      <c r="G645" s="17">
        <v>0</v>
      </c>
      <c r="H645" s="17">
        <v>0</v>
      </c>
      <c r="I645" s="17">
        <v>79935</v>
      </c>
      <c r="J645" s="17">
        <v>99119.4</v>
      </c>
      <c r="K645" s="17">
        <v>120701.85</v>
      </c>
      <c r="L645" s="17">
        <v>120701.85</v>
      </c>
      <c r="M645" s="17">
        <v>125497.95000000001</v>
      </c>
      <c r="N645" s="17">
        <v>125497.95000000001</v>
      </c>
      <c r="O645" s="17">
        <v>139086.9</v>
      </c>
      <c r="P645" s="17">
        <v>143883</v>
      </c>
      <c r="Q645" s="17">
        <v>149478.45000000001</v>
      </c>
      <c r="R645" s="17">
        <v>159870</v>
      </c>
      <c r="S645" s="17">
        <v>171060.90000000002</v>
      </c>
    </row>
    <row r="646" spans="1:19" ht="14.25">
      <c r="A646" s="23">
        <f t="shared" si="11"/>
        <v>645</v>
      </c>
      <c r="B646" s="18"/>
      <c r="C646" s="17">
        <v>96360</v>
      </c>
      <c r="D646" s="17">
        <v>84796.800000000003</v>
      </c>
      <c r="E646" s="17">
        <v>90578.4</v>
      </c>
      <c r="F646" s="17">
        <v>90578.4</v>
      </c>
      <c r="G646" s="17">
        <v>106959.59999999999</v>
      </c>
      <c r="H646" s="17">
        <v>125267.99999999999</v>
      </c>
      <c r="I646" s="17">
        <v>143576.39999999997</v>
      </c>
      <c r="J646" s="17">
        <v>150321.59999999998</v>
      </c>
      <c r="K646" s="17">
        <v>147430.79999999999</v>
      </c>
      <c r="L646" s="17">
        <v>147430.79999999999</v>
      </c>
      <c r="M646" s="17">
        <v>162848.39999999997</v>
      </c>
      <c r="N646" s="17">
        <v>186938.39999999997</v>
      </c>
      <c r="O646" s="17">
        <v>185974.79999999996</v>
      </c>
      <c r="P646" s="17">
        <v>199465.19999999998</v>
      </c>
      <c r="Q646" s="17">
        <v>225482.4</v>
      </c>
      <c r="R646" s="17">
        <v>224518.80000000002</v>
      </c>
      <c r="S646" s="17">
        <v>0</v>
      </c>
    </row>
    <row r="647" spans="1:19" ht="14.25">
      <c r="A647" s="23">
        <f t="shared" si="11"/>
        <v>646</v>
      </c>
      <c r="B647" s="18"/>
      <c r="C647" s="17">
        <v>0</v>
      </c>
      <c r="D647" s="17">
        <v>0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</row>
    <row r="648" spans="1:19" ht="14.25">
      <c r="A648" s="23">
        <f t="shared" si="11"/>
        <v>647</v>
      </c>
      <c r="B648" s="18"/>
      <c r="C648" s="17">
        <v>0</v>
      </c>
      <c r="D648" s="17">
        <v>0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79570</v>
      </c>
      <c r="O648" s="17">
        <v>79570</v>
      </c>
      <c r="P648" s="17">
        <v>66043.099999999991</v>
      </c>
      <c r="Q648" s="17">
        <v>74795.8</v>
      </c>
      <c r="R648" s="17">
        <v>89914.099999999991</v>
      </c>
      <c r="S648" s="17">
        <v>0</v>
      </c>
    </row>
    <row r="649" spans="1:19" ht="14.25">
      <c r="A649" s="23">
        <f t="shared" si="11"/>
        <v>648</v>
      </c>
      <c r="B649" s="18"/>
      <c r="C649" s="17">
        <v>0</v>
      </c>
      <c r="D649" s="17">
        <v>0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93440</v>
      </c>
      <c r="P649" s="17">
        <v>93440</v>
      </c>
      <c r="Q649" s="17">
        <v>118668.8</v>
      </c>
      <c r="R649" s="17">
        <v>136422.39999999999</v>
      </c>
      <c r="S649" s="17">
        <v>159782.39999999999</v>
      </c>
    </row>
    <row r="650" spans="1:19" ht="14.25">
      <c r="A650" s="23">
        <f t="shared" si="11"/>
        <v>649</v>
      </c>
      <c r="B650" s="18"/>
      <c r="C650" s="17">
        <v>94535</v>
      </c>
      <c r="D650" s="17">
        <v>116278.05</v>
      </c>
      <c r="E650" s="17">
        <v>97371.05</v>
      </c>
      <c r="F650" s="17">
        <v>94535</v>
      </c>
      <c r="G650" s="17">
        <v>94535</v>
      </c>
      <c r="H650" s="17">
        <v>94535</v>
      </c>
      <c r="I650" s="17">
        <v>105879.20000000001</v>
      </c>
      <c r="J650" s="17">
        <v>105879.20000000001</v>
      </c>
      <c r="K650" s="17">
        <v>126676.90000000001</v>
      </c>
      <c r="L650" s="17">
        <v>126676.90000000001</v>
      </c>
      <c r="M650" s="17">
        <v>153146.70000000001</v>
      </c>
      <c r="N650" s="17">
        <v>153146.70000000001</v>
      </c>
      <c r="O650" s="17">
        <v>153146.70000000001</v>
      </c>
      <c r="P650" s="17">
        <v>139911.79999999999</v>
      </c>
      <c r="Q650" s="17">
        <v>154092.04999999999</v>
      </c>
      <c r="R650" s="17">
        <v>154092.04999999999</v>
      </c>
      <c r="S650" s="17">
        <v>139911.79999999999</v>
      </c>
    </row>
    <row r="651" spans="1:19" ht="14.25">
      <c r="A651" s="23">
        <f t="shared" si="11"/>
        <v>650</v>
      </c>
      <c r="B651" s="18"/>
      <c r="C651" s="17">
        <v>0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</row>
    <row r="652" spans="1:19" ht="14.25">
      <c r="A652" s="23">
        <f t="shared" si="11"/>
        <v>651</v>
      </c>
      <c r="B652" s="18"/>
      <c r="C652" s="17">
        <v>102200</v>
      </c>
      <c r="D652" s="17">
        <v>102200</v>
      </c>
      <c r="E652" s="17">
        <v>91980</v>
      </c>
      <c r="F652" s="17">
        <v>91980</v>
      </c>
      <c r="G652" s="17">
        <v>114464.00000000001</v>
      </c>
      <c r="H652" s="17">
        <v>119574.00000000001</v>
      </c>
      <c r="I652" s="17">
        <v>119574.00000000001</v>
      </c>
      <c r="J652" s="17">
        <v>129794.00000000003</v>
      </c>
      <c r="K652" s="17">
        <v>150234.00000000003</v>
      </c>
      <c r="L652" s="17">
        <v>157388.00000000003</v>
      </c>
      <c r="M652" s="17">
        <v>157388.00000000003</v>
      </c>
      <c r="N652" s="17">
        <v>164542.00000000003</v>
      </c>
      <c r="O652" s="17">
        <v>171696.00000000003</v>
      </c>
      <c r="P652" s="17">
        <v>176806.00000000003</v>
      </c>
      <c r="Q652" s="17">
        <v>176806.00000000003</v>
      </c>
      <c r="R652" s="17">
        <v>194180.00000000003</v>
      </c>
      <c r="S652" s="17">
        <v>204400.00000000006</v>
      </c>
    </row>
    <row r="653" spans="1:19" ht="14.25">
      <c r="A653" s="23">
        <f t="shared" si="11"/>
        <v>652</v>
      </c>
      <c r="B653" s="18"/>
      <c r="C653" s="17">
        <v>0</v>
      </c>
      <c r="D653" s="17">
        <v>0</v>
      </c>
      <c r="E653" s="17">
        <v>0</v>
      </c>
      <c r="F653" s="17">
        <v>0</v>
      </c>
      <c r="G653" s="17">
        <v>68255</v>
      </c>
      <c r="H653" s="17">
        <v>68255</v>
      </c>
      <c r="I653" s="17">
        <v>79175.799999999988</v>
      </c>
      <c r="J653" s="17">
        <v>88048.95</v>
      </c>
      <c r="K653" s="17">
        <v>96922.099999999991</v>
      </c>
      <c r="L653" s="17">
        <v>101699.95</v>
      </c>
      <c r="M653" s="17">
        <v>114668.4</v>
      </c>
      <c r="N653" s="17">
        <v>114668.4</v>
      </c>
      <c r="O653" s="17">
        <v>106477.8</v>
      </c>
      <c r="P653" s="17">
        <v>111938.20000000001</v>
      </c>
      <c r="Q653" s="17">
        <v>126271.75</v>
      </c>
      <c r="R653" s="17">
        <v>130367.05</v>
      </c>
      <c r="S653" s="17">
        <v>145383.15000000002</v>
      </c>
    </row>
    <row r="654" spans="1:19" ht="14.25">
      <c r="A654" s="23">
        <f t="shared" si="11"/>
        <v>653</v>
      </c>
      <c r="B654" s="18"/>
      <c r="C654" s="17">
        <v>87235</v>
      </c>
      <c r="D654" s="17">
        <v>110788.45</v>
      </c>
      <c r="E654" s="17">
        <v>131724.85</v>
      </c>
      <c r="F654" s="17">
        <v>136086.6</v>
      </c>
      <c r="G654" s="17">
        <v>146554.80000000002</v>
      </c>
      <c r="H654" s="17">
        <v>169235.90000000002</v>
      </c>
      <c r="I654" s="17">
        <v>184938.2</v>
      </c>
      <c r="J654" s="17">
        <v>204129.90000000002</v>
      </c>
      <c r="K654" s="17">
        <v>190172.30000000002</v>
      </c>
      <c r="L654" s="17">
        <v>215470.45</v>
      </c>
      <c r="M654" s="17">
        <v>209364.00000000003</v>
      </c>
      <c r="N654" s="17">
        <v>205874.60000000003</v>
      </c>
      <c r="O654" s="17">
        <v>205874.60000000003</v>
      </c>
      <c r="P654" s="17">
        <v>204129.90000000002</v>
      </c>
      <c r="Q654" s="17">
        <v>191917.00000000003</v>
      </c>
      <c r="R654" s="17">
        <v>197151.1</v>
      </c>
      <c r="S654" s="17">
        <v>218087.5</v>
      </c>
    </row>
    <row r="655" spans="1:19" ht="14.25">
      <c r="A655" s="23">
        <f t="shared" si="11"/>
        <v>654</v>
      </c>
      <c r="B655" s="18"/>
      <c r="C655" s="17">
        <v>0</v>
      </c>
      <c r="D655" s="17">
        <v>0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98185</v>
      </c>
    </row>
    <row r="656" spans="1:19" ht="14.25">
      <c r="A656" s="23">
        <f t="shared" si="11"/>
        <v>655</v>
      </c>
      <c r="B656" s="18"/>
      <c r="C656" s="17">
        <v>0</v>
      </c>
      <c r="D656" s="17">
        <v>0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74460</v>
      </c>
      <c r="S656" s="17">
        <v>74460</v>
      </c>
    </row>
    <row r="657" spans="1:19" ht="14.25">
      <c r="A657" s="23">
        <f t="shared" si="11"/>
        <v>656</v>
      </c>
      <c r="B657" s="18"/>
      <c r="C657" s="17">
        <v>0</v>
      </c>
      <c r="D657" s="17">
        <v>0</v>
      </c>
      <c r="E657" s="17">
        <v>0</v>
      </c>
      <c r="F657" s="17">
        <v>0</v>
      </c>
      <c r="G657" s="17">
        <v>0</v>
      </c>
      <c r="H657" s="17">
        <v>0</v>
      </c>
      <c r="I657" s="17">
        <v>0</v>
      </c>
      <c r="J657" s="17">
        <v>83585</v>
      </c>
      <c r="K657" s="17">
        <v>105317.1</v>
      </c>
      <c r="L657" s="17">
        <v>124541.65</v>
      </c>
      <c r="M657" s="17">
        <v>107824.65000000001</v>
      </c>
      <c r="N657" s="17">
        <v>91107.650000000009</v>
      </c>
      <c r="O657" s="17">
        <v>101137.84999999999</v>
      </c>
      <c r="P657" s="17">
        <v>108660.5</v>
      </c>
      <c r="Q657" s="17">
        <v>120362.4</v>
      </c>
      <c r="R657" s="17">
        <v>108660.49999999999</v>
      </c>
      <c r="S657" s="17">
        <v>122034.09999999998</v>
      </c>
    </row>
    <row r="658" spans="1:19" ht="14.25">
      <c r="A658" s="23">
        <f t="shared" si="11"/>
        <v>657</v>
      </c>
      <c r="B658" s="18"/>
      <c r="C658" s="17">
        <v>87600</v>
      </c>
      <c r="D658" s="17">
        <v>86724</v>
      </c>
      <c r="E658" s="17">
        <v>113004</v>
      </c>
      <c r="F658" s="17">
        <v>101616.00000000001</v>
      </c>
      <c r="G658" s="17">
        <v>87600.000000000015</v>
      </c>
      <c r="H658" s="17">
        <v>109500.00000000001</v>
      </c>
      <c r="I658" s="17">
        <v>115632.00000000003</v>
      </c>
      <c r="J658" s="17">
        <v>120888.00000000003</v>
      </c>
      <c r="K658" s="17">
        <v>118260.00000000003</v>
      </c>
      <c r="L658" s="17">
        <v>124392.00000000003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</row>
    <row r="659" spans="1:19" ht="14.25">
      <c r="A659" s="23">
        <f t="shared" si="11"/>
        <v>658</v>
      </c>
      <c r="B659" s="18"/>
      <c r="C659" s="17">
        <v>0</v>
      </c>
      <c r="D659" s="17">
        <v>0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84680</v>
      </c>
      <c r="S659" s="17">
        <v>98228.799999999988</v>
      </c>
    </row>
    <row r="660" spans="1:19" ht="14.25">
      <c r="A660" s="23">
        <f t="shared" si="11"/>
        <v>659</v>
      </c>
      <c r="B660" s="18"/>
      <c r="C660" s="17">
        <v>95265</v>
      </c>
      <c r="D660" s="17">
        <v>121939.2</v>
      </c>
      <c r="E660" s="17">
        <v>121939.2</v>
      </c>
      <c r="F660" s="17">
        <v>147660.75</v>
      </c>
      <c r="G660" s="17">
        <v>169571.7</v>
      </c>
      <c r="H660" s="17">
        <v>154329.30000000002</v>
      </c>
      <c r="I660" s="17">
        <v>166713.75</v>
      </c>
      <c r="J660" s="17">
        <v>186719.4</v>
      </c>
      <c r="K660" s="17">
        <v>0</v>
      </c>
      <c r="L660" s="17">
        <v>0</v>
      </c>
      <c r="M660" s="17">
        <v>0</v>
      </c>
      <c r="N660" s="17">
        <v>0</v>
      </c>
      <c r="O660" s="17">
        <v>0</v>
      </c>
      <c r="P660" s="17">
        <v>0</v>
      </c>
      <c r="Q660" s="17">
        <v>0</v>
      </c>
      <c r="R660" s="17">
        <v>0</v>
      </c>
      <c r="S660" s="17">
        <v>0</v>
      </c>
    </row>
    <row r="661" spans="1:19" ht="14.25">
      <c r="A661" s="23">
        <f t="shared" si="11"/>
        <v>660</v>
      </c>
      <c r="B661" s="18"/>
      <c r="C661" s="17">
        <v>0</v>
      </c>
      <c r="D661" s="17">
        <v>0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86505</v>
      </c>
      <c r="K661" s="17">
        <v>100345.79999999999</v>
      </c>
      <c r="L661" s="17">
        <v>109861.35</v>
      </c>
      <c r="M661" s="17">
        <v>119376.90000000001</v>
      </c>
      <c r="N661" s="17">
        <v>136677.9</v>
      </c>
      <c r="O661" s="17">
        <v>143598.30000000002</v>
      </c>
      <c r="P661" s="17">
        <v>168684.75000000003</v>
      </c>
      <c r="Q661" s="17">
        <v>180795.45</v>
      </c>
      <c r="R661" s="17">
        <v>168684.75000000003</v>
      </c>
      <c r="S661" s="17">
        <v>167819.7</v>
      </c>
    </row>
    <row r="662" spans="1:19" ht="14.25">
      <c r="A662" s="23">
        <f t="shared" si="11"/>
        <v>661</v>
      </c>
      <c r="B662" s="18"/>
      <c r="C662" s="17">
        <v>0</v>
      </c>
      <c r="D662" s="17">
        <v>0</v>
      </c>
      <c r="E662" s="17">
        <v>0</v>
      </c>
      <c r="F662" s="17">
        <v>0</v>
      </c>
      <c r="G662" s="17">
        <v>0</v>
      </c>
      <c r="H662" s="17">
        <v>69350</v>
      </c>
      <c r="I662" s="17">
        <v>83913.5</v>
      </c>
      <c r="J662" s="17">
        <v>99170.5</v>
      </c>
      <c r="K662" s="17">
        <v>106799</v>
      </c>
      <c r="L662" s="17">
        <v>106799</v>
      </c>
      <c r="M662" s="17">
        <v>101251</v>
      </c>
      <c r="N662" s="17">
        <v>109573</v>
      </c>
      <c r="O662" s="17">
        <v>109573</v>
      </c>
      <c r="P662" s="17">
        <v>124830</v>
      </c>
      <c r="Q662" s="17">
        <v>142167.5</v>
      </c>
      <c r="R662" s="17">
        <v>142167.5</v>
      </c>
      <c r="S662" s="17">
        <v>132458.49999999997</v>
      </c>
    </row>
    <row r="663" spans="1:19" ht="14.25">
      <c r="A663" s="23">
        <f t="shared" si="11"/>
        <v>662</v>
      </c>
      <c r="B663" s="18"/>
      <c r="C663" s="17">
        <v>0</v>
      </c>
      <c r="D663" s="17">
        <v>0</v>
      </c>
      <c r="E663" s="17">
        <v>0</v>
      </c>
      <c r="F663" s="17">
        <v>0</v>
      </c>
      <c r="G663" s="17">
        <v>0</v>
      </c>
      <c r="H663" s="17">
        <v>0</v>
      </c>
      <c r="I663" s="17">
        <v>85045</v>
      </c>
      <c r="J663" s="17">
        <v>95250.400000000009</v>
      </c>
      <c r="K663" s="17">
        <v>112259.40000000001</v>
      </c>
      <c r="L663" s="17">
        <v>107156.7</v>
      </c>
      <c r="M663" s="17">
        <v>114810.75000000001</v>
      </c>
      <c r="N663" s="17">
        <v>109708.05</v>
      </c>
      <c r="O663" s="17">
        <v>101203.54999999999</v>
      </c>
      <c r="P663" s="17">
        <v>90147.700000000012</v>
      </c>
      <c r="Q663" s="17">
        <v>111408.95000000001</v>
      </c>
      <c r="R663" s="17">
        <v>124165.7</v>
      </c>
      <c r="S663" s="17">
        <v>107156.7</v>
      </c>
    </row>
    <row r="664" spans="1:19" ht="14.25">
      <c r="A664" s="23">
        <f t="shared" si="11"/>
        <v>663</v>
      </c>
      <c r="B664" s="18"/>
      <c r="C664" s="17">
        <v>0</v>
      </c>
      <c r="D664" s="17">
        <v>86870</v>
      </c>
      <c r="E664" s="17">
        <v>84263.9</v>
      </c>
      <c r="F664" s="17">
        <v>99900.499999999985</v>
      </c>
      <c r="G664" s="17">
        <v>119880.59999999999</v>
      </c>
      <c r="H664" s="17">
        <v>119880.59999999999</v>
      </c>
      <c r="I664" s="17">
        <v>134648.49999999997</v>
      </c>
      <c r="J664" s="17">
        <v>128567.59999999998</v>
      </c>
      <c r="K664" s="17">
        <v>128567.59999999998</v>
      </c>
      <c r="L664" s="17">
        <v>152022.49999999997</v>
      </c>
      <c r="M664" s="17">
        <v>166790.39999999997</v>
      </c>
      <c r="N664" s="17">
        <v>166790.39999999997</v>
      </c>
      <c r="O664" s="17">
        <v>182426.99999999997</v>
      </c>
      <c r="P664" s="17">
        <v>194588.79999999999</v>
      </c>
      <c r="Q664" s="17">
        <v>189376.59999999998</v>
      </c>
      <c r="R664" s="17">
        <v>189376.59999999998</v>
      </c>
      <c r="S664" s="17">
        <v>189376.59999999998</v>
      </c>
    </row>
    <row r="665" spans="1:19" ht="14.25">
      <c r="A665" s="23">
        <f t="shared" si="11"/>
        <v>664</v>
      </c>
      <c r="B665" s="18"/>
      <c r="C665" s="17">
        <v>0</v>
      </c>
      <c r="D665" s="17">
        <v>0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98915</v>
      </c>
      <c r="N665" s="17">
        <v>87045.2</v>
      </c>
      <c r="O665" s="17">
        <v>101882.45</v>
      </c>
      <c r="P665" s="17">
        <v>113752.24999999999</v>
      </c>
      <c r="Q665" s="17">
        <v>113752.24999999999</v>
      </c>
      <c r="R665" s="17">
        <v>113752.24999999999</v>
      </c>
      <c r="S665" s="17">
        <v>143426.75</v>
      </c>
    </row>
    <row r="666" spans="1:19" ht="14.25">
      <c r="A666" s="23">
        <f t="shared" si="11"/>
        <v>665</v>
      </c>
      <c r="B666" s="18"/>
      <c r="C666" s="17">
        <v>0</v>
      </c>
      <c r="D666" s="17">
        <v>0</v>
      </c>
      <c r="E666" s="17">
        <v>0</v>
      </c>
      <c r="F666" s="17">
        <v>0</v>
      </c>
      <c r="G666" s="17">
        <v>0</v>
      </c>
      <c r="H666" s="17">
        <v>0</v>
      </c>
      <c r="I666" s="17">
        <v>0</v>
      </c>
      <c r="J666" s="17">
        <v>81395</v>
      </c>
      <c r="K666" s="17">
        <v>81395</v>
      </c>
      <c r="L666" s="17">
        <v>100115.85</v>
      </c>
      <c r="M666" s="17">
        <v>116394.84999999999</v>
      </c>
      <c r="N666" s="17">
        <v>122092.5</v>
      </c>
      <c r="O666" s="17">
        <v>140813.35</v>
      </c>
      <c r="P666" s="17">
        <v>161976.04999999999</v>
      </c>
      <c r="Q666" s="17">
        <v>161976.04999999999</v>
      </c>
      <c r="R666" s="17">
        <v>153022.6</v>
      </c>
      <c r="S666" s="17">
        <v>173371.35</v>
      </c>
    </row>
    <row r="667" spans="1:19" ht="14.25">
      <c r="A667" s="23">
        <f t="shared" si="11"/>
        <v>666</v>
      </c>
      <c r="B667" s="18"/>
      <c r="C667" s="17">
        <v>0</v>
      </c>
      <c r="D667" s="17">
        <v>0</v>
      </c>
      <c r="E667" s="17">
        <v>0</v>
      </c>
      <c r="F667" s="17">
        <v>0</v>
      </c>
      <c r="G667" s="17">
        <v>0</v>
      </c>
      <c r="H667" s="17">
        <v>82855</v>
      </c>
      <c r="I667" s="17">
        <v>91969.05</v>
      </c>
      <c r="J667" s="17">
        <v>102740.20000000001</v>
      </c>
      <c r="K667" s="17">
        <v>102740.20000000001</v>
      </c>
      <c r="L667" s="17">
        <v>86997.750000000029</v>
      </c>
      <c r="M667" s="17">
        <v>98597.450000000026</v>
      </c>
      <c r="N667" s="17">
        <v>103568.75000000004</v>
      </c>
      <c r="O667" s="17">
        <v>101083.10000000003</v>
      </c>
      <c r="P667" s="17">
        <v>97768.900000000038</v>
      </c>
      <c r="Q667" s="17">
        <v>109368.60000000002</v>
      </c>
      <c r="R667" s="17">
        <v>109368.60000000002</v>
      </c>
      <c r="S667" s="17">
        <v>132568.00000000003</v>
      </c>
    </row>
    <row r="668" spans="1:19" ht="14.25">
      <c r="A668" s="23">
        <f t="shared" si="11"/>
        <v>667</v>
      </c>
      <c r="B668" s="18"/>
      <c r="C668" s="17">
        <v>0</v>
      </c>
      <c r="D668" s="17">
        <v>0</v>
      </c>
      <c r="E668" s="17">
        <v>0</v>
      </c>
      <c r="F668" s="17">
        <v>0</v>
      </c>
      <c r="G668" s="17">
        <v>0</v>
      </c>
      <c r="H668" s="17">
        <v>96360</v>
      </c>
      <c r="I668" s="17">
        <v>117559.2</v>
      </c>
      <c r="J668" s="17">
        <v>137794.79999999999</v>
      </c>
      <c r="K668" s="17">
        <v>148394.4</v>
      </c>
      <c r="L668" s="17">
        <v>163812</v>
      </c>
      <c r="M668" s="17">
        <v>147430.79999999999</v>
      </c>
      <c r="N668" s="17">
        <v>170557.2</v>
      </c>
      <c r="O668" s="17">
        <v>152248.80000000002</v>
      </c>
      <c r="P668" s="17">
        <v>152248.80000000002</v>
      </c>
      <c r="Q668" s="17">
        <v>166702.79999999999</v>
      </c>
      <c r="R668" s="17">
        <v>183084</v>
      </c>
      <c r="S668" s="17">
        <v>193683.59999999998</v>
      </c>
    </row>
    <row r="669" spans="1:19" ht="14.25">
      <c r="A669" s="23">
        <f t="shared" si="11"/>
        <v>668</v>
      </c>
      <c r="B669" s="18"/>
      <c r="C669" s="17">
        <v>0</v>
      </c>
      <c r="D669" s="17">
        <v>0</v>
      </c>
      <c r="E669" s="17">
        <v>0</v>
      </c>
      <c r="F669" s="17">
        <v>0</v>
      </c>
      <c r="G669" s="17">
        <v>0</v>
      </c>
      <c r="H669" s="17">
        <v>0</v>
      </c>
      <c r="I669" s="17">
        <v>0</v>
      </c>
      <c r="J669" s="17">
        <v>103660</v>
      </c>
      <c r="K669" s="17">
        <v>96403.799999999988</v>
      </c>
      <c r="L669" s="17">
        <v>114025.99999999999</v>
      </c>
      <c r="M669" s="17">
        <v>131648.19999999998</v>
      </c>
      <c r="N669" s="17">
        <v>156526.59999999998</v>
      </c>
      <c r="O669" s="17">
        <v>136831.19999999998</v>
      </c>
      <c r="P669" s="17">
        <v>136831.19999999998</v>
      </c>
      <c r="Q669" s="17">
        <v>136831.19999999998</v>
      </c>
      <c r="R669" s="17">
        <v>147197.19999999998</v>
      </c>
      <c r="S669" s="17">
        <v>140977.59999999998</v>
      </c>
    </row>
    <row r="670" spans="1:19" ht="14.25">
      <c r="A670" s="23">
        <f t="shared" si="11"/>
        <v>669</v>
      </c>
      <c r="B670" s="18"/>
      <c r="C670" s="17">
        <v>0</v>
      </c>
      <c r="D670" s="17">
        <v>0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78840</v>
      </c>
      <c r="N670" s="17">
        <v>82782</v>
      </c>
      <c r="O670" s="17">
        <v>74109.600000000006</v>
      </c>
      <c r="P670" s="17">
        <v>94608.000000000015</v>
      </c>
      <c r="Q670" s="17">
        <v>114318.00000000001</v>
      </c>
      <c r="R670" s="17">
        <v>0</v>
      </c>
      <c r="S670" s="17">
        <v>0</v>
      </c>
    </row>
    <row r="671" spans="1:19" ht="14.25">
      <c r="A671" s="23">
        <f t="shared" si="11"/>
        <v>670</v>
      </c>
      <c r="B671" s="18"/>
      <c r="C671" s="17">
        <v>85045</v>
      </c>
      <c r="D671" s="17">
        <v>73138.7</v>
      </c>
      <c r="E671" s="17">
        <v>73138.7</v>
      </c>
      <c r="F671" s="17">
        <v>95250.400000000009</v>
      </c>
      <c r="G671" s="17">
        <v>79942.300000000017</v>
      </c>
      <c r="H671" s="17">
        <v>79942.300000000017</v>
      </c>
      <c r="I671" s="17">
        <v>91848.6</v>
      </c>
      <c r="J671" s="17">
        <v>112259.40000000001</v>
      </c>
      <c r="K671" s="17">
        <v>112259.40000000001</v>
      </c>
      <c r="L671" s="17">
        <v>119913.45000000001</v>
      </c>
      <c r="M671" s="17">
        <v>132670.20000000001</v>
      </c>
      <c r="N671" s="17">
        <v>115661.20000000001</v>
      </c>
      <c r="O671" s="17">
        <v>115661.20000000001</v>
      </c>
      <c r="P671" s="17">
        <v>125866.59999999999</v>
      </c>
      <c r="Q671" s="17">
        <v>112259.40000000001</v>
      </c>
      <c r="R671" s="17">
        <v>122464.79999999999</v>
      </c>
      <c r="S671" s="17">
        <v>137772.9</v>
      </c>
    </row>
    <row r="672" spans="1:19" ht="14.25">
      <c r="A672" s="23">
        <f t="shared" si="11"/>
        <v>671</v>
      </c>
      <c r="B672" s="18"/>
      <c r="C672" s="17">
        <v>0</v>
      </c>
      <c r="D672" s="17">
        <v>0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81760</v>
      </c>
      <c r="O672" s="17">
        <v>94024</v>
      </c>
      <c r="P672" s="17">
        <v>107923.19999999998</v>
      </c>
      <c r="Q672" s="17">
        <v>104652.79999999999</v>
      </c>
      <c r="R672" s="17">
        <v>104652.79999999999</v>
      </c>
      <c r="S672" s="17">
        <v>124275.19999999998</v>
      </c>
    </row>
    <row r="673" spans="1:19" ht="14.25">
      <c r="A673" s="23">
        <f t="shared" si="11"/>
        <v>672</v>
      </c>
      <c r="B673" s="18"/>
      <c r="C673" s="17">
        <v>0</v>
      </c>
      <c r="D673" s="17">
        <v>0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83950</v>
      </c>
      <c r="S673" s="17">
        <v>101579.5</v>
      </c>
    </row>
    <row r="674" spans="1:19" ht="14.25">
      <c r="A674" s="23">
        <f t="shared" si="11"/>
        <v>673</v>
      </c>
      <c r="B674" s="18"/>
      <c r="C674" s="17">
        <v>68255</v>
      </c>
      <c r="D674" s="17">
        <v>65524.799999999996</v>
      </c>
      <c r="E674" s="17">
        <v>75763.049999999988</v>
      </c>
      <c r="F674" s="17">
        <v>82588.55</v>
      </c>
      <c r="G674" s="17">
        <v>73715.400000000009</v>
      </c>
      <c r="H674" s="17">
        <v>73715.400000000009</v>
      </c>
      <c r="I674" s="17">
        <v>66207.350000000006</v>
      </c>
      <c r="J674" s="17">
        <v>73032.850000000006</v>
      </c>
      <c r="K674" s="17">
        <v>62112.05</v>
      </c>
      <c r="L674" s="17">
        <v>74397.950000000012</v>
      </c>
      <c r="M674" s="17">
        <v>68255</v>
      </c>
      <c r="N674" s="17">
        <v>74397.950000000012</v>
      </c>
      <c r="O674" s="17">
        <v>74397.950000000012</v>
      </c>
      <c r="P674" s="17">
        <v>90096.6</v>
      </c>
      <c r="Q674" s="17">
        <v>95557.000000000015</v>
      </c>
      <c r="R674" s="17">
        <v>0</v>
      </c>
      <c r="S674" s="17">
        <v>0</v>
      </c>
    </row>
    <row r="675" spans="1:19" ht="14.25">
      <c r="A675" s="23">
        <f t="shared" si="11"/>
        <v>674</v>
      </c>
      <c r="B675" s="18"/>
      <c r="C675" s="17">
        <v>0</v>
      </c>
      <c r="D675" s="17">
        <v>0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94170</v>
      </c>
      <c r="M675" s="17">
        <v>94170</v>
      </c>
      <c r="N675" s="17">
        <v>93228.3</v>
      </c>
      <c r="O675" s="17">
        <v>99820.200000000012</v>
      </c>
      <c r="P675" s="17">
        <v>113004.00000000001</v>
      </c>
      <c r="Q675" s="17">
        <v>133721.40000000002</v>
      </c>
      <c r="R675" s="17">
        <v>161972.40000000002</v>
      </c>
      <c r="S675" s="17">
        <v>161972.40000000002</v>
      </c>
    </row>
    <row r="676" spans="1:19" ht="14.25">
      <c r="A676" s="23">
        <f t="shared" si="11"/>
        <v>675</v>
      </c>
      <c r="B676" s="18"/>
      <c r="C676" s="17">
        <v>0</v>
      </c>
      <c r="D676" s="17">
        <v>0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74825</v>
      </c>
      <c r="Q676" s="17">
        <v>71083.75</v>
      </c>
      <c r="R676" s="17">
        <v>88293.5</v>
      </c>
      <c r="S676" s="17">
        <v>88293.5</v>
      </c>
    </row>
    <row r="677" spans="1:19" ht="14.25">
      <c r="A677" s="23">
        <f t="shared" si="11"/>
        <v>676</v>
      </c>
      <c r="B677" s="18"/>
      <c r="C677" s="17">
        <v>0</v>
      </c>
      <c r="D677" s="17">
        <v>0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76650</v>
      </c>
    </row>
    <row r="678" spans="1:19" ht="14.25">
      <c r="A678" s="23">
        <f t="shared" si="11"/>
        <v>677</v>
      </c>
      <c r="B678" s="18"/>
      <c r="C678" s="17">
        <v>0</v>
      </c>
      <c r="D678" s="17">
        <v>0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69350</v>
      </c>
      <c r="N678" s="17">
        <v>80446</v>
      </c>
      <c r="O678" s="17">
        <v>87381</v>
      </c>
      <c r="P678" s="17">
        <v>104025</v>
      </c>
      <c r="Q678" s="17">
        <v>113734.00000000001</v>
      </c>
      <c r="R678" s="17">
        <v>134539</v>
      </c>
      <c r="S678" s="17">
        <v>134539</v>
      </c>
    </row>
    <row r="679" spans="1:19" ht="14.25">
      <c r="A679" s="23">
        <f t="shared" si="11"/>
        <v>678</v>
      </c>
      <c r="B679" s="18"/>
      <c r="C679" s="17">
        <v>0</v>
      </c>
      <c r="D679" s="17">
        <v>0</v>
      </c>
      <c r="E679" s="17">
        <v>0</v>
      </c>
      <c r="F679" s="17">
        <v>0</v>
      </c>
      <c r="G679" s="17">
        <v>0</v>
      </c>
      <c r="H679" s="17">
        <v>0</v>
      </c>
      <c r="I679" s="17">
        <v>95630</v>
      </c>
      <c r="J679" s="17">
        <v>120493.8</v>
      </c>
      <c r="K679" s="17">
        <v>130056.8</v>
      </c>
      <c r="L679" s="17">
        <v>130056.8</v>
      </c>
      <c r="M679" s="17">
        <v>120493.8</v>
      </c>
      <c r="N679" s="17">
        <v>134838.29999999999</v>
      </c>
      <c r="O679" s="17">
        <v>134838.29999999999</v>
      </c>
      <c r="P679" s="17">
        <v>149182.79999999999</v>
      </c>
      <c r="Q679" s="17">
        <v>156833.19999999998</v>
      </c>
      <c r="R679" s="17">
        <v>169265.1</v>
      </c>
      <c r="S679" s="17">
        <v>197954.09999999998</v>
      </c>
    </row>
    <row r="680" spans="1:19" ht="14.25">
      <c r="A680" s="23">
        <f t="shared" si="11"/>
        <v>679</v>
      </c>
      <c r="B680" s="18"/>
      <c r="C680" s="17">
        <v>102200</v>
      </c>
      <c r="D680" s="17">
        <v>122640</v>
      </c>
      <c r="E680" s="17">
        <v>150234</v>
      </c>
      <c r="F680" s="17">
        <v>156366</v>
      </c>
      <c r="G680" s="17">
        <v>138992</v>
      </c>
      <c r="H680" s="17">
        <v>168630</v>
      </c>
      <c r="I680" s="17">
        <v>177828.00000000003</v>
      </c>
      <c r="J680" s="17">
        <v>177828.00000000003</v>
      </c>
      <c r="K680" s="17">
        <v>176806.00000000003</v>
      </c>
      <c r="L680" s="17">
        <v>0</v>
      </c>
      <c r="M680" s="17">
        <v>0</v>
      </c>
      <c r="N680" s="17">
        <v>0</v>
      </c>
      <c r="O680" s="17">
        <v>0</v>
      </c>
      <c r="P680" s="17">
        <v>0</v>
      </c>
      <c r="Q680" s="17">
        <v>0</v>
      </c>
      <c r="R680" s="17">
        <v>0</v>
      </c>
      <c r="S680" s="17">
        <v>0</v>
      </c>
    </row>
    <row r="681" spans="1:19" ht="14.25">
      <c r="A681" s="23">
        <f t="shared" si="11"/>
        <v>680</v>
      </c>
      <c r="B681" s="18"/>
      <c r="C681" s="17">
        <v>67525</v>
      </c>
      <c r="D681" s="17">
        <v>72251.75</v>
      </c>
      <c r="E681" s="17">
        <v>72251.75</v>
      </c>
      <c r="F681" s="17">
        <v>72251.75</v>
      </c>
      <c r="G681" s="17">
        <v>92509.25</v>
      </c>
      <c r="H681" s="17">
        <v>110741.00000000001</v>
      </c>
      <c r="I681" s="17">
        <v>128972.75000000001</v>
      </c>
      <c r="J681" s="17">
        <v>135725.25000000003</v>
      </c>
      <c r="K681" s="17">
        <v>147204.5</v>
      </c>
      <c r="L681" s="17">
        <v>166786.75</v>
      </c>
      <c r="M681" s="17">
        <v>186369.00000000003</v>
      </c>
      <c r="N681" s="17">
        <v>189745.25</v>
      </c>
      <c r="O681" s="17">
        <v>189745.25</v>
      </c>
      <c r="P681" s="17">
        <v>204600.75000000003</v>
      </c>
      <c r="Q681" s="17">
        <v>0</v>
      </c>
      <c r="R681" s="17">
        <v>0</v>
      </c>
      <c r="S681" s="17">
        <v>0</v>
      </c>
    </row>
    <row r="682" spans="1:19" ht="14.25">
      <c r="A682" s="23">
        <f t="shared" si="11"/>
        <v>681</v>
      </c>
      <c r="B682" s="18"/>
      <c r="C682" s="17">
        <v>0</v>
      </c>
      <c r="D682" s="17">
        <v>0</v>
      </c>
      <c r="E682" s="17">
        <v>0</v>
      </c>
      <c r="F682" s="17">
        <v>0</v>
      </c>
      <c r="G682" s="17">
        <v>0</v>
      </c>
      <c r="H682" s="17">
        <v>0</v>
      </c>
      <c r="I682" s="17">
        <v>78840</v>
      </c>
      <c r="J682" s="17">
        <v>88300.800000000003</v>
      </c>
      <c r="K682" s="17">
        <v>96184.800000000017</v>
      </c>
      <c r="L682" s="17">
        <v>118260.00000000001</v>
      </c>
      <c r="M682" s="17">
        <v>114318.00000000001</v>
      </c>
      <c r="N682" s="17">
        <v>121413.60000000002</v>
      </c>
      <c r="O682" s="17">
        <v>142700.40000000002</v>
      </c>
      <c r="P682" s="17">
        <v>146642.40000000002</v>
      </c>
      <c r="Q682" s="17">
        <v>154526.40000000002</v>
      </c>
      <c r="R682" s="17">
        <v>140335.20000000004</v>
      </c>
      <c r="S682" s="17">
        <v>154526.40000000002</v>
      </c>
    </row>
    <row r="683" spans="1:19" ht="14.25">
      <c r="A683" s="23">
        <f t="shared" si="11"/>
        <v>682</v>
      </c>
      <c r="B683" s="18"/>
      <c r="C683" s="17">
        <v>94535</v>
      </c>
      <c r="D683" s="17">
        <v>94535</v>
      </c>
      <c r="E683" s="17">
        <v>94535</v>
      </c>
      <c r="F683" s="17">
        <v>94535</v>
      </c>
      <c r="G683" s="17">
        <v>94535</v>
      </c>
      <c r="H683" s="17">
        <v>89808.25</v>
      </c>
      <c r="I683" s="17">
        <v>86026.849999999991</v>
      </c>
      <c r="J683" s="17">
        <v>79409.39999999998</v>
      </c>
      <c r="K683" s="17">
        <v>106824.54999999999</v>
      </c>
      <c r="L683" s="17">
        <v>106824.54999999999</v>
      </c>
      <c r="M683" s="17">
        <v>90753.599999999991</v>
      </c>
      <c r="N683" s="17">
        <v>119114.09999999998</v>
      </c>
      <c r="O683" s="17">
        <v>106824.54999999999</v>
      </c>
      <c r="P683" s="17">
        <v>122895.49999999999</v>
      </c>
      <c r="Q683" s="17">
        <v>122895.49999999999</v>
      </c>
      <c r="R683" s="17">
        <v>144638.54999999999</v>
      </c>
      <c r="S683" s="17">
        <v>144638.54999999999</v>
      </c>
    </row>
    <row r="684" spans="1:19" ht="14.25">
      <c r="A684" s="23">
        <f t="shared" si="11"/>
        <v>683</v>
      </c>
      <c r="B684" s="18"/>
      <c r="C684" s="17">
        <v>0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0</v>
      </c>
      <c r="J684" s="17">
        <v>100010</v>
      </c>
      <c r="K684" s="17">
        <v>126012.6</v>
      </c>
      <c r="L684" s="17">
        <v>124012.4</v>
      </c>
      <c r="M684" s="17">
        <v>134013.4</v>
      </c>
      <c r="N684" s="17">
        <v>121012.09999999999</v>
      </c>
      <c r="O684" s="17">
        <v>137013.69999999998</v>
      </c>
      <c r="P684" s="17">
        <v>137013.69999999998</v>
      </c>
      <c r="Q684" s="17">
        <v>165016.5</v>
      </c>
      <c r="R684" s="17">
        <v>171017.1</v>
      </c>
      <c r="S684" s="17">
        <v>182018.2</v>
      </c>
    </row>
    <row r="685" spans="1:19" ht="14.25">
      <c r="A685" s="23">
        <f t="shared" si="11"/>
        <v>684</v>
      </c>
      <c r="B685" s="18"/>
      <c r="C685" s="17">
        <v>0</v>
      </c>
      <c r="D685" s="17">
        <v>0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82490</v>
      </c>
      <c r="S685" s="17">
        <v>87439.400000000009</v>
      </c>
    </row>
    <row r="686" spans="1:19" ht="14.25">
      <c r="A686" s="23">
        <f t="shared" si="11"/>
        <v>685</v>
      </c>
      <c r="B686" s="18"/>
      <c r="C686" s="17">
        <v>0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0</v>
      </c>
      <c r="J686" s="17">
        <v>0</v>
      </c>
      <c r="K686" s="17">
        <v>0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89790</v>
      </c>
    </row>
    <row r="687" spans="1:19" ht="14.25">
      <c r="A687" s="23">
        <f t="shared" si="11"/>
        <v>686</v>
      </c>
      <c r="B687" s="18"/>
      <c r="C687" s="17">
        <v>95630</v>
      </c>
      <c r="D687" s="17">
        <v>95630</v>
      </c>
      <c r="E687" s="17">
        <v>106149.3</v>
      </c>
      <c r="F687" s="17">
        <v>131969.40000000002</v>
      </c>
      <c r="G687" s="17">
        <v>131969.40000000002</v>
      </c>
      <c r="H687" s="17">
        <v>158745.80000000002</v>
      </c>
      <c r="I687" s="17">
        <v>166396.20000000001</v>
      </c>
      <c r="J687" s="17">
        <v>166396.20000000001</v>
      </c>
      <c r="K687" s="17">
        <v>175959.20000000004</v>
      </c>
      <c r="L687" s="17">
        <v>189347.40000000005</v>
      </c>
      <c r="M687" s="17">
        <v>189347.40000000005</v>
      </c>
      <c r="N687" s="17">
        <v>174046.60000000003</v>
      </c>
      <c r="O687" s="17">
        <v>178828.10000000006</v>
      </c>
      <c r="P687" s="17">
        <v>198910.40000000005</v>
      </c>
      <c r="Q687" s="17">
        <v>205604.50000000003</v>
      </c>
      <c r="R687" s="17">
        <v>199866.70000000004</v>
      </c>
      <c r="S687" s="17">
        <v>180740.70000000004</v>
      </c>
    </row>
    <row r="688" spans="1:19" ht="14.25">
      <c r="A688" s="23">
        <f t="shared" si="11"/>
        <v>687</v>
      </c>
      <c r="B688" s="18"/>
      <c r="C688" s="17">
        <v>78840</v>
      </c>
      <c r="D688" s="17">
        <v>99338.4</v>
      </c>
      <c r="E688" s="17">
        <v>108010.8</v>
      </c>
      <c r="F688" s="17">
        <v>108010.8</v>
      </c>
      <c r="G688" s="17">
        <v>124567.20000000001</v>
      </c>
      <c r="H688" s="17">
        <v>117471.6</v>
      </c>
      <c r="I688" s="17">
        <v>135604.79999999999</v>
      </c>
      <c r="J688" s="17">
        <v>156891.6</v>
      </c>
      <c r="K688" s="17">
        <v>156891.6</v>
      </c>
      <c r="L688" s="17">
        <v>172659.6</v>
      </c>
      <c r="M688" s="17">
        <v>172659.6</v>
      </c>
      <c r="N688" s="17">
        <v>172659.6</v>
      </c>
      <c r="O688" s="17">
        <v>186062.4</v>
      </c>
      <c r="P688" s="17">
        <v>180543.6</v>
      </c>
      <c r="Q688" s="17">
        <v>189216</v>
      </c>
      <c r="R688" s="17">
        <v>197100</v>
      </c>
      <c r="S688" s="17">
        <v>216021.6</v>
      </c>
    </row>
    <row r="689" spans="1:19" ht="14.25">
      <c r="A689" s="23">
        <f t="shared" si="11"/>
        <v>688</v>
      </c>
      <c r="B689" s="18"/>
      <c r="C689" s="17">
        <v>69350</v>
      </c>
      <c r="D689" s="17">
        <v>69350</v>
      </c>
      <c r="E689" s="17">
        <v>83220</v>
      </c>
      <c r="F689" s="17">
        <v>100557.5</v>
      </c>
      <c r="G689" s="17">
        <v>107492.5</v>
      </c>
      <c r="H689" s="17">
        <v>118588.5</v>
      </c>
      <c r="I689" s="17">
        <v>130377.99999999999</v>
      </c>
      <c r="J689" s="17">
        <v>147022</v>
      </c>
      <c r="K689" s="17">
        <v>157424.5</v>
      </c>
      <c r="L689" s="17">
        <v>166440</v>
      </c>
      <c r="M689" s="17">
        <v>176842.5</v>
      </c>
      <c r="N689" s="17">
        <v>192793</v>
      </c>
      <c r="O689" s="17">
        <v>207356.49999999997</v>
      </c>
      <c r="P689" s="17">
        <v>217065.5</v>
      </c>
      <c r="Q689" s="17">
        <v>217065.5</v>
      </c>
      <c r="R689" s="17">
        <v>233016</v>
      </c>
      <c r="S689" s="17">
        <v>230242</v>
      </c>
    </row>
    <row r="690" spans="1:19" ht="14.25">
      <c r="A690" s="23">
        <f t="shared" si="11"/>
        <v>689</v>
      </c>
      <c r="B690" s="18"/>
      <c r="C690" s="17">
        <v>68255</v>
      </c>
      <c r="D690" s="17">
        <v>81223.45</v>
      </c>
      <c r="E690" s="17">
        <v>86001.3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</row>
    <row r="691" spans="1:19" ht="14.25">
      <c r="A691" s="23">
        <f t="shared" si="11"/>
        <v>690</v>
      </c>
      <c r="B691" s="18"/>
      <c r="C691" s="17">
        <v>0</v>
      </c>
      <c r="D691" s="17">
        <v>0</v>
      </c>
      <c r="E691" s="17">
        <v>0</v>
      </c>
      <c r="F691" s="17">
        <v>75920</v>
      </c>
      <c r="G691" s="17">
        <v>75920</v>
      </c>
      <c r="H691" s="17">
        <v>85030.400000000009</v>
      </c>
      <c r="I691" s="17">
        <v>79716</v>
      </c>
      <c r="J691" s="17">
        <v>100973.6</v>
      </c>
      <c r="K691" s="17">
        <v>107047.20000000001</v>
      </c>
      <c r="L691" s="17">
        <v>106288.00000000001</v>
      </c>
      <c r="M691" s="17">
        <v>94140.800000000017</v>
      </c>
      <c r="N691" s="17">
        <v>116157.60000000002</v>
      </c>
      <c r="O691" s="17">
        <v>110843.20000000001</v>
      </c>
      <c r="P691" s="17">
        <v>133619.20000000001</v>
      </c>
      <c r="Q691" s="17">
        <v>133619.20000000001</v>
      </c>
      <c r="R691" s="17">
        <v>133619.20000000001</v>
      </c>
      <c r="S691" s="17">
        <v>0</v>
      </c>
    </row>
    <row r="692" spans="1:19" ht="14.25">
      <c r="A692" s="23">
        <f t="shared" si="11"/>
        <v>691</v>
      </c>
      <c r="B692" s="18"/>
      <c r="C692" s="17">
        <v>0</v>
      </c>
      <c r="D692" s="17">
        <v>0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77380</v>
      </c>
      <c r="M692" s="17">
        <v>96725</v>
      </c>
      <c r="N692" s="17">
        <v>91308.4</v>
      </c>
      <c r="O692" s="17">
        <v>97498.8</v>
      </c>
      <c r="P692" s="17">
        <v>105236.8</v>
      </c>
      <c r="Q692" s="17">
        <v>113748.60000000002</v>
      </c>
      <c r="R692" s="17">
        <v>125355.6</v>
      </c>
      <c r="S692" s="17">
        <v>148569.60000000001</v>
      </c>
    </row>
    <row r="693" spans="1:19" ht="14.25">
      <c r="A693" s="23">
        <f t="shared" si="11"/>
        <v>692</v>
      </c>
      <c r="B693" s="18"/>
      <c r="C693" s="17">
        <v>0</v>
      </c>
      <c r="D693" s="17">
        <v>0</v>
      </c>
      <c r="E693" s="17">
        <v>0</v>
      </c>
      <c r="F693" s="17">
        <v>0</v>
      </c>
      <c r="G693" s="17">
        <v>0</v>
      </c>
      <c r="H693" s="17">
        <v>0</v>
      </c>
      <c r="I693" s="17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94535</v>
      </c>
      <c r="S693" s="17">
        <v>90753.599999999991</v>
      </c>
    </row>
    <row r="694" spans="1:19" ht="14.25">
      <c r="A694" s="23">
        <f t="shared" si="11"/>
        <v>693</v>
      </c>
      <c r="B694" s="18"/>
      <c r="C694" s="17">
        <v>0</v>
      </c>
      <c r="D694" s="17">
        <v>0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73730</v>
      </c>
      <c r="N694" s="17">
        <v>87738.7</v>
      </c>
      <c r="O694" s="17">
        <v>108383.09999999999</v>
      </c>
      <c r="P694" s="17">
        <v>98060.900000000009</v>
      </c>
      <c r="Q694" s="17">
        <v>98060.900000000009</v>
      </c>
      <c r="R694" s="17">
        <v>102484.70000000001</v>
      </c>
      <c r="S694" s="17">
        <v>113544.2</v>
      </c>
    </row>
    <row r="695" spans="1:19" ht="14.25">
      <c r="A695" s="23">
        <f t="shared" si="11"/>
        <v>694</v>
      </c>
      <c r="B695" s="18"/>
      <c r="C695" s="17">
        <v>0</v>
      </c>
      <c r="D695" s="17">
        <v>0</v>
      </c>
      <c r="E695" s="17">
        <v>0</v>
      </c>
      <c r="F695" s="17">
        <v>0</v>
      </c>
      <c r="G695" s="17">
        <v>0</v>
      </c>
      <c r="H695" s="17">
        <v>0</v>
      </c>
      <c r="I695" s="17">
        <v>71175</v>
      </c>
      <c r="J695" s="17">
        <v>64769.25</v>
      </c>
      <c r="K695" s="17">
        <v>81139.500000000015</v>
      </c>
      <c r="L695" s="17">
        <v>101068.50000000001</v>
      </c>
      <c r="M695" s="17">
        <v>108897.75000000001</v>
      </c>
      <c r="N695" s="17">
        <v>117438.75000000003</v>
      </c>
      <c r="O695" s="17">
        <v>130250.25000000001</v>
      </c>
      <c r="P695" s="17">
        <v>130250.25000000001</v>
      </c>
      <c r="Q695" s="17">
        <v>120285.75000000003</v>
      </c>
      <c r="R695" s="17">
        <v>106050.75000000003</v>
      </c>
      <c r="S695" s="17">
        <v>103915.50000000003</v>
      </c>
    </row>
    <row r="696" spans="1:19" ht="14.25">
      <c r="A696" s="23">
        <f t="shared" si="11"/>
        <v>695</v>
      </c>
      <c r="B696" s="18"/>
      <c r="C696" s="17">
        <v>0</v>
      </c>
      <c r="D696" s="17">
        <v>0</v>
      </c>
      <c r="E696" s="17">
        <v>0</v>
      </c>
      <c r="F696" s="17">
        <v>104390</v>
      </c>
      <c r="G696" s="17">
        <v>104390</v>
      </c>
      <c r="H696" s="17">
        <v>112741.20000000001</v>
      </c>
      <c r="I696" s="17">
        <v>92907.1</v>
      </c>
      <c r="J696" s="17">
        <v>92907.1</v>
      </c>
      <c r="K696" s="17">
        <v>110653.40000000001</v>
      </c>
      <c r="L696" s="17">
        <v>121092.40000000001</v>
      </c>
      <c r="M696" s="17">
        <v>121092.40000000001</v>
      </c>
      <c r="N696" s="17">
        <v>109609.5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</row>
    <row r="697" spans="1:19" ht="14.25">
      <c r="A697" s="23">
        <f t="shared" si="11"/>
        <v>696</v>
      </c>
      <c r="B697" s="18"/>
      <c r="C697" s="17">
        <v>0</v>
      </c>
      <c r="D697" s="17">
        <v>0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65700</v>
      </c>
      <c r="K697" s="17">
        <v>60444</v>
      </c>
      <c r="L697" s="17">
        <v>59787</v>
      </c>
      <c r="M697" s="17">
        <v>49932</v>
      </c>
      <c r="N697" s="17">
        <v>53874.000000000007</v>
      </c>
      <c r="O697" s="17">
        <v>53874.000000000007</v>
      </c>
      <c r="P697" s="17">
        <v>53874.000000000007</v>
      </c>
      <c r="Q697" s="17">
        <v>68985</v>
      </c>
      <c r="R697" s="17">
        <v>56502.000000000007</v>
      </c>
      <c r="S697" s="17">
        <v>59787.000000000007</v>
      </c>
    </row>
    <row r="698" spans="1:19" ht="14.25">
      <c r="A698" s="23">
        <f t="shared" si="11"/>
        <v>697</v>
      </c>
      <c r="B698" s="18"/>
      <c r="C698" s="17">
        <v>67890</v>
      </c>
      <c r="D698" s="17">
        <v>82825.8</v>
      </c>
      <c r="E698" s="17">
        <v>75357.899999999994</v>
      </c>
      <c r="F698" s="17">
        <v>75357.899999999994</v>
      </c>
      <c r="G698" s="17">
        <v>75357.899999999994</v>
      </c>
      <c r="H698" s="17">
        <v>73321.199999999983</v>
      </c>
      <c r="I698" s="17">
        <v>63137.69999999999</v>
      </c>
      <c r="J698" s="17">
        <v>60422.099999999984</v>
      </c>
      <c r="K698" s="17">
        <v>57706.499999999985</v>
      </c>
      <c r="L698" s="17">
        <v>73321.199999999983</v>
      </c>
      <c r="M698" s="17">
        <v>88256.999999999985</v>
      </c>
      <c r="N698" s="17">
        <v>107945.09999999999</v>
      </c>
      <c r="O698" s="17">
        <v>116770.79999999999</v>
      </c>
      <c r="P698" s="17">
        <v>131706.59999999998</v>
      </c>
      <c r="Q698" s="17">
        <v>141890.09999999998</v>
      </c>
      <c r="R698" s="17">
        <v>0</v>
      </c>
      <c r="S698" s="17">
        <v>0</v>
      </c>
    </row>
    <row r="699" spans="1:19" ht="14.25">
      <c r="A699" s="23">
        <f t="shared" si="11"/>
        <v>698</v>
      </c>
      <c r="B699" s="18"/>
      <c r="C699" s="17">
        <v>0</v>
      </c>
      <c r="D699" s="17">
        <v>0</v>
      </c>
      <c r="E699" s="17">
        <v>0</v>
      </c>
      <c r="F699" s="17">
        <v>0</v>
      </c>
      <c r="G699" s="17">
        <v>90155</v>
      </c>
      <c r="H699" s="17">
        <v>114496.85</v>
      </c>
      <c r="I699" s="17">
        <v>121709.25000000001</v>
      </c>
      <c r="J699" s="17">
        <v>118103.05</v>
      </c>
      <c r="K699" s="17">
        <v>145149.55000000002</v>
      </c>
      <c r="L699" s="17">
        <v>154165.05000000002</v>
      </c>
      <c r="M699" s="17">
        <v>166786.75</v>
      </c>
      <c r="N699" s="17">
        <v>189325.5</v>
      </c>
      <c r="O699" s="17">
        <v>212765.80000000002</v>
      </c>
      <c r="P699" s="17">
        <v>0</v>
      </c>
      <c r="Q699" s="17">
        <v>0</v>
      </c>
      <c r="R699" s="17">
        <v>0</v>
      </c>
      <c r="S699" s="17">
        <v>0</v>
      </c>
    </row>
    <row r="700" spans="1:19" ht="14.25">
      <c r="A700" s="23">
        <f t="shared" si="11"/>
        <v>699</v>
      </c>
      <c r="B700" s="18"/>
      <c r="C700" s="17">
        <v>0</v>
      </c>
      <c r="D700" s="17">
        <v>0</v>
      </c>
      <c r="E700" s="17">
        <v>0</v>
      </c>
      <c r="F700" s="17">
        <v>0</v>
      </c>
      <c r="G700" s="17">
        <v>0</v>
      </c>
      <c r="H700" s="17">
        <v>0</v>
      </c>
      <c r="I700" s="17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99280</v>
      </c>
      <c r="P700" s="17">
        <v>123107.2</v>
      </c>
      <c r="Q700" s="17">
        <v>128071.2</v>
      </c>
      <c r="R700" s="17">
        <v>150905.60000000001</v>
      </c>
      <c r="S700" s="17">
        <v>150905.60000000001</v>
      </c>
    </row>
    <row r="701" spans="1:19" ht="14.25">
      <c r="A701" s="23">
        <f t="shared" si="11"/>
        <v>700</v>
      </c>
      <c r="B701" s="18"/>
      <c r="C701" s="17">
        <v>0</v>
      </c>
      <c r="D701" s="17">
        <v>0</v>
      </c>
      <c r="E701" s="17">
        <v>0</v>
      </c>
      <c r="F701" s="17">
        <v>0</v>
      </c>
      <c r="G701" s="17">
        <v>0</v>
      </c>
      <c r="H701" s="17">
        <v>105120</v>
      </c>
      <c r="I701" s="17">
        <v>95659.199999999997</v>
      </c>
      <c r="J701" s="17">
        <v>126144</v>
      </c>
      <c r="K701" s="17">
        <v>105120</v>
      </c>
      <c r="L701" s="17">
        <v>132451.20000000001</v>
      </c>
      <c r="M701" s="17">
        <v>144014.40000000002</v>
      </c>
      <c r="N701" s="17">
        <v>133502.39999999999</v>
      </c>
      <c r="O701" s="17">
        <v>155577.60000000001</v>
      </c>
      <c r="P701" s="17">
        <v>137707.20000000001</v>
      </c>
      <c r="Q701" s="17">
        <v>0</v>
      </c>
      <c r="R701" s="17">
        <v>0</v>
      </c>
      <c r="S701" s="17">
        <v>0</v>
      </c>
    </row>
    <row r="702" spans="1:19" ht="14.25">
      <c r="A702" s="23">
        <f t="shared" si="11"/>
        <v>701</v>
      </c>
      <c r="B702" s="18"/>
      <c r="C702" s="17">
        <v>0</v>
      </c>
      <c r="D702" s="17">
        <v>0</v>
      </c>
      <c r="E702" s="17">
        <v>0</v>
      </c>
      <c r="F702" s="17">
        <v>0</v>
      </c>
      <c r="G702" s="17">
        <v>0</v>
      </c>
      <c r="H702" s="17">
        <v>0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78840</v>
      </c>
      <c r="R702" s="17">
        <v>93031.2</v>
      </c>
      <c r="S702" s="17">
        <v>99338.4</v>
      </c>
    </row>
    <row r="703" spans="1:19" ht="14.25">
      <c r="A703" s="23">
        <f t="shared" si="11"/>
        <v>702</v>
      </c>
      <c r="B703" s="18"/>
      <c r="C703" s="17">
        <v>0</v>
      </c>
      <c r="D703" s="17">
        <v>0</v>
      </c>
      <c r="E703" s="17">
        <v>0</v>
      </c>
      <c r="F703" s="17">
        <v>0</v>
      </c>
      <c r="G703" s="17">
        <v>0</v>
      </c>
      <c r="H703" s="17">
        <v>0</v>
      </c>
      <c r="I703" s="17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99645</v>
      </c>
      <c r="P703" s="17">
        <v>99645</v>
      </c>
      <c r="Q703" s="17">
        <v>99645</v>
      </c>
      <c r="R703" s="17">
        <v>110605.95000000001</v>
      </c>
      <c r="S703" s="17">
        <v>136513.65000000002</v>
      </c>
    </row>
    <row r="704" spans="1:19" ht="14.25">
      <c r="A704" s="23">
        <f t="shared" si="11"/>
        <v>703</v>
      </c>
      <c r="B704" s="18"/>
      <c r="C704" s="17">
        <v>81395</v>
      </c>
      <c r="D704" s="17">
        <v>81395</v>
      </c>
      <c r="E704" s="17">
        <v>94418.2</v>
      </c>
      <c r="F704" s="17">
        <v>108255.34999999999</v>
      </c>
      <c r="G704" s="17">
        <v>98487.95</v>
      </c>
      <c r="H704" s="17">
        <v>88720.549999999988</v>
      </c>
      <c r="I704" s="17">
        <v>106627.44999999998</v>
      </c>
      <c r="J704" s="17">
        <v>125348.29999999999</v>
      </c>
      <c r="K704" s="17">
        <v>142441.24999999997</v>
      </c>
      <c r="L704" s="17">
        <v>166045.79999999996</v>
      </c>
      <c r="M704" s="17">
        <v>182324.8</v>
      </c>
      <c r="N704" s="17">
        <v>186394.54999999996</v>
      </c>
      <c r="O704" s="17">
        <v>202673.55</v>
      </c>
      <c r="P704" s="17">
        <v>226278.09999999998</v>
      </c>
      <c r="Q704" s="17">
        <v>219766.49999999997</v>
      </c>
      <c r="R704" s="17">
        <v>210813.05</v>
      </c>
      <c r="S704" s="17">
        <v>221394.4</v>
      </c>
    </row>
    <row r="705" spans="1:19" ht="14.25">
      <c r="A705" s="23">
        <f t="shared" si="11"/>
        <v>704</v>
      </c>
      <c r="B705" s="18"/>
      <c r="C705" s="17">
        <v>85775</v>
      </c>
      <c r="D705" s="17">
        <v>82344</v>
      </c>
      <c r="E705" s="17">
        <v>78913</v>
      </c>
      <c r="F705" s="17">
        <v>78913</v>
      </c>
      <c r="G705" s="17">
        <v>84059.5</v>
      </c>
      <c r="H705" s="17">
        <v>107218.75</v>
      </c>
      <c r="I705" s="17">
        <v>94352.500000000015</v>
      </c>
      <c r="J705" s="17">
        <v>103787.75000000001</v>
      </c>
      <c r="K705" s="17">
        <v>126089.25000000001</v>
      </c>
      <c r="L705" s="17">
        <v>150106.25000000003</v>
      </c>
      <c r="M705" s="17">
        <v>162972.5</v>
      </c>
      <c r="N705" s="17">
        <v>162972.5</v>
      </c>
      <c r="O705" s="17">
        <v>181843</v>
      </c>
      <c r="P705" s="17">
        <v>198998.00000000003</v>
      </c>
      <c r="Q705" s="17">
        <v>203286.75</v>
      </c>
      <c r="R705" s="17">
        <v>203286.75</v>
      </c>
      <c r="S705" s="17">
        <v>203286.75</v>
      </c>
    </row>
    <row r="706" spans="1:19" ht="14.25">
      <c r="A706" s="23">
        <f t="shared" si="11"/>
        <v>705</v>
      </c>
      <c r="B706" s="18"/>
      <c r="C706" s="17">
        <v>0</v>
      </c>
      <c r="D706" s="17">
        <v>0</v>
      </c>
      <c r="E706" s="17">
        <v>0</v>
      </c>
      <c r="F706" s="17">
        <v>0</v>
      </c>
      <c r="G706" s="17">
        <v>0</v>
      </c>
      <c r="H706" s="17">
        <v>69715</v>
      </c>
      <c r="I706" s="17">
        <v>85052.3</v>
      </c>
      <c r="J706" s="17">
        <v>85052.3</v>
      </c>
      <c r="K706" s="17">
        <v>85052.3</v>
      </c>
      <c r="L706" s="17">
        <v>89932.35</v>
      </c>
      <c r="M706" s="17">
        <v>102481.05</v>
      </c>
      <c r="N706" s="17">
        <v>118515.5</v>
      </c>
      <c r="O706" s="17">
        <v>118515.5</v>
      </c>
      <c r="P706" s="17">
        <v>105966.8</v>
      </c>
      <c r="Q706" s="17">
        <v>115029.75</v>
      </c>
      <c r="R706" s="17">
        <v>102481.05</v>
      </c>
      <c r="S706" s="17">
        <v>107361.1</v>
      </c>
    </row>
    <row r="707" spans="1:19" ht="14.25">
      <c r="A707" s="23">
        <f t="shared" ref="A707:A770" si="12">+A706+1</f>
        <v>706</v>
      </c>
      <c r="B707" s="18"/>
      <c r="C707" s="17">
        <v>0</v>
      </c>
      <c r="D707" s="17">
        <v>81395</v>
      </c>
      <c r="E707" s="17">
        <v>90348.450000000012</v>
      </c>
      <c r="F707" s="17">
        <v>90348.450000000012</v>
      </c>
      <c r="G707" s="17">
        <v>80581.05</v>
      </c>
      <c r="H707" s="17">
        <v>80581.05</v>
      </c>
      <c r="I707" s="17">
        <v>91976.35</v>
      </c>
      <c r="J707" s="17">
        <v>111511.15000000001</v>
      </c>
      <c r="K707" s="17">
        <v>103371.65</v>
      </c>
      <c r="L707" s="17">
        <v>125348.3</v>
      </c>
      <c r="M707" s="17">
        <v>129418.05</v>
      </c>
      <c r="N707" s="17">
        <v>147324.95000000001</v>
      </c>
      <c r="O707" s="17">
        <v>165231.85</v>
      </c>
      <c r="P707" s="17">
        <v>189650.35</v>
      </c>
      <c r="Q707" s="17">
        <v>0</v>
      </c>
      <c r="R707" s="17">
        <v>0</v>
      </c>
      <c r="S707" s="17">
        <v>0</v>
      </c>
    </row>
    <row r="708" spans="1:19" ht="14.25">
      <c r="A708" s="23">
        <f t="shared" si="12"/>
        <v>707</v>
      </c>
      <c r="B708" s="18"/>
      <c r="C708" s="17">
        <v>93075</v>
      </c>
      <c r="D708" s="17">
        <v>112620.75</v>
      </c>
      <c r="E708" s="17">
        <v>112620.75</v>
      </c>
      <c r="F708" s="17">
        <v>98659.5</v>
      </c>
      <c r="G708" s="17">
        <v>94936.5</v>
      </c>
      <c r="H708" s="17">
        <v>118205.25</v>
      </c>
      <c r="I708" s="17">
        <v>138681.75</v>
      </c>
      <c r="J708" s="17">
        <v>126581.99999999999</v>
      </c>
      <c r="K708" s="17">
        <v>132166.5</v>
      </c>
      <c r="L708" s="17">
        <v>118205.25</v>
      </c>
      <c r="M708" s="17">
        <v>129374.25000000001</v>
      </c>
      <c r="N708" s="17">
        <v>126582.00000000001</v>
      </c>
      <c r="O708" s="17">
        <v>132166.5</v>
      </c>
      <c r="P708" s="17">
        <v>147058.5</v>
      </c>
      <c r="Q708" s="17">
        <v>155435.25</v>
      </c>
      <c r="R708" s="17">
        <v>155435.25</v>
      </c>
      <c r="S708" s="17">
        <v>176842.5</v>
      </c>
    </row>
    <row r="709" spans="1:19" ht="14.25">
      <c r="A709" s="23">
        <f t="shared" si="12"/>
        <v>708</v>
      </c>
      <c r="B709" s="18"/>
      <c r="C709" s="17">
        <v>0</v>
      </c>
      <c r="D709" s="17">
        <v>0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78110</v>
      </c>
    </row>
    <row r="710" spans="1:19" ht="14.25">
      <c r="A710" s="23">
        <f t="shared" si="12"/>
        <v>709</v>
      </c>
      <c r="B710" s="18"/>
      <c r="C710" s="17">
        <v>0</v>
      </c>
      <c r="D710" s="17">
        <v>0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68620</v>
      </c>
      <c r="P710" s="17">
        <v>65875.199999999997</v>
      </c>
      <c r="Q710" s="17">
        <v>80285.399999999994</v>
      </c>
      <c r="R710" s="17">
        <v>100871.4</v>
      </c>
      <c r="S710" s="17">
        <v>109792</v>
      </c>
    </row>
    <row r="711" spans="1:19" ht="14.25">
      <c r="A711" s="23">
        <f t="shared" si="12"/>
        <v>710</v>
      </c>
      <c r="B711" s="18"/>
      <c r="C711" s="17">
        <v>0</v>
      </c>
      <c r="D711" s="17">
        <v>0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82855</v>
      </c>
      <c r="Q711" s="17">
        <v>95283.249999999985</v>
      </c>
      <c r="R711" s="17">
        <v>93626.15</v>
      </c>
      <c r="S711" s="17">
        <v>108540.04999999999</v>
      </c>
    </row>
    <row r="712" spans="1:19" ht="14.25">
      <c r="A712" s="23">
        <f t="shared" si="12"/>
        <v>711</v>
      </c>
      <c r="B712" s="18"/>
      <c r="C712" s="17">
        <v>0</v>
      </c>
      <c r="D712" s="17">
        <v>0</v>
      </c>
      <c r="E712" s="17">
        <v>0</v>
      </c>
      <c r="F712" s="17">
        <v>0</v>
      </c>
      <c r="G712" s="17">
        <v>0</v>
      </c>
      <c r="H712" s="17">
        <v>0</v>
      </c>
      <c r="I712" s="17">
        <v>68985</v>
      </c>
      <c r="J712" s="17">
        <v>62776.35</v>
      </c>
      <c r="K712" s="17">
        <v>62776.35</v>
      </c>
      <c r="L712" s="17">
        <v>55188</v>
      </c>
      <c r="M712" s="17">
        <v>68295.149999999994</v>
      </c>
      <c r="N712" s="17">
        <v>77953.049999999988</v>
      </c>
      <c r="O712" s="17">
        <v>93819.599999999991</v>
      </c>
      <c r="P712" s="17">
        <v>108996.29999999999</v>
      </c>
      <c r="Q712" s="17">
        <v>120033.89999999998</v>
      </c>
      <c r="R712" s="17">
        <v>120033.89999999998</v>
      </c>
      <c r="S712" s="17">
        <v>124862.84999999999</v>
      </c>
    </row>
    <row r="713" spans="1:19" ht="14.25">
      <c r="A713" s="23">
        <f t="shared" si="12"/>
        <v>712</v>
      </c>
      <c r="B713" s="18"/>
      <c r="C713" s="17">
        <v>0</v>
      </c>
      <c r="D713" s="17">
        <v>0</v>
      </c>
      <c r="E713" s="17">
        <v>0</v>
      </c>
      <c r="F713" s="17">
        <v>0</v>
      </c>
      <c r="G713" s="17">
        <v>0</v>
      </c>
      <c r="H713" s="17">
        <v>0</v>
      </c>
      <c r="I713" s="17">
        <v>91615</v>
      </c>
      <c r="J713" s="17">
        <v>74208.150000000009</v>
      </c>
      <c r="K713" s="17">
        <v>74208.150000000009</v>
      </c>
      <c r="L713" s="17">
        <v>86118.1</v>
      </c>
      <c r="M713" s="17">
        <v>86118.1</v>
      </c>
      <c r="N713" s="17">
        <v>86118.1</v>
      </c>
      <c r="O713" s="17">
        <v>98944.200000000012</v>
      </c>
      <c r="P713" s="17">
        <v>113602.6</v>
      </c>
      <c r="Q713" s="17">
        <v>108105.7</v>
      </c>
      <c r="R713" s="17">
        <v>116351.05</v>
      </c>
      <c r="S713" s="17">
        <v>120931.8</v>
      </c>
    </row>
    <row r="714" spans="1:19" ht="14.25">
      <c r="A714" s="23">
        <f t="shared" si="12"/>
        <v>713</v>
      </c>
      <c r="B714" s="18"/>
      <c r="C714" s="17">
        <v>0</v>
      </c>
      <c r="D714" s="17">
        <v>0</v>
      </c>
      <c r="E714" s="17">
        <v>0</v>
      </c>
      <c r="F714" s="17">
        <v>0</v>
      </c>
      <c r="G714" s="17">
        <v>0</v>
      </c>
      <c r="H714" s="17">
        <v>0</v>
      </c>
      <c r="I714" s="17">
        <v>82490</v>
      </c>
      <c r="J714" s="17">
        <v>86614.5</v>
      </c>
      <c r="K714" s="17">
        <v>94038.6</v>
      </c>
      <c r="L714" s="17">
        <v>116310.90000000001</v>
      </c>
      <c r="M714" s="17">
        <v>136108.5</v>
      </c>
      <c r="N714" s="17">
        <v>146007.29999999999</v>
      </c>
      <c r="O714" s="17">
        <v>146007.29999999999</v>
      </c>
      <c r="P714" s="17">
        <v>141882.79999999999</v>
      </c>
      <c r="Q714" s="17">
        <v>166629.79999999999</v>
      </c>
      <c r="R714" s="17">
        <v>188902.1</v>
      </c>
      <c r="S714" s="17">
        <v>203750.30000000002</v>
      </c>
    </row>
    <row r="715" spans="1:19" ht="14.25">
      <c r="A715" s="23">
        <f t="shared" si="12"/>
        <v>714</v>
      </c>
      <c r="B715" s="18"/>
      <c r="C715" s="17">
        <v>0</v>
      </c>
      <c r="D715" s="17">
        <v>0</v>
      </c>
      <c r="E715" s="17">
        <v>86870</v>
      </c>
      <c r="F715" s="17">
        <v>74708.2</v>
      </c>
      <c r="G715" s="17">
        <v>79920.399999999994</v>
      </c>
      <c r="H715" s="17">
        <v>90344.8</v>
      </c>
      <c r="I715" s="17">
        <v>90344.8</v>
      </c>
      <c r="J715" s="17">
        <v>81657.8</v>
      </c>
      <c r="K715" s="17">
        <v>81657.8</v>
      </c>
      <c r="L715" s="17">
        <v>104244.00000000001</v>
      </c>
      <c r="M715" s="17">
        <v>112062.30000000002</v>
      </c>
      <c r="N715" s="17">
        <v>112062.30000000002</v>
      </c>
      <c r="O715" s="17">
        <v>112062.30000000002</v>
      </c>
      <c r="P715" s="17">
        <v>116405.80000000003</v>
      </c>
      <c r="Q715" s="17">
        <v>131173.70000000001</v>
      </c>
      <c r="R715" s="17">
        <v>142466.80000000002</v>
      </c>
      <c r="S715" s="17">
        <v>165053</v>
      </c>
    </row>
    <row r="716" spans="1:19" ht="14.25">
      <c r="A716" s="23">
        <f t="shared" si="12"/>
        <v>715</v>
      </c>
      <c r="B716" s="18"/>
      <c r="C716" s="17">
        <v>0</v>
      </c>
      <c r="D716" s="17">
        <v>0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90885</v>
      </c>
      <c r="P716" s="17">
        <v>78161.100000000006</v>
      </c>
      <c r="Q716" s="17">
        <v>95429.25</v>
      </c>
      <c r="R716" s="17">
        <v>111788.55</v>
      </c>
      <c r="S716" s="17">
        <v>121785.90000000001</v>
      </c>
    </row>
    <row r="717" spans="1:19" ht="14.25">
      <c r="A717" s="23">
        <f t="shared" si="12"/>
        <v>716</v>
      </c>
      <c r="B717" s="18"/>
      <c r="C717" s="17">
        <v>91250</v>
      </c>
      <c r="D717" s="17">
        <v>117712.5</v>
      </c>
      <c r="E717" s="17">
        <v>135050</v>
      </c>
      <c r="F717" s="17">
        <v>151475</v>
      </c>
      <c r="G717" s="17">
        <v>151475</v>
      </c>
      <c r="H717" s="17">
        <v>169725</v>
      </c>
      <c r="I717" s="17">
        <v>169725</v>
      </c>
      <c r="J717" s="17">
        <v>177937.5</v>
      </c>
      <c r="K717" s="17">
        <v>177937.5</v>
      </c>
      <c r="L717" s="17">
        <v>160600</v>
      </c>
      <c r="M717" s="17">
        <v>173375</v>
      </c>
      <c r="N717" s="17">
        <v>167900</v>
      </c>
      <c r="O717" s="17">
        <v>190712.5</v>
      </c>
      <c r="P717" s="17">
        <v>209874.99999999997</v>
      </c>
      <c r="Q717" s="17">
        <v>214437.49999999997</v>
      </c>
      <c r="R717" s="17">
        <v>212612.49999999997</v>
      </c>
      <c r="S717" s="17">
        <v>220824.99999999994</v>
      </c>
    </row>
    <row r="718" spans="1:19" ht="14.25">
      <c r="A718" s="23">
        <f t="shared" si="12"/>
        <v>717</v>
      </c>
      <c r="B718" s="18"/>
      <c r="C718" s="17">
        <v>0</v>
      </c>
      <c r="D718" s="17">
        <v>0</v>
      </c>
      <c r="E718" s="17">
        <v>0</v>
      </c>
      <c r="F718" s="17">
        <v>76650</v>
      </c>
      <c r="G718" s="17">
        <v>93513</v>
      </c>
      <c r="H718" s="17">
        <v>105010.49999999999</v>
      </c>
      <c r="I718" s="17">
        <v>114208.49999999999</v>
      </c>
      <c r="J718" s="17">
        <v>127238.99999999997</v>
      </c>
      <c r="K718" s="17">
        <v>134137.49999999997</v>
      </c>
      <c r="L718" s="17">
        <v>134137.49999999997</v>
      </c>
      <c r="M718" s="17">
        <v>121106.99999999999</v>
      </c>
      <c r="N718" s="17">
        <v>131071.5</v>
      </c>
      <c r="O718" s="17">
        <v>121107</v>
      </c>
      <c r="P718" s="17">
        <v>139503</v>
      </c>
      <c r="Q718" s="17">
        <v>153300</v>
      </c>
      <c r="R718" s="17">
        <v>153300</v>
      </c>
      <c r="S718" s="17">
        <v>153300</v>
      </c>
    </row>
    <row r="719" spans="1:19" ht="14.25">
      <c r="A719" s="23">
        <f t="shared" si="12"/>
        <v>718</v>
      </c>
      <c r="B719" s="18"/>
      <c r="C719" s="17">
        <v>94535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</row>
    <row r="720" spans="1:19" ht="14.25">
      <c r="A720" s="23">
        <f t="shared" si="12"/>
        <v>719</v>
      </c>
      <c r="B720" s="18"/>
      <c r="C720" s="17">
        <v>0</v>
      </c>
      <c r="D720" s="17">
        <v>0</v>
      </c>
      <c r="E720" s="17">
        <v>0</v>
      </c>
      <c r="F720" s="17">
        <v>0</v>
      </c>
      <c r="G720" s="17">
        <v>0</v>
      </c>
      <c r="H720" s="17">
        <v>0</v>
      </c>
      <c r="I720" s="17">
        <v>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0</v>
      </c>
      <c r="S720" s="17">
        <v>90155</v>
      </c>
    </row>
    <row r="721" spans="1:19" ht="14.25">
      <c r="A721" s="23">
        <f t="shared" si="12"/>
        <v>720</v>
      </c>
      <c r="B721" s="18"/>
      <c r="C721" s="17">
        <v>0</v>
      </c>
      <c r="D721" s="17">
        <v>0</v>
      </c>
      <c r="E721" s="17">
        <v>70080</v>
      </c>
      <c r="F721" s="17">
        <v>70080</v>
      </c>
      <c r="G721" s="17">
        <v>80592</v>
      </c>
      <c r="H721" s="17">
        <v>67276.800000000003</v>
      </c>
      <c r="I721" s="17">
        <v>79891.199999999997</v>
      </c>
      <c r="J721" s="17">
        <v>79891.199999999997</v>
      </c>
      <c r="K721" s="17">
        <v>92505.599999999991</v>
      </c>
      <c r="L721" s="17">
        <v>86899.199999999983</v>
      </c>
      <c r="M721" s="17">
        <v>80591.999999999985</v>
      </c>
      <c r="N721" s="17">
        <v>84796.799999999988</v>
      </c>
      <c r="O721" s="17">
        <v>98111.999999999985</v>
      </c>
      <c r="P721" s="17">
        <v>96710.39999999998</v>
      </c>
      <c r="Q721" s="17">
        <v>117734.39999999998</v>
      </c>
      <c r="R721" s="17">
        <v>110726.39999999998</v>
      </c>
      <c r="S721" s="17">
        <v>105119.99999999997</v>
      </c>
    </row>
    <row r="722" spans="1:19" ht="14.25">
      <c r="A722" s="23">
        <f t="shared" si="12"/>
        <v>721</v>
      </c>
      <c r="B722" s="18"/>
      <c r="C722" s="17">
        <v>0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0</v>
      </c>
      <c r="S722" s="17">
        <v>104755</v>
      </c>
    </row>
    <row r="723" spans="1:19" ht="14.25">
      <c r="A723" s="23">
        <f t="shared" si="12"/>
        <v>722</v>
      </c>
      <c r="B723" s="18"/>
      <c r="C723" s="17">
        <v>0</v>
      </c>
      <c r="D723" s="17">
        <v>0</v>
      </c>
      <c r="E723" s="17">
        <v>0</v>
      </c>
      <c r="F723" s="17">
        <v>0</v>
      </c>
      <c r="G723" s="17">
        <v>0</v>
      </c>
      <c r="H723" s="17">
        <v>0</v>
      </c>
      <c r="I723" s="17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104390</v>
      </c>
      <c r="O723" s="17">
        <v>86643.7</v>
      </c>
      <c r="P723" s="17">
        <v>86643.7</v>
      </c>
      <c r="Q723" s="17">
        <v>86643.7</v>
      </c>
      <c r="R723" s="17">
        <v>98126.599999999991</v>
      </c>
      <c r="S723" s="17">
        <v>98126.599999999991</v>
      </c>
    </row>
    <row r="724" spans="1:19" ht="14.25">
      <c r="A724" s="23">
        <f t="shared" si="12"/>
        <v>723</v>
      </c>
      <c r="B724" s="18"/>
      <c r="C724" s="17">
        <v>66065</v>
      </c>
      <c r="D724" s="17">
        <v>0</v>
      </c>
      <c r="E724" s="17">
        <v>0</v>
      </c>
      <c r="F724" s="17">
        <v>0</v>
      </c>
      <c r="G724" s="17">
        <v>0</v>
      </c>
      <c r="H724" s="17">
        <v>0</v>
      </c>
      <c r="I724" s="17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  <c r="R724" s="17">
        <v>0</v>
      </c>
      <c r="S724" s="17">
        <v>0</v>
      </c>
    </row>
    <row r="725" spans="1:19" ht="14.25">
      <c r="A725" s="23">
        <f t="shared" si="12"/>
        <v>724</v>
      </c>
      <c r="B725" s="18"/>
      <c r="C725" s="17">
        <v>67890</v>
      </c>
      <c r="D725" s="17">
        <v>74679</v>
      </c>
      <c r="E725" s="17">
        <v>74679</v>
      </c>
      <c r="F725" s="17">
        <v>92330.400000000009</v>
      </c>
      <c r="G725" s="17">
        <v>105229.5</v>
      </c>
      <c r="H725" s="17">
        <v>108624</v>
      </c>
      <c r="I725" s="17">
        <v>96403.800000000017</v>
      </c>
      <c r="J725" s="17">
        <v>90972.6</v>
      </c>
      <c r="K725" s="17">
        <v>81468.000000000015</v>
      </c>
      <c r="L725" s="17">
        <v>81468.000000000015</v>
      </c>
      <c r="M725" s="17">
        <v>75357.900000000009</v>
      </c>
      <c r="N725" s="17">
        <v>64495.500000000007</v>
      </c>
      <c r="O725" s="17">
        <v>82825.800000000017</v>
      </c>
      <c r="P725" s="17">
        <v>99119.400000000009</v>
      </c>
      <c r="Q725" s="17">
        <v>115413.00000000001</v>
      </c>
      <c r="R725" s="17">
        <v>105229.50000000001</v>
      </c>
      <c r="S725" s="17">
        <v>93009.300000000017</v>
      </c>
    </row>
    <row r="726" spans="1:19" ht="14.25">
      <c r="A726" s="23">
        <f t="shared" si="12"/>
        <v>725</v>
      </c>
      <c r="B726" s="18"/>
      <c r="C726" s="17">
        <v>0</v>
      </c>
      <c r="D726" s="17">
        <v>0</v>
      </c>
      <c r="E726" s="17">
        <v>0</v>
      </c>
      <c r="F726" s="17">
        <v>0</v>
      </c>
      <c r="G726" s="17">
        <v>0</v>
      </c>
      <c r="H726" s="17">
        <v>0</v>
      </c>
      <c r="I726" s="17">
        <v>0</v>
      </c>
      <c r="J726" s="17">
        <v>101470</v>
      </c>
      <c r="K726" s="17">
        <v>118719.9</v>
      </c>
      <c r="L726" s="17">
        <v>149160.9</v>
      </c>
      <c r="M726" s="17">
        <v>139013.9</v>
      </c>
      <c r="N726" s="17">
        <v>168440.19999999998</v>
      </c>
      <c r="O726" s="17">
        <v>188734.19999999998</v>
      </c>
      <c r="P726" s="17">
        <v>188734.19999999998</v>
      </c>
      <c r="Q726" s="17">
        <v>188734.19999999998</v>
      </c>
      <c r="R726" s="17">
        <v>214101.69999999998</v>
      </c>
      <c r="S726" s="17">
        <v>214101.69999999998</v>
      </c>
    </row>
    <row r="727" spans="1:19" ht="14.25">
      <c r="A727" s="23">
        <f t="shared" si="12"/>
        <v>726</v>
      </c>
      <c r="B727" s="18"/>
      <c r="C727" s="17">
        <v>0</v>
      </c>
      <c r="D727" s="17">
        <v>0</v>
      </c>
      <c r="E727" s="17">
        <v>0</v>
      </c>
      <c r="F727" s="17">
        <v>0</v>
      </c>
      <c r="G727" s="17">
        <v>0</v>
      </c>
      <c r="H727" s="17">
        <v>0</v>
      </c>
      <c r="I727" s="17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76650</v>
      </c>
      <c r="O727" s="17">
        <v>76650</v>
      </c>
      <c r="P727" s="17">
        <v>80482.5</v>
      </c>
      <c r="Q727" s="17">
        <v>88147.500000000015</v>
      </c>
      <c r="R727" s="17">
        <v>105010.50000000001</v>
      </c>
      <c r="S727" s="17">
        <v>128005.50000000001</v>
      </c>
    </row>
    <row r="728" spans="1:19" ht="14.25">
      <c r="A728" s="23">
        <f t="shared" si="12"/>
        <v>727</v>
      </c>
      <c r="B728" s="18"/>
      <c r="C728" s="17">
        <v>81030</v>
      </c>
      <c r="D728" s="17">
        <v>97236</v>
      </c>
      <c r="E728" s="17">
        <v>97236</v>
      </c>
      <c r="F728" s="17">
        <v>102908.1</v>
      </c>
      <c r="G728" s="17">
        <v>119114.09999999999</v>
      </c>
      <c r="H728" s="17">
        <v>135320.1</v>
      </c>
      <c r="I728" s="17">
        <v>158818.79999999999</v>
      </c>
      <c r="J728" s="17">
        <v>155577.60000000001</v>
      </c>
      <c r="K728" s="17">
        <v>159629.1</v>
      </c>
      <c r="L728" s="17">
        <v>166921.80000000002</v>
      </c>
      <c r="M728" s="17">
        <v>163680.6</v>
      </c>
      <c r="N728" s="17">
        <v>167732.09999999998</v>
      </c>
      <c r="O728" s="17">
        <v>189610.19999999998</v>
      </c>
      <c r="P728" s="17">
        <v>197713.19999999998</v>
      </c>
      <c r="Q728" s="17">
        <v>183127.8</v>
      </c>
      <c r="R728" s="17">
        <v>183127.8</v>
      </c>
      <c r="S728" s="17">
        <v>200954.4</v>
      </c>
    </row>
    <row r="729" spans="1:19" ht="14.25">
      <c r="A729" s="23">
        <f t="shared" si="12"/>
        <v>728</v>
      </c>
      <c r="B729" s="18"/>
      <c r="C729" s="17">
        <v>0</v>
      </c>
      <c r="D729" s="17">
        <v>0</v>
      </c>
      <c r="E729" s="17">
        <v>0</v>
      </c>
      <c r="F729" s="17">
        <v>0</v>
      </c>
      <c r="G729" s="17">
        <v>0</v>
      </c>
      <c r="H729" s="17">
        <v>0</v>
      </c>
      <c r="I729" s="17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67525</v>
      </c>
      <c r="R729" s="17">
        <v>57396.25</v>
      </c>
      <c r="S729" s="17">
        <v>57396.25</v>
      </c>
    </row>
    <row r="730" spans="1:19" ht="14.25">
      <c r="A730" s="23">
        <f t="shared" si="12"/>
        <v>729</v>
      </c>
      <c r="B730" s="18"/>
      <c r="C730" s="17">
        <v>0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7">
        <v>0</v>
      </c>
      <c r="J730" s="17">
        <v>0</v>
      </c>
      <c r="K730" s="17">
        <v>0</v>
      </c>
      <c r="L730" s="17">
        <v>0</v>
      </c>
      <c r="M730" s="17">
        <v>0</v>
      </c>
      <c r="N730" s="17">
        <v>0</v>
      </c>
      <c r="O730" s="17">
        <v>0</v>
      </c>
      <c r="P730" s="17">
        <v>0</v>
      </c>
      <c r="Q730" s="17">
        <v>0</v>
      </c>
      <c r="R730" s="17">
        <v>82490</v>
      </c>
      <c r="S730" s="17">
        <v>104762.3</v>
      </c>
    </row>
    <row r="731" spans="1:19" ht="14.25">
      <c r="A731" s="23">
        <f t="shared" si="12"/>
        <v>730</v>
      </c>
      <c r="B731" s="18"/>
      <c r="C731" s="17">
        <v>0</v>
      </c>
      <c r="D731" s="17">
        <v>0</v>
      </c>
      <c r="E731" s="17">
        <v>72270</v>
      </c>
      <c r="F731" s="17">
        <v>78774.3</v>
      </c>
      <c r="G731" s="17">
        <v>87446.7</v>
      </c>
      <c r="H731" s="17">
        <v>106959.6</v>
      </c>
      <c r="I731" s="17">
        <v>112018.5</v>
      </c>
      <c r="J731" s="17">
        <v>97564.5</v>
      </c>
      <c r="K731" s="17">
        <v>101900.70000000001</v>
      </c>
      <c r="L731" s="17">
        <v>118522.8</v>
      </c>
      <c r="M731" s="17">
        <v>125027.10000000002</v>
      </c>
      <c r="N731" s="17">
        <v>111295.80000000002</v>
      </c>
      <c r="O731" s="17">
        <v>125027.10000000002</v>
      </c>
      <c r="P731" s="17">
        <v>143817.30000000002</v>
      </c>
      <c r="Q731" s="17">
        <v>155380.50000000003</v>
      </c>
      <c r="R731" s="17">
        <v>155380.50000000003</v>
      </c>
      <c r="S731" s="17">
        <v>143094.60000000003</v>
      </c>
    </row>
    <row r="732" spans="1:19" ht="14.25">
      <c r="A732" s="23">
        <f t="shared" si="12"/>
        <v>731</v>
      </c>
      <c r="B732" s="18"/>
      <c r="C732" s="17">
        <v>0</v>
      </c>
      <c r="D732" s="17">
        <v>0</v>
      </c>
      <c r="E732" s="17">
        <v>0</v>
      </c>
      <c r="F732" s="17">
        <v>0</v>
      </c>
      <c r="G732" s="17">
        <v>0</v>
      </c>
      <c r="H732" s="17">
        <v>0</v>
      </c>
      <c r="I732" s="17">
        <v>94170</v>
      </c>
      <c r="J732" s="17">
        <v>102645.3</v>
      </c>
      <c r="K732" s="17">
        <v>120537.60000000001</v>
      </c>
      <c r="L732" s="17">
        <v>131838</v>
      </c>
      <c r="M732" s="17">
        <v>142196.70000000001</v>
      </c>
      <c r="N732" s="17">
        <v>170447.7</v>
      </c>
      <c r="O732" s="17">
        <v>158205.6</v>
      </c>
      <c r="P732" s="17">
        <v>180806.40000000002</v>
      </c>
      <c r="Q732" s="17">
        <v>177981.30000000002</v>
      </c>
      <c r="R732" s="17">
        <v>198698.70000000004</v>
      </c>
      <c r="S732" s="17">
        <v>192106.80000000005</v>
      </c>
    </row>
    <row r="733" spans="1:19" ht="14.25">
      <c r="A733" s="23">
        <f t="shared" si="12"/>
        <v>732</v>
      </c>
      <c r="B733" s="18"/>
      <c r="C733" s="17">
        <v>0</v>
      </c>
      <c r="D733" s="17">
        <v>79935</v>
      </c>
      <c r="E733" s="17">
        <v>89527.200000000012</v>
      </c>
      <c r="F733" s="17">
        <v>89527.200000000012</v>
      </c>
      <c r="G733" s="17">
        <v>82333.05</v>
      </c>
      <c r="H733" s="17">
        <v>105514.20000000001</v>
      </c>
      <c r="I733" s="17">
        <v>91925.250000000015</v>
      </c>
      <c r="J733" s="17">
        <v>75938.250000000015</v>
      </c>
      <c r="K733" s="17">
        <v>87129.150000000023</v>
      </c>
      <c r="L733" s="17">
        <v>94323.300000000032</v>
      </c>
      <c r="M733" s="17">
        <v>116705.10000000003</v>
      </c>
      <c r="N733" s="17">
        <v>139086.90000000002</v>
      </c>
      <c r="O733" s="17">
        <v>136688.85000000003</v>
      </c>
      <c r="P733" s="17">
        <v>156672.60000000003</v>
      </c>
      <c r="Q733" s="17">
        <v>171060.90000000005</v>
      </c>
      <c r="R733" s="17">
        <v>182251.80000000005</v>
      </c>
      <c r="S733" s="17">
        <v>182251.80000000005</v>
      </c>
    </row>
    <row r="734" spans="1:19" ht="14.25">
      <c r="A734" s="23">
        <f t="shared" si="12"/>
        <v>733</v>
      </c>
      <c r="B734" s="18"/>
      <c r="C734" s="17">
        <v>0</v>
      </c>
      <c r="D734" s="17">
        <v>87965</v>
      </c>
      <c r="E734" s="17">
        <v>112595.2</v>
      </c>
      <c r="F734" s="17">
        <v>116993.45000000001</v>
      </c>
      <c r="G734" s="17">
        <v>116993.45000000001</v>
      </c>
      <c r="H734" s="17">
        <v>131947.5</v>
      </c>
      <c r="I734" s="17">
        <v>144262.6</v>
      </c>
      <c r="J734" s="17">
        <v>144262.6</v>
      </c>
      <c r="K734" s="17">
        <v>151299.80000000002</v>
      </c>
      <c r="L734" s="17">
        <v>163614.90000000002</v>
      </c>
      <c r="M734" s="17">
        <v>163614.90000000002</v>
      </c>
      <c r="N734" s="17">
        <v>180328.25000000003</v>
      </c>
      <c r="O734" s="17">
        <v>205838.10000000003</v>
      </c>
      <c r="P734" s="17">
        <v>211995.65000000002</v>
      </c>
      <c r="Q734" s="17">
        <v>211995.65000000002</v>
      </c>
      <c r="R734" s="17">
        <v>211995.65000000002</v>
      </c>
      <c r="S734" s="17">
        <v>225190.39999999999</v>
      </c>
    </row>
    <row r="735" spans="1:19" ht="14.25">
      <c r="A735" s="23">
        <f t="shared" si="12"/>
        <v>734</v>
      </c>
      <c r="B735" s="18"/>
      <c r="C735" s="17">
        <v>0</v>
      </c>
      <c r="D735" s="17">
        <v>0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76650</v>
      </c>
      <c r="Q735" s="17">
        <v>91213.5</v>
      </c>
      <c r="R735" s="17">
        <v>112675.5</v>
      </c>
      <c r="S735" s="17">
        <v>124172.99999999999</v>
      </c>
    </row>
    <row r="736" spans="1:19" ht="14.25">
      <c r="A736" s="23">
        <f t="shared" si="12"/>
        <v>735</v>
      </c>
      <c r="B736" s="18"/>
      <c r="C736" s="17">
        <v>0</v>
      </c>
      <c r="D736" s="17">
        <v>0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100010</v>
      </c>
    </row>
    <row r="737" spans="1:19" ht="14.25">
      <c r="A737" s="23">
        <f t="shared" si="12"/>
        <v>736</v>
      </c>
      <c r="B737" s="18"/>
      <c r="C737" s="17">
        <v>0</v>
      </c>
      <c r="D737" s="17">
        <v>0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102565</v>
      </c>
      <c r="N737" s="17">
        <v>102565</v>
      </c>
      <c r="O737" s="17">
        <v>101539.35</v>
      </c>
      <c r="P737" s="17">
        <v>117949.74999999999</v>
      </c>
      <c r="Q737" s="17">
        <v>138462.75</v>
      </c>
      <c r="R737" s="17">
        <v>118975.4</v>
      </c>
      <c r="S737" s="17">
        <v>118975.4</v>
      </c>
    </row>
    <row r="738" spans="1:19" ht="14.25">
      <c r="A738" s="23">
        <f t="shared" si="12"/>
        <v>737</v>
      </c>
      <c r="B738" s="18"/>
      <c r="C738" s="17">
        <v>71175</v>
      </c>
      <c r="D738" s="17">
        <v>71175</v>
      </c>
      <c r="E738" s="17">
        <v>71175</v>
      </c>
      <c r="F738" s="17">
        <v>78292.5</v>
      </c>
      <c r="G738" s="17">
        <v>81851.250000000015</v>
      </c>
      <c r="H738" s="17">
        <v>98221.500000000015</v>
      </c>
      <c r="I738" s="17">
        <v>117438.75000000001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</row>
    <row r="739" spans="1:19" ht="14.25">
      <c r="A739" s="23">
        <f t="shared" si="12"/>
        <v>738</v>
      </c>
      <c r="B739" s="18"/>
      <c r="C739" s="17">
        <v>97820</v>
      </c>
      <c r="D739" s="17">
        <v>97820</v>
      </c>
      <c r="E739" s="17">
        <v>115427.59999999999</v>
      </c>
      <c r="F739" s="17">
        <v>126187.8</v>
      </c>
      <c r="G739" s="17">
        <v>137926.20000000001</v>
      </c>
      <c r="H739" s="17">
        <v>137926.20000000001</v>
      </c>
      <c r="I739" s="17">
        <v>161403</v>
      </c>
      <c r="J739" s="17">
        <v>180967</v>
      </c>
      <c r="K739" s="17">
        <v>180967</v>
      </c>
      <c r="L739" s="17">
        <v>209334.80000000002</v>
      </c>
      <c r="M739" s="17">
        <v>229877</v>
      </c>
      <c r="N739" s="17">
        <v>221073.2</v>
      </c>
      <c r="O739" s="17">
        <v>220095.00000000003</v>
      </c>
      <c r="P739" s="17">
        <v>231833.40000000005</v>
      </c>
      <c r="Q739" s="17">
        <v>0</v>
      </c>
      <c r="R739" s="17">
        <v>0</v>
      </c>
      <c r="S739" s="17">
        <v>0</v>
      </c>
    </row>
    <row r="740" spans="1:19" ht="14.25">
      <c r="A740" s="23">
        <f t="shared" si="12"/>
        <v>739</v>
      </c>
      <c r="B740" s="18"/>
      <c r="C740" s="17">
        <v>0</v>
      </c>
      <c r="D740" s="17">
        <v>0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70810</v>
      </c>
      <c r="N740" s="17">
        <v>80723.400000000009</v>
      </c>
      <c r="O740" s="17">
        <v>96301.6</v>
      </c>
      <c r="P740" s="17">
        <v>109755.5</v>
      </c>
      <c r="Q740" s="17">
        <v>95593.5</v>
      </c>
      <c r="R740" s="17">
        <v>101966.40000000001</v>
      </c>
      <c r="S740" s="17">
        <v>101966.40000000001</v>
      </c>
    </row>
    <row r="741" spans="1:19" ht="14.25">
      <c r="A741" s="23">
        <f t="shared" si="12"/>
        <v>740</v>
      </c>
      <c r="B741" s="18"/>
      <c r="C741" s="17">
        <v>0</v>
      </c>
      <c r="D741" s="17">
        <v>0</v>
      </c>
      <c r="E741" s="17">
        <v>0</v>
      </c>
      <c r="F741" s="17">
        <v>0</v>
      </c>
      <c r="G741" s="17">
        <v>82125</v>
      </c>
      <c r="H741" s="17">
        <v>82125</v>
      </c>
      <c r="I741" s="17">
        <v>67342.5</v>
      </c>
      <c r="J741" s="17">
        <v>52560.000000000007</v>
      </c>
      <c r="K741" s="17">
        <v>73091.250000000015</v>
      </c>
      <c r="L741" s="17">
        <v>87052.5</v>
      </c>
      <c r="M741" s="17">
        <v>103477.5</v>
      </c>
      <c r="N741" s="17">
        <v>110047.5</v>
      </c>
      <c r="O741" s="17">
        <v>130578.75</v>
      </c>
      <c r="P741" s="17">
        <v>116617.50000000001</v>
      </c>
      <c r="Q741" s="17">
        <v>141255.00000000003</v>
      </c>
      <c r="R741" s="17">
        <v>127293.75000000003</v>
      </c>
      <c r="S741" s="17">
        <v>138791.25000000003</v>
      </c>
    </row>
    <row r="742" spans="1:19" ht="14.25">
      <c r="A742" s="23">
        <f t="shared" si="12"/>
        <v>741</v>
      </c>
      <c r="B742" s="18"/>
      <c r="C742" s="17">
        <v>105120</v>
      </c>
      <c r="D742" s="17">
        <v>105120</v>
      </c>
      <c r="E742" s="17">
        <v>132451.20000000001</v>
      </c>
      <c r="F742" s="17">
        <v>161884.80000000002</v>
      </c>
      <c r="G742" s="17">
        <v>161884.80000000002</v>
      </c>
      <c r="H742" s="17">
        <v>181857.6</v>
      </c>
      <c r="I742" s="17">
        <v>193420.80000000002</v>
      </c>
      <c r="J742" s="17">
        <v>193420.80000000002</v>
      </c>
      <c r="K742" s="17">
        <v>202881.6</v>
      </c>
      <c r="L742" s="17">
        <v>231264.00000000003</v>
      </c>
      <c r="M742" s="17">
        <v>231264.00000000003</v>
      </c>
      <c r="N742" s="17">
        <v>219700.80000000002</v>
      </c>
      <c r="O742" s="17">
        <v>203932.80000000005</v>
      </c>
      <c r="P742" s="17">
        <v>219700.80000000002</v>
      </c>
      <c r="Q742" s="17">
        <v>234417.60000000003</v>
      </c>
      <c r="R742" s="17">
        <v>241776.00000000003</v>
      </c>
      <c r="S742" s="17">
        <v>227059.20000000001</v>
      </c>
    </row>
    <row r="743" spans="1:19" ht="14.25">
      <c r="A743" s="23">
        <f t="shared" si="12"/>
        <v>742</v>
      </c>
      <c r="B743" s="18"/>
      <c r="C743" s="17">
        <v>0</v>
      </c>
      <c r="D743" s="17">
        <v>0</v>
      </c>
      <c r="E743" s="17">
        <v>80665</v>
      </c>
      <c r="F743" s="17">
        <v>102444.55</v>
      </c>
      <c r="G743" s="17">
        <v>125030.75</v>
      </c>
      <c r="H743" s="17">
        <v>143583.70000000001</v>
      </c>
      <c r="I743" s="17">
        <v>143583.70000000001</v>
      </c>
      <c r="J743" s="17">
        <v>138743.79999999999</v>
      </c>
      <c r="K743" s="17">
        <v>125030.75</v>
      </c>
      <c r="L743" s="17">
        <v>125030.75</v>
      </c>
      <c r="M743" s="17">
        <v>142777.04999999999</v>
      </c>
      <c r="N743" s="17">
        <v>147616.95000000001</v>
      </c>
      <c r="O743" s="17">
        <v>154876.80000000002</v>
      </c>
      <c r="P743" s="17">
        <v>158910.05000000002</v>
      </c>
      <c r="Q743" s="17">
        <v>180689.6</v>
      </c>
      <c r="R743" s="17">
        <v>173429.75000000003</v>
      </c>
      <c r="S743" s="17">
        <v>196822.60000000003</v>
      </c>
    </row>
    <row r="744" spans="1:19" ht="14.25">
      <c r="A744" s="23">
        <f t="shared" si="12"/>
        <v>743</v>
      </c>
      <c r="B744" s="18"/>
      <c r="C744" s="17">
        <v>0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0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96360</v>
      </c>
      <c r="Q744" s="17">
        <v>111777.59999999999</v>
      </c>
      <c r="R744" s="17">
        <v>111777.59999999999</v>
      </c>
      <c r="S744" s="17">
        <v>120450</v>
      </c>
    </row>
    <row r="745" spans="1:19" ht="14.25">
      <c r="A745" s="23">
        <f t="shared" si="12"/>
        <v>744</v>
      </c>
      <c r="B745" s="18"/>
      <c r="C745" s="17">
        <v>0</v>
      </c>
      <c r="D745" s="17">
        <v>0</v>
      </c>
      <c r="E745" s="17">
        <v>80665</v>
      </c>
      <c r="F745" s="17">
        <v>80665</v>
      </c>
      <c r="G745" s="17">
        <v>93571.4</v>
      </c>
      <c r="H745" s="17">
        <v>116157.59999999999</v>
      </c>
      <c r="I745" s="17">
        <v>136323.85</v>
      </c>
      <c r="J745" s="17">
        <v>158910.04999999999</v>
      </c>
      <c r="K745" s="17">
        <v>171816.44999999998</v>
      </c>
      <c r="L745" s="17">
        <v>158103.4</v>
      </c>
      <c r="M745" s="17">
        <v>155683.44999999998</v>
      </c>
      <c r="N745" s="17">
        <v>164556.6</v>
      </c>
      <c r="O745" s="17">
        <v>175043.05</v>
      </c>
      <c r="P745" s="17">
        <v>160523.35</v>
      </c>
      <c r="Q745" s="17">
        <v>183916.19999999998</v>
      </c>
      <c r="R745" s="17">
        <v>196822.6</v>
      </c>
      <c r="S745" s="17">
        <v>188756.09999999998</v>
      </c>
    </row>
    <row r="746" spans="1:19" ht="14.25">
      <c r="A746" s="23">
        <f t="shared" si="12"/>
        <v>745</v>
      </c>
      <c r="B746" s="18"/>
      <c r="C746" s="17">
        <v>0</v>
      </c>
      <c r="D746" s="17">
        <v>0</v>
      </c>
      <c r="E746" s="17">
        <v>0</v>
      </c>
      <c r="F746" s="17">
        <v>0</v>
      </c>
      <c r="G746" s="17">
        <v>0</v>
      </c>
      <c r="H746" s="17">
        <v>0</v>
      </c>
      <c r="I746" s="17">
        <v>0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103660</v>
      </c>
      <c r="P746" s="17">
        <v>129575</v>
      </c>
      <c r="Q746" s="17">
        <v>156526.6</v>
      </c>
      <c r="R746" s="17">
        <v>136831.20000000001</v>
      </c>
      <c r="S746" s="17">
        <v>136831.20000000001</v>
      </c>
    </row>
    <row r="747" spans="1:19" ht="14.25">
      <c r="A747" s="23">
        <f t="shared" si="12"/>
        <v>746</v>
      </c>
      <c r="B747" s="18"/>
      <c r="C747" s="17">
        <v>0</v>
      </c>
      <c r="D747" s="17">
        <v>0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85410</v>
      </c>
      <c r="O747" s="17">
        <v>98221.499999999985</v>
      </c>
      <c r="P747" s="17">
        <v>103346.09999999999</v>
      </c>
      <c r="Q747" s="17">
        <v>108470.7</v>
      </c>
      <c r="R747" s="17">
        <v>119573.99999999999</v>
      </c>
      <c r="S747" s="17">
        <v>119573.99999999999</v>
      </c>
    </row>
    <row r="748" spans="1:19" ht="14.25">
      <c r="A748" s="23">
        <f t="shared" si="12"/>
        <v>747</v>
      </c>
      <c r="B748" s="18"/>
      <c r="C748" s="17">
        <v>0</v>
      </c>
      <c r="D748" s="17">
        <v>0</v>
      </c>
      <c r="E748" s="17">
        <v>0</v>
      </c>
      <c r="F748" s="17">
        <v>0</v>
      </c>
      <c r="G748" s="17">
        <v>0</v>
      </c>
      <c r="H748" s="17">
        <v>0</v>
      </c>
      <c r="I748" s="17">
        <v>0</v>
      </c>
      <c r="J748" s="17">
        <v>0</v>
      </c>
      <c r="K748" s="17">
        <v>0</v>
      </c>
      <c r="L748" s="17">
        <v>0</v>
      </c>
      <c r="M748" s="17">
        <v>0</v>
      </c>
      <c r="N748" s="17">
        <v>82855</v>
      </c>
      <c r="O748" s="17">
        <v>101083.09999999999</v>
      </c>
      <c r="P748" s="17">
        <v>101083.09999999999</v>
      </c>
      <c r="Q748" s="17">
        <v>113511.34999999999</v>
      </c>
      <c r="R748" s="17">
        <v>100254.55</v>
      </c>
      <c r="S748" s="17">
        <v>122625.4</v>
      </c>
    </row>
    <row r="749" spans="1:19" ht="14.25">
      <c r="A749" s="23">
        <f t="shared" si="12"/>
        <v>748</v>
      </c>
      <c r="B749" s="18"/>
      <c r="C749" s="17">
        <v>0</v>
      </c>
      <c r="D749" s="17">
        <v>0</v>
      </c>
      <c r="E749" s="17">
        <v>0</v>
      </c>
      <c r="F749" s="17">
        <v>0</v>
      </c>
      <c r="G749" s="17">
        <v>0</v>
      </c>
      <c r="H749" s="17">
        <v>0</v>
      </c>
      <c r="I749" s="17">
        <v>0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81760</v>
      </c>
      <c r="S749" s="17">
        <v>75219.199999999997</v>
      </c>
    </row>
    <row r="750" spans="1:19" ht="14.25">
      <c r="A750" s="23">
        <f t="shared" si="12"/>
        <v>749</v>
      </c>
      <c r="B750" s="18"/>
      <c r="C750" s="17">
        <v>98185</v>
      </c>
      <c r="D750" s="17">
        <v>108003.50000000001</v>
      </c>
      <c r="E750" s="17">
        <v>108003.50000000001</v>
      </c>
      <c r="F750" s="17">
        <v>114876.45000000001</v>
      </c>
      <c r="G750" s="17">
        <v>106039.8</v>
      </c>
      <c r="H750" s="17">
        <v>135495.30000000002</v>
      </c>
      <c r="I750" s="17">
        <v>147277.5</v>
      </c>
      <c r="J750" s="17">
        <v>142368.25</v>
      </c>
      <c r="K750" s="17">
        <v>142368.25</v>
      </c>
      <c r="L750" s="17">
        <v>154150.44999999998</v>
      </c>
      <c r="M750" s="17">
        <v>154150.44999999998</v>
      </c>
      <c r="N750" s="17">
        <v>154150.44999999998</v>
      </c>
      <c r="O750" s="17">
        <v>135495.29999999999</v>
      </c>
      <c r="P750" s="17">
        <v>121749.39999999998</v>
      </c>
      <c r="Q750" s="17">
        <v>151204.9</v>
      </c>
      <c r="R750" s="17">
        <v>162987.09999999998</v>
      </c>
      <c r="S750" s="17">
        <v>192442.59999999998</v>
      </c>
    </row>
    <row r="751" spans="1:19" ht="14.25">
      <c r="A751" s="23">
        <f t="shared" si="12"/>
        <v>750</v>
      </c>
      <c r="B751" s="18"/>
      <c r="C751" s="17">
        <v>0</v>
      </c>
      <c r="D751" s="17">
        <v>0</v>
      </c>
      <c r="E751" s="17">
        <v>0</v>
      </c>
      <c r="F751" s="17">
        <v>0</v>
      </c>
      <c r="G751" s="17">
        <v>78840</v>
      </c>
      <c r="H751" s="17">
        <v>70956</v>
      </c>
      <c r="I751" s="17">
        <v>93031.200000000012</v>
      </c>
      <c r="J751" s="17">
        <v>93031.200000000012</v>
      </c>
      <c r="K751" s="17">
        <v>93031.200000000012</v>
      </c>
      <c r="L751" s="17">
        <v>101703.60000000002</v>
      </c>
      <c r="M751" s="17">
        <v>108799.20000000003</v>
      </c>
      <c r="N751" s="17">
        <v>120625.20000000003</v>
      </c>
      <c r="O751" s="17">
        <v>141123.6</v>
      </c>
      <c r="P751" s="17">
        <v>141123.6</v>
      </c>
      <c r="Q751" s="17">
        <v>154526.40000000002</v>
      </c>
      <c r="R751" s="17">
        <v>158468.40000000002</v>
      </c>
      <c r="S751" s="17">
        <v>168717.6</v>
      </c>
    </row>
    <row r="752" spans="1:19" ht="14.25">
      <c r="A752" s="23">
        <f t="shared" si="12"/>
        <v>751</v>
      </c>
      <c r="B752" s="18"/>
      <c r="C752" s="17">
        <v>0</v>
      </c>
      <c r="D752" s="17">
        <v>0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94900</v>
      </c>
      <c r="L752" s="17">
        <v>102492</v>
      </c>
      <c r="M752" s="17">
        <v>109135.00000000001</v>
      </c>
      <c r="N752" s="17">
        <v>95849.000000000029</v>
      </c>
      <c r="O752" s="17">
        <v>117676.00000000001</v>
      </c>
      <c r="P752" s="17">
        <v>132860</v>
      </c>
      <c r="Q752" s="17">
        <v>156585</v>
      </c>
      <c r="R752" s="17">
        <v>185055.00000000003</v>
      </c>
      <c r="S752" s="17">
        <v>201188</v>
      </c>
    </row>
    <row r="753" spans="1:19" ht="14.25">
      <c r="A753" s="23">
        <f t="shared" si="12"/>
        <v>752</v>
      </c>
      <c r="B753" s="18"/>
      <c r="C753" s="17">
        <v>0</v>
      </c>
      <c r="D753" s="17">
        <v>0</v>
      </c>
      <c r="E753" s="17">
        <v>89060</v>
      </c>
      <c r="F753" s="17">
        <v>85497.599999999991</v>
      </c>
      <c r="G753" s="17">
        <v>107762.59999999999</v>
      </c>
      <c r="H753" s="17">
        <v>120231.00000000001</v>
      </c>
      <c r="I753" s="17">
        <v>134480.6</v>
      </c>
      <c r="J753" s="17">
        <v>116668.6</v>
      </c>
      <c r="K753" s="17">
        <v>112215.6</v>
      </c>
      <c r="L753" s="17">
        <v>131808.79999999999</v>
      </c>
      <c r="M753" s="17">
        <v>131808.79999999999</v>
      </c>
      <c r="N753" s="17">
        <v>144277.20000000001</v>
      </c>
      <c r="O753" s="17">
        <v>157636.20000000001</v>
      </c>
      <c r="P753" s="17">
        <v>184354.19999999998</v>
      </c>
      <c r="Q753" s="17">
        <v>207509.80000000002</v>
      </c>
      <c r="R753" s="17">
        <v>0</v>
      </c>
      <c r="S753" s="17">
        <v>0</v>
      </c>
    </row>
    <row r="754" spans="1:19" ht="14.25">
      <c r="A754" s="23">
        <f t="shared" si="12"/>
        <v>753</v>
      </c>
      <c r="B754" s="18"/>
      <c r="C754" s="17">
        <v>0</v>
      </c>
      <c r="D754" s="17">
        <v>0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77015</v>
      </c>
      <c r="R754" s="17">
        <v>77015</v>
      </c>
      <c r="S754" s="17">
        <v>93188.15</v>
      </c>
    </row>
    <row r="755" spans="1:19" ht="14.25">
      <c r="A755" s="23">
        <f t="shared" si="12"/>
        <v>754</v>
      </c>
      <c r="B755" s="18"/>
      <c r="C755" s="17">
        <v>87600</v>
      </c>
      <c r="D755" s="17">
        <v>87600</v>
      </c>
      <c r="E755" s="17">
        <v>87600</v>
      </c>
      <c r="F755" s="17">
        <v>107748</v>
      </c>
      <c r="G755" s="17">
        <v>107748</v>
      </c>
      <c r="H755" s="17">
        <v>116508</v>
      </c>
      <c r="I755" s="17">
        <v>0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</row>
    <row r="756" spans="1:19" ht="14.25">
      <c r="A756" s="23">
        <f t="shared" si="12"/>
        <v>755</v>
      </c>
      <c r="B756" s="18"/>
      <c r="C756" s="17">
        <v>70445</v>
      </c>
      <c r="D756" s="17">
        <v>77489.5</v>
      </c>
      <c r="E756" s="17">
        <v>90169.600000000006</v>
      </c>
      <c r="F756" s="17">
        <v>97918.55</v>
      </c>
      <c r="G756" s="17">
        <v>104963.05000000002</v>
      </c>
      <c r="H756" s="17">
        <v>118347.6</v>
      </c>
      <c r="I756" s="17">
        <v>128914.35</v>
      </c>
      <c r="J756" s="17">
        <v>139481.1</v>
      </c>
      <c r="K756" s="17">
        <v>138776.65</v>
      </c>
      <c r="L756" s="17">
        <v>154979</v>
      </c>
      <c r="M756" s="17">
        <v>166954.65</v>
      </c>
      <c r="N756" s="17">
        <v>178225.85</v>
      </c>
      <c r="O756" s="17">
        <v>0</v>
      </c>
      <c r="P756" s="17">
        <v>0</v>
      </c>
      <c r="Q756" s="17">
        <v>0</v>
      </c>
      <c r="R756" s="17">
        <v>0</v>
      </c>
      <c r="S756" s="17">
        <v>0</v>
      </c>
    </row>
    <row r="757" spans="1:19" ht="14.25">
      <c r="A757" s="23">
        <f t="shared" si="12"/>
        <v>756</v>
      </c>
      <c r="B757" s="18"/>
      <c r="C757" s="17">
        <v>0</v>
      </c>
      <c r="D757" s="17">
        <v>0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68255</v>
      </c>
      <c r="K757" s="17">
        <v>77128.149999999994</v>
      </c>
      <c r="L757" s="17">
        <v>83953.65</v>
      </c>
      <c r="M757" s="17">
        <v>75080.5</v>
      </c>
      <c r="N757" s="17">
        <v>94191.900000000009</v>
      </c>
      <c r="O757" s="17">
        <v>100334.85000000002</v>
      </c>
      <c r="P757" s="17">
        <v>100334.85000000002</v>
      </c>
      <c r="Q757" s="17">
        <v>120128.80000000002</v>
      </c>
      <c r="R757" s="17">
        <v>120128.80000000002</v>
      </c>
      <c r="S757" s="17">
        <v>124224.10000000002</v>
      </c>
    </row>
    <row r="758" spans="1:19" ht="14.25">
      <c r="A758" s="23">
        <f t="shared" si="12"/>
        <v>757</v>
      </c>
      <c r="B758" s="18"/>
      <c r="C758" s="17">
        <v>0</v>
      </c>
      <c r="D758" s="17">
        <v>0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96725</v>
      </c>
      <c r="N758" s="17">
        <v>96725</v>
      </c>
      <c r="O758" s="17">
        <v>114135.5</v>
      </c>
      <c r="P758" s="17">
        <v>130578.74999999999</v>
      </c>
      <c r="Q758" s="17">
        <v>139284</v>
      </c>
      <c r="R758" s="17">
        <v>125742.49999999999</v>
      </c>
      <c r="S758" s="17">
        <v>153792.75</v>
      </c>
    </row>
    <row r="759" spans="1:19" ht="14.25">
      <c r="A759" s="23">
        <f t="shared" si="12"/>
        <v>758</v>
      </c>
      <c r="B759" s="18"/>
      <c r="C759" s="17">
        <v>0</v>
      </c>
      <c r="D759" s="17">
        <v>0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102565</v>
      </c>
      <c r="N759" s="17">
        <v>109744.55</v>
      </c>
      <c r="O759" s="17">
        <v>127180.6</v>
      </c>
      <c r="P759" s="17">
        <v>148719.25</v>
      </c>
      <c r="Q759" s="17">
        <v>160001.4</v>
      </c>
      <c r="R759" s="17">
        <v>160001.4</v>
      </c>
      <c r="S759" s="17">
        <v>160001.4</v>
      </c>
    </row>
    <row r="760" spans="1:19" ht="14.25">
      <c r="A760" s="23">
        <f t="shared" si="12"/>
        <v>759</v>
      </c>
      <c r="B760" s="18"/>
      <c r="C760" s="17">
        <v>0</v>
      </c>
      <c r="D760" s="17">
        <v>0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90885</v>
      </c>
      <c r="K760" s="17">
        <v>106335.45</v>
      </c>
      <c r="L760" s="17">
        <v>106335.45</v>
      </c>
      <c r="M760" s="17">
        <v>126330.15</v>
      </c>
      <c r="N760" s="17">
        <v>134509.79999999999</v>
      </c>
      <c r="O760" s="17">
        <v>161775.29999999999</v>
      </c>
      <c r="P760" s="17">
        <v>146324.85</v>
      </c>
      <c r="Q760" s="17">
        <v>146324.85</v>
      </c>
      <c r="R760" s="17">
        <v>166319.55000000002</v>
      </c>
      <c r="S760" s="17">
        <v>189949.65</v>
      </c>
    </row>
    <row r="761" spans="1:19" ht="14.25">
      <c r="A761" s="23">
        <f t="shared" si="12"/>
        <v>760</v>
      </c>
      <c r="B761" s="18"/>
      <c r="C761" s="17">
        <v>0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0</v>
      </c>
      <c r="J761" s="17">
        <v>0</v>
      </c>
      <c r="K761" s="17">
        <v>0</v>
      </c>
      <c r="L761" s="17">
        <v>0</v>
      </c>
      <c r="M761" s="17">
        <v>0</v>
      </c>
      <c r="N761" s="17">
        <v>100010</v>
      </c>
      <c r="O761" s="17">
        <v>100010</v>
      </c>
      <c r="P761" s="17">
        <v>127012.7</v>
      </c>
      <c r="Q761" s="17">
        <v>118011.79999999999</v>
      </c>
      <c r="R761" s="17">
        <v>106010.6</v>
      </c>
      <c r="S761" s="17">
        <v>106010.6</v>
      </c>
    </row>
    <row r="762" spans="1:19" ht="14.25">
      <c r="A762" s="23">
        <f t="shared" si="12"/>
        <v>761</v>
      </c>
      <c r="B762" s="18"/>
      <c r="C762" s="17">
        <v>0</v>
      </c>
      <c r="D762" s="17">
        <v>0</v>
      </c>
      <c r="E762" s="17">
        <v>0</v>
      </c>
      <c r="F762" s="17">
        <v>0</v>
      </c>
      <c r="G762" s="17">
        <v>0</v>
      </c>
      <c r="H762" s="17">
        <v>0</v>
      </c>
      <c r="I762" s="17">
        <v>0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73730</v>
      </c>
      <c r="Q762" s="17">
        <v>64145.1</v>
      </c>
      <c r="R762" s="17">
        <v>70780.800000000003</v>
      </c>
      <c r="S762" s="17">
        <v>80365.699999999983</v>
      </c>
    </row>
    <row r="763" spans="1:19" ht="14.25">
      <c r="A763" s="23">
        <f t="shared" si="12"/>
        <v>762</v>
      </c>
      <c r="B763" s="18"/>
      <c r="C763" s="17">
        <v>0</v>
      </c>
      <c r="D763" s="17">
        <v>0</v>
      </c>
      <c r="E763" s="17">
        <v>0</v>
      </c>
      <c r="F763" s="17">
        <v>0</v>
      </c>
      <c r="G763" s="17">
        <v>0</v>
      </c>
      <c r="H763" s="17">
        <v>0</v>
      </c>
      <c r="I763" s="17">
        <v>0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71540</v>
      </c>
      <c r="P763" s="17">
        <v>83701.799999999988</v>
      </c>
      <c r="Q763" s="17">
        <v>83701.799999999988</v>
      </c>
      <c r="R763" s="17">
        <v>93717.400000000009</v>
      </c>
      <c r="S763" s="17">
        <v>100156.00000000001</v>
      </c>
    </row>
    <row r="764" spans="1:19" ht="14.25">
      <c r="A764" s="23">
        <f t="shared" si="12"/>
        <v>763</v>
      </c>
      <c r="B764" s="18"/>
      <c r="C764" s="17">
        <v>68985</v>
      </c>
      <c r="D764" s="17">
        <v>55877.850000000006</v>
      </c>
      <c r="E764" s="17">
        <v>71054.55</v>
      </c>
      <c r="F764" s="17">
        <v>77953.05</v>
      </c>
      <c r="G764" s="17">
        <v>88990.650000000009</v>
      </c>
      <c r="H764" s="17">
        <v>97958.7</v>
      </c>
      <c r="I764" s="17">
        <v>97958.7</v>
      </c>
      <c r="J764" s="17">
        <v>97958.7</v>
      </c>
      <c r="K764" s="17">
        <v>111065.84999999999</v>
      </c>
      <c r="L764" s="17">
        <v>131071.5</v>
      </c>
      <c r="M764" s="17">
        <v>122793.29999999999</v>
      </c>
      <c r="N764" s="17">
        <v>133830.9</v>
      </c>
      <c r="O764" s="17">
        <v>133830.9</v>
      </c>
      <c r="P764" s="17">
        <v>0</v>
      </c>
      <c r="Q764" s="17">
        <v>0</v>
      </c>
      <c r="R764" s="17">
        <v>0</v>
      </c>
      <c r="S764" s="17">
        <v>0</v>
      </c>
    </row>
    <row r="765" spans="1:19" ht="14.25">
      <c r="A765" s="23">
        <f t="shared" si="12"/>
        <v>764</v>
      </c>
      <c r="B765" s="18"/>
      <c r="C765" s="17">
        <v>69715</v>
      </c>
      <c r="D765" s="17">
        <v>69715</v>
      </c>
      <c r="E765" s="17">
        <v>63440.65</v>
      </c>
      <c r="F765" s="17">
        <v>75292.200000000012</v>
      </c>
      <c r="G765" s="17">
        <v>68320.700000000012</v>
      </c>
      <c r="H765" s="17">
        <v>87840.900000000023</v>
      </c>
      <c r="I765" s="17">
        <v>98298.150000000009</v>
      </c>
      <c r="J765" s="17">
        <v>101783.90000000001</v>
      </c>
      <c r="K765" s="17">
        <v>89235.200000000012</v>
      </c>
      <c r="L765" s="17">
        <v>83658.000000000015</v>
      </c>
      <c r="M765" s="17">
        <v>83658.000000000015</v>
      </c>
      <c r="N765" s="17">
        <v>83658.000000000015</v>
      </c>
      <c r="O765" s="17">
        <v>82263.700000000012</v>
      </c>
      <c r="P765" s="17">
        <v>91326.650000000009</v>
      </c>
      <c r="Q765" s="17">
        <v>90629.5</v>
      </c>
      <c r="R765" s="17">
        <v>90629.5</v>
      </c>
      <c r="S765" s="17">
        <v>96206.700000000012</v>
      </c>
    </row>
    <row r="766" spans="1:19" ht="14.25">
      <c r="A766" s="23">
        <f t="shared" si="12"/>
        <v>765</v>
      </c>
      <c r="B766" s="18"/>
      <c r="C766" s="17">
        <v>90155</v>
      </c>
      <c r="D766" s="17">
        <v>101875.15</v>
      </c>
      <c r="E766" s="17">
        <v>101875.15</v>
      </c>
      <c r="F766" s="17">
        <v>110890.65</v>
      </c>
      <c r="G766" s="17">
        <v>120807.70000000001</v>
      </c>
      <c r="H766" s="17">
        <v>140641.80000000002</v>
      </c>
      <c r="I766" s="17">
        <v>140641.80000000002</v>
      </c>
      <c r="J766" s="17">
        <v>153263.50000000003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</row>
    <row r="767" spans="1:19" ht="14.25">
      <c r="A767" s="23">
        <f t="shared" si="12"/>
        <v>766</v>
      </c>
      <c r="B767" s="18"/>
      <c r="C767" s="17">
        <v>0</v>
      </c>
      <c r="D767" s="17">
        <v>0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67160</v>
      </c>
      <c r="Q767" s="17">
        <v>67160</v>
      </c>
      <c r="R767" s="17">
        <v>82606.8</v>
      </c>
      <c r="S767" s="17">
        <v>89322.8</v>
      </c>
    </row>
    <row r="768" spans="1:19" ht="14.25">
      <c r="A768" s="23">
        <f t="shared" si="12"/>
        <v>767</v>
      </c>
      <c r="B768" s="18"/>
      <c r="C768" s="17">
        <v>0</v>
      </c>
      <c r="D768" s="17">
        <v>0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82855</v>
      </c>
      <c r="O768" s="17">
        <v>102740.2</v>
      </c>
      <c r="P768" s="17">
        <v>115168.45</v>
      </c>
      <c r="Q768" s="17">
        <v>133396.54999999999</v>
      </c>
      <c r="R768" s="17">
        <v>151624.65</v>
      </c>
      <c r="S768" s="17">
        <v>170681.30000000002</v>
      </c>
    </row>
    <row r="769" spans="1:19" ht="14.25">
      <c r="A769" s="23">
        <f t="shared" si="12"/>
        <v>768</v>
      </c>
      <c r="B769" s="18"/>
      <c r="C769" s="17">
        <v>81760</v>
      </c>
      <c r="D769" s="17">
        <v>95659.199999999997</v>
      </c>
      <c r="E769" s="17">
        <v>107105.60000000001</v>
      </c>
      <c r="F769" s="17">
        <v>96476.800000000017</v>
      </c>
      <c r="G769" s="17">
        <v>96476.800000000017</v>
      </c>
      <c r="H769" s="17">
        <v>95659.200000000012</v>
      </c>
      <c r="I769" s="17">
        <v>106288.00000000001</v>
      </c>
      <c r="J769" s="17">
        <v>105470.40000000002</v>
      </c>
      <c r="K769" s="17">
        <v>105470.40000000002</v>
      </c>
      <c r="L769" s="17">
        <v>105470.40000000002</v>
      </c>
      <c r="M769" s="17">
        <v>121822.40000000002</v>
      </c>
      <c r="N769" s="17">
        <v>142262.40000000002</v>
      </c>
      <c r="O769" s="17">
        <v>156161.60000000001</v>
      </c>
      <c r="P769" s="17">
        <v>147168</v>
      </c>
      <c r="Q769" s="17">
        <v>142262.39999999999</v>
      </c>
      <c r="R769" s="17">
        <v>161067.20000000001</v>
      </c>
      <c r="S769" s="17">
        <v>183960</v>
      </c>
    </row>
    <row r="770" spans="1:19" ht="14.25">
      <c r="A770" s="23">
        <f t="shared" si="12"/>
        <v>769</v>
      </c>
      <c r="B770" s="18"/>
      <c r="C770" s="17">
        <v>0</v>
      </c>
      <c r="D770" s="17">
        <v>0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72270</v>
      </c>
      <c r="Q770" s="17">
        <v>78774.3</v>
      </c>
      <c r="R770" s="17">
        <v>74438.100000000006</v>
      </c>
      <c r="S770" s="17">
        <v>86724</v>
      </c>
    </row>
    <row r="771" spans="1:19" ht="14.25">
      <c r="A771" s="23">
        <f t="shared" ref="A771:A834" si="13">+A770+1</f>
        <v>770</v>
      </c>
      <c r="B771" s="18"/>
      <c r="C771" s="17">
        <v>0</v>
      </c>
      <c r="D771" s="17">
        <v>0</v>
      </c>
      <c r="E771" s="17">
        <v>0</v>
      </c>
      <c r="F771" s="17">
        <v>0</v>
      </c>
      <c r="G771" s="17">
        <v>0</v>
      </c>
      <c r="H771" s="17">
        <v>96725</v>
      </c>
      <c r="I771" s="17">
        <v>118004.5</v>
      </c>
      <c r="J771" s="17">
        <v>103495.75</v>
      </c>
      <c r="K771" s="17">
        <v>126709.75</v>
      </c>
      <c r="L771" s="17">
        <v>149923.75</v>
      </c>
      <c r="M771" s="17">
        <v>155727.25</v>
      </c>
      <c r="N771" s="17">
        <v>180875.75</v>
      </c>
      <c r="O771" s="17">
        <v>205057</v>
      </c>
      <c r="P771" s="17">
        <v>227303.75</v>
      </c>
      <c r="Q771" s="17">
        <v>214729.50000000003</v>
      </c>
      <c r="R771" s="17">
        <v>195384.5</v>
      </c>
      <c r="S771" s="17">
        <v>195384.5</v>
      </c>
    </row>
    <row r="772" spans="1:19" ht="14.25">
      <c r="A772" s="23">
        <f t="shared" si="13"/>
        <v>771</v>
      </c>
      <c r="B772" s="18"/>
      <c r="C772" s="17">
        <v>0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17">
        <v>88330</v>
      </c>
      <c r="J772" s="17">
        <v>100696.20000000001</v>
      </c>
      <c r="K772" s="17">
        <v>115712.3</v>
      </c>
      <c r="L772" s="17">
        <v>120128.8</v>
      </c>
      <c r="M772" s="17">
        <v>120128.8</v>
      </c>
      <c r="N772" s="17">
        <v>130728.4</v>
      </c>
      <c r="O772" s="17">
        <v>157227.4</v>
      </c>
      <c r="P772" s="17">
        <v>147511.1</v>
      </c>
      <c r="Q772" s="17">
        <v>147511.1</v>
      </c>
      <c r="R772" s="17">
        <v>147511.1</v>
      </c>
      <c r="S772" s="17">
        <v>147511.1</v>
      </c>
    </row>
    <row r="773" spans="1:19" ht="14.25">
      <c r="A773" s="23">
        <f t="shared" si="13"/>
        <v>772</v>
      </c>
      <c r="B773" s="18"/>
      <c r="C773" s="17">
        <v>0</v>
      </c>
      <c r="D773" s="17">
        <v>0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88330</v>
      </c>
      <c r="O773" s="17">
        <v>95396.400000000009</v>
      </c>
      <c r="P773" s="17">
        <v>77730.400000000009</v>
      </c>
      <c r="Q773" s="17">
        <v>91863.2</v>
      </c>
      <c r="R773" s="17">
        <v>111295.8</v>
      </c>
      <c r="S773" s="17">
        <v>0</v>
      </c>
    </row>
    <row r="774" spans="1:19" ht="14.25">
      <c r="A774" s="23">
        <f t="shared" si="13"/>
        <v>773</v>
      </c>
      <c r="B774" s="18"/>
      <c r="C774" s="17">
        <v>0</v>
      </c>
      <c r="D774" s="17">
        <v>0</v>
      </c>
      <c r="E774" s="17">
        <v>0</v>
      </c>
      <c r="F774" s="17">
        <v>0</v>
      </c>
      <c r="G774" s="17">
        <v>0</v>
      </c>
      <c r="H774" s="17">
        <v>97455</v>
      </c>
      <c r="I774" s="17">
        <v>91607.7</v>
      </c>
      <c r="J774" s="17">
        <v>96480.45</v>
      </c>
      <c r="K774" s="17">
        <v>110124.15</v>
      </c>
      <c r="L774" s="17">
        <v>132538.79999999999</v>
      </c>
      <c r="M774" s="17">
        <v>155928</v>
      </c>
      <c r="N774" s="17">
        <v>153978.9</v>
      </c>
      <c r="O774" s="17">
        <v>173469.9</v>
      </c>
      <c r="P774" s="17">
        <v>196859.09999999995</v>
      </c>
      <c r="Q774" s="17">
        <v>187113.59999999995</v>
      </c>
      <c r="R774" s="17">
        <v>170546.24999999997</v>
      </c>
      <c r="S774" s="17">
        <v>177368.09999999998</v>
      </c>
    </row>
    <row r="775" spans="1:19" ht="14.25">
      <c r="A775" s="23">
        <f t="shared" si="13"/>
        <v>774</v>
      </c>
      <c r="B775" s="18"/>
      <c r="C775" s="17">
        <v>80300</v>
      </c>
      <c r="D775" s="17">
        <v>99572</v>
      </c>
      <c r="E775" s="17">
        <v>99572</v>
      </c>
      <c r="F775" s="17">
        <v>115632</v>
      </c>
      <c r="G775" s="17">
        <v>134904</v>
      </c>
      <c r="H775" s="17">
        <v>134904</v>
      </c>
      <c r="I775" s="17">
        <v>144540</v>
      </c>
      <c r="J775" s="17">
        <v>130888.99999999999</v>
      </c>
      <c r="K775" s="17">
        <v>130888.99999999999</v>
      </c>
      <c r="L775" s="17">
        <v>120450</v>
      </c>
      <c r="M775" s="17">
        <v>128480</v>
      </c>
      <c r="N775" s="17">
        <v>146949</v>
      </c>
      <c r="O775" s="17">
        <v>135707</v>
      </c>
      <c r="P775" s="17">
        <v>135707</v>
      </c>
      <c r="Q775" s="17">
        <v>154176</v>
      </c>
      <c r="R775" s="17">
        <v>162206</v>
      </c>
      <c r="S775" s="17">
        <v>0</v>
      </c>
    </row>
    <row r="776" spans="1:19" ht="14.25">
      <c r="A776" s="23">
        <f t="shared" si="13"/>
        <v>775</v>
      </c>
      <c r="B776" s="18"/>
      <c r="C776" s="17">
        <v>0</v>
      </c>
      <c r="D776" s="17">
        <v>0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70445</v>
      </c>
      <c r="S776" s="17">
        <v>70445</v>
      </c>
    </row>
    <row r="777" spans="1:19" ht="14.25">
      <c r="A777" s="23">
        <f t="shared" si="13"/>
        <v>776</v>
      </c>
      <c r="B777" s="18"/>
      <c r="C777" s="17">
        <v>78475</v>
      </c>
      <c r="D777" s="17">
        <v>92600.5</v>
      </c>
      <c r="E777" s="17">
        <v>106725.99999999999</v>
      </c>
      <c r="F777" s="17">
        <v>106725.99999999999</v>
      </c>
      <c r="G777" s="17">
        <v>128698.99999999999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</row>
    <row r="778" spans="1:19" ht="14.25">
      <c r="A778" s="23">
        <f t="shared" si="13"/>
        <v>777</v>
      </c>
      <c r="B778" s="18"/>
      <c r="C778" s="17">
        <v>0</v>
      </c>
      <c r="D778" s="17">
        <v>0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74825</v>
      </c>
      <c r="R778" s="17">
        <v>79314.5</v>
      </c>
      <c r="S778" s="17">
        <v>79314.5</v>
      </c>
    </row>
    <row r="779" spans="1:19" ht="14.25">
      <c r="A779" s="23">
        <f t="shared" si="13"/>
        <v>778</v>
      </c>
      <c r="B779" s="18"/>
      <c r="C779" s="17">
        <v>0</v>
      </c>
      <c r="D779" s="17">
        <v>0</v>
      </c>
      <c r="E779" s="17">
        <v>0</v>
      </c>
      <c r="F779" s="17">
        <v>0</v>
      </c>
      <c r="G779" s="17">
        <v>0</v>
      </c>
      <c r="H779" s="17">
        <v>0</v>
      </c>
      <c r="I779" s="17">
        <v>0</v>
      </c>
      <c r="J779" s="17">
        <v>105120</v>
      </c>
      <c r="K779" s="17">
        <v>115632.00000000001</v>
      </c>
      <c r="L779" s="17">
        <v>120888.00000000001</v>
      </c>
      <c r="M779" s="17">
        <v>120888.00000000001</v>
      </c>
      <c r="N779" s="17">
        <v>140860.80000000002</v>
      </c>
      <c r="O779" s="17">
        <v>129297.59999999999</v>
      </c>
      <c r="P779" s="17">
        <v>157680</v>
      </c>
      <c r="Q779" s="17">
        <v>169243.2</v>
      </c>
      <c r="R779" s="17">
        <v>194472</v>
      </c>
      <c r="S779" s="17">
        <v>224956.80000000002</v>
      </c>
    </row>
    <row r="780" spans="1:19" ht="14.25">
      <c r="A780" s="23">
        <f t="shared" si="13"/>
        <v>779</v>
      </c>
      <c r="B780" s="18"/>
      <c r="C780" s="17">
        <v>0</v>
      </c>
      <c r="D780" s="17">
        <v>0</v>
      </c>
      <c r="E780" s="17">
        <v>0</v>
      </c>
      <c r="F780" s="17">
        <v>0</v>
      </c>
      <c r="G780" s="17">
        <v>0</v>
      </c>
      <c r="H780" s="17">
        <v>0</v>
      </c>
      <c r="I780" s="17">
        <v>0</v>
      </c>
      <c r="J780" s="17">
        <v>0</v>
      </c>
      <c r="K780" s="17">
        <v>79205</v>
      </c>
      <c r="L780" s="17">
        <v>96630.099999999991</v>
      </c>
      <c r="M780" s="17">
        <v>88709.599999999991</v>
      </c>
      <c r="N780" s="17">
        <v>87917.549999999988</v>
      </c>
      <c r="O780" s="17">
        <v>87917.549999999988</v>
      </c>
      <c r="P780" s="17">
        <v>81581.14999999998</v>
      </c>
      <c r="Q780" s="17">
        <v>85541.4</v>
      </c>
      <c r="R780" s="17">
        <v>76828.849999999991</v>
      </c>
      <c r="S780" s="17">
        <v>76828.849999999991</v>
      </c>
    </row>
    <row r="781" spans="1:19" ht="14.25">
      <c r="A781" s="23">
        <f t="shared" si="13"/>
        <v>780</v>
      </c>
      <c r="B781" s="18"/>
      <c r="C781" s="17">
        <v>89425</v>
      </c>
      <c r="D781" s="17">
        <v>109098.5</v>
      </c>
      <c r="E781" s="17">
        <v>119829.49999999999</v>
      </c>
      <c r="F781" s="17">
        <v>119829.49999999999</v>
      </c>
      <c r="G781" s="17">
        <v>143080</v>
      </c>
      <c r="H781" s="17">
        <v>148445.5</v>
      </c>
      <c r="I781" s="17">
        <v>158282.25</v>
      </c>
      <c r="J781" s="17">
        <v>173484.5</v>
      </c>
      <c r="K781" s="17">
        <v>180638.5</v>
      </c>
      <c r="L781" s="17">
        <v>186898.25</v>
      </c>
      <c r="M781" s="17">
        <v>199417.75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</row>
    <row r="782" spans="1:19" ht="14.25">
      <c r="A782" s="23">
        <f t="shared" si="13"/>
        <v>781</v>
      </c>
      <c r="B782" s="18"/>
      <c r="C782" s="17">
        <v>69350</v>
      </c>
      <c r="D782" s="17">
        <v>64495.499999999993</v>
      </c>
      <c r="E782" s="17">
        <v>56173.499999999993</v>
      </c>
      <c r="F782" s="17">
        <v>56173.499999999993</v>
      </c>
      <c r="G782" s="17">
        <v>56173.499999999993</v>
      </c>
      <c r="H782" s="17">
        <v>71430.5</v>
      </c>
      <c r="I782" s="17">
        <v>71430.5</v>
      </c>
      <c r="J782" s="17">
        <v>83913.5</v>
      </c>
      <c r="K782" s="17">
        <v>99864</v>
      </c>
      <c r="L782" s="17">
        <v>86687.5</v>
      </c>
      <c r="M782" s="17">
        <v>86687.5</v>
      </c>
      <c r="N782" s="17">
        <v>90848.5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</row>
    <row r="783" spans="1:19" ht="14.25">
      <c r="A783" s="23">
        <f t="shared" si="13"/>
        <v>782</v>
      </c>
      <c r="B783" s="18"/>
      <c r="C783" s="17">
        <v>0</v>
      </c>
      <c r="D783" s="17">
        <v>76650</v>
      </c>
      <c r="E783" s="17">
        <v>87381.000000000015</v>
      </c>
      <c r="F783" s="17">
        <v>103477.5</v>
      </c>
      <c r="G783" s="17">
        <v>0</v>
      </c>
      <c r="H783" s="17">
        <v>0</v>
      </c>
      <c r="I783" s="17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0</v>
      </c>
      <c r="R783" s="17">
        <v>0</v>
      </c>
      <c r="S783" s="17">
        <v>0</v>
      </c>
    </row>
    <row r="784" spans="1:19" ht="14.25">
      <c r="A784" s="23">
        <f t="shared" si="13"/>
        <v>783</v>
      </c>
      <c r="B784" s="18"/>
      <c r="C784" s="17">
        <v>0</v>
      </c>
      <c r="D784" s="17">
        <v>0</v>
      </c>
      <c r="E784" s="17">
        <v>0</v>
      </c>
      <c r="F784" s="17">
        <v>0</v>
      </c>
      <c r="G784" s="17">
        <v>0</v>
      </c>
      <c r="H784" s="17">
        <v>0</v>
      </c>
      <c r="I784" s="17">
        <v>0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7">
        <v>66065</v>
      </c>
      <c r="P784" s="17">
        <v>66065</v>
      </c>
      <c r="Q784" s="17">
        <v>66065</v>
      </c>
      <c r="R784" s="17">
        <v>84563.199999999997</v>
      </c>
      <c r="S784" s="17">
        <v>91169.700000000012</v>
      </c>
    </row>
    <row r="785" spans="1:19" ht="14.25">
      <c r="A785" s="23">
        <f t="shared" si="13"/>
        <v>784</v>
      </c>
      <c r="B785" s="18"/>
      <c r="C785" s="17">
        <v>0</v>
      </c>
      <c r="D785" s="17">
        <v>0</v>
      </c>
      <c r="E785" s="17">
        <v>0</v>
      </c>
      <c r="F785" s="17">
        <v>0</v>
      </c>
      <c r="G785" s="17">
        <v>0</v>
      </c>
      <c r="H785" s="17">
        <v>87965</v>
      </c>
      <c r="I785" s="17">
        <v>74770.25</v>
      </c>
      <c r="J785" s="17">
        <v>87965</v>
      </c>
      <c r="K785" s="17">
        <v>87965</v>
      </c>
      <c r="L785" s="17">
        <v>73010.95</v>
      </c>
      <c r="M785" s="17">
        <v>71251.649999999994</v>
      </c>
      <c r="N785" s="17">
        <v>80048.149999999994</v>
      </c>
      <c r="O785" s="17">
        <v>101159.74999999999</v>
      </c>
      <c r="P785" s="17">
        <v>101159.74999999999</v>
      </c>
      <c r="Q785" s="17">
        <v>101159.74999999999</v>
      </c>
      <c r="R785" s="17">
        <v>114354.49999999999</v>
      </c>
      <c r="S785" s="17">
        <v>110835.89999999998</v>
      </c>
    </row>
    <row r="786" spans="1:19" ht="14.25">
      <c r="A786" s="23">
        <f t="shared" si="13"/>
        <v>785</v>
      </c>
      <c r="B786" s="18"/>
      <c r="C786" s="17">
        <v>0</v>
      </c>
      <c r="D786" s="17">
        <v>0</v>
      </c>
      <c r="E786" s="17">
        <v>0</v>
      </c>
      <c r="F786" s="17">
        <v>0</v>
      </c>
      <c r="G786" s="17">
        <v>0</v>
      </c>
      <c r="H786" s="17">
        <v>0</v>
      </c>
      <c r="I786" s="17">
        <v>97455</v>
      </c>
      <c r="J786" s="17">
        <v>90633.15</v>
      </c>
      <c r="K786" s="17">
        <v>112073.24999999999</v>
      </c>
      <c r="L786" s="17">
        <v>137411.54999999999</v>
      </c>
      <c r="M786" s="17">
        <v>157877.09999999998</v>
      </c>
      <c r="N786" s="17">
        <v>172495.34999999998</v>
      </c>
      <c r="O786" s="17">
        <v>164698.94999999998</v>
      </c>
      <c r="P786" s="17">
        <v>169571.69999999998</v>
      </c>
      <c r="Q786" s="17">
        <v>192960.89999999997</v>
      </c>
      <c r="R786" s="17">
        <v>204655.49999999997</v>
      </c>
      <c r="S786" s="17">
        <v>223171.94999999995</v>
      </c>
    </row>
    <row r="787" spans="1:19" ht="14.25">
      <c r="A787" s="23">
        <f t="shared" si="13"/>
        <v>786</v>
      </c>
      <c r="B787" s="18"/>
      <c r="C787" s="17">
        <v>0</v>
      </c>
      <c r="D787" s="17">
        <v>70445</v>
      </c>
      <c r="E787" s="17">
        <v>82420.649999999994</v>
      </c>
      <c r="F787" s="17">
        <v>81716.2</v>
      </c>
      <c r="G787" s="17">
        <v>81716.2</v>
      </c>
      <c r="H787" s="17">
        <v>81716.2</v>
      </c>
      <c r="I787" s="17">
        <v>81716.2</v>
      </c>
      <c r="J787" s="17">
        <v>96509.65</v>
      </c>
      <c r="K787" s="17">
        <v>109894.19999999998</v>
      </c>
      <c r="L787" s="17">
        <v>119756.49999999999</v>
      </c>
      <c r="M787" s="17">
        <v>126096.54999999999</v>
      </c>
      <c r="N787" s="17">
        <v>138776.65</v>
      </c>
      <c r="O787" s="17">
        <v>150752.29999999999</v>
      </c>
      <c r="P787" s="17">
        <v>157796.79999999999</v>
      </c>
      <c r="Q787" s="17">
        <v>176112.5</v>
      </c>
      <c r="R787" s="17">
        <v>188792.6</v>
      </c>
      <c r="S787" s="17">
        <v>203586.05000000002</v>
      </c>
    </row>
    <row r="788" spans="1:19" ht="14.25">
      <c r="A788" s="23">
        <f t="shared" si="13"/>
        <v>787</v>
      </c>
      <c r="B788" s="18"/>
      <c r="C788" s="17">
        <v>79205</v>
      </c>
      <c r="D788" s="17">
        <v>92669.849999999991</v>
      </c>
      <c r="E788" s="17">
        <v>92669.849999999991</v>
      </c>
      <c r="F788" s="17">
        <v>106926.74999999999</v>
      </c>
      <c r="G788" s="17">
        <v>126727.99999999999</v>
      </c>
      <c r="H788" s="17">
        <v>144945.15</v>
      </c>
      <c r="I788" s="17">
        <v>151281.54999999999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</row>
    <row r="789" spans="1:19" ht="14.25">
      <c r="A789" s="23">
        <f t="shared" si="13"/>
        <v>788</v>
      </c>
      <c r="B789" s="18"/>
      <c r="C789" s="17">
        <v>66065</v>
      </c>
      <c r="D789" s="17">
        <v>66065</v>
      </c>
      <c r="E789" s="17">
        <v>71350.200000000012</v>
      </c>
      <c r="F789" s="17">
        <v>70028.900000000009</v>
      </c>
      <c r="G789" s="17">
        <v>60779.8</v>
      </c>
      <c r="H789" s="17">
        <v>60779.8</v>
      </c>
      <c r="I789" s="17">
        <v>68046.95</v>
      </c>
      <c r="J789" s="17">
        <v>68046.95</v>
      </c>
      <c r="K789" s="17">
        <v>79278</v>
      </c>
      <c r="L789" s="17">
        <v>91830.349999999991</v>
      </c>
      <c r="M789" s="17">
        <v>101079.44999999998</v>
      </c>
      <c r="N789" s="17">
        <v>114953.09999999999</v>
      </c>
      <c r="O789" s="17">
        <v>127505.44999999998</v>
      </c>
      <c r="P789" s="17">
        <v>0</v>
      </c>
      <c r="Q789" s="17">
        <v>0</v>
      </c>
      <c r="R789" s="17">
        <v>0</v>
      </c>
      <c r="S789" s="17">
        <v>0</v>
      </c>
    </row>
    <row r="790" spans="1:19" ht="14.25">
      <c r="A790" s="23">
        <f t="shared" si="13"/>
        <v>789</v>
      </c>
      <c r="B790" s="18"/>
      <c r="C790" s="17">
        <v>70810</v>
      </c>
      <c r="D790" s="17">
        <v>70810</v>
      </c>
      <c r="E790" s="17">
        <v>70810</v>
      </c>
      <c r="F790" s="17">
        <v>75766.700000000012</v>
      </c>
      <c r="G790" s="17">
        <v>94177.3</v>
      </c>
      <c r="H790" s="17">
        <v>107631.2</v>
      </c>
      <c r="I790" s="17">
        <v>119668.9</v>
      </c>
      <c r="J790" s="17">
        <v>119668.9</v>
      </c>
      <c r="K790" s="17">
        <v>129582.3</v>
      </c>
      <c r="L790" s="17">
        <v>144452.4</v>
      </c>
      <c r="M790" s="17">
        <v>133122.80000000002</v>
      </c>
      <c r="N790" s="17">
        <v>145160.50000000003</v>
      </c>
      <c r="O790" s="17">
        <v>140911.90000000002</v>
      </c>
      <c r="P790" s="17">
        <v>138079.5</v>
      </c>
      <c r="Q790" s="17">
        <v>147992.90000000002</v>
      </c>
      <c r="R790" s="17">
        <v>152241.50000000003</v>
      </c>
      <c r="S790" s="17">
        <v>152241.50000000003</v>
      </c>
    </row>
    <row r="791" spans="1:19" ht="14.25">
      <c r="A791" s="23">
        <f t="shared" si="13"/>
        <v>790</v>
      </c>
      <c r="B791" s="18"/>
      <c r="C791" s="17">
        <v>0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0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7">
        <v>95630</v>
      </c>
      <c r="P791" s="17">
        <v>108061.9</v>
      </c>
      <c r="Q791" s="17">
        <v>113799.7</v>
      </c>
      <c r="R791" s="17">
        <v>109974.49999999999</v>
      </c>
      <c r="S791" s="17">
        <v>120493.8</v>
      </c>
    </row>
    <row r="792" spans="1:19" ht="14.25">
      <c r="A792" s="23">
        <f t="shared" si="13"/>
        <v>791</v>
      </c>
      <c r="B792" s="18"/>
      <c r="C792" s="17">
        <v>0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87965</v>
      </c>
      <c r="M792" s="17">
        <v>73890.599999999991</v>
      </c>
      <c r="N792" s="17">
        <v>71251.649999999994</v>
      </c>
      <c r="O792" s="17">
        <v>83566.75</v>
      </c>
      <c r="P792" s="17">
        <v>93242.900000000009</v>
      </c>
      <c r="Q792" s="17">
        <v>110835.9</v>
      </c>
      <c r="R792" s="17">
        <v>124910.29999999999</v>
      </c>
      <c r="S792" s="17">
        <v>114354.49999999999</v>
      </c>
    </row>
    <row r="793" spans="1:19" ht="14.25">
      <c r="A793" s="23">
        <f t="shared" si="13"/>
        <v>792</v>
      </c>
      <c r="B793" s="18"/>
      <c r="C793" s="17">
        <v>0</v>
      </c>
      <c r="D793" s="17">
        <v>0</v>
      </c>
      <c r="E793" s="17">
        <v>0</v>
      </c>
      <c r="F793" s="17">
        <v>0</v>
      </c>
      <c r="G793" s="17">
        <v>0</v>
      </c>
      <c r="H793" s="17">
        <v>0</v>
      </c>
      <c r="I793" s="17">
        <v>0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74095</v>
      </c>
    </row>
    <row r="794" spans="1:19" ht="14.25">
      <c r="A794" s="23">
        <f t="shared" si="13"/>
        <v>793</v>
      </c>
      <c r="B794" s="18"/>
      <c r="C794" s="17">
        <v>94170</v>
      </c>
      <c r="D794" s="17">
        <v>122421</v>
      </c>
      <c r="E794" s="17">
        <v>122421</v>
      </c>
      <c r="F794" s="17">
        <v>129012.90000000001</v>
      </c>
      <c r="G794" s="17">
        <v>145021.80000000002</v>
      </c>
      <c r="H794" s="17">
        <v>145021.80000000002</v>
      </c>
      <c r="I794" s="17">
        <v>140313.29999999999</v>
      </c>
      <c r="J794" s="17">
        <v>145963.5</v>
      </c>
      <c r="K794" s="17">
        <v>166680.9</v>
      </c>
      <c r="L794" s="17">
        <v>189281.69999999998</v>
      </c>
      <c r="M794" s="17">
        <v>193990.19999999995</v>
      </c>
      <c r="N794" s="17">
        <v>220357.8</v>
      </c>
      <c r="O794" s="17">
        <v>220357.8</v>
      </c>
      <c r="P794" s="17">
        <v>245783.69999999998</v>
      </c>
      <c r="Q794" s="17">
        <v>258025.8</v>
      </c>
      <c r="R794" s="17">
        <v>276859.8</v>
      </c>
      <c r="S794" s="17">
        <v>302285.7</v>
      </c>
    </row>
    <row r="795" spans="1:19" ht="14.25">
      <c r="A795" s="23">
        <f t="shared" si="13"/>
        <v>794</v>
      </c>
      <c r="B795" s="18"/>
      <c r="C795" s="17">
        <v>0</v>
      </c>
      <c r="D795" s="17">
        <v>0</v>
      </c>
      <c r="E795" s="17">
        <v>0</v>
      </c>
      <c r="F795" s="17">
        <v>0</v>
      </c>
      <c r="G795" s="17">
        <v>0</v>
      </c>
      <c r="H795" s="17">
        <v>0</v>
      </c>
      <c r="I795" s="17">
        <v>93805</v>
      </c>
      <c r="J795" s="17">
        <v>93805</v>
      </c>
      <c r="K795" s="17">
        <v>114442.09999999999</v>
      </c>
      <c r="L795" s="17">
        <v>114442.09999999999</v>
      </c>
      <c r="M795" s="17">
        <v>125698.69999999998</v>
      </c>
      <c r="N795" s="17">
        <v>125698.69999999998</v>
      </c>
      <c r="O795" s="17">
        <v>135079.19999999998</v>
      </c>
      <c r="P795" s="17">
        <v>135079.19999999998</v>
      </c>
      <c r="Q795" s="17">
        <v>153840.19999999998</v>
      </c>
      <c r="R795" s="17">
        <v>0</v>
      </c>
      <c r="S795" s="17">
        <v>0</v>
      </c>
    </row>
    <row r="796" spans="1:19" ht="14.25">
      <c r="A796" s="23">
        <f t="shared" si="13"/>
        <v>795</v>
      </c>
      <c r="B796" s="18"/>
      <c r="C796" s="17">
        <v>0</v>
      </c>
      <c r="D796" s="17">
        <v>0</v>
      </c>
      <c r="E796" s="17">
        <v>0</v>
      </c>
      <c r="F796" s="17">
        <v>0</v>
      </c>
      <c r="G796" s="17">
        <v>0</v>
      </c>
      <c r="H796" s="17">
        <v>0</v>
      </c>
      <c r="I796" s="17">
        <v>0</v>
      </c>
      <c r="J796" s="17">
        <v>0</v>
      </c>
      <c r="K796" s="17">
        <v>84315</v>
      </c>
      <c r="L796" s="17">
        <v>102021.15</v>
      </c>
      <c r="M796" s="17">
        <v>102021.15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</row>
    <row r="797" spans="1:19" ht="14.25">
      <c r="A797" s="23">
        <f t="shared" si="13"/>
        <v>796</v>
      </c>
      <c r="B797" s="18"/>
      <c r="C797" s="17">
        <v>0</v>
      </c>
      <c r="D797" s="17">
        <v>0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66795</v>
      </c>
    </row>
    <row r="798" spans="1:19" ht="14.25">
      <c r="A798" s="23">
        <f t="shared" si="13"/>
        <v>797</v>
      </c>
      <c r="B798" s="18"/>
      <c r="C798" s="17">
        <v>96725</v>
      </c>
      <c r="D798" s="17">
        <v>96725</v>
      </c>
      <c r="E798" s="17">
        <v>110266.50000000001</v>
      </c>
      <c r="F798" s="17">
        <v>110266.50000000001</v>
      </c>
      <c r="G798" s="17">
        <v>129611.50000000001</v>
      </c>
      <c r="H798" s="17">
        <v>134447.75</v>
      </c>
      <c r="I798" s="17">
        <v>129611.50000000001</v>
      </c>
      <c r="J798" s="17">
        <v>118004.50000000001</v>
      </c>
      <c r="K798" s="17">
        <v>118004.50000000001</v>
      </c>
      <c r="L798" s="17">
        <v>110266.50000000001</v>
      </c>
      <c r="M798" s="17">
        <v>118971.75000000001</v>
      </c>
      <c r="N798" s="17">
        <v>118971.75000000001</v>
      </c>
      <c r="O798" s="17">
        <v>116070.00000000001</v>
      </c>
      <c r="P798" s="17">
        <v>100594.00000000003</v>
      </c>
      <c r="Q798" s="17">
        <v>119939.00000000001</v>
      </c>
      <c r="R798" s="17">
        <v>137349.50000000003</v>
      </c>
      <c r="S798" s="17">
        <v>142185.75000000003</v>
      </c>
    </row>
    <row r="799" spans="1:19" ht="14.25">
      <c r="A799" s="23">
        <f t="shared" si="13"/>
        <v>798</v>
      </c>
      <c r="B799" s="18"/>
      <c r="C799" s="17">
        <v>0</v>
      </c>
      <c r="D799" s="17">
        <v>0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90520</v>
      </c>
      <c r="R799" s="17">
        <v>105003.2</v>
      </c>
      <c r="S799" s="17">
        <v>105003.2</v>
      </c>
    </row>
    <row r="800" spans="1:19" ht="14.25">
      <c r="A800" s="23">
        <f t="shared" si="13"/>
        <v>799</v>
      </c>
      <c r="B800" s="18"/>
      <c r="C800" s="17">
        <v>0</v>
      </c>
      <c r="D800" s="17">
        <v>0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82490</v>
      </c>
      <c r="R800" s="17">
        <v>82490</v>
      </c>
      <c r="S800" s="17">
        <v>82490</v>
      </c>
    </row>
    <row r="801" spans="1:19" ht="14.25">
      <c r="A801" s="23">
        <f t="shared" si="13"/>
        <v>800</v>
      </c>
      <c r="B801" s="18"/>
      <c r="C801" s="17">
        <v>0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79570</v>
      </c>
      <c r="P801" s="17">
        <v>79570</v>
      </c>
      <c r="Q801" s="17">
        <v>89118.400000000009</v>
      </c>
      <c r="R801" s="17">
        <v>106623.8</v>
      </c>
      <c r="S801" s="17">
        <v>105828.1</v>
      </c>
    </row>
    <row r="802" spans="1:19" ht="14.25">
      <c r="A802" s="23">
        <f t="shared" si="13"/>
        <v>801</v>
      </c>
      <c r="B802" s="18"/>
      <c r="C802" s="17">
        <v>0</v>
      </c>
      <c r="D802" s="17">
        <v>0</v>
      </c>
      <c r="E802" s="17">
        <v>0</v>
      </c>
      <c r="F802" s="17">
        <v>74825</v>
      </c>
      <c r="G802" s="17">
        <v>74825</v>
      </c>
      <c r="H802" s="17">
        <v>68090.75</v>
      </c>
      <c r="I802" s="17">
        <v>74076.75</v>
      </c>
      <c r="J802" s="17">
        <v>74076.75</v>
      </c>
      <c r="K802" s="17">
        <v>80062.75</v>
      </c>
      <c r="L802" s="17">
        <v>77818</v>
      </c>
      <c r="M802" s="17">
        <v>98020.75</v>
      </c>
      <c r="N802" s="17">
        <v>117475.25</v>
      </c>
      <c r="O802" s="17">
        <v>104755.00000000001</v>
      </c>
      <c r="P802" s="17">
        <v>126454.25000000001</v>
      </c>
      <c r="Q802" s="17">
        <v>130195.50000000001</v>
      </c>
      <c r="R802" s="17">
        <v>119720</v>
      </c>
      <c r="S802" s="17">
        <v>0</v>
      </c>
    </row>
    <row r="803" spans="1:19" ht="14.25">
      <c r="A803" s="23">
        <f t="shared" si="13"/>
        <v>802</v>
      </c>
      <c r="B803" s="18"/>
      <c r="C803" s="17">
        <v>95995</v>
      </c>
      <c r="D803" s="17">
        <v>91195.25</v>
      </c>
      <c r="E803" s="17">
        <v>97914.900000000009</v>
      </c>
      <c r="F803" s="17">
        <v>115194</v>
      </c>
      <c r="G803" s="17">
        <v>130553.19999999998</v>
      </c>
      <c r="H803" s="17">
        <v>152632.04999999999</v>
      </c>
      <c r="I803" s="17">
        <v>160311.65</v>
      </c>
      <c r="J803" s="17">
        <v>180470.59999999998</v>
      </c>
      <c r="K803" s="17">
        <v>180470.59999999998</v>
      </c>
      <c r="L803" s="17">
        <v>192949.94999999998</v>
      </c>
      <c r="M803" s="17">
        <v>208309.15</v>
      </c>
      <c r="N803" s="17">
        <v>208309.15</v>
      </c>
      <c r="O803" s="17">
        <v>235187.75000000003</v>
      </c>
      <c r="P803" s="17">
        <v>250546.95000000004</v>
      </c>
      <c r="Q803" s="17">
        <v>242867.35000000003</v>
      </c>
      <c r="R803" s="17">
        <v>263026.30000000005</v>
      </c>
      <c r="S803" s="17">
        <v>281265.35000000003</v>
      </c>
    </row>
    <row r="804" spans="1:19" ht="14.25">
      <c r="A804" s="23">
        <f t="shared" si="13"/>
        <v>803</v>
      </c>
      <c r="B804" s="18"/>
      <c r="C804" s="17">
        <v>0</v>
      </c>
      <c r="D804" s="17">
        <v>0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89060</v>
      </c>
      <c r="P804" s="17">
        <v>105981.4</v>
      </c>
      <c r="Q804" s="17">
        <v>114887.40000000001</v>
      </c>
      <c r="R804" s="17">
        <v>137152.4</v>
      </c>
      <c r="S804" s="17">
        <v>143386.6</v>
      </c>
    </row>
    <row r="805" spans="1:19" ht="14.25">
      <c r="A805" s="23">
        <f t="shared" si="13"/>
        <v>804</v>
      </c>
      <c r="B805" s="18"/>
      <c r="C805" s="17">
        <v>0</v>
      </c>
      <c r="D805" s="17">
        <v>0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76285</v>
      </c>
      <c r="L805" s="17">
        <v>76285</v>
      </c>
      <c r="M805" s="17">
        <v>93067.7</v>
      </c>
      <c r="N805" s="17">
        <v>110613.25</v>
      </c>
      <c r="O805" s="17">
        <v>116716.05</v>
      </c>
      <c r="P805" s="17">
        <v>122056</v>
      </c>
      <c r="Q805" s="17">
        <v>125870.25000000001</v>
      </c>
      <c r="R805" s="17">
        <v>130447.35000000002</v>
      </c>
      <c r="S805" s="17">
        <v>140364.40000000002</v>
      </c>
    </row>
    <row r="806" spans="1:19" ht="14.25">
      <c r="A806" s="23">
        <f t="shared" si="13"/>
        <v>805</v>
      </c>
      <c r="B806" s="18"/>
      <c r="C806" s="17">
        <v>0</v>
      </c>
      <c r="D806" s="17">
        <v>0</v>
      </c>
      <c r="E806" s="17">
        <v>0</v>
      </c>
      <c r="F806" s="17">
        <v>0</v>
      </c>
      <c r="G806" s="17">
        <v>93805</v>
      </c>
      <c r="H806" s="17">
        <v>93805</v>
      </c>
      <c r="I806" s="17">
        <v>104123.55</v>
      </c>
      <c r="J806" s="17">
        <v>90990.85</v>
      </c>
      <c r="K806" s="17">
        <v>107875.75000000001</v>
      </c>
      <c r="L806" s="17">
        <v>128512.85</v>
      </c>
      <c r="M806" s="17">
        <v>156654.35</v>
      </c>
      <c r="N806" s="17">
        <v>164158.75000000003</v>
      </c>
      <c r="O806" s="17">
        <v>174477.30000000002</v>
      </c>
      <c r="P806" s="17">
        <v>191362.20000000004</v>
      </c>
      <c r="Q806" s="17">
        <v>191362.20000000004</v>
      </c>
      <c r="R806" s="17">
        <v>211061.25000000003</v>
      </c>
      <c r="S806" s="17">
        <v>238264.70000000004</v>
      </c>
    </row>
    <row r="807" spans="1:19" ht="14.25">
      <c r="A807" s="23">
        <f t="shared" si="13"/>
        <v>806</v>
      </c>
      <c r="B807" s="18"/>
      <c r="C807" s="17">
        <v>0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17">
        <v>0</v>
      </c>
      <c r="J807" s="17">
        <v>73000</v>
      </c>
      <c r="K807" s="17">
        <v>70810</v>
      </c>
      <c r="L807" s="17">
        <v>76650</v>
      </c>
      <c r="M807" s="17">
        <v>76650</v>
      </c>
      <c r="N807" s="17">
        <v>85410</v>
      </c>
      <c r="O807" s="17">
        <v>85410</v>
      </c>
      <c r="P807" s="17">
        <v>102930</v>
      </c>
      <c r="Q807" s="17">
        <v>102930</v>
      </c>
      <c r="R807" s="17">
        <v>102930</v>
      </c>
      <c r="S807" s="17">
        <v>102930</v>
      </c>
    </row>
    <row r="808" spans="1:19" ht="14.25">
      <c r="A808" s="23">
        <f t="shared" si="13"/>
        <v>807</v>
      </c>
      <c r="B808" s="18"/>
      <c r="C808" s="17">
        <v>0</v>
      </c>
      <c r="D808" s="17">
        <v>0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91250</v>
      </c>
      <c r="Q808" s="17">
        <v>113150</v>
      </c>
      <c r="R808" s="17">
        <v>113150</v>
      </c>
      <c r="S808" s="17">
        <v>138700</v>
      </c>
    </row>
    <row r="809" spans="1:19" ht="14.25">
      <c r="A809" s="23">
        <f t="shared" si="13"/>
        <v>808</v>
      </c>
      <c r="B809" s="18"/>
      <c r="C809" s="17">
        <v>73000</v>
      </c>
      <c r="D809" s="17">
        <v>94900</v>
      </c>
      <c r="E809" s="17">
        <v>86870</v>
      </c>
      <c r="F809" s="17">
        <v>99279.999999999985</v>
      </c>
      <c r="G809" s="17">
        <v>121180</v>
      </c>
      <c r="H809" s="17">
        <v>130670</v>
      </c>
      <c r="I809" s="17">
        <v>135050</v>
      </c>
      <c r="J809" s="17">
        <v>152570</v>
      </c>
      <c r="K809" s="17">
        <v>152570</v>
      </c>
      <c r="L809" s="17">
        <v>137970</v>
      </c>
      <c r="M809" s="17">
        <v>151110</v>
      </c>
      <c r="N809" s="17">
        <v>151110</v>
      </c>
      <c r="O809" s="17">
        <v>168629.99999999997</v>
      </c>
      <c r="P809" s="17">
        <v>177389.99999999997</v>
      </c>
      <c r="Q809" s="17">
        <v>181769.99999999997</v>
      </c>
      <c r="R809" s="17">
        <v>0</v>
      </c>
      <c r="S809" s="17">
        <v>0</v>
      </c>
    </row>
    <row r="810" spans="1:19" ht="14.25">
      <c r="A810" s="23">
        <f t="shared" si="13"/>
        <v>809</v>
      </c>
      <c r="B810" s="18"/>
      <c r="C810" s="17">
        <v>67890</v>
      </c>
      <c r="D810" s="17">
        <v>80789.099999999991</v>
      </c>
      <c r="E810" s="17">
        <v>74678.999999999985</v>
      </c>
      <c r="F810" s="17">
        <v>74678.999999999985</v>
      </c>
      <c r="G810" s="17">
        <v>74678.999999999985</v>
      </c>
      <c r="H810" s="17">
        <v>90293.699999999983</v>
      </c>
      <c r="I810" s="17">
        <v>104550.59999999999</v>
      </c>
      <c r="J810" s="17">
        <v>110660.7</v>
      </c>
      <c r="K810" s="17">
        <v>110660.7</v>
      </c>
      <c r="L810" s="17">
        <v>122880.9</v>
      </c>
      <c r="M810" s="17">
        <v>141211.20000000001</v>
      </c>
      <c r="N810" s="17">
        <v>160899.30000000002</v>
      </c>
      <c r="O810" s="17">
        <v>154110.29999999999</v>
      </c>
      <c r="P810" s="17">
        <v>154110.29999999999</v>
      </c>
      <c r="Q810" s="17">
        <v>168367.2</v>
      </c>
      <c r="R810" s="17">
        <v>160220.4</v>
      </c>
      <c r="S810" s="17">
        <v>170403.9</v>
      </c>
    </row>
    <row r="811" spans="1:19" ht="14.25">
      <c r="A811" s="23">
        <f t="shared" si="13"/>
        <v>810</v>
      </c>
      <c r="B811" s="18"/>
      <c r="C811" s="17">
        <v>0</v>
      </c>
      <c r="D811" s="17">
        <v>0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71905</v>
      </c>
      <c r="M811" s="17">
        <v>83409.799999999988</v>
      </c>
      <c r="N811" s="17">
        <v>87005.05</v>
      </c>
      <c r="O811" s="17">
        <v>87005.05</v>
      </c>
      <c r="P811" s="17">
        <v>94195.55</v>
      </c>
      <c r="Q811" s="17">
        <v>100667.00000000001</v>
      </c>
      <c r="R811" s="17">
        <v>113609.90000000001</v>
      </c>
      <c r="S811" s="17">
        <v>129429</v>
      </c>
    </row>
    <row r="812" spans="1:19" ht="14.25">
      <c r="A812" s="23">
        <f t="shared" si="13"/>
        <v>811</v>
      </c>
      <c r="B812" s="18"/>
      <c r="C812" s="17">
        <v>0</v>
      </c>
      <c r="D812" s="17">
        <v>0</v>
      </c>
      <c r="E812" s="17">
        <v>0</v>
      </c>
      <c r="F812" s="17">
        <v>0</v>
      </c>
      <c r="G812" s="17">
        <v>0</v>
      </c>
      <c r="H812" s="17">
        <v>0</v>
      </c>
      <c r="I812" s="17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17">
        <v>86870</v>
      </c>
      <c r="R812" s="17">
        <v>106850.09999999999</v>
      </c>
      <c r="S812" s="17">
        <v>128567.59999999999</v>
      </c>
    </row>
    <row r="813" spans="1:19" ht="14.25">
      <c r="A813" s="23">
        <f t="shared" si="13"/>
        <v>812</v>
      </c>
      <c r="B813" s="18"/>
      <c r="C813" s="17">
        <v>0</v>
      </c>
      <c r="D813" s="17">
        <v>0</v>
      </c>
      <c r="E813" s="17">
        <v>0</v>
      </c>
      <c r="F813" s="17">
        <v>0</v>
      </c>
      <c r="G813" s="17">
        <v>0</v>
      </c>
      <c r="H813" s="17">
        <v>0</v>
      </c>
      <c r="I813" s="17">
        <v>0</v>
      </c>
      <c r="J813" s="17">
        <v>83220</v>
      </c>
      <c r="K813" s="17">
        <v>99864</v>
      </c>
      <c r="L813" s="17">
        <v>86548.800000000003</v>
      </c>
      <c r="M813" s="17">
        <v>104025</v>
      </c>
      <c r="N813" s="17">
        <v>111514.8</v>
      </c>
      <c r="O813" s="17">
        <v>111514.8</v>
      </c>
      <c r="P813" s="17">
        <v>111514.8</v>
      </c>
      <c r="Q813" s="17">
        <v>117340.20000000001</v>
      </c>
      <c r="R813" s="17">
        <v>109850.40000000001</v>
      </c>
      <c r="S813" s="17">
        <v>118172.40000000001</v>
      </c>
    </row>
    <row r="814" spans="1:19" ht="14.25">
      <c r="A814" s="23">
        <f t="shared" si="13"/>
        <v>813</v>
      </c>
      <c r="B814" s="18"/>
      <c r="C814" s="17">
        <v>0</v>
      </c>
      <c r="D814" s="17">
        <v>0</v>
      </c>
      <c r="E814" s="17">
        <v>0</v>
      </c>
      <c r="F814" s="17">
        <v>0</v>
      </c>
      <c r="G814" s="17">
        <v>0</v>
      </c>
      <c r="H814" s="17">
        <v>95995</v>
      </c>
      <c r="I814" s="17">
        <v>77755.950000000012</v>
      </c>
      <c r="J814" s="17">
        <v>91195.25</v>
      </c>
      <c r="K814" s="17">
        <v>91195.25</v>
      </c>
      <c r="L814" s="17">
        <v>104634.55</v>
      </c>
      <c r="M814" s="17">
        <v>104634.55</v>
      </c>
      <c r="N814" s="17">
        <v>119033.8</v>
      </c>
      <c r="O814" s="17">
        <v>105594.50000000001</v>
      </c>
      <c r="P814" s="17">
        <v>133433.05000000002</v>
      </c>
      <c r="Q814" s="17">
        <v>133433.05000000002</v>
      </c>
      <c r="R814" s="17">
        <v>153592</v>
      </c>
      <c r="S814" s="17">
        <v>153592</v>
      </c>
    </row>
    <row r="815" spans="1:19" ht="14.25">
      <c r="A815" s="23">
        <f t="shared" si="13"/>
        <v>814</v>
      </c>
      <c r="B815" s="18"/>
      <c r="C815" s="17">
        <v>74095</v>
      </c>
      <c r="D815" s="17">
        <v>81504.5</v>
      </c>
      <c r="E815" s="17">
        <v>81504.5</v>
      </c>
      <c r="F815" s="17">
        <v>88173.050000000017</v>
      </c>
      <c r="G815" s="17">
        <v>84468.3</v>
      </c>
      <c r="H815" s="17">
        <v>88173.050000000017</v>
      </c>
      <c r="I815" s="17">
        <v>105955.85</v>
      </c>
      <c r="J815" s="17">
        <v>105955.85</v>
      </c>
      <c r="K815" s="17">
        <v>111142.50000000001</v>
      </c>
      <c r="L815" s="17">
        <v>128925.30000000002</v>
      </c>
      <c r="M815" s="17">
        <v>128925.30000000002</v>
      </c>
      <c r="N815" s="17">
        <v>125220.55000000002</v>
      </c>
      <c r="O815" s="17">
        <v>125220.55000000002</v>
      </c>
      <c r="P815" s="17">
        <v>125220.55000000002</v>
      </c>
      <c r="Q815" s="17">
        <v>134852.90000000002</v>
      </c>
      <c r="R815" s="17">
        <v>131889.1</v>
      </c>
      <c r="S815" s="17">
        <v>136334.80000000002</v>
      </c>
    </row>
    <row r="816" spans="1:19" ht="14.25">
      <c r="A816" s="23">
        <f t="shared" si="13"/>
        <v>815</v>
      </c>
      <c r="B816" s="18"/>
      <c r="C816" s="17">
        <v>0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76650</v>
      </c>
      <c r="L816" s="17">
        <v>76650</v>
      </c>
      <c r="M816" s="17">
        <v>63619.5</v>
      </c>
      <c r="N816" s="17">
        <v>63619.5</v>
      </c>
      <c r="O816" s="17">
        <v>85847.999999999985</v>
      </c>
      <c r="P816" s="17">
        <v>99644.999999999985</v>
      </c>
      <c r="Q816" s="17">
        <v>110376</v>
      </c>
      <c r="R816" s="17">
        <v>96579</v>
      </c>
      <c r="S816" s="17">
        <v>112675.5</v>
      </c>
    </row>
    <row r="817" spans="1:19" ht="14.25">
      <c r="A817" s="23">
        <f t="shared" si="13"/>
        <v>816</v>
      </c>
      <c r="B817" s="18"/>
      <c r="C817" s="17">
        <v>0</v>
      </c>
      <c r="D817" s="17">
        <v>0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86505</v>
      </c>
      <c r="Q817" s="17">
        <v>105536.09999999999</v>
      </c>
      <c r="R817" s="17">
        <v>97750.65</v>
      </c>
      <c r="S817" s="17">
        <v>102075.9</v>
      </c>
    </row>
    <row r="818" spans="1:19" ht="14.25">
      <c r="A818" s="23">
        <f t="shared" si="13"/>
        <v>817</v>
      </c>
      <c r="B818" s="18"/>
      <c r="C818" s="17">
        <v>0</v>
      </c>
      <c r="D818" s="17">
        <v>0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81760</v>
      </c>
      <c r="R818" s="17">
        <v>90753.600000000006</v>
      </c>
      <c r="S818" s="17">
        <v>75219.200000000012</v>
      </c>
    </row>
    <row r="819" spans="1:19" ht="14.25">
      <c r="A819" s="23">
        <f t="shared" si="13"/>
        <v>818</v>
      </c>
      <c r="B819" s="18"/>
      <c r="C819" s="17">
        <v>0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78110</v>
      </c>
      <c r="K819" s="17">
        <v>92169.799999999988</v>
      </c>
      <c r="L819" s="17">
        <v>114040.59999999999</v>
      </c>
      <c r="M819" s="17">
        <v>118727.2</v>
      </c>
      <c r="N819" s="17">
        <v>142160.20000000001</v>
      </c>
      <c r="O819" s="17">
        <v>154657.79999999999</v>
      </c>
      <c r="P819" s="17">
        <v>154657.79999999999</v>
      </c>
      <c r="Q819" s="17">
        <v>161687.69999999998</v>
      </c>
      <c r="R819" s="17">
        <v>178090.8</v>
      </c>
      <c r="S819" s="17">
        <v>173404.19999999998</v>
      </c>
    </row>
    <row r="820" spans="1:19" ht="14.25">
      <c r="A820" s="23">
        <f t="shared" si="13"/>
        <v>819</v>
      </c>
      <c r="B820" s="18"/>
      <c r="C820" s="17">
        <v>99645</v>
      </c>
      <c r="D820" s="17">
        <v>99645</v>
      </c>
      <c r="E820" s="17">
        <v>106620.15000000001</v>
      </c>
      <c r="F820" s="17">
        <v>119574.00000000001</v>
      </c>
      <c r="G820" s="17">
        <v>119574.00000000001</v>
      </c>
      <c r="H820" s="17">
        <v>135517.20000000001</v>
      </c>
      <c r="I820" s="17">
        <v>135517.20000000001</v>
      </c>
      <c r="J820" s="17">
        <v>135517.20000000001</v>
      </c>
      <c r="K820" s="17">
        <v>146478.15000000002</v>
      </c>
      <c r="L820" s="17">
        <v>162421.35</v>
      </c>
      <c r="M820" s="17">
        <v>170392.95</v>
      </c>
      <c r="N820" s="17">
        <v>161424.90000000002</v>
      </c>
      <c r="O820" s="17">
        <v>186336.15000000002</v>
      </c>
      <c r="P820" s="17">
        <v>212243.84999999998</v>
      </c>
      <c r="Q820" s="17">
        <v>196300.65</v>
      </c>
      <c r="R820" s="17">
        <v>196300.65</v>
      </c>
      <c r="S820" s="17">
        <v>0</v>
      </c>
    </row>
    <row r="821" spans="1:19" ht="14.25">
      <c r="A821" s="23">
        <f t="shared" si="13"/>
        <v>820</v>
      </c>
      <c r="B821" s="18"/>
      <c r="C821" s="17">
        <v>0</v>
      </c>
      <c r="D821" s="17">
        <v>0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</row>
    <row r="822" spans="1:19" ht="14.25">
      <c r="A822" s="23">
        <f t="shared" si="13"/>
        <v>821</v>
      </c>
      <c r="B822" s="18"/>
      <c r="C822" s="17">
        <v>0</v>
      </c>
      <c r="D822" s="17">
        <v>0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76285</v>
      </c>
      <c r="Q822" s="17">
        <v>64842.25</v>
      </c>
      <c r="R822" s="17">
        <v>84676.349999999991</v>
      </c>
      <c r="S822" s="17">
        <v>84676.349999999991</v>
      </c>
    </row>
    <row r="823" spans="1:19" ht="14.25">
      <c r="A823" s="23">
        <f t="shared" si="13"/>
        <v>822</v>
      </c>
      <c r="B823" s="18"/>
      <c r="C823" s="17">
        <v>91980</v>
      </c>
      <c r="D823" s="17">
        <v>91980</v>
      </c>
      <c r="E823" s="17">
        <v>108536.4</v>
      </c>
      <c r="F823" s="17">
        <v>115894.8</v>
      </c>
      <c r="G823" s="17">
        <v>130611.59999999999</v>
      </c>
      <c r="H823" s="17">
        <v>117734.39999999998</v>
      </c>
      <c r="I823" s="17">
        <v>102097.79999999999</v>
      </c>
      <c r="J823" s="17">
        <v>102097.79999999999</v>
      </c>
      <c r="K823" s="17">
        <v>111295.8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</row>
    <row r="824" spans="1:19" ht="14.25">
      <c r="A824" s="23">
        <f t="shared" si="13"/>
        <v>823</v>
      </c>
      <c r="B824" s="18"/>
      <c r="C824" s="17">
        <v>103660</v>
      </c>
      <c r="D824" s="17">
        <v>134758</v>
      </c>
      <c r="E824" s="17">
        <v>154453.4</v>
      </c>
      <c r="F824" s="17">
        <v>183478.2</v>
      </c>
      <c r="G824" s="17">
        <v>203173.6</v>
      </c>
      <c r="H824" s="17">
        <v>221832.40000000002</v>
      </c>
      <c r="I824" s="17">
        <v>245674.2</v>
      </c>
      <c r="J824" s="17">
        <v>262259.80000000005</v>
      </c>
      <c r="K824" s="17">
        <v>275735.60000000003</v>
      </c>
      <c r="L824" s="17">
        <v>287138.2</v>
      </c>
      <c r="M824" s="17">
        <v>304760.40000000002</v>
      </c>
      <c r="N824" s="17">
        <v>304760.40000000002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</row>
    <row r="825" spans="1:19" ht="14.25">
      <c r="A825" s="23">
        <f t="shared" si="13"/>
        <v>824</v>
      </c>
      <c r="B825" s="18"/>
      <c r="C825" s="17">
        <v>0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92710</v>
      </c>
      <c r="P825" s="17">
        <v>108470.7</v>
      </c>
      <c r="Q825" s="17">
        <v>119595.90000000001</v>
      </c>
      <c r="R825" s="17">
        <v>128866.90000000001</v>
      </c>
      <c r="S825" s="17">
        <v>154825.70000000001</v>
      </c>
    </row>
    <row r="826" spans="1:19" ht="14.25">
      <c r="A826" s="23">
        <f t="shared" si="13"/>
        <v>825</v>
      </c>
      <c r="B826" s="18"/>
      <c r="C826" s="17">
        <v>0</v>
      </c>
      <c r="D826" s="17">
        <v>0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77745</v>
      </c>
    </row>
    <row r="827" spans="1:19" ht="14.25">
      <c r="A827" s="23">
        <f t="shared" si="13"/>
        <v>826</v>
      </c>
      <c r="B827" s="18"/>
      <c r="C827" s="17">
        <v>0</v>
      </c>
      <c r="D827" s="17">
        <v>0</v>
      </c>
      <c r="E827" s="17">
        <v>0</v>
      </c>
      <c r="F827" s="17">
        <v>0</v>
      </c>
      <c r="G827" s="17">
        <v>0</v>
      </c>
      <c r="H827" s="17">
        <v>0</v>
      </c>
      <c r="I827" s="17">
        <v>0</v>
      </c>
      <c r="J827" s="17">
        <v>0</v>
      </c>
      <c r="K827" s="17">
        <v>0</v>
      </c>
      <c r="L827" s="17">
        <v>0</v>
      </c>
      <c r="M827" s="17">
        <v>0</v>
      </c>
      <c r="N827" s="17">
        <v>0</v>
      </c>
      <c r="O827" s="17">
        <v>0</v>
      </c>
      <c r="P827" s="17">
        <v>78110</v>
      </c>
      <c r="Q827" s="17">
        <v>85139.900000000009</v>
      </c>
      <c r="R827" s="17">
        <v>92169.800000000017</v>
      </c>
      <c r="S827" s="17">
        <v>97637.500000000015</v>
      </c>
    </row>
    <row r="828" spans="1:19" ht="14.25">
      <c r="A828" s="23">
        <f t="shared" si="13"/>
        <v>827</v>
      </c>
      <c r="B828" s="18"/>
      <c r="C828" s="17">
        <v>0</v>
      </c>
      <c r="D828" s="17">
        <v>0</v>
      </c>
      <c r="E828" s="17">
        <v>0</v>
      </c>
      <c r="F828" s="17">
        <v>0</v>
      </c>
      <c r="G828" s="17">
        <v>0</v>
      </c>
      <c r="H828" s="17">
        <v>0</v>
      </c>
      <c r="I828" s="17">
        <v>0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O828" s="17">
        <v>0</v>
      </c>
      <c r="P828" s="17">
        <v>79205</v>
      </c>
      <c r="Q828" s="17">
        <v>87125.5</v>
      </c>
      <c r="R828" s="17">
        <v>87125.5</v>
      </c>
      <c r="S828" s="17">
        <v>87125.5</v>
      </c>
    </row>
    <row r="829" spans="1:19" ht="14.25">
      <c r="A829" s="23">
        <f t="shared" si="13"/>
        <v>828</v>
      </c>
      <c r="B829" s="18"/>
      <c r="C829" s="17">
        <v>0</v>
      </c>
      <c r="D829" s="17">
        <v>0</v>
      </c>
      <c r="E829" s="17">
        <v>0</v>
      </c>
      <c r="F829" s="17">
        <v>0</v>
      </c>
      <c r="G829" s="17">
        <v>0</v>
      </c>
      <c r="H829" s="17">
        <v>0</v>
      </c>
      <c r="I829" s="17">
        <v>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7">
        <v>0</v>
      </c>
      <c r="P829" s="17">
        <v>91250</v>
      </c>
      <c r="Q829" s="17">
        <v>102200.00000000001</v>
      </c>
      <c r="R829" s="17">
        <v>95812.5</v>
      </c>
      <c r="S829" s="17">
        <v>122275.00000000001</v>
      </c>
    </row>
    <row r="830" spans="1:19" ht="14.25">
      <c r="A830" s="23">
        <f t="shared" si="13"/>
        <v>829</v>
      </c>
      <c r="B830" s="18"/>
      <c r="C830" s="17">
        <v>0</v>
      </c>
      <c r="D830" s="17">
        <v>0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90885</v>
      </c>
      <c r="P830" s="17">
        <v>108153.15</v>
      </c>
      <c r="Q830" s="17">
        <v>117241.65000000001</v>
      </c>
      <c r="R830" s="17">
        <v>144507.15</v>
      </c>
      <c r="S830" s="17">
        <v>168137.25</v>
      </c>
    </row>
    <row r="831" spans="1:19" ht="14.25">
      <c r="A831" s="23">
        <f t="shared" si="13"/>
        <v>830</v>
      </c>
      <c r="B831" s="18"/>
      <c r="C831" s="17">
        <v>0</v>
      </c>
      <c r="D831" s="17">
        <v>0</v>
      </c>
      <c r="E831" s="17">
        <v>0</v>
      </c>
      <c r="F831" s="17">
        <v>0</v>
      </c>
      <c r="G831" s="17">
        <v>0</v>
      </c>
      <c r="H831" s="17">
        <v>0</v>
      </c>
      <c r="I831" s="17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17">
        <v>74825</v>
      </c>
      <c r="R831" s="17">
        <v>95776</v>
      </c>
      <c r="S831" s="17">
        <v>106999.75</v>
      </c>
    </row>
    <row r="832" spans="1:19" ht="14.25">
      <c r="A832" s="23">
        <f t="shared" si="13"/>
        <v>831</v>
      </c>
      <c r="B832" s="18"/>
      <c r="C832" s="17">
        <v>0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76285</v>
      </c>
      <c r="Q832" s="17">
        <v>76285</v>
      </c>
      <c r="R832" s="17">
        <v>82387.8</v>
      </c>
      <c r="S832" s="17">
        <v>86964.900000000009</v>
      </c>
    </row>
    <row r="833" spans="1:19" ht="14.25">
      <c r="A833" s="23">
        <f t="shared" si="13"/>
        <v>832</v>
      </c>
      <c r="B833" s="18"/>
      <c r="C833" s="17">
        <v>0</v>
      </c>
      <c r="D833" s="17">
        <v>0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73000</v>
      </c>
      <c r="K833" s="17">
        <v>73000</v>
      </c>
      <c r="L833" s="17">
        <v>78110</v>
      </c>
      <c r="M833" s="17">
        <v>89060</v>
      </c>
      <c r="N833" s="17">
        <v>89060</v>
      </c>
      <c r="O833" s="17">
        <v>78110</v>
      </c>
      <c r="P833" s="17">
        <v>75190</v>
      </c>
      <c r="Q833" s="17">
        <v>81030</v>
      </c>
      <c r="R833" s="17">
        <v>100740.00000000001</v>
      </c>
      <c r="S833" s="17">
        <v>91980.000000000015</v>
      </c>
    </row>
    <row r="834" spans="1:19" ht="14.25">
      <c r="A834" s="23">
        <f t="shared" si="13"/>
        <v>833</v>
      </c>
      <c r="B834" s="18"/>
      <c r="C834" s="17">
        <v>0</v>
      </c>
      <c r="D834" s="17">
        <v>0</v>
      </c>
      <c r="E834" s="17">
        <v>0</v>
      </c>
      <c r="F834" s="17">
        <v>0</v>
      </c>
      <c r="G834" s="17">
        <v>0</v>
      </c>
      <c r="H834" s="17">
        <v>105485</v>
      </c>
      <c r="I834" s="17">
        <v>128691.7</v>
      </c>
      <c r="J834" s="17">
        <v>145569.29999999999</v>
      </c>
      <c r="K834" s="17">
        <v>165611.44999999998</v>
      </c>
      <c r="L834" s="17">
        <v>184598.74999999997</v>
      </c>
      <c r="M834" s="17">
        <v>184598.74999999997</v>
      </c>
      <c r="N834" s="17">
        <v>206750.59999999998</v>
      </c>
      <c r="O834" s="17">
        <v>227847.59999999998</v>
      </c>
      <c r="P834" s="17">
        <v>227847.59999999998</v>
      </c>
      <c r="Q834" s="17">
        <v>256328.54999999996</v>
      </c>
      <c r="R834" s="17">
        <v>256328.54999999996</v>
      </c>
      <c r="S834" s="17">
        <v>277425.55</v>
      </c>
    </row>
    <row r="835" spans="1:19" ht="14.25">
      <c r="A835" s="23">
        <f t="shared" ref="A835:A898" si="14">+A834+1</f>
        <v>834</v>
      </c>
      <c r="B835" s="18"/>
      <c r="C835" s="17">
        <v>0</v>
      </c>
      <c r="D835" s="17">
        <v>0</v>
      </c>
      <c r="E835" s="17">
        <v>0</v>
      </c>
      <c r="F835" s="17">
        <v>0</v>
      </c>
      <c r="G835" s="17">
        <v>0</v>
      </c>
      <c r="H835" s="17">
        <v>77745</v>
      </c>
      <c r="I835" s="17">
        <v>65305.799999999996</v>
      </c>
      <c r="J835" s="17">
        <v>58308.75</v>
      </c>
      <c r="K835" s="17">
        <v>52089.15</v>
      </c>
      <c r="L835" s="17">
        <v>52089.15</v>
      </c>
      <c r="M835" s="17">
        <v>67638.150000000009</v>
      </c>
      <c r="N835" s="17">
        <v>76190.100000000006</v>
      </c>
      <c r="O835" s="17">
        <v>76190.100000000006</v>
      </c>
      <c r="P835" s="17">
        <v>76190.100000000006</v>
      </c>
      <c r="Q835" s="17">
        <v>84742.05</v>
      </c>
      <c r="R835" s="17">
        <v>84742.05</v>
      </c>
      <c r="S835" s="17">
        <v>91739.1</v>
      </c>
    </row>
    <row r="836" spans="1:19" ht="14.25">
      <c r="A836" s="23">
        <f t="shared" si="14"/>
        <v>835</v>
      </c>
      <c r="B836" s="18"/>
      <c r="C836" s="17">
        <v>0</v>
      </c>
      <c r="D836" s="17">
        <v>0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90520</v>
      </c>
      <c r="N836" s="17">
        <v>105003.2</v>
      </c>
      <c r="O836" s="17">
        <v>121296.79999999999</v>
      </c>
      <c r="P836" s="17">
        <v>127633.2</v>
      </c>
      <c r="Q836" s="17">
        <v>143926.79999999999</v>
      </c>
      <c r="R836" s="17">
        <v>142116.4</v>
      </c>
      <c r="S836" s="17">
        <v>147547.59999999998</v>
      </c>
    </row>
    <row r="837" spans="1:19" ht="14.25">
      <c r="A837" s="23">
        <f t="shared" si="14"/>
        <v>836</v>
      </c>
      <c r="B837" s="18"/>
      <c r="C837" s="17">
        <v>0</v>
      </c>
      <c r="D837" s="17">
        <v>0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68985</v>
      </c>
    </row>
    <row r="838" spans="1:19" ht="14.25">
      <c r="A838" s="23">
        <f t="shared" si="14"/>
        <v>837</v>
      </c>
      <c r="B838" s="18"/>
      <c r="C838" s="17">
        <v>0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102200</v>
      </c>
      <c r="O838" s="17">
        <v>109354</v>
      </c>
      <c r="P838" s="17">
        <v>91980</v>
      </c>
      <c r="Q838" s="17">
        <v>108332</v>
      </c>
      <c r="R838" s="17">
        <v>126728</v>
      </c>
      <c r="S838" s="17">
        <v>142058</v>
      </c>
    </row>
    <row r="839" spans="1:19" ht="14.25">
      <c r="A839" s="23">
        <f t="shared" si="14"/>
        <v>838</v>
      </c>
      <c r="B839" s="18"/>
      <c r="C839" s="17">
        <v>100010</v>
      </c>
      <c r="D839" s="17">
        <v>100010</v>
      </c>
      <c r="E839" s="17">
        <v>119011.9</v>
      </c>
      <c r="F839" s="17">
        <v>137013.69999999998</v>
      </c>
      <c r="G839" s="17">
        <v>155015.49999999997</v>
      </c>
      <c r="H839" s="17">
        <v>169016.9</v>
      </c>
      <c r="I839" s="17">
        <v>169016.9</v>
      </c>
      <c r="J839" s="17">
        <v>190019</v>
      </c>
      <c r="K839" s="17">
        <v>190019</v>
      </c>
      <c r="L839" s="17">
        <v>220021.99999999997</v>
      </c>
      <c r="M839" s="17">
        <v>220021.99999999997</v>
      </c>
      <c r="N839" s="17">
        <v>220021.99999999997</v>
      </c>
      <c r="O839" s="17">
        <v>220021.99999999997</v>
      </c>
      <c r="P839" s="17">
        <v>250024.99999999994</v>
      </c>
      <c r="Q839" s="17">
        <v>269026.89999999997</v>
      </c>
      <c r="R839" s="17">
        <v>269026.89999999997</v>
      </c>
      <c r="S839" s="17">
        <v>282028.19999999995</v>
      </c>
    </row>
    <row r="840" spans="1:19" ht="14.25">
      <c r="A840" s="23">
        <f t="shared" si="14"/>
        <v>839</v>
      </c>
      <c r="B840" s="18"/>
      <c r="C840" s="17">
        <v>0</v>
      </c>
      <c r="D840" s="17">
        <v>0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100740</v>
      </c>
      <c r="S840" s="17">
        <v>110814.00000000001</v>
      </c>
    </row>
    <row r="841" spans="1:19" ht="14.25">
      <c r="A841" s="23">
        <f t="shared" si="14"/>
        <v>840</v>
      </c>
      <c r="B841" s="18"/>
      <c r="C841" s="17">
        <v>77380</v>
      </c>
      <c r="D841" s="17">
        <v>88213.200000000012</v>
      </c>
      <c r="E841" s="17">
        <v>78927.600000000006</v>
      </c>
      <c r="F841" s="17">
        <v>99820.2</v>
      </c>
      <c r="G841" s="17">
        <v>116070</v>
      </c>
      <c r="H841" s="17">
        <v>121486.6</v>
      </c>
      <c r="I841" s="17">
        <v>121486.6</v>
      </c>
      <c r="J841" s="17">
        <v>121486.6</v>
      </c>
      <c r="K841" s="17">
        <v>142379.20000000001</v>
      </c>
      <c r="L841" s="17">
        <v>153212.4</v>
      </c>
      <c r="M841" s="17">
        <v>150891</v>
      </c>
      <c r="N841" s="17">
        <v>165593.20000000001</v>
      </c>
      <c r="O841" s="17">
        <v>165593.20000000001</v>
      </c>
      <c r="P841" s="17">
        <v>155533.80000000002</v>
      </c>
      <c r="Q841" s="17">
        <v>160176.60000000003</v>
      </c>
      <c r="R841" s="17">
        <v>174105.00000000003</v>
      </c>
      <c r="S841" s="17">
        <v>188033.40000000005</v>
      </c>
    </row>
    <row r="842" spans="1:19" ht="14.25">
      <c r="A842" s="23">
        <f t="shared" si="14"/>
        <v>841</v>
      </c>
      <c r="B842" s="18"/>
      <c r="C842" s="17">
        <v>0</v>
      </c>
      <c r="D842" s="17">
        <v>0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94900</v>
      </c>
      <c r="R842" s="17">
        <v>88257</v>
      </c>
      <c r="S842" s="17">
        <v>74971</v>
      </c>
    </row>
    <row r="843" spans="1:19" ht="14.25">
      <c r="A843" s="23">
        <f t="shared" si="14"/>
        <v>842</v>
      </c>
      <c r="B843" s="18"/>
      <c r="C843" s="17">
        <v>80665</v>
      </c>
      <c r="D843" s="17">
        <v>85504.900000000009</v>
      </c>
      <c r="E843" s="17">
        <v>80665</v>
      </c>
      <c r="F843" s="17">
        <v>80665</v>
      </c>
      <c r="G843" s="17">
        <v>93571.4</v>
      </c>
      <c r="H843" s="17">
        <v>105671.14999999998</v>
      </c>
      <c r="I843" s="17">
        <v>105671.14999999998</v>
      </c>
      <c r="J843" s="17">
        <v>112931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0</v>
      </c>
      <c r="Q843" s="17">
        <v>0</v>
      </c>
      <c r="R843" s="17">
        <v>0</v>
      </c>
      <c r="S843" s="17">
        <v>0</v>
      </c>
    </row>
    <row r="844" spans="1:19" ht="14.25">
      <c r="A844" s="23">
        <f t="shared" si="14"/>
        <v>843</v>
      </c>
      <c r="B844" s="18"/>
      <c r="C844" s="17">
        <v>0</v>
      </c>
      <c r="D844" s="17">
        <v>0</v>
      </c>
      <c r="E844" s="17">
        <v>0</v>
      </c>
      <c r="F844" s="17">
        <v>0</v>
      </c>
      <c r="G844" s="17">
        <v>0</v>
      </c>
      <c r="H844" s="17">
        <v>0</v>
      </c>
      <c r="I844" s="17">
        <v>87235</v>
      </c>
      <c r="J844" s="17">
        <v>80256.2</v>
      </c>
      <c r="K844" s="17">
        <v>66298.600000000006</v>
      </c>
      <c r="L844" s="17">
        <v>73277.399999999994</v>
      </c>
      <c r="M844" s="17">
        <v>98575.549999999988</v>
      </c>
      <c r="N844" s="17">
        <v>111660.79999999999</v>
      </c>
      <c r="O844" s="17">
        <v>94213.799999999988</v>
      </c>
      <c r="P844" s="17">
        <v>89852.049999999988</v>
      </c>
      <c r="Q844" s="17">
        <v>96830.849999999991</v>
      </c>
      <c r="R844" s="17">
        <v>103809.65</v>
      </c>
      <c r="S844" s="17">
        <v>109043.75</v>
      </c>
    </row>
    <row r="845" spans="1:19" ht="14.25">
      <c r="A845" s="23">
        <f t="shared" si="14"/>
        <v>844</v>
      </c>
      <c r="B845" s="18"/>
      <c r="C845" s="17">
        <v>0</v>
      </c>
      <c r="D845" s="17">
        <v>0</v>
      </c>
      <c r="E845" s="17">
        <v>93805</v>
      </c>
      <c r="F845" s="17">
        <v>114442.09999999999</v>
      </c>
      <c r="G845" s="17">
        <v>138831.4</v>
      </c>
      <c r="H845" s="17">
        <v>138831.4</v>
      </c>
      <c r="I845" s="17">
        <v>138831.4</v>
      </c>
      <c r="J845" s="17">
        <v>164158.75</v>
      </c>
      <c r="K845" s="17">
        <v>180105.60000000001</v>
      </c>
      <c r="L845" s="17">
        <v>200742.7</v>
      </c>
      <c r="M845" s="17">
        <v>215751.50000000003</v>
      </c>
      <c r="N845" s="17">
        <v>239202.75000000003</v>
      </c>
      <c r="O845" s="17">
        <v>239202.75000000003</v>
      </c>
      <c r="P845" s="17">
        <v>239202.75000000003</v>
      </c>
      <c r="Q845" s="17">
        <v>252335.45000000004</v>
      </c>
      <c r="R845" s="17">
        <v>273910.60000000003</v>
      </c>
      <c r="S845" s="17">
        <v>290795.50000000006</v>
      </c>
    </row>
    <row r="846" spans="1:19" ht="14.25">
      <c r="A846" s="23">
        <f t="shared" si="14"/>
        <v>845</v>
      </c>
      <c r="B846" s="18"/>
      <c r="C846" s="17">
        <v>0</v>
      </c>
      <c r="D846" s="17">
        <v>0</v>
      </c>
      <c r="E846" s="17">
        <v>0</v>
      </c>
      <c r="F846" s="17">
        <v>0</v>
      </c>
      <c r="G846" s="17">
        <v>0</v>
      </c>
      <c r="H846" s="17">
        <v>0</v>
      </c>
      <c r="I846" s="17">
        <v>0</v>
      </c>
      <c r="J846" s="17">
        <v>0</v>
      </c>
      <c r="K846" s="17">
        <v>0</v>
      </c>
      <c r="L846" s="17">
        <v>0</v>
      </c>
      <c r="M846" s="17">
        <v>0</v>
      </c>
      <c r="N846" s="17">
        <v>0</v>
      </c>
      <c r="O846" s="17">
        <v>97820</v>
      </c>
      <c r="P846" s="17">
        <v>121296.8</v>
      </c>
      <c r="Q846" s="17">
        <v>112492.99999999999</v>
      </c>
      <c r="R846" s="17">
        <v>137926.19999999998</v>
      </c>
      <c r="S846" s="17">
        <v>157490.19999999998</v>
      </c>
    </row>
    <row r="847" spans="1:19" ht="14.25">
      <c r="A847" s="23">
        <f t="shared" si="14"/>
        <v>846</v>
      </c>
      <c r="B847" s="18"/>
      <c r="C847" s="17">
        <v>0</v>
      </c>
      <c r="D847" s="17">
        <v>0</v>
      </c>
      <c r="E847" s="17">
        <v>0</v>
      </c>
      <c r="F847" s="17">
        <v>0</v>
      </c>
      <c r="G847" s="17">
        <v>0</v>
      </c>
      <c r="H847" s="17">
        <v>0</v>
      </c>
      <c r="I847" s="17">
        <v>72270</v>
      </c>
      <c r="J847" s="17">
        <v>72270</v>
      </c>
      <c r="K847" s="17">
        <v>86001.3</v>
      </c>
      <c r="L847" s="17">
        <v>86001.3</v>
      </c>
      <c r="M847" s="17">
        <v>72270</v>
      </c>
      <c r="N847" s="17">
        <v>72270</v>
      </c>
      <c r="O847" s="17">
        <v>82387.8</v>
      </c>
      <c r="P847" s="17">
        <v>98287.200000000012</v>
      </c>
      <c r="Q847" s="17">
        <v>98287.200000000012</v>
      </c>
      <c r="R847" s="17">
        <v>88169.400000000009</v>
      </c>
      <c r="S847" s="17">
        <v>100455.3</v>
      </c>
    </row>
    <row r="848" spans="1:19" ht="14.25">
      <c r="A848" s="23">
        <f t="shared" si="14"/>
        <v>847</v>
      </c>
      <c r="B848" s="18"/>
      <c r="C848" s="17">
        <v>95995</v>
      </c>
      <c r="D848" s="17">
        <v>95995</v>
      </c>
      <c r="E848" s="17">
        <v>119033.8</v>
      </c>
      <c r="F848" s="17">
        <v>119033.8</v>
      </c>
      <c r="G848" s="17">
        <v>142072.6</v>
      </c>
      <c r="H848" s="17">
        <v>150712.15</v>
      </c>
      <c r="I848" s="17">
        <v>171831.05000000002</v>
      </c>
      <c r="J848" s="17">
        <v>171831.05000000002</v>
      </c>
      <c r="K848" s="17">
        <v>192949.95</v>
      </c>
      <c r="L848" s="17">
        <v>192949.95</v>
      </c>
      <c r="M848" s="17">
        <v>203509.40000000002</v>
      </c>
      <c r="N848" s="17">
        <v>187190.25000000003</v>
      </c>
      <c r="O848" s="17">
        <v>191990</v>
      </c>
      <c r="P848" s="17">
        <v>181430.55</v>
      </c>
      <c r="Q848" s="17">
        <v>197749.7</v>
      </c>
      <c r="R848" s="17">
        <v>197749.7</v>
      </c>
      <c r="S848" s="17">
        <v>197749.7</v>
      </c>
    </row>
    <row r="849" spans="1:19" ht="14.25">
      <c r="A849" s="23">
        <f t="shared" si="14"/>
        <v>848</v>
      </c>
      <c r="B849" s="18"/>
      <c r="C849" s="17">
        <v>91980</v>
      </c>
      <c r="D849" s="17">
        <v>91980</v>
      </c>
      <c r="E849" s="17">
        <v>119574</v>
      </c>
      <c r="F849" s="17">
        <v>132451.19999999998</v>
      </c>
      <c r="G849" s="17">
        <v>0</v>
      </c>
      <c r="H849" s="17">
        <v>0</v>
      </c>
      <c r="I849" s="17">
        <v>0</v>
      </c>
      <c r="J849" s="17">
        <v>0</v>
      </c>
      <c r="K849" s="17">
        <v>0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0</v>
      </c>
      <c r="S849" s="17">
        <v>0</v>
      </c>
    </row>
    <row r="850" spans="1:19" ht="14.25">
      <c r="A850" s="23">
        <f t="shared" si="14"/>
        <v>849</v>
      </c>
      <c r="B850" s="18"/>
      <c r="C850" s="17">
        <v>0</v>
      </c>
      <c r="D850" s="17">
        <v>0</v>
      </c>
      <c r="E850" s="17">
        <v>0</v>
      </c>
      <c r="F850" s="17">
        <v>73730</v>
      </c>
      <c r="G850" s="17">
        <v>62670.5</v>
      </c>
      <c r="H850" s="17">
        <v>73730</v>
      </c>
      <c r="I850" s="17">
        <v>84789.5</v>
      </c>
      <c r="J850" s="17">
        <v>84789.5</v>
      </c>
      <c r="K850" s="17">
        <v>101010.09999999999</v>
      </c>
      <c r="L850" s="17">
        <v>115756.09999999999</v>
      </c>
      <c r="M850" s="17">
        <v>134925.9</v>
      </c>
      <c r="N850" s="17">
        <v>139349.69999999998</v>
      </c>
      <c r="O850" s="17">
        <v>148197.29999999999</v>
      </c>
      <c r="P850" s="17">
        <v>133451.29999999999</v>
      </c>
      <c r="Q850" s="17">
        <v>150409.20000000001</v>
      </c>
      <c r="R850" s="17">
        <v>150409.20000000001</v>
      </c>
      <c r="S850" s="17">
        <v>157782.20000000001</v>
      </c>
    </row>
    <row r="851" spans="1:19" ht="14.25">
      <c r="A851" s="23">
        <f t="shared" si="14"/>
        <v>850</v>
      </c>
      <c r="B851" s="18"/>
      <c r="C851" s="17">
        <v>0</v>
      </c>
      <c r="D851" s="17">
        <v>0</v>
      </c>
      <c r="E851" s="17">
        <v>98550</v>
      </c>
      <c r="F851" s="17">
        <v>112347.00000000001</v>
      </c>
      <c r="G851" s="17">
        <v>112347.00000000001</v>
      </c>
      <c r="H851" s="17">
        <v>121216.50000000001</v>
      </c>
      <c r="I851" s="17">
        <v>126144.00000000003</v>
      </c>
      <c r="J851" s="17">
        <v>126144.00000000003</v>
      </c>
      <c r="K851" s="17">
        <v>126144.00000000003</v>
      </c>
      <c r="L851" s="17">
        <v>126144.00000000003</v>
      </c>
      <c r="M851" s="17">
        <v>126144.00000000003</v>
      </c>
      <c r="N851" s="17">
        <v>126144.00000000003</v>
      </c>
      <c r="O851" s="17">
        <v>118260.00000000001</v>
      </c>
      <c r="P851" s="17">
        <v>136984.5</v>
      </c>
      <c r="Q851" s="17">
        <v>152752.5</v>
      </c>
      <c r="R851" s="17">
        <v>170491.5</v>
      </c>
      <c r="S851" s="17">
        <v>184288.5</v>
      </c>
    </row>
    <row r="852" spans="1:19" ht="14.25">
      <c r="A852" s="23">
        <f t="shared" si="14"/>
        <v>851</v>
      </c>
      <c r="B852" s="18"/>
      <c r="C852" s="17">
        <v>0</v>
      </c>
      <c r="D852" s="17">
        <v>0</v>
      </c>
      <c r="E852" s="17">
        <v>0</v>
      </c>
      <c r="F852" s="17">
        <v>0</v>
      </c>
      <c r="G852" s="17">
        <v>0</v>
      </c>
      <c r="H852" s="17">
        <v>0</v>
      </c>
      <c r="I852" s="17">
        <v>0</v>
      </c>
      <c r="J852" s="17">
        <v>0</v>
      </c>
      <c r="K852" s="17">
        <v>0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86870</v>
      </c>
      <c r="R852" s="17">
        <v>102506.59999999999</v>
      </c>
      <c r="S852" s="17">
        <v>114668.39999999998</v>
      </c>
    </row>
    <row r="853" spans="1:19" ht="14.25">
      <c r="A853" s="23">
        <f t="shared" si="14"/>
        <v>852</v>
      </c>
      <c r="B853" s="18"/>
      <c r="C853" s="17">
        <v>0</v>
      </c>
      <c r="D853" s="17">
        <v>0</v>
      </c>
      <c r="E853" s="17">
        <v>0</v>
      </c>
      <c r="F853" s="17">
        <v>0</v>
      </c>
      <c r="G853" s="17">
        <v>0</v>
      </c>
      <c r="H853" s="17">
        <v>0</v>
      </c>
      <c r="I853" s="17">
        <v>0</v>
      </c>
      <c r="J853" s="17">
        <v>69715</v>
      </c>
      <c r="K853" s="17">
        <v>69715</v>
      </c>
      <c r="L853" s="17">
        <v>85749.45</v>
      </c>
      <c r="M853" s="17">
        <v>95509.55</v>
      </c>
      <c r="N853" s="17">
        <v>85749.45</v>
      </c>
      <c r="O853" s="17">
        <v>85749.45</v>
      </c>
      <c r="P853" s="17">
        <v>85749.45</v>
      </c>
      <c r="Q853" s="17">
        <v>105966.8</v>
      </c>
      <c r="R853" s="17">
        <v>124092.7</v>
      </c>
      <c r="S853" s="17">
        <v>114332.6</v>
      </c>
    </row>
    <row r="854" spans="1:19" ht="14.25">
      <c r="A854" s="23">
        <f t="shared" si="14"/>
        <v>853</v>
      </c>
      <c r="B854" s="18"/>
      <c r="C854" s="17">
        <v>83950</v>
      </c>
      <c r="D854" s="17">
        <v>72197</v>
      </c>
      <c r="E854" s="17">
        <v>87308</v>
      </c>
      <c r="F854" s="17">
        <v>85629</v>
      </c>
      <c r="G854" s="17">
        <v>85629</v>
      </c>
      <c r="H854" s="17">
        <v>104937.5</v>
      </c>
      <c r="I854" s="17">
        <v>118369.5</v>
      </c>
      <c r="J854" s="17">
        <v>139357</v>
      </c>
      <c r="K854" s="17">
        <v>159505</v>
      </c>
      <c r="L854" s="17">
        <v>168739.49999999997</v>
      </c>
      <c r="M854" s="17">
        <v>168739.49999999997</v>
      </c>
      <c r="N854" s="17">
        <v>160344.49999999997</v>
      </c>
      <c r="O854" s="17">
        <v>160344.49999999997</v>
      </c>
      <c r="P854" s="17">
        <v>182171.5</v>
      </c>
      <c r="Q854" s="17">
        <v>205677.50000000003</v>
      </c>
      <c r="R854" s="17">
        <v>205677.50000000003</v>
      </c>
      <c r="S854" s="17">
        <v>205677.50000000003</v>
      </c>
    </row>
    <row r="855" spans="1:19" ht="14.25">
      <c r="A855" s="23">
        <f t="shared" si="14"/>
        <v>854</v>
      </c>
      <c r="B855" s="18"/>
      <c r="C855" s="17">
        <v>0</v>
      </c>
      <c r="D855" s="17">
        <v>0</v>
      </c>
      <c r="E855" s="17">
        <v>0</v>
      </c>
      <c r="F855" s="17">
        <v>0</v>
      </c>
      <c r="G855" s="17">
        <v>0</v>
      </c>
      <c r="H855" s="17">
        <v>0</v>
      </c>
      <c r="I855" s="17">
        <v>0</v>
      </c>
      <c r="J855" s="17">
        <v>104755</v>
      </c>
      <c r="K855" s="17">
        <v>133038.85</v>
      </c>
      <c r="L855" s="17">
        <v>124658.45</v>
      </c>
      <c r="M855" s="17">
        <v>124658.45</v>
      </c>
      <c r="N855" s="17">
        <v>124658.45</v>
      </c>
      <c r="O855" s="17">
        <v>148752.1</v>
      </c>
      <c r="P855" s="17">
        <v>173893.3</v>
      </c>
      <c r="Q855" s="17">
        <v>189606.55</v>
      </c>
      <c r="R855" s="17">
        <v>206367.34999999998</v>
      </c>
      <c r="S855" s="17">
        <v>230460.99999999997</v>
      </c>
    </row>
    <row r="856" spans="1:19" ht="14.25">
      <c r="A856" s="23">
        <f t="shared" si="14"/>
        <v>855</v>
      </c>
      <c r="B856" s="18"/>
      <c r="C856" s="17">
        <v>0</v>
      </c>
      <c r="D856" s="17">
        <v>0</v>
      </c>
      <c r="E856" s="17">
        <v>0</v>
      </c>
      <c r="F856" s="17">
        <v>0</v>
      </c>
      <c r="G856" s="17">
        <v>0</v>
      </c>
      <c r="H856" s="17">
        <v>0</v>
      </c>
      <c r="I856" s="17">
        <v>0</v>
      </c>
      <c r="J856" s="17">
        <v>0</v>
      </c>
      <c r="K856" s="17">
        <v>0</v>
      </c>
      <c r="L856" s="17">
        <v>0</v>
      </c>
      <c r="M856" s="17">
        <v>0</v>
      </c>
      <c r="N856" s="17">
        <v>0</v>
      </c>
      <c r="O856" s="17">
        <v>0</v>
      </c>
      <c r="P856" s="17">
        <v>0</v>
      </c>
      <c r="Q856" s="17">
        <v>98550</v>
      </c>
      <c r="R856" s="17">
        <v>115303.5</v>
      </c>
      <c r="S856" s="17">
        <v>136984.5</v>
      </c>
    </row>
    <row r="857" spans="1:19" ht="14.25">
      <c r="A857" s="23">
        <f t="shared" si="14"/>
        <v>856</v>
      </c>
      <c r="B857" s="18"/>
      <c r="C857" s="17">
        <v>88330</v>
      </c>
      <c r="D857" s="17">
        <v>105112.7</v>
      </c>
      <c r="E857" s="17">
        <v>90096.6</v>
      </c>
      <c r="F857" s="17">
        <v>79497</v>
      </c>
      <c r="G857" s="17">
        <v>97163.000000000015</v>
      </c>
      <c r="H857" s="17">
        <v>103346.10000000002</v>
      </c>
      <c r="I857" s="17">
        <v>119245.50000000001</v>
      </c>
      <c r="J857" s="17">
        <v>136028.20000000001</v>
      </c>
      <c r="K857" s="17">
        <v>151927.6</v>
      </c>
      <c r="L857" s="17">
        <v>0</v>
      </c>
      <c r="M857" s="17">
        <v>0</v>
      </c>
      <c r="N857" s="17">
        <v>0</v>
      </c>
      <c r="O857" s="17">
        <v>0</v>
      </c>
      <c r="P857" s="17">
        <v>0</v>
      </c>
      <c r="Q857" s="17">
        <v>0</v>
      </c>
      <c r="R857" s="17">
        <v>0</v>
      </c>
      <c r="S857" s="17">
        <v>0</v>
      </c>
    </row>
    <row r="858" spans="1:19" ht="14.25">
      <c r="A858" s="23">
        <f t="shared" si="14"/>
        <v>857</v>
      </c>
      <c r="B858" s="18"/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76285</v>
      </c>
      <c r="J858" s="17">
        <v>98407.650000000009</v>
      </c>
      <c r="K858" s="17">
        <v>107561.85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</row>
    <row r="859" spans="1:19" ht="14.25">
      <c r="A859" s="23">
        <f t="shared" si="14"/>
        <v>858</v>
      </c>
      <c r="B859" s="18"/>
      <c r="C859" s="17">
        <v>0</v>
      </c>
      <c r="D859" s="17">
        <v>86870</v>
      </c>
      <c r="E859" s="17">
        <v>79051.7</v>
      </c>
      <c r="F859" s="17">
        <v>79051.7</v>
      </c>
      <c r="G859" s="17">
        <v>79051.7</v>
      </c>
      <c r="H859" s="17">
        <v>84263.9</v>
      </c>
      <c r="I859" s="17">
        <v>74708.2</v>
      </c>
      <c r="J859" s="17">
        <v>99900.499999999985</v>
      </c>
      <c r="K859" s="17">
        <v>82526.5</v>
      </c>
      <c r="L859" s="17">
        <v>82526.5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</row>
    <row r="860" spans="1:19" ht="14.25">
      <c r="A860" s="23">
        <f t="shared" si="14"/>
        <v>859</v>
      </c>
      <c r="B860" s="18"/>
      <c r="C860" s="17">
        <v>0</v>
      </c>
      <c r="D860" s="17">
        <v>0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81760</v>
      </c>
      <c r="O860" s="17">
        <v>91571.200000000012</v>
      </c>
      <c r="P860" s="17">
        <v>103835.2</v>
      </c>
      <c r="Q860" s="17">
        <v>103835.2</v>
      </c>
      <c r="R860" s="17">
        <v>103835.2</v>
      </c>
      <c r="S860" s="17">
        <v>102200</v>
      </c>
    </row>
    <row r="861" spans="1:19" ht="14.25">
      <c r="A861" s="23">
        <f t="shared" si="14"/>
        <v>860</v>
      </c>
      <c r="B861" s="18"/>
      <c r="C861" s="17">
        <v>79935</v>
      </c>
      <c r="D861" s="17">
        <v>95922</v>
      </c>
      <c r="E861" s="17">
        <v>115106.4</v>
      </c>
      <c r="F861" s="17">
        <v>101517.45</v>
      </c>
      <c r="G861" s="17">
        <v>101517.45</v>
      </c>
      <c r="H861" s="17">
        <v>105514.20000000001</v>
      </c>
      <c r="I861" s="17">
        <v>100718.1</v>
      </c>
      <c r="J861" s="17">
        <v>100718.1</v>
      </c>
      <c r="K861" s="17">
        <v>115106.4</v>
      </c>
      <c r="L861" s="17">
        <v>122300.55</v>
      </c>
      <c r="M861" s="17">
        <v>122300.55</v>
      </c>
      <c r="N861" s="17">
        <v>122300.55</v>
      </c>
      <c r="O861" s="17">
        <v>106313.55</v>
      </c>
      <c r="P861" s="17">
        <v>106313.55</v>
      </c>
      <c r="Q861" s="17">
        <v>128695.35</v>
      </c>
      <c r="R861" s="17">
        <v>128695.35</v>
      </c>
      <c r="S861" s="17">
        <v>146281.05000000002</v>
      </c>
    </row>
    <row r="862" spans="1:19" ht="14.25">
      <c r="A862" s="23">
        <f t="shared" si="14"/>
        <v>861</v>
      </c>
      <c r="B862" s="18"/>
      <c r="C862" s="17">
        <v>97455</v>
      </c>
      <c r="D862" s="17">
        <v>124742.40000000001</v>
      </c>
      <c r="E862" s="17">
        <v>124742.40000000001</v>
      </c>
      <c r="F862" s="17">
        <v>144233.4</v>
      </c>
      <c r="G862" s="17">
        <v>144233.4</v>
      </c>
      <c r="H862" s="17">
        <v>124742.40000000001</v>
      </c>
      <c r="I862" s="17">
        <v>115971.45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</row>
    <row r="863" spans="1:19" ht="14.25">
      <c r="A863" s="23">
        <f t="shared" si="14"/>
        <v>862</v>
      </c>
      <c r="B863" s="18"/>
      <c r="C863" s="17">
        <v>0</v>
      </c>
      <c r="D863" s="17">
        <v>0</v>
      </c>
      <c r="E863" s="17">
        <v>0</v>
      </c>
      <c r="F863" s="17">
        <v>102200</v>
      </c>
      <c r="G863" s="17">
        <v>111398.00000000001</v>
      </c>
      <c r="H863" s="17">
        <v>127750</v>
      </c>
      <c r="I863" s="17">
        <v>144102</v>
      </c>
      <c r="J863" s="17">
        <v>159431.99999999997</v>
      </c>
      <c r="K863" s="17">
        <v>159431.99999999997</v>
      </c>
      <c r="L863" s="17">
        <v>159431.99999999997</v>
      </c>
      <c r="M863" s="17">
        <v>150233.99999999997</v>
      </c>
      <c r="N863" s="17">
        <v>142057.99999999997</v>
      </c>
      <c r="O863" s="17">
        <v>166585.99999999997</v>
      </c>
      <c r="P863" s="17">
        <v>166585.99999999997</v>
      </c>
      <c r="Q863" s="17">
        <v>197245.99999999997</v>
      </c>
      <c r="R863" s="17">
        <v>209509.99999999997</v>
      </c>
      <c r="S863" s="17">
        <v>228927.99999999997</v>
      </c>
    </row>
    <row r="864" spans="1:19" ht="14.25">
      <c r="A864" s="23">
        <f t="shared" si="14"/>
        <v>863</v>
      </c>
      <c r="B864" s="18"/>
      <c r="C864" s="17">
        <v>0</v>
      </c>
      <c r="D864" s="17">
        <v>0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97820</v>
      </c>
    </row>
    <row r="865" spans="1:19" ht="14.25">
      <c r="A865" s="23">
        <f t="shared" si="14"/>
        <v>864</v>
      </c>
      <c r="B865" s="18"/>
      <c r="C865" s="17">
        <v>0</v>
      </c>
      <c r="D865" s="17">
        <v>0</v>
      </c>
      <c r="E865" s="17">
        <v>92710</v>
      </c>
      <c r="F865" s="17">
        <v>80657.7</v>
      </c>
      <c r="G865" s="17">
        <v>85293.2</v>
      </c>
      <c r="H865" s="17">
        <v>85293.2</v>
      </c>
      <c r="I865" s="17">
        <v>85293.2</v>
      </c>
      <c r="J865" s="17">
        <v>95491.3</v>
      </c>
      <c r="K865" s="17">
        <v>123304.3</v>
      </c>
      <c r="L865" s="17">
        <v>123304.3</v>
      </c>
      <c r="M865" s="17">
        <v>123304.3</v>
      </c>
      <c r="N865" s="17">
        <v>147408.9</v>
      </c>
      <c r="O865" s="17">
        <v>159461.20000000001</v>
      </c>
      <c r="P865" s="17">
        <v>143700.50000000003</v>
      </c>
      <c r="Q865" s="17">
        <v>160388.30000000002</v>
      </c>
      <c r="R865" s="17">
        <v>177076.1</v>
      </c>
      <c r="S865" s="17">
        <v>177076.1</v>
      </c>
    </row>
    <row r="866" spans="1:19" ht="14.25">
      <c r="A866" s="23">
        <f t="shared" si="14"/>
        <v>865</v>
      </c>
      <c r="B866" s="18"/>
      <c r="C866" s="17">
        <v>0</v>
      </c>
      <c r="D866" s="17">
        <v>0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78475</v>
      </c>
      <c r="L866" s="17">
        <v>101232.75</v>
      </c>
      <c r="M866" s="17">
        <v>113004</v>
      </c>
      <c r="N866" s="17">
        <v>105941.24999999999</v>
      </c>
      <c r="O866" s="17">
        <v>122420.99999999999</v>
      </c>
      <c r="P866" s="17">
        <v>138900.74999999997</v>
      </c>
      <c r="Q866" s="17">
        <v>159304.24999999997</v>
      </c>
      <c r="R866" s="17">
        <v>148317.74999999997</v>
      </c>
      <c r="S866" s="17">
        <v>158519.49999999997</v>
      </c>
    </row>
    <row r="867" spans="1:19" ht="14.25">
      <c r="A867" s="23">
        <f t="shared" si="14"/>
        <v>866</v>
      </c>
      <c r="B867" s="18"/>
      <c r="C867" s="17">
        <v>0</v>
      </c>
      <c r="D867" s="17">
        <v>0</v>
      </c>
      <c r="E867" s="17">
        <v>0</v>
      </c>
      <c r="F867" s="17">
        <v>82125</v>
      </c>
      <c r="G867" s="17">
        <v>102656.25</v>
      </c>
      <c r="H867" s="17">
        <v>102656.25</v>
      </c>
      <c r="I867" s="17">
        <v>124008.75</v>
      </c>
      <c r="J867" s="17">
        <v>124008.75</v>
      </c>
      <c r="K867" s="17">
        <v>124008.75</v>
      </c>
      <c r="L867" s="17">
        <v>130578.75</v>
      </c>
      <c r="M867" s="17">
        <v>151931.25</v>
      </c>
      <c r="N867" s="17">
        <v>167535</v>
      </c>
      <c r="O867" s="17">
        <v>155216.25</v>
      </c>
      <c r="P867" s="17">
        <v>179853.75</v>
      </c>
      <c r="Q867" s="17">
        <v>200385</v>
      </c>
      <c r="R867" s="17">
        <v>206133.74999999997</v>
      </c>
      <c r="S867" s="17">
        <v>217631.25</v>
      </c>
    </row>
    <row r="868" spans="1:19" ht="14.25">
      <c r="A868" s="23">
        <f t="shared" si="14"/>
        <v>867</v>
      </c>
      <c r="B868" s="18"/>
      <c r="C868" s="17">
        <v>0</v>
      </c>
      <c r="D868" s="17">
        <v>0</v>
      </c>
      <c r="E868" s="17">
        <v>0</v>
      </c>
      <c r="F868" s="17">
        <v>0</v>
      </c>
      <c r="G868" s="17">
        <v>69715</v>
      </c>
      <c r="H868" s="17">
        <v>69715</v>
      </c>
      <c r="I868" s="17">
        <v>69017.850000000006</v>
      </c>
      <c r="J868" s="17">
        <v>76686.5</v>
      </c>
      <c r="K868" s="17">
        <v>96206.700000000012</v>
      </c>
      <c r="L868" s="17">
        <v>105269.65000000002</v>
      </c>
      <c r="M868" s="17">
        <v>101783.90000000001</v>
      </c>
      <c r="N868" s="17">
        <v>116424.05000000002</v>
      </c>
      <c r="O868" s="17">
        <v>116424.05000000002</v>
      </c>
      <c r="P868" s="17">
        <v>135247.1</v>
      </c>
      <c r="Q868" s="17">
        <v>140127.15000000002</v>
      </c>
      <c r="R868" s="17">
        <v>157555.90000000002</v>
      </c>
      <c r="S868" s="17">
        <v>157555.90000000002</v>
      </c>
    </row>
    <row r="869" spans="1:19" ht="14.25">
      <c r="A869" s="23">
        <f t="shared" si="14"/>
        <v>868</v>
      </c>
      <c r="B869" s="18"/>
      <c r="C869" s="17">
        <v>0</v>
      </c>
      <c r="D869" s="17">
        <v>0</v>
      </c>
      <c r="E869" s="17">
        <v>69715</v>
      </c>
      <c r="F869" s="17">
        <v>85052.3</v>
      </c>
      <c r="G869" s="17">
        <v>83658</v>
      </c>
      <c r="H869" s="17">
        <v>97601</v>
      </c>
      <c r="I869" s="17">
        <v>114332.59999999999</v>
      </c>
      <c r="J869" s="17">
        <v>117818.34999999999</v>
      </c>
      <c r="K869" s="17">
        <v>124789.85</v>
      </c>
      <c r="L869" s="17">
        <v>135247.1</v>
      </c>
      <c r="M869" s="17">
        <v>140127.15</v>
      </c>
      <c r="N869" s="17">
        <v>149190.09999999998</v>
      </c>
      <c r="O869" s="17">
        <v>156161.59999999998</v>
      </c>
      <c r="P869" s="17">
        <v>170801.74999999997</v>
      </c>
      <c r="Q869" s="17">
        <v>181258.99999999997</v>
      </c>
      <c r="R869" s="17">
        <v>0</v>
      </c>
      <c r="S869" s="17">
        <v>0</v>
      </c>
    </row>
    <row r="870" spans="1:19" ht="14.25">
      <c r="A870" s="23">
        <f t="shared" si="14"/>
        <v>869</v>
      </c>
      <c r="B870" s="18"/>
      <c r="C870" s="17">
        <v>0</v>
      </c>
      <c r="D870" s="17">
        <v>0</v>
      </c>
      <c r="E870" s="17">
        <v>0</v>
      </c>
      <c r="F870" s="17">
        <v>0</v>
      </c>
      <c r="G870" s="17">
        <v>0</v>
      </c>
      <c r="H870" s="17">
        <v>0</v>
      </c>
      <c r="I870" s="17">
        <v>0</v>
      </c>
      <c r="J870" s="17">
        <v>0</v>
      </c>
      <c r="K870" s="17">
        <v>0</v>
      </c>
      <c r="L870" s="17">
        <v>0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90520</v>
      </c>
    </row>
    <row r="871" spans="1:19" ht="14.25">
      <c r="A871" s="23">
        <f t="shared" si="14"/>
        <v>870</v>
      </c>
      <c r="B871" s="18"/>
      <c r="C871" s="17">
        <v>0</v>
      </c>
      <c r="D871" s="17">
        <v>0</v>
      </c>
      <c r="E871" s="17">
        <v>0</v>
      </c>
      <c r="F871" s="17">
        <v>97820</v>
      </c>
      <c r="G871" s="17">
        <v>118362.2</v>
      </c>
      <c r="H871" s="17">
        <v>118362.2</v>
      </c>
      <c r="I871" s="17">
        <v>118362.2</v>
      </c>
      <c r="J871" s="17">
        <v>131078.79999999999</v>
      </c>
      <c r="K871" s="17">
        <v>122274.99999999999</v>
      </c>
      <c r="L871" s="17">
        <v>140860.79999999996</v>
      </c>
      <c r="M871" s="17">
        <v>160424.79999999996</v>
      </c>
      <c r="N871" s="17">
        <v>184879.79999999996</v>
      </c>
      <c r="O871" s="17">
        <v>192705.39999999997</v>
      </c>
      <c r="P871" s="17">
        <v>188792.59999999998</v>
      </c>
      <c r="Q871" s="17">
        <v>199552.79999999996</v>
      </c>
      <c r="R871" s="17">
        <v>211291.19999999998</v>
      </c>
      <c r="S871" s="17">
        <v>232811.59999999998</v>
      </c>
    </row>
    <row r="872" spans="1:19" ht="14.25">
      <c r="A872" s="23">
        <f t="shared" si="14"/>
        <v>871</v>
      </c>
      <c r="B872" s="18"/>
      <c r="C872" s="17">
        <v>0</v>
      </c>
      <c r="D872" s="17">
        <v>0</v>
      </c>
      <c r="E872" s="17">
        <v>0</v>
      </c>
      <c r="F872" s="17">
        <v>0</v>
      </c>
      <c r="G872" s="17">
        <v>0</v>
      </c>
      <c r="H872" s="17">
        <v>102930</v>
      </c>
      <c r="I872" s="17">
        <v>113223.00000000001</v>
      </c>
      <c r="J872" s="17">
        <v>142043.40000000002</v>
      </c>
      <c r="K872" s="17">
        <v>147189.90000000002</v>
      </c>
      <c r="L872" s="17">
        <v>173951.7</v>
      </c>
      <c r="M872" s="17">
        <v>199684.2</v>
      </c>
      <c r="N872" s="17">
        <v>220270.2</v>
      </c>
      <c r="O872" s="17">
        <v>237768.30000000002</v>
      </c>
      <c r="P872" s="17">
        <v>250119.90000000002</v>
      </c>
      <c r="Q872" s="17">
        <v>250119.90000000002</v>
      </c>
      <c r="R872" s="17">
        <v>258354.30000000002</v>
      </c>
      <c r="S872" s="17">
        <v>258354.30000000002</v>
      </c>
    </row>
    <row r="873" spans="1:19" ht="14.25">
      <c r="A873" s="23">
        <f t="shared" si="14"/>
        <v>872</v>
      </c>
      <c r="B873" s="18"/>
      <c r="C873" s="17">
        <v>0</v>
      </c>
      <c r="D873" s="17">
        <v>0</v>
      </c>
      <c r="E873" s="17">
        <v>0</v>
      </c>
      <c r="F873" s="17">
        <v>88695</v>
      </c>
      <c r="G873" s="17">
        <v>105547.04999999999</v>
      </c>
      <c r="H873" s="17">
        <v>132155.54999999999</v>
      </c>
      <c r="I873" s="17">
        <v>0</v>
      </c>
      <c r="J873" s="17">
        <v>0</v>
      </c>
      <c r="K873" s="17">
        <v>0</v>
      </c>
      <c r="L873" s="17">
        <v>0</v>
      </c>
      <c r="M873" s="17">
        <v>0</v>
      </c>
      <c r="N873" s="17">
        <v>0</v>
      </c>
      <c r="O873" s="17">
        <v>0</v>
      </c>
      <c r="P873" s="17">
        <v>0</v>
      </c>
      <c r="Q873" s="17">
        <v>0</v>
      </c>
      <c r="R873" s="17">
        <v>0</v>
      </c>
      <c r="S873" s="17">
        <v>0</v>
      </c>
    </row>
    <row r="874" spans="1:19" ht="14.25">
      <c r="A874" s="23">
        <f t="shared" si="14"/>
        <v>873</v>
      </c>
      <c r="B874" s="18"/>
      <c r="C874" s="17">
        <v>0</v>
      </c>
      <c r="D874" s="17">
        <v>0</v>
      </c>
      <c r="E874" s="17">
        <v>0</v>
      </c>
      <c r="F874" s="17">
        <v>0</v>
      </c>
      <c r="G874" s="17">
        <v>0</v>
      </c>
      <c r="H874" s="17">
        <v>0</v>
      </c>
      <c r="I874" s="17">
        <v>0</v>
      </c>
      <c r="J874" s="17">
        <v>0</v>
      </c>
      <c r="K874" s="17">
        <v>0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0</v>
      </c>
      <c r="R874" s="17">
        <v>0</v>
      </c>
      <c r="S874" s="17">
        <v>85045</v>
      </c>
    </row>
    <row r="875" spans="1:19" ht="14.25">
      <c r="A875" s="23">
        <f t="shared" si="14"/>
        <v>874</v>
      </c>
      <c r="B875" s="18"/>
      <c r="C875" s="17">
        <v>90885</v>
      </c>
      <c r="D875" s="17">
        <v>99064.650000000009</v>
      </c>
      <c r="E875" s="17">
        <v>0</v>
      </c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</row>
    <row r="876" spans="1:19" ht="14.25">
      <c r="A876" s="23">
        <f t="shared" si="14"/>
        <v>875</v>
      </c>
      <c r="B876" s="18"/>
      <c r="C876" s="17">
        <v>66430</v>
      </c>
      <c r="D876" s="17">
        <v>66430</v>
      </c>
      <c r="E876" s="17">
        <v>66430</v>
      </c>
      <c r="F876" s="17">
        <v>66430</v>
      </c>
      <c r="G876" s="17">
        <v>63772.799999999996</v>
      </c>
      <c r="H876" s="17">
        <v>74401.599999999991</v>
      </c>
      <c r="I876" s="17">
        <v>83701.799999999988</v>
      </c>
      <c r="J876" s="17">
        <v>103630.79999999999</v>
      </c>
      <c r="K876" s="17">
        <v>116916.79999999999</v>
      </c>
      <c r="L876" s="17">
        <v>124224.09999999999</v>
      </c>
      <c r="M876" s="17">
        <v>134852.9</v>
      </c>
      <c r="N876" s="17">
        <v>146145.99999999997</v>
      </c>
      <c r="O876" s="17">
        <v>138838.69999999998</v>
      </c>
      <c r="P876" s="17">
        <v>133524.29999999999</v>
      </c>
      <c r="Q876" s="17">
        <v>133524.29999999999</v>
      </c>
      <c r="R876" s="17">
        <v>142824.5</v>
      </c>
      <c r="S876" s="17">
        <v>0</v>
      </c>
    </row>
    <row r="877" spans="1:19" ht="14.25">
      <c r="A877" s="23">
        <f t="shared" si="14"/>
        <v>876</v>
      </c>
      <c r="B877" s="18"/>
      <c r="C877" s="17">
        <v>0</v>
      </c>
      <c r="D877" s="17">
        <v>0</v>
      </c>
      <c r="E877" s="17">
        <v>0</v>
      </c>
      <c r="F877" s="17">
        <v>0</v>
      </c>
      <c r="G877" s="17">
        <v>0</v>
      </c>
      <c r="H877" s="17">
        <v>0</v>
      </c>
      <c r="I877" s="17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85775</v>
      </c>
    </row>
    <row r="878" spans="1:19" ht="14.25">
      <c r="A878" s="23">
        <f t="shared" si="14"/>
        <v>877</v>
      </c>
      <c r="B878" s="18"/>
      <c r="C878" s="17">
        <v>0</v>
      </c>
      <c r="D878" s="17">
        <v>0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95630</v>
      </c>
      <c r="L878" s="17">
        <v>108061.9</v>
      </c>
      <c r="M878" s="17">
        <v>135794.6</v>
      </c>
      <c r="N878" s="17">
        <v>149182.80000000002</v>
      </c>
      <c r="O878" s="17">
        <v>140576.1</v>
      </c>
      <c r="P878" s="17">
        <v>160658.4</v>
      </c>
      <c r="Q878" s="17">
        <v>155876.9</v>
      </c>
      <c r="R878" s="17">
        <v>145357.59999999998</v>
      </c>
      <c r="S878" s="17">
        <v>126231.59999999999</v>
      </c>
    </row>
    <row r="879" spans="1:19" ht="14.25">
      <c r="A879" s="23">
        <f t="shared" si="14"/>
        <v>878</v>
      </c>
      <c r="B879" s="18"/>
      <c r="C879" s="17">
        <v>0</v>
      </c>
      <c r="D879" s="17">
        <v>0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74095</v>
      </c>
      <c r="N879" s="17">
        <v>74095</v>
      </c>
      <c r="O879" s="17">
        <v>93359.7</v>
      </c>
      <c r="P879" s="17">
        <v>112624.4</v>
      </c>
      <c r="Q879" s="17">
        <v>112624.4</v>
      </c>
      <c r="R879" s="17">
        <v>105214.9</v>
      </c>
      <c r="S879" s="17">
        <v>97805.4</v>
      </c>
    </row>
    <row r="880" spans="1:19" ht="14.25">
      <c r="A880" s="23">
        <f t="shared" si="14"/>
        <v>879</v>
      </c>
      <c r="B880" s="18"/>
      <c r="C880" s="17">
        <v>74825</v>
      </c>
      <c r="D880" s="17">
        <v>65097.75</v>
      </c>
      <c r="E880" s="17">
        <v>65097.75</v>
      </c>
      <c r="F880" s="17">
        <v>74825</v>
      </c>
      <c r="G880" s="17">
        <v>63601.25</v>
      </c>
      <c r="H880" s="17">
        <v>72580.25</v>
      </c>
      <c r="I880" s="17">
        <v>72580.25</v>
      </c>
      <c r="J880" s="17">
        <v>58363.5</v>
      </c>
      <c r="K880" s="17">
        <v>77069.75</v>
      </c>
      <c r="L880" s="17">
        <v>95027.75</v>
      </c>
      <c r="M880" s="17">
        <v>86797</v>
      </c>
      <c r="N880" s="17">
        <v>72580.25</v>
      </c>
      <c r="O880" s="17">
        <v>92034.75</v>
      </c>
      <c r="P880" s="17">
        <v>113734</v>
      </c>
      <c r="Q880" s="17">
        <v>109244.5</v>
      </c>
      <c r="R880" s="17">
        <v>124957.75</v>
      </c>
      <c r="S880" s="17">
        <v>0</v>
      </c>
    </row>
    <row r="881" spans="1:19" ht="14.25">
      <c r="A881" s="23">
        <f t="shared" si="14"/>
        <v>880</v>
      </c>
      <c r="B881" s="18"/>
      <c r="C881" s="17">
        <v>0</v>
      </c>
      <c r="D881" s="17">
        <v>0</v>
      </c>
      <c r="E881" s="17">
        <v>0</v>
      </c>
      <c r="F881" s="17">
        <v>0</v>
      </c>
      <c r="G881" s="17">
        <v>0</v>
      </c>
      <c r="H881" s="17">
        <v>0</v>
      </c>
      <c r="I881" s="17">
        <v>0</v>
      </c>
      <c r="J881" s="17">
        <v>0</v>
      </c>
      <c r="K881" s="17">
        <v>0</v>
      </c>
      <c r="L881" s="17">
        <v>0</v>
      </c>
      <c r="M881" s="17">
        <v>85410</v>
      </c>
      <c r="N881" s="17">
        <v>105908.4</v>
      </c>
      <c r="O881" s="17">
        <v>130677.3</v>
      </c>
      <c r="P881" s="17">
        <v>130677.3</v>
      </c>
      <c r="Q881" s="17">
        <v>146051.1</v>
      </c>
      <c r="R881" s="17">
        <v>169965.9</v>
      </c>
      <c r="S881" s="17">
        <v>193026.59999999998</v>
      </c>
    </row>
    <row r="882" spans="1:19" ht="14.25">
      <c r="A882" s="23">
        <f t="shared" si="14"/>
        <v>881</v>
      </c>
      <c r="B882" s="18"/>
      <c r="C882" s="17">
        <v>0</v>
      </c>
      <c r="D882" s="17">
        <v>0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89425</v>
      </c>
      <c r="M882" s="17">
        <v>101050.24999999999</v>
      </c>
      <c r="N882" s="17">
        <v>85847.999999999985</v>
      </c>
      <c r="O882" s="17">
        <v>105521.5</v>
      </c>
      <c r="P882" s="17">
        <v>105521.5</v>
      </c>
      <c r="Q882" s="17">
        <v>121617.99999999999</v>
      </c>
      <c r="R882" s="17">
        <v>115358.24999999999</v>
      </c>
      <c r="S882" s="17">
        <v>115358.24999999999</v>
      </c>
    </row>
    <row r="883" spans="1:19" ht="14.25">
      <c r="A883" s="23">
        <f t="shared" si="14"/>
        <v>882</v>
      </c>
      <c r="B883" s="18"/>
      <c r="C883" s="17">
        <v>77745</v>
      </c>
      <c r="D883" s="17">
        <v>77745</v>
      </c>
      <c r="E883" s="17">
        <v>82409.7</v>
      </c>
      <c r="F883" s="17">
        <v>67638.150000000009</v>
      </c>
      <c r="G883" s="17">
        <v>67638.150000000009</v>
      </c>
      <c r="H883" s="17">
        <v>67638.150000000009</v>
      </c>
      <c r="I883" s="17">
        <v>81632.25</v>
      </c>
      <c r="J883" s="17">
        <v>81632.25</v>
      </c>
      <c r="K883" s="17">
        <v>95626.35</v>
      </c>
      <c r="L883" s="17">
        <v>104955.75</v>
      </c>
      <c r="M883" s="17">
        <v>104955.75</v>
      </c>
      <c r="N883" s="17">
        <v>119727.3</v>
      </c>
      <c r="O883" s="17">
        <v>125946.90000000001</v>
      </c>
      <c r="P883" s="17">
        <v>143050.80000000002</v>
      </c>
      <c r="Q883" s="17">
        <v>150825.30000000002</v>
      </c>
      <c r="R883" s="17">
        <v>155490</v>
      </c>
      <c r="S883" s="17">
        <v>172593.90000000002</v>
      </c>
    </row>
    <row r="884" spans="1:19" ht="14.25">
      <c r="A884" s="23">
        <f t="shared" si="14"/>
        <v>883</v>
      </c>
      <c r="B884" s="18"/>
      <c r="C884" s="17">
        <v>69350</v>
      </c>
      <c r="D884" s="17">
        <v>72817.5</v>
      </c>
      <c r="E884" s="17">
        <v>72817.5</v>
      </c>
      <c r="F884" s="17">
        <v>71430.5</v>
      </c>
      <c r="G884" s="17">
        <v>57560.500000000007</v>
      </c>
      <c r="H884" s="17">
        <v>69350</v>
      </c>
      <c r="I884" s="17">
        <v>69350</v>
      </c>
      <c r="J884" s="17">
        <v>69350</v>
      </c>
      <c r="K884" s="17">
        <v>90155</v>
      </c>
      <c r="L884" s="17">
        <v>93622.5</v>
      </c>
      <c r="M884" s="17">
        <v>99170.500000000015</v>
      </c>
      <c r="N884" s="17">
        <v>98477.000000000015</v>
      </c>
      <c r="O884" s="17">
        <v>115121.00000000001</v>
      </c>
      <c r="P884" s="17">
        <v>122749.50000000001</v>
      </c>
      <c r="Q884" s="17">
        <v>126910.50000000001</v>
      </c>
      <c r="R884" s="17">
        <v>126910.50000000001</v>
      </c>
      <c r="S884" s="17">
        <v>119282.00000000001</v>
      </c>
    </row>
    <row r="885" spans="1:19" ht="14.25">
      <c r="A885" s="23">
        <f t="shared" si="14"/>
        <v>884</v>
      </c>
      <c r="B885" s="18"/>
      <c r="C885" s="17">
        <v>95630</v>
      </c>
      <c r="D885" s="17">
        <v>95630</v>
      </c>
      <c r="E885" s="17">
        <v>77460.3</v>
      </c>
      <c r="F885" s="17">
        <v>77460.3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</row>
    <row r="886" spans="1:19" ht="14.25">
      <c r="A886" s="23">
        <f t="shared" si="14"/>
        <v>885</v>
      </c>
      <c r="B886" s="18"/>
      <c r="C886" s="17">
        <v>0</v>
      </c>
      <c r="D886" s="17">
        <v>0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100740</v>
      </c>
      <c r="P886" s="17">
        <v>83614.2</v>
      </c>
      <c r="Q886" s="17">
        <v>101747.4</v>
      </c>
      <c r="R886" s="17">
        <v>128947.2</v>
      </c>
      <c r="S886" s="17">
        <v>142043.40000000002</v>
      </c>
    </row>
    <row r="887" spans="1:19" ht="14.25">
      <c r="A887" s="23">
        <f t="shared" si="14"/>
        <v>886</v>
      </c>
      <c r="B887" s="18"/>
      <c r="C887" s="17">
        <v>0</v>
      </c>
      <c r="D887" s="17">
        <v>0</v>
      </c>
      <c r="E887" s="17">
        <v>0</v>
      </c>
      <c r="F887" s="17">
        <v>0</v>
      </c>
      <c r="G887" s="17">
        <v>0</v>
      </c>
      <c r="H887" s="17">
        <v>0</v>
      </c>
      <c r="I887" s="17">
        <v>0</v>
      </c>
      <c r="J887" s="17">
        <v>0</v>
      </c>
      <c r="K887" s="17">
        <v>0</v>
      </c>
      <c r="L887" s="17">
        <v>92710</v>
      </c>
      <c r="M887" s="17">
        <v>117741.7</v>
      </c>
      <c r="N887" s="17">
        <v>127939.80000000002</v>
      </c>
      <c r="O887" s="17">
        <v>127939.80000000002</v>
      </c>
      <c r="P887" s="17">
        <v>150190.20000000001</v>
      </c>
      <c r="Q887" s="17">
        <v>162242.5</v>
      </c>
      <c r="R887" s="17">
        <v>167805.1</v>
      </c>
      <c r="S887" s="17">
        <v>190982.6</v>
      </c>
    </row>
    <row r="888" spans="1:19" ht="14.25">
      <c r="A888" s="23">
        <f t="shared" si="14"/>
        <v>887</v>
      </c>
      <c r="B888" s="18"/>
      <c r="C888" s="17">
        <v>0</v>
      </c>
      <c r="D888" s="17">
        <v>0</v>
      </c>
      <c r="E888" s="17">
        <v>0</v>
      </c>
      <c r="F888" s="17">
        <v>0</v>
      </c>
      <c r="G888" s="17">
        <v>0</v>
      </c>
      <c r="H888" s="17">
        <v>0</v>
      </c>
      <c r="I888" s="17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104755</v>
      </c>
      <c r="O888" s="17">
        <v>104755</v>
      </c>
      <c r="P888" s="17">
        <v>118373.15</v>
      </c>
      <c r="Q888" s="17">
        <v>99517.25</v>
      </c>
      <c r="R888" s="17">
        <v>99517.25</v>
      </c>
      <c r="S888" s="17">
        <v>109992.75</v>
      </c>
    </row>
    <row r="889" spans="1:19" ht="14.25">
      <c r="A889" s="23">
        <f t="shared" si="14"/>
        <v>888</v>
      </c>
      <c r="B889" s="18"/>
      <c r="C889" s="17">
        <v>0</v>
      </c>
      <c r="D889" s="17">
        <v>0</v>
      </c>
      <c r="E889" s="17">
        <v>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79570</v>
      </c>
      <c r="L889" s="17">
        <v>79570</v>
      </c>
      <c r="M889" s="17">
        <v>85139.900000000009</v>
      </c>
      <c r="N889" s="17">
        <v>91505.500000000015</v>
      </c>
      <c r="O889" s="17">
        <v>112193.70000000001</v>
      </c>
      <c r="P889" s="17">
        <v>103441</v>
      </c>
      <c r="Q889" s="17">
        <v>122537.8</v>
      </c>
      <c r="R889" s="17">
        <v>122537.8</v>
      </c>
      <c r="S889" s="17">
        <v>132086.20000000001</v>
      </c>
    </row>
    <row r="890" spans="1:19" ht="14.25">
      <c r="A890" s="23">
        <f t="shared" si="14"/>
        <v>889</v>
      </c>
      <c r="B890" s="18"/>
      <c r="C890" s="17">
        <v>94535</v>
      </c>
      <c r="D890" s="17">
        <v>114387.34999999999</v>
      </c>
      <c r="E890" s="17">
        <v>127622.25000000001</v>
      </c>
      <c r="F890" s="17">
        <v>146529.25</v>
      </c>
      <c r="G890" s="17">
        <v>173944.4</v>
      </c>
      <c r="H890" s="17">
        <v>173944.4</v>
      </c>
      <c r="I890" s="17">
        <v>173944.4</v>
      </c>
      <c r="J890" s="17">
        <v>173944.4</v>
      </c>
      <c r="K890" s="17">
        <v>193796.75000000003</v>
      </c>
      <c r="L890" s="17">
        <v>191906.05000000002</v>
      </c>
      <c r="M890" s="17">
        <v>191906.05000000002</v>
      </c>
      <c r="N890" s="17">
        <v>196632.80000000002</v>
      </c>
      <c r="O890" s="17">
        <v>196632.80000000002</v>
      </c>
      <c r="P890" s="17">
        <v>0</v>
      </c>
      <c r="Q890" s="17">
        <v>0</v>
      </c>
      <c r="R890" s="17">
        <v>0</v>
      </c>
      <c r="S890" s="17">
        <v>0</v>
      </c>
    </row>
    <row r="891" spans="1:19" ht="14.25">
      <c r="A891" s="23">
        <f t="shared" si="14"/>
        <v>890</v>
      </c>
      <c r="B891" s="18"/>
      <c r="C891" s="17">
        <v>0</v>
      </c>
      <c r="D891" s="17">
        <v>0</v>
      </c>
      <c r="E891" s="17">
        <v>0</v>
      </c>
      <c r="F891" s="17">
        <v>0</v>
      </c>
      <c r="G891" s="17">
        <v>0</v>
      </c>
      <c r="H891" s="17">
        <v>0</v>
      </c>
      <c r="I891" s="17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  <c r="P891" s="17">
        <v>0</v>
      </c>
      <c r="Q891" s="17">
        <v>0</v>
      </c>
      <c r="R891" s="17">
        <v>0</v>
      </c>
      <c r="S891" s="17">
        <v>82855</v>
      </c>
    </row>
    <row r="892" spans="1:19" ht="14.25">
      <c r="A892" s="23">
        <f t="shared" si="14"/>
        <v>891</v>
      </c>
      <c r="B892" s="18"/>
      <c r="C892" s="17">
        <v>0</v>
      </c>
      <c r="D892" s="17">
        <v>0</v>
      </c>
      <c r="E892" s="17">
        <v>0</v>
      </c>
      <c r="F892" s="17">
        <v>0</v>
      </c>
      <c r="G892" s="17">
        <v>0</v>
      </c>
      <c r="H892" s="17">
        <v>0</v>
      </c>
      <c r="I892" s="17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</row>
    <row r="893" spans="1:19" ht="14.25">
      <c r="A893" s="23">
        <f t="shared" si="14"/>
        <v>892</v>
      </c>
      <c r="B893" s="18"/>
      <c r="C893" s="17">
        <v>0</v>
      </c>
      <c r="D893" s="17">
        <v>0</v>
      </c>
      <c r="E893" s="17">
        <v>0</v>
      </c>
      <c r="F893" s="17">
        <v>0</v>
      </c>
      <c r="G893" s="17">
        <v>0</v>
      </c>
      <c r="H893" s="17">
        <v>0</v>
      </c>
      <c r="I893" s="17">
        <v>93805</v>
      </c>
      <c r="J893" s="17">
        <v>117256.25</v>
      </c>
      <c r="K893" s="17">
        <v>134141.15</v>
      </c>
      <c r="L893" s="17">
        <v>134141.15</v>
      </c>
      <c r="M893" s="17">
        <v>160406.54999999999</v>
      </c>
      <c r="N893" s="17">
        <v>166972.9</v>
      </c>
      <c r="O893" s="17">
        <v>186671.95</v>
      </c>
      <c r="P893" s="17">
        <v>211999.3</v>
      </c>
      <c r="Q893" s="17">
        <v>211999.3</v>
      </c>
      <c r="R893" s="17">
        <v>211999.3</v>
      </c>
      <c r="S893" s="17">
        <v>234512.5</v>
      </c>
    </row>
    <row r="894" spans="1:19" ht="14.25">
      <c r="A894" s="23">
        <f t="shared" si="14"/>
        <v>893</v>
      </c>
      <c r="B894" s="18"/>
      <c r="C894" s="17">
        <v>0</v>
      </c>
      <c r="D894" s="17">
        <v>0</v>
      </c>
      <c r="E894" s="17">
        <v>0</v>
      </c>
      <c r="F894" s="17">
        <v>77745</v>
      </c>
      <c r="G894" s="17">
        <v>73080.3</v>
      </c>
      <c r="H894" s="17">
        <v>94071.45</v>
      </c>
      <c r="I894" s="17">
        <v>113507.7</v>
      </c>
      <c r="J894" s="17">
        <v>113507.7</v>
      </c>
      <c r="K894" s="17">
        <v>121282.2</v>
      </c>
      <c r="L894" s="17">
        <v>129056.70000000001</v>
      </c>
      <c r="M894" s="17">
        <v>129056.70000000001</v>
      </c>
      <c r="N894" s="17">
        <v>118172.4</v>
      </c>
      <c r="O894" s="17">
        <v>129834.15</v>
      </c>
      <c r="P894" s="17">
        <v>114285.15</v>
      </c>
      <c r="Q894" s="17">
        <v>130611.59999999999</v>
      </c>
      <c r="R894" s="17">
        <v>122059.65</v>
      </c>
      <c r="S894" s="17">
        <v>134498.84999999998</v>
      </c>
    </row>
    <row r="895" spans="1:19" ht="14.25">
      <c r="A895" s="23">
        <f t="shared" si="14"/>
        <v>894</v>
      </c>
      <c r="B895" s="18"/>
      <c r="C895" s="17">
        <v>70080</v>
      </c>
      <c r="D895" s="17">
        <v>84096</v>
      </c>
      <c r="E895" s="17">
        <v>96710.399999999994</v>
      </c>
      <c r="F895" s="17">
        <v>96710.399999999994</v>
      </c>
      <c r="G895" s="17">
        <v>112828.79999999999</v>
      </c>
      <c r="H895" s="17">
        <v>131049.59999999999</v>
      </c>
      <c r="I895" s="17">
        <v>127545.59999999999</v>
      </c>
      <c r="J895" s="17">
        <v>119135.99999999999</v>
      </c>
      <c r="K895" s="17">
        <v>138758.39999999999</v>
      </c>
      <c r="L895" s="17">
        <v>153475.19999999998</v>
      </c>
      <c r="M895" s="17">
        <v>158380.79999999999</v>
      </c>
      <c r="N895" s="17">
        <v>176601.59999999998</v>
      </c>
      <c r="O895" s="17">
        <v>176601.59999999998</v>
      </c>
      <c r="P895" s="17">
        <v>193420.79999999999</v>
      </c>
      <c r="Q895" s="17">
        <v>208137.59999999998</v>
      </c>
      <c r="R895" s="17">
        <v>228460.79999999999</v>
      </c>
      <c r="S895" s="17">
        <v>228460.79999999999</v>
      </c>
    </row>
    <row r="896" spans="1:19" ht="14.25">
      <c r="A896" s="23">
        <f t="shared" si="14"/>
        <v>895</v>
      </c>
      <c r="B896" s="18"/>
      <c r="C896" s="17">
        <v>0</v>
      </c>
      <c r="D896" s="17">
        <v>0</v>
      </c>
      <c r="E896" s="17">
        <v>0</v>
      </c>
      <c r="F896" s="17">
        <v>0</v>
      </c>
      <c r="G896" s="17">
        <v>81760</v>
      </c>
      <c r="H896" s="17">
        <v>67043.200000000012</v>
      </c>
      <c r="I896" s="17">
        <v>74401.600000000006</v>
      </c>
      <c r="J896" s="17">
        <v>92388.800000000003</v>
      </c>
      <c r="K896" s="17">
        <v>107105.60000000001</v>
      </c>
      <c r="L896" s="17">
        <v>116099.20000000001</v>
      </c>
      <c r="M896" s="17">
        <v>129180.8</v>
      </c>
      <c r="N896" s="17">
        <v>127545.60000000001</v>
      </c>
      <c r="O896" s="17">
        <v>150438.39999999999</v>
      </c>
      <c r="P896" s="17">
        <v>134086.40000000002</v>
      </c>
      <c r="Q896" s="17">
        <v>143897.60000000001</v>
      </c>
      <c r="R896" s="17">
        <v>152073.60000000003</v>
      </c>
      <c r="S896" s="17">
        <v>138174.40000000002</v>
      </c>
    </row>
    <row r="897" spans="1:19" ht="14.25">
      <c r="A897" s="23">
        <f t="shared" si="14"/>
        <v>896</v>
      </c>
      <c r="B897" s="18"/>
      <c r="C897" s="17">
        <v>90155</v>
      </c>
      <c r="D897" s="17">
        <v>74828.649999999994</v>
      </c>
      <c r="E897" s="17">
        <v>90155</v>
      </c>
      <c r="F897" s="17">
        <v>97367.400000000009</v>
      </c>
      <c r="G897" s="17">
        <v>119004.6</v>
      </c>
      <c r="H897" s="17">
        <v>141543.35</v>
      </c>
      <c r="I897" s="17">
        <v>141543.35</v>
      </c>
      <c r="J897" s="17">
        <v>147854.20000000001</v>
      </c>
      <c r="K897" s="17">
        <v>147854.20000000001</v>
      </c>
      <c r="L897" s="17">
        <v>147854.20000000001</v>
      </c>
      <c r="M897" s="17">
        <v>147854.20000000001</v>
      </c>
      <c r="N897" s="17">
        <v>147854.20000000001</v>
      </c>
      <c r="O897" s="17">
        <v>147854.20000000001</v>
      </c>
      <c r="P897" s="17">
        <v>162279</v>
      </c>
      <c r="Q897" s="17">
        <v>149657.30000000002</v>
      </c>
      <c r="R897" s="17">
        <v>155968.15000000002</v>
      </c>
      <c r="S897" s="17">
        <v>183014.65000000002</v>
      </c>
    </row>
    <row r="898" spans="1:19" ht="14.25">
      <c r="A898" s="23">
        <f t="shared" si="14"/>
        <v>897</v>
      </c>
      <c r="B898" s="18"/>
      <c r="C898" s="17">
        <v>0</v>
      </c>
      <c r="D898" s="17">
        <v>0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93805</v>
      </c>
      <c r="O898" s="17">
        <v>109751.84999999999</v>
      </c>
      <c r="P898" s="17">
        <v>118194.3</v>
      </c>
      <c r="Q898" s="17">
        <v>141645.54999999999</v>
      </c>
      <c r="R898" s="17">
        <v>157592.4</v>
      </c>
      <c r="S898" s="17">
        <v>167910.95</v>
      </c>
    </row>
    <row r="899" spans="1:19" ht="14.25">
      <c r="A899" s="23">
        <f t="shared" ref="A899:A962" si="15">+A898+1</f>
        <v>898</v>
      </c>
      <c r="B899" s="18"/>
      <c r="C899" s="17">
        <v>86505</v>
      </c>
      <c r="D899" s="17">
        <v>99480.749999999985</v>
      </c>
      <c r="E899" s="17">
        <v>99480.749999999985</v>
      </c>
      <c r="F899" s="17">
        <v>99480.749999999985</v>
      </c>
      <c r="G899" s="17">
        <v>109861.35</v>
      </c>
      <c r="H899" s="17">
        <v>126297.3</v>
      </c>
      <c r="I899" s="17">
        <v>126297.3</v>
      </c>
      <c r="J899" s="17">
        <v>114186.59999999999</v>
      </c>
      <c r="K899" s="17">
        <v>114186.59999999999</v>
      </c>
      <c r="L899" s="17">
        <v>122837.09999999999</v>
      </c>
      <c r="M899" s="17">
        <v>136677.9</v>
      </c>
      <c r="N899" s="17">
        <v>136677.9</v>
      </c>
      <c r="O899" s="17">
        <v>135812.84999999998</v>
      </c>
      <c r="P899" s="17">
        <v>141868.19999999998</v>
      </c>
      <c r="Q899" s="17">
        <v>166089.60000000001</v>
      </c>
      <c r="R899" s="17">
        <v>178200.30000000002</v>
      </c>
      <c r="S899" s="17">
        <v>183390.6</v>
      </c>
    </row>
    <row r="900" spans="1:19" ht="14.25">
      <c r="A900" s="23">
        <f t="shared" si="15"/>
        <v>899</v>
      </c>
      <c r="B900" s="18"/>
      <c r="C900" s="17">
        <v>0</v>
      </c>
      <c r="D900" s="17">
        <v>0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95630</v>
      </c>
    </row>
    <row r="901" spans="1:19" ht="14.25">
      <c r="A901" s="23">
        <f t="shared" si="15"/>
        <v>900</v>
      </c>
      <c r="B901" s="18"/>
      <c r="C901" s="17">
        <v>66430</v>
      </c>
      <c r="D901" s="17">
        <v>77723.099999999991</v>
      </c>
      <c r="E901" s="17">
        <v>77723.099999999991</v>
      </c>
      <c r="F901" s="17">
        <v>77723.099999999991</v>
      </c>
      <c r="G901" s="17">
        <v>93002</v>
      </c>
      <c r="H901" s="17">
        <v>97652.099999999991</v>
      </c>
      <c r="I901" s="17">
        <v>111602.4</v>
      </c>
      <c r="J901" s="17">
        <v>119573.99999999999</v>
      </c>
      <c r="K901" s="17">
        <v>130202.79999999999</v>
      </c>
      <c r="L901" s="17">
        <v>135517.19999999998</v>
      </c>
      <c r="M901" s="17">
        <v>146145.99999999997</v>
      </c>
      <c r="N901" s="17">
        <v>141495.9</v>
      </c>
      <c r="O901" s="17">
        <v>149467.5</v>
      </c>
      <c r="P901" s="17">
        <v>167403.6</v>
      </c>
      <c r="Q901" s="17">
        <v>0</v>
      </c>
      <c r="R901" s="17">
        <v>0</v>
      </c>
      <c r="S901" s="17">
        <v>0</v>
      </c>
    </row>
    <row r="902" spans="1:19" ht="14.25">
      <c r="A902" s="23">
        <f t="shared" si="15"/>
        <v>901</v>
      </c>
      <c r="B902" s="18"/>
      <c r="C902" s="17">
        <v>0</v>
      </c>
      <c r="D902" s="17">
        <v>0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67525</v>
      </c>
      <c r="Q902" s="17">
        <v>85081.5</v>
      </c>
      <c r="R902" s="17">
        <v>85081.5</v>
      </c>
      <c r="S902" s="17">
        <v>98586.5</v>
      </c>
    </row>
    <row r="903" spans="1:19" ht="14.25">
      <c r="A903" s="23">
        <f t="shared" si="15"/>
        <v>902</v>
      </c>
      <c r="B903" s="18"/>
      <c r="C903" s="17">
        <v>0</v>
      </c>
      <c r="D903" s="17">
        <v>0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70080</v>
      </c>
      <c r="R903" s="17">
        <v>70080</v>
      </c>
      <c r="S903" s="17">
        <v>86899.199999999997</v>
      </c>
    </row>
    <row r="904" spans="1:19" ht="14.25">
      <c r="A904" s="23">
        <f t="shared" si="15"/>
        <v>903</v>
      </c>
      <c r="B904" s="18"/>
      <c r="C904" s="17">
        <v>0</v>
      </c>
      <c r="D904" s="17">
        <v>0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65700</v>
      </c>
      <c r="Q904" s="17">
        <v>59130</v>
      </c>
      <c r="R904" s="17">
        <v>59130</v>
      </c>
      <c r="S904" s="17">
        <v>74241.000000000015</v>
      </c>
    </row>
    <row r="905" spans="1:19" ht="14.25">
      <c r="A905" s="23">
        <f t="shared" si="15"/>
        <v>904</v>
      </c>
      <c r="B905" s="18"/>
      <c r="C905" s="17">
        <v>100375</v>
      </c>
      <c r="D905" s="17">
        <v>0</v>
      </c>
      <c r="E905" s="17">
        <v>0</v>
      </c>
      <c r="F905" s="17">
        <v>0</v>
      </c>
      <c r="G905" s="17">
        <v>0</v>
      </c>
      <c r="H905" s="17">
        <v>0</v>
      </c>
      <c r="I905" s="17">
        <v>0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</row>
    <row r="906" spans="1:19" ht="14.25">
      <c r="A906" s="23">
        <f t="shared" si="15"/>
        <v>905</v>
      </c>
      <c r="B906" s="18"/>
      <c r="C906" s="17">
        <v>0</v>
      </c>
      <c r="D906" s="17">
        <v>0</v>
      </c>
      <c r="E906" s="17">
        <v>0</v>
      </c>
      <c r="F906" s="17">
        <v>0</v>
      </c>
      <c r="G906" s="17">
        <v>0</v>
      </c>
      <c r="H906" s="17">
        <v>100375</v>
      </c>
      <c r="I906" s="17">
        <v>83311.25</v>
      </c>
      <c r="J906" s="17">
        <v>83311.25</v>
      </c>
      <c r="K906" s="17">
        <v>106397.5</v>
      </c>
      <c r="L906" s="17">
        <v>132495</v>
      </c>
      <c r="M906" s="17">
        <v>139521.25</v>
      </c>
      <c r="N906" s="17">
        <v>139521.25</v>
      </c>
      <c r="O906" s="17">
        <v>120450.00000000001</v>
      </c>
      <c r="P906" s="17">
        <v>142532.50000000003</v>
      </c>
      <c r="Q906" s="17">
        <v>154577.5</v>
      </c>
      <c r="R906" s="17">
        <v>170637.5</v>
      </c>
      <c r="S906" s="17">
        <v>190712.5</v>
      </c>
    </row>
    <row r="907" spans="1:19" ht="14.25">
      <c r="A907" s="23">
        <f t="shared" si="15"/>
        <v>906</v>
      </c>
      <c r="B907" s="18"/>
      <c r="C907" s="17">
        <v>0</v>
      </c>
      <c r="D907" s="17">
        <v>86140</v>
      </c>
      <c r="E907" s="17">
        <v>103368</v>
      </c>
      <c r="F907" s="17">
        <v>111982</v>
      </c>
      <c r="G907" s="17">
        <v>136962.6</v>
      </c>
      <c r="H907" s="17">
        <v>119734.6</v>
      </c>
      <c r="I907" s="17">
        <v>139546.80000000002</v>
      </c>
      <c r="J907" s="17">
        <v>160220.4</v>
      </c>
      <c r="K907" s="17">
        <v>155913.4</v>
      </c>
      <c r="L907" s="17">
        <v>171418.6</v>
      </c>
      <c r="M907" s="17">
        <v>171418.6</v>
      </c>
      <c r="N907" s="17">
        <v>169695.8</v>
      </c>
      <c r="O907" s="17">
        <v>182616.80000000002</v>
      </c>
      <c r="P907" s="17">
        <v>201567.60000000003</v>
      </c>
      <c r="Q907" s="17">
        <v>208458.80000000005</v>
      </c>
      <c r="R907" s="17">
        <v>201567.60000000003</v>
      </c>
      <c r="S907" s="17">
        <v>218795.60000000003</v>
      </c>
    </row>
    <row r="908" spans="1:19" ht="14.25">
      <c r="A908" s="23">
        <f t="shared" si="15"/>
        <v>907</v>
      </c>
      <c r="B908" s="18"/>
      <c r="C908" s="17">
        <v>0</v>
      </c>
      <c r="D908" s="17">
        <v>85045</v>
      </c>
      <c r="E908" s="17">
        <v>85045</v>
      </c>
      <c r="F908" s="17">
        <v>95250.400000000009</v>
      </c>
      <c r="G908" s="17">
        <v>95250.400000000009</v>
      </c>
      <c r="H908" s="17">
        <v>95250.400000000009</v>
      </c>
      <c r="I908" s="17">
        <v>113109.85</v>
      </c>
      <c r="J908" s="17">
        <v>113109.85</v>
      </c>
      <c r="K908" s="17">
        <v>136072</v>
      </c>
      <c r="L908" s="17">
        <v>136072</v>
      </c>
      <c r="M908" s="17">
        <v>133520.65</v>
      </c>
      <c r="N908" s="17">
        <v>137772.90000000002</v>
      </c>
      <c r="O908" s="17">
        <v>161585.5</v>
      </c>
      <c r="P908" s="17">
        <v>181996.30000000002</v>
      </c>
      <c r="Q908" s="17">
        <v>194753.05000000002</v>
      </c>
      <c r="R908" s="17">
        <v>199855.75</v>
      </c>
      <c r="S908" s="17">
        <v>210061.15000000002</v>
      </c>
    </row>
    <row r="909" spans="1:19" ht="14.25">
      <c r="A909" s="23">
        <f t="shared" si="15"/>
        <v>908</v>
      </c>
      <c r="B909" s="18"/>
      <c r="C909" s="17">
        <v>89425</v>
      </c>
      <c r="D909" s="17">
        <v>77799.75</v>
      </c>
      <c r="E909" s="17">
        <v>77799.75</v>
      </c>
      <c r="F909" s="17">
        <v>61703.249999999993</v>
      </c>
      <c r="G909" s="17">
        <v>61703.249999999993</v>
      </c>
      <c r="H909" s="17">
        <v>54549.25</v>
      </c>
      <c r="I909" s="17">
        <v>67963</v>
      </c>
      <c r="J909" s="17">
        <v>75117</v>
      </c>
      <c r="K909" s="17">
        <v>99261.749999999985</v>
      </c>
      <c r="L909" s="17">
        <v>98367.499999999985</v>
      </c>
      <c r="M909" s="17">
        <v>113569.74999999999</v>
      </c>
      <c r="N909" s="17">
        <v>136820.24999999997</v>
      </c>
      <c r="O909" s="17">
        <v>135031.74999999997</v>
      </c>
      <c r="P909" s="17">
        <v>131454.74999999997</v>
      </c>
      <c r="Q909" s="17">
        <v>151128.24999999997</v>
      </c>
      <c r="R909" s="17">
        <v>176167.24999999997</v>
      </c>
      <c r="S909" s="17">
        <v>194052.25</v>
      </c>
    </row>
    <row r="910" spans="1:19" ht="14.25">
      <c r="A910" s="23">
        <f t="shared" si="15"/>
        <v>909</v>
      </c>
      <c r="B910" s="18"/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75555</v>
      </c>
      <c r="J910" s="17">
        <v>75555</v>
      </c>
      <c r="K910" s="17">
        <v>72532.800000000003</v>
      </c>
      <c r="L910" s="17">
        <v>72532.800000000003</v>
      </c>
      <c r="M910" s="17">
        <v>72532.800000000003</v>
      </c>
      <c r="N910" s="17">
        <v>82354.949999999983</v>
      </c>
      <c r="O910" s="17">
        <v>82354.949999999983</v>
      </c>
      <c r="P910" s="17">
        <v>89910.45</v>
      </c>
      <c r="Q910" s="17">
        <v>80088.3</v>
      </c>
      <c r="R910" s="17">
        <v>92177.099999999991</v>
      </c>
      <c r="S910" s="17">
        <v>82354.949999999983</v>
      </c>
    </row>
    <row r="911" spans="1:19" ht="14.25">
      <c r="A911" s="23">
        <f t="shared" si="15"/>
        <v>910</v>
      </c>
      <c r="B911" s="18"/>
      <c r="C911" s="17">
        <v>0</v>
      </c>
      <c r="D911" s="17">
        <v>0</v>
      </c>
      <c r="E911" s="17">
        <v>0</v>
      </c>
      <c r="F911" s="17">
        <v>0</v>
      </c>
      <c r="G911" s="17">
        <v>0</v>
      </c>
      <c r="H911" s="17">
        <v>0</v>
      </c>
      <c r="I911" s="17">
        <v>0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99280</v>
      </c>
      <c r="S911" s="17">
        <v>111193.60000000001</v>
      </c>
    </row>
    <row r="912" spans="1:19" ht="14.25">
      <c r="A912" s="23">
        <f t="shared" si="15"/>
        <v>911</v>
      </c>
      <c r="B912" s="18"/>
      <c r="C912" s="17">
        <v>101105</v>
      </c>
      <c r="D912" s="17">
        <v>92005.55</v>
      </c>
      <c r="E912" s="17">
        <v>92005.55</v>
      </c>
      <c r="F912" s="17">
        <v>90994.5</v>
      </c>
      <c r="G912" s="17">
        <v>89983.45</v>
      </c>
      <c r="H912" s="17">
        <v>117281.80000000002</v>
      </c>
      <c r="I912" s="17">
        <v>143569.1</v>
      </c>
      <c r="J912" s="17">
        <v>162779.05000000002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</row>
    <row r="913" spans="1:19" ht="14.25">
      <c r="A913" s="23">
        <f t="shared" si="15"/>
        <v>912</v>
      </c>
      <c r="B913" s="18"/>
      <c r="C913" s="17">
        <v>96360</v>
      </c>
      <c r="D913" s="17">
        <v>116595.59999999999</v>
      </c>
      <c r="E913" s="17">
        <v>127195.20000000001</v>
      </c>
      <c r="F913" s="17">
        <v>116595.59999999999</v>
      </c>
      <c r="G913" s="17">
        <v>140685.6</v>
      </c>
      <c r="H913" s="17">
        <v>158030.39999999999</v>
      </c>
      <c r="I913" s="17">
        <v>151285.19999999998</v>
      </c>
      <c r="J913" s="17">
        <v>146467.19999999998</v>
      </c>
      <c r="K913" s="17">
        <v>170557.19999999998</v>
      </c>
      <c r="L913" s="17">
        <v>161884.79999999996</v>
      </c>
      <c r="M913" s="17">
        <v>143576.39999999997</v>
      </c>
      <c r="N913" s="17">
        <v>156103.19999999995</v>
      </c>
      <c r="O913" s="17">
        <v>149357.99999999997</v>
      </c>
      <c r="P913" s="17">
        <v>177302.39999999997</v>
      </c>
      <c r="Q913" s="17">
        <v>196574.39999999997</v>
      </c>
      <c r="R913" s="17">
        <v>224518.79999999996</v>
      </c>
      <c r="S913" s="17">
        <v>249572.4</v>
      </c>
    </row>
    <row r="914" spans="1:19" ht="14.25">
      <c r="A914" s="23">
        <f t="shared" si="15"/>
        <v>913</v>
      </c>
      <c r="B914" s="18"/>
      <c r="C914" s="17">
        <v>98185</v>
      </c>
      <c r="D914" s="17">
        <v>112912.74999999999</v>
      </c>
      <c r="E914" s="17">
        <v>98184.999999999985</v>
      </c>
      <c r="F914" s="17">
        <v>109967.19999999998</v>
      </c>
      <c r="G914" s="17">
        <v>129604.19999999998</v>
      </c>
      <c r="H914" s="17">
        <v>129604.19999999998</v>
      </c>
      <c r="I914" s="17">
        <v>146295.64999999997</v>
      </c>
      <c r="J914" s="17">
        <v>127640.49999999999</v>
      </c>
      <c r="K914" s="17">
        <v>127640.49999999999</v>
      </c>
      <c r="L914" s="17">
        <v>127640.49999999999</v>
      </c>
      <c r="M914" s="17">
        <v>148259.34999999998</v>
      </c>
      <c r="N914" s="17">
        <v>154150.44999999998</v>
      </c>
      <c r="O914" s="17">
        <v>179678.55</v>
      </c>
      <c r="P914" s="17">
        <v>179678.55</v>
      </c>
      <c r="Q914" s="17">
        <v>198333.7</v>
      </c>
      <c r="R914" s="17">
        <v>225825.49999999997</v>
      </c>
      <c r="S914" s="17">
        <v>254299.15</v>
      </c>
    </row>
    <row r="915" spans="1:19" ht="14.25">
      <c r="A915" s="23">
        <f t="shared" si="15"/>
        <v>914</v>
      </c>
      <c r="B915" s="18"/>
      <c r="C915" s="17">
        <v>0</v>
      </c>
      <c r="D915" s="17">
        <v>0</v>
      </c>
      <c r="E915" s="17">
        <v>0</v>
      </c>
      <c r="F915" s="17">
        <v>0</v>
      </c>
      <c r="G915" s="17">
        <v>0</v>
      </c>
      <c r="H915" s="17">
        <v>0</v>
      </c>
      <c r="I915" s="17">
        <v>0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69350</v>
      </c>
      <c r="R915" s="17">
        <v>88768</v>
      </c>
      <c r="S915" s="17">
        <v>104025</v>
      </c>
    </row>
    <row r="916" spans="1:19" ht="14.25">
      <c r="A916" s="23">
        <f t="shared" si="15"/>
        <v>915</v>
      </c>
      <c r="B916" s="18"/>
      <c r="C916" s="17">
        <v>0</v>
      </c>
      <c r="D916" s="17">
        <v>0</v>
      </c>
      <c r="E916" s="17">
        <v>0</v>
      </c>
      <c r="F916" s="17">
        <v>0</v>
      </c>
      <c r="G916" s="17">
        <v>102200</v>
      </c>
      <c r="H916" s="17">
        <v>127750</v>
      </c>
      <c r="I916" s="17">
        <v>127750</v>
      </c>
      <c r="J916" s="17">
        <v>156366</v>
      </c>
      <c r="K916" s="17">
        <v>179872</v>
      </c>
      <c r="L916" s="17">
        <v>191114</v>
      </c>
      <c r="M916" s="17">
        <v>201334.00000000003</v>
      </c>
      <c r="N916" s="17">
        <v>224840.00000000003</v>
      </c>
      <c r="O916" s="17">
        <v>248346.00000000003</v>
      </c>
      <c r="P916" s="17">
        <v>248346.00000000003</v>
      </c>
      <c r="Q916" s="17">
        <v>276962</v>
      </c>
      <c r="R916" s="17">
        <v>276962</v>
      </c>
      <c r="S916" s="17">
        <v>276962</v>
      </c>
    </row>
    <row r="917" spans="1:19" ht="14.25">
      <c r="A917" s="23">
        <f t="shared" si="15"/>
        <v>916</v>
      </c>
      <c r="B917" s="18"/>
      <c r="C917" s="17">
        <v>0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81395</v>
      </c>
    </row>
    <row r="918" spans="1:19" ht="14.25">
      <c r="A918" s="23">
        <f t="shared" si="15"/>
        <v>917</v>
      </c>
      <c r="B918" s="18"/>
      <c r="C918" s="17">
        <v>84680</v>
      </c>
      <c r="D918" s="17">
        <v>92301.200000000012</v>
      </c>
      <c r="E918" s="17">
        <v>92301.200000000012</v>
      </c>
      <c r="F918" s="17">
        <v>0</v>
      </c>
      <c r="G918" s="17">
        <v>0</v>
      </c>
      <c r="H918" s="17">
        <v>0</v>
      </c>
      <c r="I918" s="17">
        <v>0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</row>
    <row r="919" spans="1:19" ht="14.25">
      <c r="A919" s="23">
        <f t="shared" si="15"/>
        <v>918</v>
      </c>
      <c r="B919" s="18"/>
      <c r="C919" s="17">
        <v>0</v>
      </c>
      <c r="D919" s="17">
        <v>0</v>
      </c>
      <c r="E919" s="17">
        <v>86870</v>
      </c>
      <c r="F919" s="17">
        <v>96425.700000000012</v>
      </c>
      <c r="G919" s="17">
        <v>115537.1</v>
      </c>
      <c r="H919" s="17">
        <v>133779.80000000002</v>
      </c>
      <c r="I919" s="17">
        <v>133779.80000000002</v>
      </c>
      <c r="J919" s="17">
        <v>147679</v>
      </c>
      <c r="K919" s="17">
        <v>147679</v>
      </c>
      <c r="L919" s="17">
        <v>165921.69999999998</v>
      </c>
      <c r="M919" s="17">
        <v>161578.19999999998</v>
      </c>
      <c r="N919" s="17">
        <v>161578.19999999998</v>
      </c>
      <c r="O919" s="17">
        <v>161578.19999999998</v>
      </c>
      <c r="P919" s="17">
        <v>161578.19999999998</v>
      </c>
      <c r="Q919" s="17">
        <v>172871.3</v>
      </c>
      <c r="R919" s="17">
        <v>0</v>
      </c>
      <c r="S919" s="17">
        <v>0</v>
      </c>
    </row>
    <row r="920" spans="1:19" ht="14.25">
      <c r="A920" s="23">
        <f t="shared" si="15"/>
        <v>919</v>
      </c>
      <c r="B920" s="18"/>
      <c r="C920" s="17">
        <v>0</v>
      </c>
      <c r="D920" s="17">
        <v>0</v>
      </c>
      <c r="E920" s="17">
        <v>0</v>
      </c>
      <c r="F920" s="17">
        <v>0</v>
      </c>
      <c r="G920" s="17">
        <v>0</v>
      </c>
      <c r="H920" s="17">
        <v>0</v>
      </c>
      <c r="I920" s="17">
        <v>0</v>
      </c>
      <c r="J920" s="17">
        <v>97455</v>
      </c>
      <c r="K920" s="17">
        <v>126691.5</v>
      </c>
      <c r="L920" s="17">
        <v>123767.85</v>
      </c>
      <c r="M920" s="17">
        <v>110124.15</v>
      </c>
      <c r="N920" s="17">
        <v>132538.79999999999</v>
      </c>
      <c r="O920" s="17">
        <v>132538.79999999999</v>
      </c>
      <c r="P920" s="17">
        <v>132538.79999999999</v>
      </c>
      <c r="Q920" s="17">
        <v>132538.79999999999</v>
      </c>
      <c r="R920" s="17">
        <v>153978.9</v>
      </c>
      <c r="S920" s="17">
        <v>172495.34999999998</v>
      </c>
    </row>
    <row r="921" spans="1:19" ht="14.25">
      <c r="A921" s="23">
        <f t="shared" si="15"/>
        <v>920</v>
      </c>
      <c r="B921" s="18"/>
      <c r="C921" s="17">
        <v>0</v>
      </c>
      <c r="D921" s="17">
        <v>0</v>
      </c>
      <c r="E921" s="17">
        <v>0</v>
      </c>
      <c r="F921" s="17">
        <v>0</v>
      </c>
      <c r="G921" s="17">
        <v>0</v>
      </c>
      <c r="H921" s="17">
        <v>0</v>
      </c>
      <c r="I921" s="17">
        <v>0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77380</v>
      </c>
      <c r="R921" s="17">
        <v>95951.2</v>
      </c>
      <c r="S921" s="17">
        <v>113748.59999999999</v>
      </c>
    </row>
    <row r="922" spans="1:19" ht="14.25">
      <c r="A922" s="23">
        <f t="shared" si="15"/>
        <v>921</v>
      </c>
      <c r="B922" s="18"/>
      <c r="C922" s="17">
        <v>0</v>
      </c>
      <c r="D922" s="17">
        <v>0</v>
      </c>
      <c r="E922" s="17">
        <v>71175</v>
      </c>
      <c r="F922" s="17">
        <v>71175</v>
      </c>
      <c r="G922" s="17">
        <v>74733.75</v>
      </c>
      <c r="H922" s="17">
        <v>93951</v>
      </c>
      <c r="I922" s="17">
        <v>103203.75000000001</v>
      </c>
      <c r="J922" s="17">
        <v>91815.750000000015</v>
      </c>
      <c r="K922" s="17">
        <v>95374.500000000015</v>
      </c>
      <c r="L922" s="17">
        <v>101780.25000000003</v>
      </c>
      <c r="M922" s="17">
        <v>105339.00000000003</v>
      </c>
      <c r="N922" s="17">
        <v>121709.25000000003</v>
      </c>
      <c r="O922" s="17">
        <v>135944.25000000003</v>
      </c>
      <c r="P922" s="17">
        <v>154449.75000000003</v>
      </c>
      <c r="Q922" s="17">
        <v>150179.25000000003</v>
      </c>
      <c r="R922" s="17">
        <v>155161.5</v>
      </c>
      <c r="S922" s="17">
        <v>172955.25</v>
      </c>
    </row>
    <row r="923" spans="1:19" ht="14.25">
      <c r="A923" s="23">
        <f t="shared" si="15"/>
        <v>922</v>
      </c>
      <c r="B923" s="18"/>
      <c r="C923" s="17">
        <v>0</v>
      </c>
      <c r="D923" s="17">
        <v>0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74095</v>
      </c>
      <c r="O923" s="17">
        <v>74095</v>
      </c>
      <c r="P923" s="17">
        <v>89654.95</v>
      </c>
      <c r="Q923" s="17">
        <v>108178.7</v>
      </c>
      <c r="R923" s="17">
        <v>107437.75</v>
      </c>
      <c r="S923" s="17">
        <v>106696.8</v>
      </c>
    </row>
    <row r="924" spans="1:19" ht="14.25">
      <c r="A924" s="23">
        <f t="shared" si="15"/>
        <v>923</v>
      </c>
      <c r="B924" s="18"/>
      <c r="C924" s="17">
        <v>0</v>
      </c>
      <c r="D924" s="17">
        <v>0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84680</v>
      </c>
      <c r="L924" s="17">
        <v>92301.200000000012</v>
      </c>
      <c r="M924" s="17">
        <v>99922.400000000009</v>
      </c>
      <c r="N924" s="17">
        <v>114318.00000000001</v>
      </c>
      <c r="O924" s="17">
        <v>114318.00000000001</v>
      </c>
      <c r="P924" s="17">
        <v>121939.20000000001</v>
      </c>
      <c r="Q924" s="17">
        <v>121939.20000000001</v>
      </c>
      <c r="R924" s="17">
        <v>129560.40000000002</v>
      </c>
      <c r="S924" s="17">
        <v>154964.40000000002</v>
      </c>
    </row>
    <row r="925" spans="1:19" ht="14.25">
      <c r="A925" s="23">
        <f t="shared" si="15"/>
        <v>924</v>
      </c>
      <c r="B925" s="18"/>
      <c r="C925" s="17">
        <v>0</v>
      </c>
      <c r="D925" s="17">
        <v>0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101835</v>
      </c>
      <c r="Q925" s="17">
        <v>101835</v>
      </c>
      <c r="R925" s="17">
        <v>132385.5</v>
      </c>
      <c r="S925" s="17">
        <v>132385.5</v>
      </c>
    </row>
    <row r="926" spans="1:19" ht="14.25">
      <c r="A926" s="23">
        <f t="shared" si="15"/>
        <v>925</v>
      </c>
      <c r="B926" s="18"/>
      <c r="C926" s="17">
        <v>0</v>
      </c>
      <c r="D926" s="17">
        <v>0</v>
      </c>
      <c r="E926" s="17">
        <v>98185</v>
      </c>
      <c r="F926" s="17">
        <v>88366.5</v>
      </c>
      <c r="G926" s="17">
        <v>115858.30000000002</v>
      </c>
      <c r="H926" s="17">
        <v>129604.20000000003</v>
      </c>
      <c r="I926" s="17">
        <v>124694.95000000003</v>
      </c>
      <c r="J926" s="17">
        <v>124694.95000000003</v>
      </c>
      <c r="K926" s="17">
        <v>132549.75000000003</v>
      </c>
      <c r="L926" s="17">
        <v>123713.10000000002</v>
      </c>
      <c r="M926" s="17">
        <v>151204.90000000002</v>
      </c>
      <c r="N926" s="17">
        <v>167896.35</v>
      </c>
      <c r="O926" s="17">
        <v>189497.05000000002</v>
      </c>
      <c r="P926" s="17">
        <v>202261.1</v>
      </c>
      <c r="Q926" s="17">
        <v>202261.1</v>
      </c>
      <c r="R926" s="17">
        <v>202261.1</v>
      </c>
      <c r="S926" s="17">
        <v>231716.59999999998</v>
      </c>
    </row>
    <row r="927" spans="1:19" ht="14.25">
      <c r="A927" s="23">
        <f t="shared" si="15"/>
        <v>926</v>
      </c>
      <c r="B927" s="18"/>
      <c r="C927" s="17">
        <v>0</v>
      </c>
      <c r="D927" s="17">
        <v>0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81030</v>
      </c>
      <c r="Q927" s="17">
        <v>93184.5</v>
      </c>
      <c r="R927" s="17">
        <v>89132.999999999985</v>
      </c>
      <c r="S927" s="17">
        <v>89132.999999999985</v>
      </c>
    </row>
    <row r="928" spans="1:19" ht="14.25">
      <c r="A928" s="23">
        <f t="shared" si="15"/>
        <v>927</v>
      </c>
      <c r="B928" s="18"/>
      <c r="C928" s="17">
        <v>0</v>
      </c>
      <c r="D928" s="17">
        <v>0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67525</v>
      </c>
      <c r="R928" s="17">
        <v>87107.25</v>
      </c>
      <c r="S928" s="17">
        <v>96560.750000000015</v>
      </c>
    </row>
    <row r="929" spans="1:19" ht="14.25">
      <c r="A929" s="23">
        <f t="shared" si="15"/>
        <v>928</v>
      </c>
      <c r="B929" s="18"/>
      <c r="C929" s="17">
        <v>0</v>
      </c>
      <c r="D929" s="17">
        <v>0</v>
      </c>
      <c r="E929" s="17">
        <v>86505</v>
      </c>
      <c r="F929" s="17">
        <v>97750.65</v>
      </c>
      <c r="G929" s="17">
        <v>108131.25</v>
      </c>
      <c r="H929" s="17">
        <v>108131.25</v>
      </c>
      <c r="I929" s="17">
        <v>99480.749999999985</v>
      </c>
      <c r="J929" s="17">
        <v>105536.09999999999</v>
      </c>
      <c r="K929" s="17">
        <v>128027.4</v>
      </c>
      <c r="L929" s="17">
        <v>145328.4</v>
      </c>
      <c r="M929" s="17">
        <v>159169.19999999998</v>
      </c>
      <c r="N929" s="17">
        <v>146193.44999999998</v>
      </c>
      <c r="O929" s="17">
        <v>161764.34999999998</v>
      </c>
      <c r="P929" s="17">
        <v>182525.55</v>
      </c>
      <c r="Q929" s="17">
        <v>202421.69999999998</v>
      </c>
      <c r="R929" s="17">
        <v>202421.69999999998</v>
      </c>
      <c r="S929" s="17">
        <v>223182.9</v>
      </c>
    </row>
    <row r="930" spans="1:19" ht="14.25">
      <c r="A930" s="23">
        <f t="shared" si="15"/>
        <v>929</v>
      </c>
      <c r="B930" s="18"/>
      <c r="C930" s="17">
        <v>73000</v>
      </c>
      <c r="D930" s="17">
        <v>93440</v>
      </c>
      <c r="E930" s="17">
        <v>98550</v>
      </c>
      <c r="F930" s="17">
        <v>108770.00000000001</v>
      </c>
      <c r="G930" s="17">
        <v>108770.00000000001</v>
      </c>
      <c r="H930" s="17">
        <v>108770.00000000001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</row>
    <row r="931" spans="1:19" ht="14.25">
      <c r="A931" s="23">
        <f t="shared" si="15"/>
        <v>930</v>
      </c>
      <c r="B931" s="18"/>
      <c r="C931" s="17">
        <v>0</v>
      </c>
      <c r="D931" s="17">
        <v>0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87235</v>
      </c>
      <c r="Q931" s="17">
        <v>109043.75</v>
      </c>
      <c r="R931" s="17">
        <v>126490.75</v>
      </c>
      <c r="S931" s="17">
        <v>136086.6</v>
      </c>
    </row>
    <row r="932" spans="1:19" ht="14.25">
      <c r="A932" s="23">
        <f t="shared" si="15"/>
        <v>931</v>
      </c>
      <c r="B932" s="18"/>
      <c r="C932" s="17">
        <v>0</v>
      </c>
      <c r="D932" s="17">
        <v>0</v>
      </c>
      <c r="E932" s="17">
        <v>0</v>
      </c>
      <c r="F932" s="17">
        <v>0</v>
      </c>
      <c r="G932" s="17">
        <v>0</v>
      </c>
      <c r="H932" s="17">
        <v>0</v>
      </c>
      <c r="I932" s="17">
        <v>0</v>
      </c>
      <c r="J932" s="17">
        <v>0</v>
      </c>
      <c r="K932" s="17">
        <v>0</v>
      </c>
      <c r="L932" s="17">
        <v>0</v>
      </c>
      <c r="M932" s="17">
        <v>0</v>
      </c>
      <c r="N932" s="17">
        <v>80665</v>
      </c>
      <c r="O932" s="17">
        <v>96798</v>
      </c>
      <c r="P932" s="17">
        <v>96798</v>
      </c>
      <c r="Q932" s="17">
        <v>94378.049999999988</v>
      </c>
      <c r="R932" s="17">
        <v>105671.15000000001</v>
      </c>
      <c r="S932" s="17">
        <v>98411.3</v>
      </c>
    </row>
    <row r="933" spans="1:19" ht="14.25">
      <c r="A933" s="23">
        <f t="shared" si="15"/>
        <v>932</v>
      </c>
      <c r="B933" s="18"/>
      <c r="C933" s="17">
        <v>0</v>
      </c>
      <c r="D933" s="17">
        <v>0</v>
      </c>
      <c r="E933" s="17">
        <v>0</v>
      </c>
      <c r="F933" s="17">
        <v>80300</v>
      </c>
      <c r="G933" s="17">
        <v>80300</v>
      </c>
      <c r="H933" s="17">
        <v>101178</v>
      </c>
      <c r="I933" s="17">
        <v>114026</v>
      </c>
      <c r="J933" s="17">
        <v>102783.99999999999</v>
      </c>
      <c r="K933" s="17">
        <v>111616.99999999999</v>
      </c>
      <c r="L933" s="17">
        <v>132495</v>
      </c>
      <c r="M933" s="17">
        <v>132495</v>
      </c>
      <c r="N933" s="17">
        <v>154979</v>
      </c>
      <c r="O933" s="17">
        <v>160600</v>
      </c>
      <c r="P933" s="17">
        <v>153373</v>
      </c>
      <c r="Q933" s="17">
        <v>167024</v>
      </c>
      <c r="R933" s="17">
        <v>181478.00000000003</v>
      </c>
      <c r="S933" s="17">
        <v>205568</v>
      </c>
    </row>
    <row r="934" spans="1:19" ht="14.25">
      <c r="A934" s="23">
        <f t="shared" si="15"/>
        <v>933</v>
      </c>
      <c r="B934" s="18"/>
      <c r="C934" s="17">
        <v>0</v>
      </c>
      <c r="D934" s="17">
        <v>0</v>
      </c>
      <c r="E934" s="17">
        <v>0</v>
      </c>
      <c r="F934" s="17">
        <v>0</v>
      </c>
      <c r="G934" s="17">
        <v>87600</v>
      </c>
      <c r="H934" s="17">
        <v>104244</v>
      </c>
      <c r="I934" s="17">
        <v>129648</v>
      </c>
      <c r="J934" s="17">
        <v>155928</v>
      </c>
      <c r="K934" s="17">
        <v>153300</v>
      </c>
      <c r="L934" s="17">
        <v>161184</v>
      </c>
      <c r="M934" s="17">
        <v>181332.00000000003</v>
      </c>
      <c r="N934" s="17">
        <v>165564.00000000003</v>
      </c>
      <c r="O934" s="17">
        <v>152424.00000000003</v>
      </c>
      <c r="P934" s="17">
        <v>134904.00000000003</v>
      </c>
      <c r="Q934" s="17">
        <v>134904.00000000003</v>
      </c>
      <c r="R934" s="17">
        <v>149796.00000000003</v>
      </c>
      <c r="S934" s="17">
        <v>134904.00000000003</v>
      </c>
    </row>
    <row r="935" spans="1:19" ht="14.25">
      <c r="A935" s="23">
        <f t="shared" si="15"/>
        <v>934</v>
      </c>
      <c r="B935" s="18"/>
      <c r="C935" s="17">
        <v>0</v>
      </c>
      <c r="D935" s="17">
        <v>0</v>
      </c>
      <c r="E935" s="17">
        <v>0</v>
      </c>
      <c r="F935" s="17">
        <v>0</v>
      </c>
      <c r="G935" s="17">
        <v>0</v>
      </c>
      <c r="H935" s="17">
        <v>102200</v>
      </c>
      <c r="I935" s="17">
        <v>96068</v>
      </c>
      <c r="J935" s="17">
        <v>96068</v>
      </c>
      <c r="K935" s="17">
        <v>108332</v>
      </c>
      <c r="L935" s="17">
        <v>128772</v>
      </c>
      <c r="M935" s="17">
        <v>149212</v>
      </c>
      <c r="N935" s="17">
        <v>161476</v>
      </c>
      <c r="O935" s="17">
        <v>178850</v>
      </c>
      <c r="P935" s="17">
        <v>159432</v>
      </c>
      <c r="Q935" s="17">
        <v>146146.00000000003</v>
      </c>
      <c r="R935" s="17">
        <v>175784.00000000003</v>
      </c>
      <c r="S935" s="17">
        <v>205422.00000000003</v>
      </c>
    </row>
    <row r="936" spans="1:19" ht="14.25">
      <c r="A936" s="23">
        <f t="shared" si="15"/>
        <v>935</v>
      </c>
      <c r="B936" s="18"/>
      <c r="C936" s="17">
        <v>0</v>
      </c>
      <c r="D936" s="17">
        <v>0</v>
      </c>
      <c r="E936" s="17">
        <v>0</v>
      </c>
      <c r="F936" s="17">
        <v>0</v>
      </c>
      <c r="G936" s="17">
        <v>0</v>
      </c>
      <c r="H936" s="17">
        <v>0</v>
      </c>
      <c r="I936" s="17">
        <v>0</v>
      </c>
      <c r="J936" s="17">
        <v>0</v>
      </c>
      <c r="K936" s="17">
        <v>0</v>
      </c>
      <c r="L936" s="17">
        <v>93075</v>
      </c>
      <c r="M936" s="17">
        <v>101451.75000000001</v>
      </c>
      <c r="N936" s="17">
        <v>101451.75000000001</v>
      </c>
      <c r="O936" s="17">
        <v>113551.50000000001</v>
      </c>
      <c r="P936" s="17">
        <v>128443.50000000001</v>
      </c>
      <c r="Q936" s="17">
        <v>123789.75</v>
      </c>
      <c r="R936" s="17">
        <v>140543.25</v>
      </c>
      <c r="S936" s="17">
        <v>140543.25</v>
      </c>
    </row>
    <row r="937" spans="1:19" ht="14.25">
      <c r="A937" s="23">
        <f t="shared" si="15"/>
        <v>936</v>
      </c>
      <c r="B937" s="18"/>
      <c r="C937" s="17">
        <v>90885</v>
      </c>
      <c r="D937" s="17">
        <v>115423.95</v>
      </c>
      <c r="E937" s="17">
        <v>115423.95</v>
      </c>
      <c r="F937" s="17">
        <v>133600.95000000001</v>
      </c>
      <c r="G937" s="17">
        <v>133600.95000000001</v>
      </c>
      <c r="H937" s="17">
        <v>115423.95</v>
      </c>
      <c r="I937" s="17">
        <v>115423.95</v>
      </c>
      <c r="J937" s="17">
        <v>135418.65</v>
      </c>
      <c r="K937" s="17">
        <v>161775.29999999999</v>
      </c>
      <c r="L937" s="17">
        <v>185405.4</v>
      </c>
      <c r="M937" s="17">
        <v>194493.90000000002</v>
      </c>
      <c r="N937" s="17">
        <v>188131.95</v>
      </c>
      <c r="O937" s="17">
        <v>199038.15000000002</v>
      </c>
      <c r="P937" s="17">
        <v>225394.80000000005</v>
      </c>
      <c r="Q937" s="17">
        <v>242662.95000000004</v>
      </c>
      <c r="R937" s="17">
        <v>226303.65000000002</v>
      </c>
      <c r="S937" s="17">
        <v>0</v>
      </c>
    </row>
    <row r="938" spans="1:19" ht="14.25">
      <c r="A938" s="23">
        <f t="shared" si="15"/>
        <v>937</v>
      </c>
      <c r="B938" s="18"/>
      <c r="C938" s="17">
        <v>0</v>
      </c>
      <c r="D938" s="17">
        <v>0</v>
      </c>
      <c r="E938" s="17">
        <v>0</v>
      </c>
      <c r="F938" s="17">
        <v>0</v>
      </c>
      <c r="G938" s="17">
        <v>0</v>
      </c>
      <c r="H938" s="17">
        <v>0</v>
      </c>
      <c r="I938" s="17">
        <v>98550</v>
      </c>
      <c r="J938" s="17">
        <v>106434</v>
      </c>
      <c r="K938" s="17">
        <v>113332.50000000001</v>
      </c>
      <c r="L938" s="17">
        <v>113332.50000000001</v>
      </c>
      <c r="M938" s="17">
        <v>135999</v>
      </c>
      <c r="N938" s="17">
        <v>127129.5</v>
      </c>
      <c r="O938" s="17">
        <v>127129.5</v>
      </c>
      <c r="P938" s="17">
        <v>110376.00000000001</v>
      </c>
      <c r="Q938" s="17">
        <v>134028</v>
      </c>
      <c r="R938" s="17">
        <v>142897.50000000003</v>
      </c>
      <c r="S938" s="17">
        <v>155709</v>
      </c>
    </row>
    <row r="939" spans="1:19" ht="14.25">
      <c r="A939" s="23">
        <f t="shared" si="15"/>
        <v>938</v>
      </c>
      <c r="B939" s="18"/>
      <c r="C939" s="17">
        <v>0</v>
      </c>
      <c r="D939" s="17">
        <v>0</v>
      </c>
      <c r="E939" s="17">
        <v>0</v>
      </c>
      <c r="F939" s="17">
        <v>0</v>
      </c>
      <c r="G939" s="17">
        <v>102930</v>
      </c>
      <c r="H939" s="17">
        <v>125574.59999999999</v>
      </c>
      <c r="I939" s="17">
        <v>137926.19999999998</v>
      </c>
      <c r="J939" s="17">
        <v>128662.49999999997</v>
      </c>
      <c r="K939" s="17">
        <v>134838.29999999999</v>
      </c>
      <c r="L939" s="17">
        <v>152336.39999999997</v>
      </c>
      <c r="M939" s="17">
        <v>152336.39999999997</v>
      </c>
      <c r="N939" s="17">
        <v>172922.39999999997</v>
      </c>
      <c r="O939" s="17">
        <v>155424.29999999999</v>
      </c>
      <c r="P939" s="17">
        <v>165717.29999999999</v>
      </c>
      <c r="Q939" s="17">
        <v>165717.29999999999</v>
      </c>
      <c r="R939" s="17">
        <v>181156.8</v>
      </c>
      <c r="S939" s="17">
        <v>212035.79999999996</v>
      </c>
    </row>
    <row r="940" spans="1:19" ht="14.25">
      <c r="A940" s="23">
        <f t="shared" si="15"/>
        <v>939</v>
      </c>
      <c r="B940" s="18"/>
      <c r="C940" s="17">
        <v>104755</v>
      </c>
      <c r="D940" s="17">
        <v>92184.4</v>
      </c>
      <c r="E940" s="17">
        <v>79613.8</v>
      </c>
      <c r="F940" s="17">
        <v>63900.549999999996</v>
      </c>
      <c r="G940" s="17">
        <v>74376.05</v>
      </c>
      <c r="H940" s="17">
        <v>99517.25</v>
      </c>
      <c r="I940" s="17">
        <v>111040.3</v>
      </c>
      <c r="J940" s="17">
        <v>124658.45</v>
      </c>
      <c r="K940" s="17">
        <v>115230.49999999999</v>
      </c>
      <c r="L940" s="17">
        <v>100564.79999999999</v>
      </c>
      <c r="M940" s="17">
        <v>90089.299999999988</v>
      </c>
      <c r="N940" s="17">
        <v>121515.79999999999</v>
      </c>
      <c r="O940" s="17">
        <v>134086.39999999997</v>
      </c>
      <c r="P940" s="17">
        <v>134086.39999999997</v>
      </c>
      <c r="Q940" s="17">
        <v>134086.39999999997</v>
      </c>
      <c r="R940" s="17">
        <v>120468.24999999999</v>
      </c>
      <c r="S940" s="17">
        <v>0</v>
      </c>
    </row>
    <row r="941" spans="1:19" ht="14.25">
      <c r="A941" s="23">
        <f t="shared" si="15"/>
        <v>940</v>
      </c>
      <c r="B941" s="18"/>
      <c r="C941" s="17">
        <v>0</v>
      </c>
      <c r="D941" s="17">
        <v>0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104755</v>
      </c>
      <c r="M941" s="17">
        <v>98469.7</v>
      </c>
      <c r="N941" s="17">
        <v>82756.45</v>
      </c>
      <c r="O941" s="17">
        <v>76471.149999999994</v>
      </c>
      <c r="P941" s="17">
        <v>87994.2</v>
      </c>
      <c r="Q941" s="17">
        <v>109992.75</v>
      </c>
      <c r="R941" s="17">
        <v>130943.75</v>
      </c>
      <c r="S941" s="17">
        <v>157132.5</v>
      </c>
    </row>
    <row r="942" spans="1:19" ht="14.25">
      <c r="A942" s="23">
        <f t="shared" si="15"/>
        <v>941</v>
      </c>
      <c r="B942" s="18"/>
      <c r="C942" s="17">
        <v>96360</v>
      </c>
      <c r="D942" s="17">
        <v>120450</v>
      </c>
      <c r="E942" s="17">
        <v>149358</v>
      </c>
      <c r="F942" s="17">
        <v>144540</v>
      </c>
      <c r="G942" s="17">
        <v>127195.20000000001</v>
      </c>
      <c r="H942" s="17">
        <v>152248.80000000002</v>
      </c>
      <c r="I942" s="17">
        <v>169593.60000000001</v>
      </c>
      <c r="J942" s="17">
        <v>185974.8</v>
      </c>
      <c r="K942" s="17">
        <v>185974.8</v>
      </c>
      <c r="L942" s="17">
        <v>185974.8</v>
      </c>
      <c r="M942" s="17">
        <v>193683.59999999998</v>
      </c>
      <c r="N942" s="17">
        <v>193683.59999999998</v>
      </c>
      <c r="O942" s="17">
        <v>199465.19999999998</v>
      </c>
      <c r="P942" s="17">
        <v>215846.39999999997</v>
      </c>
      <c r="Q942" s="17">
        <v>215846.39999999997</v>
      </c>
      <c r="R942" s="17">
        <v>238972.79999999996</v>
      </c>
      <c r="S942" s="17">
        <v>0</v>
      </c>
    </row>
    <row r="943" spans="1:19" ht="14.25">
      <c r="A943" s="23">
        <f t="shared" si="15"/>
        <v>942</v>
      </c>
      <c r="B943" s="18"/>
      <c r="C943" s="17">
        <v>90885</v>
      </c>
      <c r="D943" s="17">
        <v>117241.65000000001</v>
      </c>
      <c r="E943" s="17">
        <v>125421.30000000002</v>
      </c>
      <c r="F943" s="17">
        <v>142689.45000000001</v>
      </c>
      <c r="G943" s="17">
        <v>149051.40000000002</v>
      </c>
      <c r="H943" s="17">
        <v>174499.20000000001</v>
      </c>
      <c r="I943" s="17">
        <v>174499.20000000001</v>
      </c>
      <c r="J943" s="17">
        <v>174499.20000000001</v>
      </c>
      <c r="K943" s="17">
        <v>196311.6</v>
      </c>
      <c r="L943" s="17">
        <v>183587.7</v>
      </c>
      <c r="M943" s="17">
        <v>203582.40000000002</v>
      </c>
      <c r="N943" s="17">
        <v>209035.50000000003</v>
      </c>
      <c r="O943" s="17">
        <v>224485.95</v>
      </c>
      <c r="P943" s="17">
        <v>224485.95</v>
      </c>
      <c r="Q943" s="17">
        <v>241754.1</v>
      </c>
      <c r="R943" s="17">
        <v>268110.75</v>
      </c>
      <c r="S943" s="17">
        <v>268110.75</v>
      </c>
    </row>
    <row r="944" spans="1:19" ht="14.25">
      <c r="A944" s="23">
        <f t="shared" si="15"/>
        <v>943</v>
      </c>
      <c r="B944" s="18"/>
      <c r="C944" s="17">
        <v>0</v>
      </c>
      <c r="D944" s="17">
        <v>0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71540</v>
      </c>
      <c r="S944" s="17">
        <v>82271</v>
      </c>
    </row>
    <row r="945" spans="1:19" ht="14.25">
      <c r="A945" s="23">
        <f t="shared" si="15"/>
        <v>944</v>
      </c>
      <c r="B945" s="18"/>
      <c r="C945" s="17">
        <v>0</v>
      </c>
      <c r="D945" s="17">
        <v>0</v>
      </c>
      <c r="E945" s="17">
        <v>0</v>
      </c>
      <c r="F945" s="17">
        <v>0</v>
      </c>
      <c r="G945" s="17">
        <v>0</v>
      </c>
      <c r="H945" s="17">
        <v>0</v>
      </c>
      <c r="I945" s="17">
        <v>0</v>
      </c>
      <c r="J945" s="17">
        <v>0</v>
      </c>
      <c r="K945" s="17">
        <v>0</v>
      </c>
      <c r="L945" s="17">
        <v>0</v>
      </c>
      <c r="M945" s="17">
        <v>0</v>
      </c>
      <c r="N945" s="17">
        <v>0</v>
      </c>
      <c r="O945" s="17">
        <v>0</v>
      </c>
      <c r="P945" s="17">
        <v>0</v>
      </c>
      <c r="Q945" s="17">
        <v>0</v>
      </c>
      <c r="R945" s="17">
        <v>89425</v>
      </c>
      <c r="S945" s="17">
        <v>112675.5</v>
      </c>
    </row>
    <row r="946" spans="1:19" ht="14.25">
      <c r="A946" s="23">
        <f t="shared" si="15"/>
        <v>945</v>
      </c>
      <c r="B946" s="18"/>
      <c r="C946" s="17">
        <v>0</v>
      </c>
      <c r="D946" s="17">
        <v>0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91615</v>
      </c>
      <c r="Q946" s="17">
        <v>103524.95</v>
      </c>
      <c r="R946" s="17">
        <v>116351.05</v>
      </c>
      <c r="S946" s="17">
        <v>116351.05</v>
      </c>
    </row>
    <row r="947" spans="1:19" ht="14.25">
      <c r="A947" s="23">
        <f t="shared" si="15"/>
        <v>946</v>
      </c>
      <c r="B947" s="18"/>
      <c r="C947" s="17">
        <v>0</v>
      </c>
      <c r="D947" s="17">
        <v>0</v>
      </c>
      <c r="E947" s="17">
        <v>0</v>
      </c>
      <c r="F947" s="17">
        <v>0</v>
      </c>
      <c r="G947" s="17">
        <v>0</v>
      </c>
      <c r="H947" s="17">
        <v>86870</v>
      </c>
      <c r="I947" s="17">
        <v>106850.09999999999</v>
      </c>
      <c r="J947" s="17">
        <v>114668.40000000001</v>
      </c>
      <c r="K947" s="17">
        <v>114668.40000000001</v>
      </c>
      <c r="L947" s="17">
        <v>100769.20000000001</v>
      </c>
      <c r="M947" s="17">
        <v>109456.20000000003</v>
      </c>
      <c r="N947" s="17">
        <v>109456.20000000003</v>
      </c>
      <c r="O947" s="17">
        <v>128567.60000000002</v>
      </c>
      <c r="P947" s="17">
        <v>142466.80000000002</v>
      </c>
      <c r="Q947" s="17">
        <v>149416.40000000002</v>
      </c>
      <c r="R947" s="17">
        <v>132911.10000000003</v>
      </c>
      <c r="S947" s="17">
        <v>142466.80000000002</v>
      </c>
    </row>
    <row r="948" spans="1:19" ht="14.25">
      <c r="A948" s="23">
        <f t="shared" si="15"/>
        <v>947</v>
      </c>
      <c r="B948" s="18"/>
      <c r="C948" s="17">
        <v>0</v>
      </c>
      <c r="D948" s="17">
        <v>0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71905</v>
      </c>
    </row>
    <row r="949" spans="1:19" ht="14.25">
      <c r="A949" s="23">
        <f t="shared" si="15"/>
        <v>948</v>
      </c>
      <c r="B949" s="18"/>
      <c r="C949" s="17">
        <v>0</v>
      </c>
      <c r="D949" s="17">
        <v>0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65700</v>
      </c>
    </row>
    <row r="950" spans="1:19" ht="14.25">
      <c r="A950" s="23">
        <f t="shared" si="15"/>
        <v>949</v>
      </c>
      <c r="B950" s="18"/>
      <c r="C950" s="17">
        <v>100375</v>
      </c>
      <c r="D950" s="17">
        <v>107401.25</v>
      </c>
      <c r="E950" s="17">
        <v>91341.25</v>
      </c>
      <c r="F950" s="17">
        <v>114427.50000000001</v>
      </c>
      <c r="G950" s="17">
        <v>126472.50000000003</v>
      </c>
      <c r="H950" s="17">
        <v>124465.00000000001</v>
      </c>
      <c r="I950" s="17">
        <v>144540.00000000003</v>
      </c>
      <c r="J950" s="17">
        <v>167626.25000000003</v>
      </c>
      <c r="K950" s="17">
        <v>176660.00000000003</v>
      </c>
      <c r="L950" s="17">
        <v>186697.50000000003</v>
      </c>
      <c r="M950" s="17">
        <v>186697.50000000003</v>
      </c>
      <c r="N950" s="17">
        <v>191716.25000000003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</row>
    <row r="951" spans="1:19" ht="14.25">
      <c r="A951" s="23">
        <f t="shared" si="15"/>
        <v>950</v>
      </c>
      <c r="B951" s="18"/>
      <c r="C951" s="17">
        <v>78840</v>
      </c>
      <c r="D951" s="17">
        <v>67802.399999999994</v>
      </c>
      <c r="E951" s="17">
        <v>55976.399999999994</v>
      </c>
      <c r="F951" s="17">
        <v>78840</v>
      </c>
      <c r="G951" s="17">
        <v>82782</v>
      </c>
      <c r="H951" s="17">
        <v>96184.8</v>
      </c>
      <c r="I951" s="17">
        <v>108799.2</v>
      </c>
      <c r="J951" s="17">
        <v>108799.2</v>
      </c>
      <c r="K951" s="17">
        <v>113529.59999999999</v>
      </c>
      <c r="L951" s="17">
        <v>112741.2</v>
      </c>
      <c r="M951" s="17">
        <v>117471.6</v>
      </c>
      <c r="N951" s="17">
        <v>132451.19999999998</v>
      </c>
      <c r="O951" s="17">
        <v>132451.19999999998</v>
      </c>
      <c r="P951" s="17">
        <v>0</v>
      </c>
      <c r="Q951" s="17">
        <v>0</v>
      </c>
      <c r="R951" s="17">
        <v>0</v>
      </c>
      <c r="S951" s="17">
        <v>0</v>
      </c>
    </row>
    <row r="952" spans="1:19" ht="14.25">
      <c r="A952" s="23">
        <f t="shared" si="15"/>
        <v>951</v>
      </c>
      <c r="B952" s="18"/>
      <c r="C952" s="17">
        <v>0</v>
      </c>
      <c r="D952" s="17">
        <v>0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83585</v>
      </c>
      <c r="M952" s="17">
        <v>83585</v>
      </c>
      <c r="N952" s="17">
        <v>69375.55</v>
      </c>
      <c r="O952" s="17">
        <v>63524.6</v>
      </c>
      <c r="P952" s="17">
        <v>61017.049999999996</v>
      </c>
      <c r="Q952" s="17">
        <v>76062.349999999991</v>
      </c>
      <c r="R952" s="17">
        <v>76062.349999999991</v>
      </c>
      <c r="S952" s="17">
        <v>91107.65</v>
      </c>
    </row>
    <row r="953" spans="1:19" ht="14.25">
      <c r="A953" s="23">
        <f t="shared" si="15"/>
        <v>952</v>
      </c>
      <c r="B953" s="18"/>
      <c r="C953" s="17">
        <v>0</v>
      </c>
      <c r="D953" s="17">
        <v>0</v>
      </c>
      <c r="E953" s="17">
        <v>0</v>
      </c>
      <c r="F953" s="17">
        <v>0</v>
      </c>
      <c r="G953" s="17">
        <v>0</v>
      </c>
      <c r="H953" s="17">
        <v>0</v>
      </c>
      <c r="I953" s="17">
        <v>0</v>
      </c>
      <c r="J953" s="17">
        <v>84680</v>
      </c>
      <c r="K953" s="17">
        <v>107543.6</v>
      </c>
      <c r="L953" s="17">
        <v>119398.80000000002</v>
      </c>
      <c r="M953" s="17">
        <v>142262.40000000002</v>
      </c>
      <c r="N953" s="17">
        <v>158351.6</v>
      </c>
      <c r="O953" s="17">
        <v>171900.40000000002</v>
      </c>
      <c r="P953" s="17">
        <v>178674.80000000002</v>
      </c>
      <c r="Q953" s="17">
        <v>193917.20000000004</v>
      </c>
      <c r="R953" s="17">
        <v>204078.80000000005</v>
      </c>
      <c r="S953" s="17">
        <v>215087.20000000004</v>
      </c>
    </row>
    <row r="954" spans="1:19" ht="14.25">
      <c r="A954" s="23">
        <f t="shared" si="15"/>
        <v>953</v>
      </c>
      <c r="B954" s="18"/>
      <c r="C954" s="17">
        <v>93075</v>
      </c>
      <c r="D954" s="17">
        <v>93075</v>
      </c>
      <c r="E954" s="17">
        <v>112620.75</v>
      </c>
      <c r="F954" s="17">
        <v>129374.24999999999</v>
      </c>
      <c r="G954" s="17">
        <v>111690</v>
      </c>
      <c r="H954" s="17">
        <v>136820.25</v>
      </c>
      <c r="I954" s="17">
        <v>118205.25</v>
      </c>
      <c r="J954" s="17">
        <v>130304.99999999999</v>
      </c>
      <c r="K954" s="17">
        <v>147058.5</v>
      </c>
      <c r="L954" s="17">
        <v>165673.49999999997</v>
      </c>
      <c r="M954" s="17">
        <v>165673.49999999997</v>
      </c>
      <c r="N954" s="17">
        <v>175911.75</v>
      </c>
      <c r="O954" s="17">
        <v>181496.25</v>
      </c>
      <c r="P954" s="17">
        <v>181496.25</v>
      </c>
      <c r="Q954" s="17">
        <v>180565.5</v>
      </c>
      <c r="R954" s="17">
        <v>180565.5</v>
      </c>
      <c r="S954" s="17">
        <v>0</v>
      </c>
    </row>
    <row r="955" spans="1:19" ht="14.25">
      <c r="A955" s="23">
        <f t="shared" si="15"/>
        <v>954</v>
      </c>
      <c r="B955" s="18"/>
      <c r="C955" s="17">
        <v>71175</v>
      </c>
      <c r="D955" s="17">
        <v>86833.5</v>
      </c>
      <c r="E955" s="17">
        <v>86833.5</v>
      </c>
      <c r="F955" s="17">
        <v>90392.25</v>
      </c>
      <c r="G955" s="17">
        <v>76157.25</v>
      </c>
      <c r="H955" s="17">
        <v>90392.25</v>
      </c>
      <c r="I955" s="17">
        <v>101068.5</v>
      </c>
      <c r="J955" s="17">
        <v>101068.5</v>
      </c>
      <c r="K955" s="17">
        <v>98933.25</v>
      </c>
      <c r="L955" s="17">
        <v>109609.49999999999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</row>
    <row r="956" spans="1:19" ht="14.25">
      <c r="A956" s="23">
        <f t="shared" si="15"/>
        <v>955</v>
      </c>
      <c r="B956" s="18"/>
      <c r="C956" s="17">
        <v>0</v>
      </c>
      <c r="D956" s="17">
        <v>0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104025</v>
      </c>
      <c r="M956" s="17">
        <v>104025</v>
      </c>
      <c r="N956" s="17">
        <v>104025</v>
      </c>
      <c r="O956" s="17">
        <v>88421.25</v>
      </c>
      <c r="P956" s="17">
        <v>117548.24999999999</v>
      </c>
      <c r="Q956" s="17">
        <v>140433.75</v>
      </c>
      <c r="R956" s="17">
        <v>140433.75</v>
      </c>
      <c r="S956" s="17">
        <v>130031.24999999997</v>
      </c>
    </row>
    <row r="957" spans="1:19" ht="14.25">
      <c r="A957" s="23">
        <f t="shared" si="15"/>
        <v>956</v>
      </c>
      <c r="B957" s="18"/>
      <c r="C957" s="17">
        <v>0</v>
      </c>
      <c r="D957" s="17">
        <v>0</v>
      </c>
      <c r="E957" s="17">
        <v>0</v>
      </c>
      <c r="F957" s="17">
        <v>0</v>
      </c>
      <c r="G957" s="17">
        <v>0</v>
      </c>
      <c r="H957" s="17">
        <v>0</v>
      </c>
      <c r="I957" s="17">
        <v>0</v>
      </c>
      <c r="J957" s="17">
        <v>0</v>
      </c>
      <c r="K957" s="17">
        <v>0</v>
      </c>
      <c r="L957" s="17">
        <v>0</v>
      </c>
      <c r="M957" s="17">
        <v>85410</v>
      </c>
      <c r="N957" s="17">
        <v>104200.2</v>
      </c>
      <c r="O957" s="17">
        <v>117865.79999999999</v>
      </c>
      <c r="P957" s="17">
        <v>126406.8</v>
      </c>
      <c r="Q957" s="17">
        <v>119573.99999999999</v>
      </c>
      <c r="R957" s="17">
        <v>128969.1</v>
      </c>
      <c r="S957" s="17">
        <v>128969.1</v>
      </c>
    </row>
    <row r="958" spans="1:19" ht="14.25">
      <c r="A958" s="23">
        <f t="shared" si="15"/>
        <v>957</v>
      </c>
      <c r="B958" s="18"/>
      <c r="C958" s="17">
        <v>76285</v>
      </c>
      <c r="D958" s="17">
        <v>94593.4</v>
      </c>
      <c r="E958" s="17">
        <v>94593.4</v>
      </c>
      <c r="F958" s="17">
        <v>91542</v>
      </c>
      <c r="G958" s="17">
        <v>112901.8</v>
      </c>
      <c r="H958" s="17">
        <v>117478.90000000001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</row>
    <row r="959" spans="1:19" ht="14.25">
      <c r="A959" s="23">
        <f t="shared" si="15"/>
        <v>958</v>
      </c>
      <c r="B959" s="18"/>
      <c r="C959" s="17">
        <v>0</v>
      </c>
      <c r="D959" s="17">
        <v>0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84680</v>
      </c>
      <c r="S959" s="17">
        <v>109237.2</v>
      </c>
    </row>
    <row r="960" spans="1:19" ht="14.25">
      <c r="A960" s="23">
        <f t="shared" si="15"/>
        <v>959</v>
      </c>
      <c r="B960" s="18"/>
      <c r="C960" s="17">
        <v>0</v>
      </c>
      <c r="D960" s="17">
        <v>92345</v>
      </c>
      <c r="E960" s="17">
        <v>120048.5</v>
      </c>
      <c r="F960" s="17">
        <v>120048.5</v>
      </c>
      <c r="G960" s="17">
        <v>128359.55000000002</v>
      </c>
      <c r="H960" s="17">
        <v>151445.80000000002</v>
      </c>
      <c r="I960" s="17">
        <v>170838.25</v>
      </c>
      <c r="J960" s="17">
        <v>177302.40000000002</v>
      </c>
      <c r="K960" s="17">
        <v>186536.9</v>
      </c>
      <c r="L960" s="17">
        <v>210546.60000000003</v>
      </c>
      <c r="M960" s="17">
        <v>192077.6</v>
      </c>
      <c r="N960" s="17">
        <v>192077.6</v>
      </c>
      <c r="O960" s="17">
        <v>213316.95</v>
      </c>
      <c r="P960" s="17">
        <v>227168.69999999998</v>
      </c>
      <c r="Q960" s="17">
        <v>241943.90000000002</v>
      </c>
      <c r="R960" s="17">
        <v>241020.45000000004</v>
      </c>
      <c r="S960" s="17">
        <v>268723.95</v>
      </c>
    </row>
    <row r="961" spans="1:19" ht="14.25">
      <c r="A961" s="23">
        <f t="shared" si="15"/>
        <v>960</v>
      </c>
      <c r="B961" s="18"/>
      <c r="C961" s="17">
        <v>0</v>
      </c>
      <c r="D961" s="17">
        <v>0</v>
      </c>
      <c r="E961" s="17">
        <v>0</v>
      </c>
      <c r="F961" s="17">
        <v>78840</v>
      </c>
      <c r="G961" s="17">
        <v>63860.4</v>
      </c>
      <c r="H961" s="17">
        <v>52034.400000000001</v>
      </c>
      <c r="I961" s="17">
        <v>60706.8</v>
      </c>
      <c r="J961" s="17">
        <v>55976.399999999994</v>
      </c>
      <c r="K961" s="17">
        <v>79628.399999999994</v>
      </c>
      <c r="L961" s="17">
        <v>88300.800000000003</v>
      </c>
      <c r="M961" s="17">
        <v>104857.20000000001</v>
      </c>
      <c r="N961" s="17">
        <v>119836.8</v>
      </c>
      <c r="O961" s="17">
        <v>119836.8</v>
      </c>
      <c r="P961" s="17">
        <v>138758.39999999999</v>
      </c>
      <c r="Q961" s="17">
        <v>138758.39999999999</v>
      </c>
      <c r="R961" s="17">
        <v>144277.20000000001</v>
      </c>
      <c r="S961" s="17">
        <v>165564</v>
      </c>
    </row>
    <row r="962" spans="1:19" ht="14.25">
      <c r="A962" s="23">
        <f t="shared" si="15"/>
        <v>961</v>
      </c>
      <c r="B962" s="18"/>
      <c r="C962" s="17">
        <v>0</v>
      </c>
      <c r="D962" s="17">
        <v>0</v>
      </c>
      <c r="E962" s="17">
        <v>0</v>
      </c>
      <c r="F962" s="17">
        <v>0</v>
      </c>
      <c r="G962" s="17">
        <v>0</v>
      </c>
      <c r="H962" s="17">
        <v>0</v>
      </c>
      <c r="I962" s="17">
        <v>66065</v>
      </c>
      <c r="J962" s="17">
        <v>83902.55</v>
      </c>
      <c r="K962" s="17">
        <v>83902.55</v>
      </c>
      <c r="L962" s="17">
        <v>83902.55</v>
      </c>
      <c r="M962" s="17">
        <v>73332.150000000009</v>
      </c>
      <c r="N962" s="17">
        <v>80599.300000000017</v>
      </c>
      <c r="O962" s="17">
        <v>89848.400000000023</v>
      </c>
      <c r="P962" s="17">
        <v>95794.250000000029</v>
      </c>
      <c r="Q962" s="17">
        <v>113631.80000000003</v>
      </c>
      <c r="R962" s="17">
        <v>124862.85000000002</v>
      </c>
      <c r="S962" s="17">
        <v>130808.70000000003</v>
      </c>
    </row>
    <row r="963" spans="1:19" ht="14.25">
      <c r="A963" s="23">
        <f t="shared" ref="A963:A1001" si="16">+A962+1</f>
        <v>962</v>
      </c>
      <c r="B963" s="18"/>
      <c r="C963" s="17">
        <v>0</v>
      </c>
      <c r="D963" s="17">
        <v>0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87600</v>
      </c>
      <c r="O963" s="17">
        <v>87600</v>
      </c>
      <c r="P963" s="17">
        <v>98112.000000000015</v>
      </c>
      <c r="Q963" s="17">
        <v>98112.000000000015</v>
      </c>
      <c r="R963" s="17">
        <v>97236.000000000015</v>
      </c>
      <c r="S963" s="17">
        <v>94608</v>
      </c>
    </row>
    <row r="964" spans="1:19" ht="14.25">
      <c r="A964" s="23">
        <f t="shared" si="16"/>
        <v>963</v>
      </c>
      <c r="B964" s="18"/>
      <c r="C964" s="17">
        <v>94170</v>
      </c>
      <c r="D964" s="17">
        <v>100761.90000000001</v>
      </c>
      <c r="E964" s="17">
        <v>111120.60000000002</v>
      </c>
      <c r="F964" s="17">
        <v>111120.60000000002</v>
      </c>
      <c r="G964" s="17">
        <v>111120.60000000002</v>
      </c>
      <c r="H964" s="17">
        <v>120537.60000000002</v>
      </c>
      <c r="I964" s="17">
        <v>120537.60000000002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</row>
    <row r="965" spans="1:19" ht="14.25">
      <c r="A965" s="23">
        <f t="shared" si="16"/>
        <v>964</v>
      </c>
      <c r="B965" s="18"/>
      <c r="C965" s="17">
        <v>0</v>
      </c>
      <c r="D965" s="17">
        <v>94170</v>
      </c>
      <c r="E965" s="17">
        <v>115829.09999999999</v>
      </c>
      <c r="F965" s="17">
        <v>135604.79999999999</v>
      </c>
      <c r="G965" s="17">
        <v>160089</v>
      </c>
      <c r="H965" s="17">
        <v>151613.69999999998</v>
      </c>
      <c r="I965" s="17">
        <v>169505.99999999997</v>
      </c>
      <c r="J965" s="17">
        <v>193048.49999999997</v>
      </c>
      <c r="K965" s="17">
        <v>209057.39999999997</v>
      </c>
      <c r="L965" s="17">
        <v>226008</v>
      </c>
      <c r="M965" s="17">
        <v>238250.09999999998</v>
      </c>
      <c r="N965" s="17">
        <v>225066.29999999996</v>
      </c>
      <c r="O965" s="17">
        <v>241075.19999999995</v>
      </c>
      <c r="P965" s="17">
        <v>266501.09999999998</v>
      </c>
      <c r="Q965" s="17">
        <v>263676</v>
      </c>
      <c r="R965" s="17">
        <v>251433.9</v>
      </c>
      <c r="S965" s="17">
        <v>242958.6</v>
      </c>
    </row>
    <row r="966" spans="1:19" ht="14.25">
      <c r="A966" s="23">
        <f t="shared" si="16"/>
        <v>965</v>
      </c>
      <c r="B966" s="18"/>
      <c r="C966" s="17">
        <v>0</v>
      </c>
      <c r="D966" s="17">
        <v>0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87600</v>
      </c>
    </row>
    <row r="967" spans="1:19" ht="14.25">
      <c r="A967" s="23">
        <f t="shared" si="16"/>
        <v>966</v>
      </c>
      <c r="B967" s="18"/>
      <c r="C967" s="17">
        <v>86140</v>
      </c>
      <c r="D967" s="17">
        <v>82694.399999999994</v>
      </c>
      <c r="E967" s="17">
        <v>66327.8</v>
      </c>
      <c r="F967" s="17">
        <v>78387.400000000009</v>
      </c>
      <c r="G967" s="17">
        <v>92169.8</v>
      </c>
      <c r="H967" s="17">
        <v>92169.8</v>
      </c>
      <c r="I967" s="17">
        <v>92169.8</v>
      </c>
      <c r="J967" s="17">
        <v>77526</v>
      </c>
      <c r="K967" s="17">
        <v>93031.200000000012</v>
      </c>
      <c r="L967" s="17">
        <v>90447</v>
      </c>
      <c r="M967" s="17">
        <v>111982</v>
      </c>
      <c r="N967" s="17">
        <v>122318.79999999999</v>
      </c>
      <c r="O967" s="17">
        <v>143853.79999999999</v>
      </c>
      <c r="P967" s="17">
        <v>141269.6</v>
      </c>
      <c r="Q967" s="17">
        <v>145576.6</v>
      </c>
      <c r="R967" s="17">
        <v>166250.19999999998</v>
      </c>
      <c r="S967" s="17">
        <v>183478.19999999998</v>
      </c>
    </row>
    <row r="968" spans="1:19" ht="14.25">
      <c r="A968" s="23">
        <f t="shared" si="16"/>
        <v>967</v>
      </c>
      <c r="B968" s="18"/>
      <c r="C968" s="17">
        <v>0</v>
      </c>
      <c r="D968" s="17">
        <v>0</v>
      </c>
      <c r="E968" s="17">
        <v>0</v>
      </c>
      <c r="F968" s="17">
        <v>0</v>
      </c>
      <c r="G968" s="17">
        <v>0</v>
      </c>
      <c r="H968" s="17">
        <v>0</v>
      </c>
      <c r="I968" s="17">
        <v>0</v>
      </c>
      <c r="J968" s="17">
        <v>0</v>
      </c>
      <c r="K968" s="17">
        <v>0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74095</v>
      </c>
      <c r="R968" s="17">
        <v>86691.15</v>
      </c>
      <c r="S968" s="17">
        <v>73354.05</v>
      </c>
    </row>
    <row r="969" spans="1:19" ht="14.25">
      <c r="A969" s="23">
        <f t="shared" si="16"/>
        <v>968</v>
      </c>
      <c r="B969" s="18"/>
      <c r="C969" s="17">
        <v>0</v>
      </c>
      <c r="D969" s="17">
        <v>0</v>
      </c>
      <c r="E969" s="17">
        <v>0</v>
      </c>
      <c r="F969" s="17">
        <v>0</v>
      </c>
      <c r="G969" s="17">
        <v>0</v>
      </c>
      <c r="H969" s="17">
        <v>0</v>
      </c>
      <c r="I969" s="17">
        <v>0</v>
      </c>
      <c r="J969" s="17">
        <v>91615</v>
      </c>
      <c r="K969" s="17">
        <v>91615</v>
      </c>
      <c r="L969" s="17">
        <v>85201.95</v>
      </c>
      <c r="M969" s="17">
        <v>85201.95</v>
      </c>
      <c r="N969" s="17">
        <v>97111.900000000009</v>
      </c>
      <c r="O969" s="17">
        <v>97111.900000000009</v>
      </c>
      <c r="P969" s="17">
        <v>111770.3</v>
      </c>
      <c r="Q969" s="17">
        <v>139254.79999999999</v>
      </c>
      <c r="R969" s="17">
        <v>139254.79999999999</v>
      </c>
      <c r="S969" s="17">
        <v>163990.85</v>
      </c>
    </row>
    <row r="970" spans="1:19" ht="14.25">
      <c r="A970" s="23">
        <f t="shared" si="16"/>
        <v>969</v>
      </c>
      <c r="B970" s="18"/>
      <c r="C970" s="17">
        <v>0</v>
      </c>
      <c r="D970" s="17">
        <v>0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105850</v>
      </c>
    </row>
    <row r="971" spans="1:19" ht="14.25">
      <c r="A971" s="23">
        <f t="shared" si="16"/>
        <v>970</v>
      </c>
      <c r="B971" s="18"/>
      <c r="C971" s="17">
        <v>83950</v>
      </c>
      <c r="D971" s="17">
        <v>104937.5</v>
      </c>
      <c r="E971" s="17">
        <v>0</v>
      </c>
      <c r="F971" s="17">
        <v>0</v>
      </c>
      <c r="G971" s="17">
        <v>0</v>
      </c>
      <c r="H971" s="17">
        <v>0</v>
      </c>
      <c r="I971" s="17">
        <v>0</v>
      </c>
      <c r="J971" s="17">
        <v>0</v>
      </c>
      <c r="K971" s="17">
        <v>0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</row>
    <row r="972" spans="1:19" ht="14.25">
      <c r="A972" s="23">
        <f t="shared" si="16"/>
        <v>971</v>
      </c>
      <c r="B972" s="18"/>
      <c r="C972" s="17">
        <v>66430</v>
      </c>
      <c r="D972" s="17">
        <v>65765.7</v>
      </c>
      <c r="E972" s="17">
        <v>56465.5</v>
      </c>
      <c r="F972" s="17">
        <v>75065.899999999994</v>
      </c>
      <c r="G972" s="17">
        <v>94994.9</v>
      </c>
      <c r="H972" s="17">
        <v>114923.9</v>
      </c>
      <c r="I972" s="17">
        <v>130867.09999999999</v>
      </c>
      <c r="J972" s="17">
        <v>128209.9</v>
      </c>
      <c r="K972" s="17">
        <v>128209.9</v>
      </c>
      <c r="L972" s="17">
        <v>128209.9</v>
      </c>
      <c r="M972" s="17">
        <v>145481.69999999998</v>
      </c>
      <c r="N972" s="17">
        <v>152124.70000000001</v>
      </c>
      <c r="O972" s="17">
        <v>152124.70000000001</v>
      </c>
      <c r="P972" s="17">
        <v>152124.70000000001</v>
      </c>
      <c r="Q972" s="17">
        <v>152124.70000000001</v>
      </c>
      <c r="R972" s="17">
        <v>138838.69999999998</v>
      </c>
      <c r="S972" s="17">
        <v>153453.30000000002</v>
      </c>
    </row>
    <row r="973" spans="1:19" ht="14.25">
      <c r="A973" s="23">
        <f t="shared" si="16"/>
        <v>972</v>
      </c>
      <c r="B973" s="18"/>
      <c r="C973" s="17">
        <v>0</v>
      </c>
      <c r="D973" s="17">
        <v>0</v>
      </c>
      <c r="E973" s="17">
        <v>0</v>
      </c>
      <c r="F973" s="17">
        <v>0</v>
      </c>
      <c r="G973" s="17">
        <v>0</v>
      </c>
      <c r="H973" s="17">
        <v>0</v>
      </c>
      <c r="I973" s="17">
        <v>0</v>
      </c>
      <c r="J973" s="17">
        <v>0</v>
      </c>
      <c r="K973" s="17">
        <v>0</v>
      </c>
      <c r="L973" s="17">
        <v>0</v>
      </c>
      <c r="M973" s="17">
        <v>0</v>
      </c>
      <c r="N973" s="17">
        <v>87600</v>
      </c>
      <c r="O973" s="17">
        <v>91980</v>
      </c>
      <c r="P973" s="17">
        <v>91980</v>
      </c>
      <c r="Q973" s="17">
        <v>107748</v>
      </c>
      <c r="R973" s="17">
        <v>98111.999999999985</v>
      </c>
      <c r="S973" s="17">
        <v>82344</v>
      </c>
    </row>
    <row r="974" spans="1:19" ht="14.25">
      <c r="A974" s="23">
        <f t="shared" si="16"/>
        <v>973</v>
      </c>
      <c r="B974" s="18"/>
      <c r="C974" s="17">
        <v>0</v>
      </c>
      <c r="D974" s="17">
        <v>0</v>
      </c>
      <c r="E974" s="17">
        <v>0</v>
      </c>
      <c r="F974" s="17">
        <v>0</v>
      </c>
      <c r="G974" s="17">
        <v>0</v>
      </c>
      <c r="H974" s="17">
        <v>0</v>
      </c>
      <c r="I974" s="17">
        <v>0</v>
      </c>
      <c r="J974" s="17">
        <v>0</v>
      </c>
      <c r="K974" s="17">
        <v>0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7">
        <v>77745</v>
      </c>
    </row>
    <row r="975" spans="1:19" ht="14.25">
      <c r="A975" s="23">
        <f t="shared" si="16"/>
        <v>974</v>
      </c>
      <c r="B975" s="18"/>
      <c r="C975" s="17">
        <v>0</v>
      </c>
      <c r="D975" s="17">
        <v>0</v>
      </c>
      <c r="E975" s="17">
        <v>0</v>
      </c>
      <c r="F975" s="17">
        <v>0</v>
      </c>
      <c r="G975" s="17">
        <v>0</v>
      </c>
      <c r="H975" s="17">
        <v>0</v>
      </c>
      <c r="I975" s="17">
        <v>0</v>
      </c>
      <c r="J975" s="17">
        <v>0</v>
      </c>
      <c r="K975" s="17">
        <v>0</v>
      </c>
      <c r="L975" s="17">
        <v>0</v>
      </c>
      <c r="M975" s="17">
        <v>0</v>
      </c>
      <c r="N975" s="17">
        <v>0</v>
      </c>
      <c r="O975" s="17">
        <v>84315</v>
      </c>
      <c r="P975" s="17">
        <v>102021.15</v>
      </c>
      <c r="Q975" s="17">
        <v>102021.15</v>
      </c>
      <c r="R975" s="17">
        <v>127315.65</v>
      </c>
      <c r="S975" s="17">
        <v>131531.4</v>
      </c>
    </row>
    <row r="976" spans="1:19" ht="14.25">
      <c r="A976" s="23">
        <f t="shared" si="16"/>
        <v>975</v>
      </c>
      <c r="B976" s="18"/>
      <c r="C976" s="17">
        <v>0</v>
      </c>
      <c r="D976" s="17">
        <v>0</v>
      </c>
      <c r="E976" s="17">
        <v>0</v>
      </c>
      <c r="F976" s="17">
        <v>0</v>
      </c>
      <c r="G976" s="17">
        <v>0</v>
      </c>
      <c r="H976" s="17">
        <v>0</v>
      </c>
      <c r="I976" s="17">
        <v>0</v>
      </c>
      <c r="J976" s="17">
        <v>0</v>
      </c>
      <c r="K976" s="17">
        <v>0</v>
      </c>
      <c r="L976" s="17">
        <v>0</v>
      </c>
      <c r="M976" s="17">
        <v>0</v>
      </c>
      <c r="N976" s="17">
        <v>0</v>
      </c>
      <c r="O976" s="17">
        <v>0</v>
      </c>
      <c r="P976" s="17">
        <v>0</v>
      </c>
      <c r="Q976" s="17">
        <v>70810</v>
      </c>
      <c r="R976" s="17">
        <v>70810</v>
      </c>
      <c r="S976" s="17">
        <v>61604.7</v>
      </c>
    </row>
    <row r="977" spans="1:19" ht="14.25">
      <c r="A977" s="23">
        <f t="shared" si="16"/>
        <v>976</v>
      </c>
      <c r="B977" s="18"/>
      <c r="C977" s="17">
        <v>0</v>
      </c>
      <c r="D977" s="17">
        <v>0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74095</v>
      </c>
      <c r="N977" s="17">
        <v>82245.450000000012</v>
      </c>
      <c r="O977" s="17">
        <v>82245.450000000012</v>
      </c>
      <c r="P977" s="17">
        <v>68167.400000000009</v>
      </c>
      <c r="Q977" s="17">
        <v>68167.400000000009</v>
      </c>
      <c r="R977" s="17">
        <v>76317.85000000002</v>
      </c>
      <c r="S977" s="17">
        <v>81504.500000000029</v>
      </c>
    </row>
    <row r="978" spans="1:19" ht="14.25">
      <c r="A978" s="23">
        <f t="shared" si="16"/>
        <v>977</v>
      </c>
      <c r="B978" s="18"/>
      <c r="C978" s="17">
        <v>0</v>
      </c>
      <c r="D978" s="17">
        <v>0</v>
      </c>
      <c r="E978" s="17">
        <v>0</v>
      </c>
      <c r="F978" s="17">
        <v>0</v>
      </c>
      <c r="G978" s="17">
        <v>0</v>
      </c>
      <c r="H978" s="17">
        <v>0</v>
      </c>
      <c r="I978" s="17">
        <v>90885</v>
      </c>
      <c r="J978" s="17">
        <v>102700.04999999999</v>
      </c>
      <c r="K978" s="17">
        <v>102700.04999999999</v>
      </c>
      <c r="L978" s="17">
        <v>119059.34999999999</v>
      </c>
      <c r="M978" s="17">
        <v>133600.94999999998</v>
      </c>
      <c r="N978" s="17">
        <v>133600.94999999998</v>
      </c>
      <c r="O978" s="17">
        <v>145415.99999999997</v>
      </c>
      <c r="P978" s="17">
        <v>157231.04999999996</v>
      </c>
      <c r="Q978" s="17">
        <v>157231.04999999996</v>
      </c>
      <c r="R978" s="17">
        <v>168137.24999999997</v>
      </c>
      <c r="S978" s="17">
        <v>175408.05</v>
      </c>
    </row>
    <row r="979" spans="1:19" ht="14.25">
      <c r="A979" s="23">
        <f t="shared" si="16"/>
        <v>978</v>
      </c>
      <c r="B979" s="18"/>
      <c r="C979" s="17">
        <v>0</v>
      </c>
      <c r="D979" s="17">
        <v>0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84680</v>
      </c>
      <c r="P979" s="17">
        <v>75365.2</v>
      </c>
      <c r="Q979" s="17">
        <v>98228.800000000017</v>
      </c>
      <c r="R979" s="17">
        <v>110930.8</v>
      </c>
      <c r="S979" s="17">
        <v>110930.8</v>
      </c>
    </row>
    <row r="980" spans="1:19" ht="14.25">
      <c r="A980" s="23">
        <f t="shared" si="16"/>
        <v>979</v>
      </c>
      <c r="B980" s="18"/>
      <c r="C980" s="17">
        <v>0</v>
      </c>
      <c r="D980" s="17">
        <v>0</v>
      </c>
      <c r="E980" s="17">
        <v>0</v>
      </c>
      <c r="F980" s="17">
        <v>0</v>
      </c>
      <c r="G980" s="17">
        <v>0</v>
      </c>
      <c r="H980" s="17">
        <v>0</v>
      </c>
      <c r="I980" s="17">
        <v>94900</v>
      </c>
      <c r="J980" s="17">
        <v>108186.00000000001</v>
      </c>
      <c r="K980" s="17">
        <v>135707.00000000003</v>
      </c>
      <c r="L980" s="17">
        <v>149942</v>
      </c>
      <c r="M980" s="17">
        <v>149942</v>
      </c>
      <c r="N980" s="17">
        <v>167973</v>
      </c>
      <c r="O980" s="17">
        <v>167973</v>
      </c>
      <c r="P980" s="17">
        <v>189800</v>
      </c>
      <c r="Q980" s="17">
        <v>210678.00000000003</v>
      </c>
      <c r="R980" s="17">
        <v>193596</v>
      </c>
      <c r="S980" s="17">
        <v>186004</v>
      </c>
    </row>
    <row r="981" spans="1:19" ht="14.25">
      <c r="A981" s="23">
        <f t="shared" si="16"/>
        <v>980</v>
      </c>
      <c r="B981" s="18"/>
      <c r="C981" s="17">
        <v>0</v>
      </c>
      <c r="D981" s="17">
        <v>0</v>
      </c>
      <c r="E981" s="17">
        <v>0</v>
      </c>
      <c r="F981" s="17">
        <v>0</v>
      </c>
      <c r="G981" s="17">
        <v>0</v>
      </c>
      <c r="H981" s="17">
        <v>0</v>
      </c>
      <c r="I981" s="17">
        <v>0</v>
      </c>
      <c r="J981" s="17">
        <v>0</v>
      </c>
      <c r="K981" s="17">
        <v>70445</v>
      </c>
      <c r="L981" s="17">
        <v>70445</v>
      </c>
      <c r="M981" s="17">
        <v>66922.75</v>
      </c>
      <c r="N981" s="17">
        <v>66922.75</v>
      </c>
      <c r="O981" s="17">
        <v>66922.75</v>
      </c>
      <c r="P981" s="17">
        <v>83829.55</v>
      </c>
      <c r="Q981" s="17">
        <v>83829.55</v>
      </c>
      <c r="R981" s="17">
        <v>83829.55</v>
      </c>
      <c r="S981" s="17">
        <v>92987.4</v>
      </c>
    </row>
    <row r="982" spans="1:19" ht="14.25">
      <c r="A982" s="23">
        <f t="shared" si="16"/>
        <v>981</v>
      </c>
      <c r="B982" s="18"/>
      <c r="C982" s="17">
        <v>91250</v>
      </c>
      <c r="D982" s="17">
        <v>91250</v>
      </c>
      <c r="E982" s="17">
        <v>87600</v>
      </c>
      <c r="F982" s="17">
        <v>114975</v>
      </c>
      <c r="G982" s="17">
        <v>132312.5</v>
      </c>
      <c r="H982" s="17">
        <v>157862.5</v>
      </c>
      <c r="I982" s="17">
        <v>184325</v>
      </c>
      <c r="J982" s="17">
        <v>200750.00000000003</v>
      </c>
      <c r="K982" s="17">
        <v>194362.50000000003</v>
      </c>
      <c r="L982" s="17">
        <v>194362.50000000003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</row>
    <row r="983" spans="1:19" ht="14.25">
      <c r="A983" s="23">
        <f t="shared" si="16"/>
        <v>982</v>
      </c>
      <c r="B983" s="18"/>
      <c r="C983" s="17">
        <v>74460</v>
      </c>
      <c r="D983" s="17">
        <v>87862.799999999988</v>
      </c>
      <c r="E983" s="17">
        <v>87862.799999999988</v>
      </c>
      <c r="F983" s="17">
        <v>96797.999999999985</v>
      </c>
      <c r="G983" s="17">
        <v>102010.2</v>
      </c>
      <c r="H983" s="17">
        <v>113179.19999999998</v>
      </c>
      <c r="I983" s="17">
        <v>129560.39999999998</v>
      </c>
      <c r="J983" s="17">
        <v>129560.39999999998</v>
      </c>
      <c r="K983" s="17">
        <v>149664.59999999998</v>
      </c>
      <c r="L983" s="17">
        <v>138495.59999999998</v>
      </c>
      <c r="M983" s="17">
        <v>0</v>
      </c>
      <c r="N983" s="17">
        <v>0</v>
      </c>
      <c r="O983" s="17">
        <v>0</v>
      </c>
      <c r="P983" s="17">
        <v>0</v>
      </c>
      <c r="Q983" s="17">
        <v>0</v>
      </c>
      <c r="R983" s="17">
        <v>0</v>
      </c>
      <c r="S983" s="17">
        <v>0</v>
      </c>
    </row>
    <row r="984" spans="1:19" ht="14.25">
      <c r="A984" s="23">
        <f t="shared" si="16"/>
        <v>983</v>
      </c>
      <c r="B984" s="18"/>
      <c r="C984" s="17">
        <v>0</v>
      </c>
      <c r="D984" s="17">
        <v>0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73365</v>
      </c>
      <c r="L984" s="17">
        <v>66762.150000000009</v>
      </c>
      <c r="M984" s="17">
        <v>73365</v>
      </c>
      <c r="N984" s="17">
        <v>93173.55</v>
      </c>
      <c r="O984" s="17">
        <v>93173.55</v>
      </c>
      <c r="P984" s="17">
        <v>82902.45</v>
      </c>
      <c r="Q984" s="17">
        <v>101977.34999999999</v>
      </c>
      <c r="R984" s="17">
        <v>120318.59999999999</v>
      </c>
      <c r="S984" s="17">
        <v>124720.5</v>
      </c>
    </row>
    <row r="985" spans="1:19" ht="14.25">
      <c r="A985" s="23">
        <f t="shared" si="16"/>
        <v>984</v>
      </c>
      <c r="B985" s="18"/>
      <c r="C985" s="17">
        <v>0</v>
      </c>
      <c r="D985" s="17">
        <v>0</v>
      </c>
      <c r="E985" s="17">
        <v>0</v>
      </c>
      <c r="F985" s="17">
        <v>0</v>
      </c>
      <c r="G985" s="17">
        <v>0</v>
      </c>
      <c r="H985" s="17">
        <v>0</v>
      </c>
      <c r="I985" s="17">
        <v>0</v>
      </c>
      <c r="J985" s="17">
        <v>0</v>
      </c>
      <c r="K985" s="17">
        <v>0</v>
      </c>
      <c r="L985" s="17">
        <v>0</v>
      </c>
      <c r="M985" s="17">
        <v>0</v>
      </c>
      <c r="N985" s="17">
        <v>0</v>
      </c>
      <c r="O985" s="17">
        <v>0</v>
      </c>
      <c r="P985" s="17">
        <v>65700</v>
      </c>
      <c r="Q985" s="17">
        <v>72270</v>
      </c>
      <c r="R985" s="17">
        <v>83439</v>
      </c>
      <c r="S985" s="17">
        <v>94608</v>
      </c>
    </row>
    <row r="986" spans="1:19" ht="14.25">
      <c r="A986" s="23">
        <f t="shared" si="16"/>
        <v>985</v>
      </c>
      <c r="B986" s="18"/>
      <c r="C986" s="17">
        <v>93805</v>
      </c>
      <c r="D986" s="17">
        <v>110689.9</v>
      </c>
      <c r="E986" s="17">
        <v>122884.55</v>
      </c>
      <c r="F986" s="17">
        <v>148211.9</v>
      </c>
      <c r="G986" s="17">
        <v>159468.50000000003</v>
      </c>
      <c r="H986" s="17">
        <v>181981.7</v>
      </c>
      <c r="I986" s="17">
        <v>193238.30000000002</v>
      </c>
      <c r="J986" s="17">
        <v>211999.30000000002</v>
      </c>
      <c r="K986" s="17">
        <v>238264.7</v>
      </c>
      <c r="L986" s="17">
        <v>249521.30000000002</v>
      </c>
      <c r="M986" s="17">
        <v>272972.55</v>
      </c>
      <c r="N986" s="17">
        <v>284229.15000000002</v>
      </c>
      <c r="O986" s="17">
        <v>292671.60000000003</v>
      </c>
      <c r="P986" s="17">
        <v>314246.75</v>
      </c>
      <c r="Q986" s="17">
        <v>340512.14999999997</v>
      </c>
      <c r="R986" s="17">
        <v>360211.20000000001</v>
      </c>
      <c r="S986" s="17">
        <v>371467.8</v>
      </c>
    </row>
    <row r="987" spans="1:19" ht="14.25">
      <c r="A987" s="23">
        <f t="shared" si="16"/>
        <v>986</v>
      </c>
      <c r="B987" s="18"/>
      <c r="C987" s="17">
        <v>0</v>
      </c>
      <c r="D987" s="17">
        <v>0</v>
      </c>
      <c r="E987" s="17">
        <v>0</v>
      </c>
      <c r="F987" s="17">
        <v>0</v>
      </c>
      <c r="G987" s="17">
        <v>0</v>
      </c>
      <c r="H987" s="17">
        <v>73000</v>
      </c>
      <c r="I987" s="17">
        <v>81760.000000000015</v>
      </c>
      <c r="J987" s="17">
        <v>87600.000000000015</v>
      </c>
      <c r="K987" s="17">
        <v>78840</v>
      </c>
      <c r="L987" s="17">
        <v>78840</v>
      </c>
      <c r="M987" s="17">
        <v>76650</v>
      </c>
      <c r="N987" s="17">
        <v>96360</v>
      </c>
      <c r="O987" s="17">
        <v>115340</v>
      </c>
      <c r="P987" s="17">
        <v>121180.00000000001</v>
      </c>
      <c r="Q987" s="17">
        <v>0</v>
      </c>
      <c r="R987" s="17">
        <v>0</v>
      </c>
      <c r="S987" s="17">
        <v>0</v>
      </c>
    </row>
    <row r="988" spans="1:19" ht="14.25">
      <c r="A988" s="23">
        <f t="shared" si="16"/>
        <v>987</v>
      </c>
      <c r="B988" s="18"/>
      <c r="C988" s="17">
        <v>69715</v>
      </c>
      <c r="D988" s="17">
        <v>69715</v>
      </c>
      <c r="E988" s="17">
        <v>87840.9</v>
      </c>
      <c r="F988" s="17">
        <v>78080.800000000003</v>
      </c>
      <c r="G988" s="17">
        <v>87143.75</v>
      </c>
      <c r="H988" s="17">
        <v>78080.800000000003</v>
      </c>
      <c r="I988" s="17">
        <v>78080.800000000003</v>
      </c>
      <c r="J988" s="17">
        <v>78080.800000000003</v>
      </c>
      <c r="K988" s="17">
        <v>78080.800000000003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</row>
    <row r="989" spans="1:19" ht="14.25">
      <c r="A989" s="23">
        <f t="shared" si="16"/>
        <v>988</v>
      </c>
      <c r="B989" s="18"/>
      <c r="C989" s="17">
        <v>99280</v>
      </c>
      <c r="D989" s="17">
        <v>91337.600000000006</v>
      </c>
      <c r="E989" s="17">
        <v>106229.6</v>
      </c>
      <c r="F989" s="17">
        <v>124100</v>
      </c>
      <c r="G989" s="17">
        <v>150905.60000000001</v>
      </c>
      <c r="H989" s="17">
        <v>150905.60000000001</v>
      </c>
      <c r="I989" s="17">
        <v>150905.60000000001</v>
      </c>
      <c r="J989" s="17">
        <v>177711.2</v>
      </c>
      <c r="K989" s="17">
        <v>182675.20000000001</v>
      </c>
      <c r="L989" s="17">
        <v>198560</v>
      </c>
      <c r="M989" s="17">
        <v>212459.2</v>
      </c>
      <c r="N989" s="17">
        <v>233308</v>
      </c>
      <c r="O989" s="17">
        <v>263092</v>
      </c>
      <c r="P989" s="17">
        <v>278976.8</v>
      </c>
      <c r="Q989" s="17">
        <v>289897.59999999998</v>
      </c>
      <c r="R989" s="17">
        <v>289897.59999999998</v>
      </c>
      <c r="S989" s="17">
        <v>0</v>
      </c>
    </row>
    <row r="990" spans="1:19" ht="14.25">
      <c r="A990" s="23">
        <f t="shared" si="16"/>
        <v>989</v>
      </c>
      <c r="B990" s="18"/>
      <c r="C990" s="17">
        <v>66430</v>
      </c>
      <c r="D990" s="17">
        <v>74401.600000000006</v>
      </c>
      <c r="E990" s="17">
        <v>89016.200000000012</v>
      </c>
      <c r="F990" s="17">
        <v>81708.899999999994</v>
      </c>
      <c r="G990" s="17">
        <v>78387.399999999994</v>
      </c>
      <c r="H990" s="17">
        <v>81708.899999999994</v>
      </c>
      <c r="I990" s="17">
        <v>80380.3</v>
      </c>
      <c r="J990" s="17">
        <v>80380.3</v>
      </c>
      <c r="K990" s="17">
        <v>84366.1</v>
      </c>
      <c r="L990" s="17">
        <v>83037.5</v>
      </c>
      <c r="M990" s="17">
        <v>87023.3</v>
      </c>
      <c r="N990" s="17">
        <v>99645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</row>
    <row r="991" spans="1:19" ht="14.25">
      <c r="A991" s="23">
        <f t="shared" si="16"/>
        <v>990</v>
      </c>
      <c r="B991" s="18"/>
      <c r="C991" s="17">
        <v>0</v>
      </c>
      <c r="D991" s="17">
        <v>0</v>
      </c>
      <c r="E991" s="17">
        <v>0</v>
      </c>
      <c r="F991" s="17">
        <v>86870</v>
      </c>
      <c r="G991" s="17">
        <v>105112.7</v>
      </c>
      <c r="H991" s="17">
        <v>105112.7</v>
      </c>
      <c r="I991" s="17">
        <v>102506.59999999999</v>
      </c>
      <c r="J991" s="17">
        <v>98163.099999999991</v>
      </c>
      <c r="K991" s="17">
        <v>98163.099999999991</v>
      </c>
      <c r="L991" s="17">
        <v>106850.09999999999</v>
      </c>
      <c r="M991" s="17">
        <v>106850.09999999999</v>
      </c>
      <c r="N991" s="17">
        <v>113799.70000000001</v>
      </c>
      <c r="O991" s="17">
        <v>113799.70000000001</v>
      </c>
      <c r="P991" s="17">
        <v>132042.4</v>
      </c>
      <c r="Q991" s="17">
        <v>120749.30000000002</v>
      </c>
      <c r="R991" s="17">
        <v>142466.80000000002</v>
      </c>
      <c r="S991" s="17">
        <v>167659.1</v>
      </c>
    </row>
    <row r="992" spans="1:19" ht="14.25">
      <c r="A992" s="23">
        <f t="shared" si="16"/>
        <v>991</v>
      </c>
      <c r="B992" s="18"/>
      <c r="C992" s="17">
        <v>0</v>
      </c>
      <c r="D992" s="17">
        <v>0</v>
      </c>
      <c r="E992" s="17">
        <v>0</v>
      </c>
      <c r="F992" s="17">
        <v>0</v>
      </c>
      <c r="G992" s="17">
        <v>0</v>
      </c>
      <c r="H992" s="17">
        <v>0</v>
      </c>
      <c r="I992" s="17">
        <v>70080</v>
      </c>
      <c r="J992" s="17">
        <v>74985.600000000006</v>
      </c>
      <c r="K992" s="17">
        <v>82694.400000000009</v>
      </c>
      <c r="L992" s="17">
        <v>98812.800000000003</v>
      </c>
      <c r="M992" s="17">
        <v>112128</v>
      </c>
      <c r="N992" s="17">
        <v>119136.00000000001</v>
      </c>
      <c r="O992" s="17">
        <v>112128</v>
      </c>
      <c r="P992" s="17">
        <v>127545.60000000001</v>
      </c>
      <c r="Q992" s="17">
        <v>137356.79999999999</v>
      </c>
      <c r="R992" s="17">
        <v>137356.79999999999</v>
      </c>
      <c r="S992" s="17">
        <v>155577.59999999998</v>
      </c>
    </row>
    <row r="993" spans="1:19" ht="14.25">
      <c r="A993" s="23">
        <f t="shared" si="16"/>
        <v>992</v>
      </c>
      <c r="B993" s="18"/>
      <c r="C993" s="17">
        <v>0</v>
      </c>
      <c r="D993" s="17">
        <v>0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97455</v>
      </c>
      <c r="S993" s="17">
        <v>103302.3</v>
      </c>
    </row>
    <row r="994" spans="1:19" ht="14.25">
      <c r="A994" s="23">
        <f t="shared" si="16"/>
        <v>993</v>
      </c>
      <c r="B994" s="18"/>
      <c r="C994" s="17">
        <v>0</v>
      </c>
      <c r="D994" s="17">
        <v>0</v>
      </c>
      <c r="E994" s="17">
        <v>0</v>
      </c>
      <c r="F994" s="17">
        <v>0</v>
      </c>
      <c r="G994" s="17">
        <v>0</v>
      </c>
      <c r="H994" s="17">
        <v>0</v>
      </c>
      <c r="I994" s="17">
        <v>0</v>
      </c>
      <c r="J994" s="17">
        <v>0</v>
      </c>
      <c r="K994" s="17">
        <v>0</v>
      </c>
      <c r="L994" s="17">
        <v>0</v>
      </c>
      <c r="M994" s="17">
        <v>0</v>
      </c>
      <c r="N994" s="17">
        <v>0</v>
      </c>
      <c r="O994" s="17">
        <v>0</v>
      </c>
      <c r="P994" s="17">
        <v>0</v>
      </c>
      <c r="Q994" s="17">
        <v>90885</v>
      </c>
      <c r="R994" s="17">
        <v>116332.8</v>
      </c>
      <c r="S994" s="17">
        <v>143598.30000000002</v>
      </c>
    </row>
    <row r="995" spans="1:19" ht="14.25">
      <c r="A995" s="23">
        <f t="shared" si="16"/>
        <v>994</v>
      </c>
      <c r="B995" s="18"/>
      <c r="C995" s="17">
        <v>0</v>
      </c>
      <c r="D995" s="17">
        <v>0</v>
      </c>
      <c r="E995" s="17">
        <v>0</v>
      </c>
      <c r="F995" s="17">
        <v>0</v>
      </c>
      <c r="G995" s="17">
        <v>0</v>
      </c>
      <c r="H995" s="17">
        <v>0</v>
      </c>
      <c r="I995" s="17">
        <v>0</v>
      </c>
      <c r="J995" s="17">
        <v>0</v>
      </c>
      <c r="K995" s="17">
        <v>0</v>
      </c>
      <c r="L995" s="17">
        <v>0</v>
      </c>
      <c r="M995" s="17">
        <v>0</v>
      </c>
      <c r="N995" s="17">
        <v>0</v>
      </c>
      <c r="O995" s="17">
        <v>0</v>
      </c>
      <c r="P995" s="17">
        <v>105850</v>
      </c>
      <c r="Q995" s="17">
        <v>111142.5</v>
      </c>
      <c r="R995" s="17">
        <v>142897.5</v>
      </c>
      <c r="S995" s="17">
        <v>150307.00000000003</v>
      </c>
    </row>
    <row r="996" spans="1:19" ht="14.25">
      <c r="A996" s="23">
        <f t="shared" si="16"/>
        <v>995</v>
      </c>
      <c r="B996" s="18"/>
      <c r="C996" s="17">
        <v>75920</v>
      </c>
      <c r="D996" s="17">
        <v>82752.800000000003</v>
      </c>
      <c r="E996" s="17">
        <v>88067.200000000012</v>
      </c>
      <c r="F996" s="17">
        <v>87308.000000000015</v>
      </c>
      <c r="G996" s="17">
        <v>102492</v>
      </c>
      <c r="H996" s="17">
        <v>88067.200000000012</v>
      </c>
      <c r="I996" s="17">
        <v>0</v>
      </c>
      <c r="J996" s="17">
        <v>0</v>
      </c>
      <c r="K996" s="17">
        <v>0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</row>
    <row r="997" spans="1:19" ht="14.25">
      <c r="A997" s="23">
        <f t="shared" si="16"/>
        <v>996</v>
      </c>
      <c r="B997" s="18"/>
      <c r="C997" s="17">
        <v>70445</v>
      </c>
      <c r="D997" s="17">
        <v>70445</v>
      </c>
      <c r="E997" s="17">
        <v>76080.600000000006</v>
      </c>
      <c r="F997" s="17">
        <v>85942.900000000009</v>
      </c>
      <c r="G997" s="17">
        <v>92282.950000000026</v>
      </c>
      <c r="H997" s="17">
        <v>102145.25000000001</v>
      </c>
      <c r="I997" s="17">
        <v>112007.55000000002</v>
      </c>
      <c r="J997" s="17">
        <v>109189.75000000001</v>
      </c>
      <c r="K997" s="17">
        <v>109189.75000000001</v>
      </c>
      <c r="L997" s="17">
        <v>112712.00000000003</v>
      </c>
      <c r="M997" s="17">
        <v>126801.00000000001</v>
      </c>
      <c r="N997" s="17">
        <v>132436.60000000003</v>
      </c>
      <c r="O997" s="17">
        <v>135958.85000000003</v>
      </c>
      <c r="P997" s="17">
        <v>143707.80000000005</v>
      </c>
      <c r="Q997" s="17">
        <v>154274.55000000002</v>
      </c>
      <c r="R997" s="17">
        <v>149343.40000000005</v>
      </c>
      <c r="S997" s="17">
        <v>149343.40000000005</v>
      </c>
    </row>
    <row r="998" spans="1:19" ht="14.25">
      <c r="A998" s="23">
        <f t="shared" si="16"/>
        <v>997</v>
      </c>
      <c r="B998" s="18"/>
      <c r="C998" s="17">
        <v>0</v>
      </c>
      <c r="D998" s="17">
        <v>0</v>
      </c>
      <c r="E998" s="17">
        <v>0</v>
      </c>
      <c r="F998" s="17">
        <v>0</v>
      </c>
      <c r="G998" s="17">
        <v>0</v>
      </c>
      <c r="H998" s="17">
        <v>0</v>
      </c>
      <c r="I998" s="17">
        <v>0</v>
      </c>
      <c r="J998" s="17">
        <v>0</v>
      </c>
      <c r="K998" s="17">
        <v>81030</v>
      </c>
      <c r="L998" s="17">
        <v>93184.5</v>
      </c>
      <c r="M998" s="17">
        <v>110200.79999999999</v>
      </c>
      <c r="N998" s="17">
        <v>134509.79999999999</v>
      </c>
      <c r="O998" s="17">
        <v>130458.29999999999</v>
      </c>
      <c r="P998" s="17">
        <v>125596.49999999999</v>
      </c>
      <c r="Q998" s="17">
        <v>131268.59999999998</v>
      </c>
      <c r="R998" s="17">
        <v>145043.69999999998</v>
      </c>
      <c r="S998" s="17">
        <v>131268.59999999998</v>
      </c>
    </row>
    <row r="999" spans="1:19" ht="14.25">
      <c r="A999" s="23">
        <f t="shared" si="16"/>
        <v>998</v>
      </c>
      <c r="B999" s="18"/>
      <c r="C999" s="17">
        <v>99645</v>
      </c>
      <c r="D999" s="17">
        <v>126549.15000000001</v>
      </c>
      <c r="E999" s="17">
        <v>142492.35</v>
      </c>
      <c r="F999" s="17">
        <v>126549.15000000001</v>
      </c>
      <c r="G999" s="17">
        <v>126549.15000000001</v>
      </c>
      <c r="H999" s="17">
        <v>134520.75</v>
      </c>
      <c r="I999" s="17">
        <v>151460.4</v>
      </c>
      <c r="J999" s="17">
        <v>176371.65</v>
      </c>
      <c r="K999" s="17">
        <v>190321.95</v>
      </c>
      <c r="L999" s="17">
        <v>197297.1</v>
      </c>
      <c r="M999" s="17">
        <v>222208.35000000003</v>
      </c>
      <c r="N999" s="17">
        <v>242137.35000000006</v>
      </c>
      <c r="O999" s="17">
        <v>0</v>
      </c>
      <c r="P999" s="17">
        <v>0</v>
      </c>
      <c r="Q999" s="17">
        <v>0</v>
      </c>
      <c r="R999" s="17">
        <v>0</v>
      </c>
      <c r="S999" s="17">
        <v>0</v>
      </c>
    </row>
    <row r="1000" spans="1:19" ht="14.25">
      <c r="A1000" s="23">
        <f t="shared" si="16"/>
        <v>999</v>
      </c>
      <c r="B1000" s="18"/>
      <c r="C1000" s="17">
        <v>75920</v>
      </c>
      <c r="D1000" s="17">
        <v>75920</v>
      </c>
      <c r="E1000" s="17">
        <v>75920</v>
      </c>
      <c r="F1000" s="17">
        <v>80475.199999999997</v>
      </c>
      <c r="G1000" s="17">
        <v>80475.199999999997</v>
      </c>
      <c r="H1000" s="17">
        <v>78956.800000000003</v>
      </c>
      <c r="I1000" s="17">
        <v>82752.800000000003</v>
      </c>
      <c r="J1000" s="17">
        <v>74401.600000000006</v>
      </c>
      <c r="K1000" s="17">
        <v>81993.600000000006</v>
      </c>
      <c r="L1000" s="17">
        <v>94140.800000000003</v>
      </c>
      <c r="M1000" s="17">
        <v>103251.2</v>
      </c>
      <c r="N1000" s="17">
        <v>123749.59999999999</v>
      </c>
      <c r="O1000" s="17">
        <v>137415.19999999998</v>
      </c>
      <c r="P1000" s="17">
        <v>156395.19999999998</v>
      </c>
      <c r="Q1000" s="17">
        <v>156395.19999999998</v>
      </c>
      <c r="R1000" s="17">
        <v>174616</v>
      </c>
      <c r="S1000" s="17">
        <v>174616</v>
      </c>
    </row>
    <row r="1001" spans="1:19" ht="14.25">
      <c r="A1001" s="23">
        <f t="shared" si="16"/>
        <v>1000</v>
      </c>
      <c r="B1001" s="18"/>
      <c r="C1001" s="17">
        <v>78110</v>
      </c>
      <c r="D1001" s="17">
        <v>78110</v>
      </c>
      <c r="E1001" s="17">
        <v>78110</v>
      </c>
      <c r="F1001" s="17">
        <v>85921</v>
      </c>
      <c r="G1001" s="17">
        <v>100761.90000000001</v>
      </c>
      <c r="H1001" s="17">
        <v>115602.8</v>
      </c>
      <c r="I1001" s="17">
        <v>126538.20000000001</v>
      </c>
      <c r="J1001" s="17">
        <v>133568.1</v>
      </c>
      <c r="K1001" s="17">
        <v>139035.80000000002</v>
      </c>
      <c r="L1001" s="17">
        <v>146065.70000000001</v>
      </c>
      <c r="M1001" s="17">
        <v>159344.40000000002</v>
      </c>
      <c r="N1001" s="17">
        <v>182777.40000000002</v>
      </c>
      <c r="O1001" s="17">
        <v>198399.40000000002</v>
      </c>
      <c r="P1001" s="17">
        <v>185120.70000000004</v>
      </c>
      <c r="Q1001" s="17">
        <v>172623.10000000003</v>
      </c>
      <c r="R1001" s="17">
        <v>179653.00000000003</v>
      </c>
      <c r="S1001" s="17">
        <v>192931.7</v>
      </c>
    </row>
  </sheetData>
  <pageMargins left="0.25" right="0.25" top="0.5" bottom="0.25" header="0.3" footer="0.3"/>
  <pageSetup scale="10" orientation="landscape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7757-66C8-4C3E-B98C-BCCB3C434476}">
  <dimension ref="A1:BQ111"/>
  <sheetViews>
    <sheetView showGridLines="0" zoomScale="120" zoomScaleNormal="120" zoomScaleSheetLayoutView="13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3.9296875" style="1" customWidth="1"/>
    <col min="2" max="2" width="28.796875" style="2" customWidth="1"/>
    <col min="3" max="3" width="10.1328125" style="2" customWidth="1"/>
    <col min="4" max="12" width="7.796875" style="2" customWidth="1"/>
    <col min="13" max="17" width="7.796875" style="1" customWidth="1"/>
    <col min="18" max="38" width="7.9296875" style="1" customWidth="1"/>
    <col min="39" max="39" width="7.9296875" style="46" customWidth="1"/>
    <col min="40" max="40" width="7.796875" style="47" customWidth="1"/>
    <col min="41" max="59" width="7.796875" style="1" customWidth="1"/>
    <col min="60" max="60" width="9.1328125" style="1"/>
    <col min="61" max="69" width="9.265625" style="1" customWidth="1"/>
    <col min="70" max="16384" width="9.1328125" style="1"/>
  </cols>
  <sheetData>
    <row r="1" spans="2:69" s="2" customFormat="1">
      <c r="B1" s="7"/>
      <c r="AM1" s="36"/>
      <c r="AN1" s="37"/>
    </row>
    <row r="2" spans="2:69" s="2" customFormat="1">
      <c r="B2" s="3" t="s">
        <v>23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3"/>
      <c r="AN2" s="39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I2" s="77" t="s">
        <v>45</v>
      </c>
      <c r="BJ2" s="77"/>
      <c r="BK2" s="15"/>
      <c r="BL2" s="15"/>
      <c r="BM2" s="15"/>
      <c r="BN2" s="15"/>
      <c r="BO2" s="15"/>
      <c r="BP2" s="15"/>
      <c r="BQ2" s="15"/>
    </row>
    <row r="3" spans="2:69" s="2" customFormat="1">
      <c r="B3" s="4"/>
      <c r="C3" s="76">
        <f t="shared" ref="C3:R3" si="0">YEAR(C4)</f>
        <v>2019</v>
      </c>
      <c r="D3" s="76">
        <f t="shared" si="0"/>
        <v>2019</v>
      </c>
      <c r="E3" s="76">
        <f t="shared" si="0"/>
        <v>2019</v>
      </c>
      <c r="F3" s="76">
        <f t="shared" si="0"/>
        <v>2019</v>
      </c>
      <c r="G3" s="76">
        <f t="shared" si="0"/>
        <v>2020</v>
      </c>
      <c r="H3" s="76">
        <f t="shared" si="0"/>
        <v>2020</v>
      </c>
      <c r="I3" s="76">
        <f t="shared" si="0"/>
        <v>2020</v>
      </c>
      <c r="J3" s="76">
        <f t="shared" si="0"/>
        <v>2020</v>
      </c>
      <c r="K3" s="76">
        <f t="shared" si="0"/>
        <v>2021</v>
      </c>
      <c r="L3" s="76">
        <f t="shared" si="0"/>
        <v>2021</v>
      </c>
      <c r="M3" s="76">
        <f t="shared" si="0"/>
        <v>2021</v>
      </c>
      <c r="N3" s="76">
        <f t="shared" si="0"/>
        <v>2021</v>
      </c>
      <c r="O3" s="76">
        <f t="shared" si="0"/>
        <v>2022</v>
      </c>
      <c r="P3" s="76">
        <f t="shared" si="0"/>
        <v>2022</v>
      </c>
      <c r="Q3" s="76">
        <f t="shared" si="0"/>
        <v>2022</v>
      </c>
      <c r="R3" s="76">
        <f t="shared" si="0"/>
        <v>2022</v>
      </c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4"/>
      <c r="AN3" s="105">
        <f t="shared" ref="AN3:BG3" si="1">YEAR(AN4)</f>
        <v>2023</v>
      </c>
      <c r="AO3" s="76">
        <f t="shared" si="1"/>
        <v>2023</v>
      </c>
      <c r="AP3" s="76">
        <f t="shared" si="1"/>
        <v>2023</v>
      </c>
      <c r="AQ3" s="76">
        <f t="shared" si="1"/>
        <v>2023</v>
      </c>
      <c r="AR3" s="76">
        <f t="shared" si="1"/>
        <v>2024</v>
      </c>
      <c r="AS3" s="76">
        <f t="shared" si="1"/>
        <v>2024</v>
      </c>
      <c r="AT3" s="76">
        <f t="shared" si="1"/>
        <v>2024</v>
      </c>
      <c r="AU3" s="76">
        <f t="shared" si="1"/>
        <v>2024</v>
      </c>
      <c r="AV3" s="76">
        <f t="shared" si="1"/>
        <v>2025</v>
      </c>
      <c r="AW3" s="76">
        <f t="shared" si="1"/>
        <v>2025</v>
      </c>
      <c r="AX3" s="76">
        <f t="shared" si="1"/>
        <v>2025</v>
      </c>
      <c r="AY3" s="76">
        <f t="shared" si="1"/>
        <v>2025</v>
      </c>
      <c r="AZ3" s="76">
        <f t="shared" si="1"/>
        <v>2026</v>
      </c>
      <c r="BA3" s="76">
        <f t="shared" si="1"/>
        <v>2026</v>
      </c>
      <c r="BB3" s="76">
        <f t="shared" si="1"/>
        <v>2026</v>
      </c>
      <c r="BC3" s="76">
        <f t="shared" si="1"/>
        <v>2026</v>
      </c>
      <c r="BD3" s="76">
        <f t="shared" si="1"/>
        <v>2027</v>
      </c>
      <c r="BE3" s="76">
        <f t="shared" si="1"/>
        <v>2027</v>
      </c>
      <c r="BF3" s="76">
        <f t="shared" si="1"/>
        <v>2027</v>
      </c>
      <c r="BG3" s="76">
        <f t="shared" si="1"/>
        <v>2027</v>
      </c>
      <c r="BI3" s="76">
        <f t="shared" ref="BI3:BQ3" si="2">YEAR(BI4)</f>
        <v>2019</v>
      </c>
      <c r="BJ3" s="76">
        <f t="shared" si="2"/>
        <v>2020</v>
      </c>
      <c r="BK3" s="76">
        <f t="shared" si="2"/>
        <v>2021</v>
      </c>
      <c r="BL3" s="76">
        <f t="shared" si="2"/>
        <v>2022</v>
      </c>
      <c r="BM3" s="76">
        <f t="shared" si="2"/>
        <v>2023</v>
      </c>
      <c r="BN3" s="76">
        <f t="shared" si="2"/>
        <v>2024</v>
      </c>
      <c r="BO3" s="76">
        <f t="shared" si="2"/>
        <v>2025</v>
      </c>
      <c r="BP3" s="76">
        <f t="shared" si="2"/>
        <v>2026</v>
      </c>
      <c r="BQ3" s="76">
        <f t="shared" si="2"/>
        <v>2027</v>
      </c>
    </row>
    <row r="4" spans="2:69" s="2" customFormat="1">
      <c r="B4" s="4"/>
      <c r="C4" s="141">
        <v>43555</v>
      </c>
      <c r="D4" s="12">
        <f t="shared" ref="D4:R4" si="3">EOMONTH(C4, 3)</f>
        <v>43646</v>
      </c>
      <c r="E4" s="12">
        <f t="shared" si="3"/>
        <v>43738</v>
      </c>
      <c r="F4" s="12">
        <f t="shared" si="3"/>
        <v>43830</v>
      </c>
      <c r="G4" s="12">
        <f t="shared" si="3"/>
        <v>43921</v>
      </c>
      <c r="H4" s="12">
        <f t="shared" si="3"/>
        <v>44012</v>
      </c>
      <c r="I4" s="12">
        <f t="shared" si="3"/>
        <v>44104</v>
      </c>
      <c r="J4" s="12">
        <f t="shared" si="3"/>
        <v>44196</v>
      </c>
      <c r="K4" s="12">
        <f t="shared" si="3"/>
        <v>44286</v>
      </c>
      <c r="L4" s="12">
        <f t="shared" si="3"/>
        <v>44377</v>
      </c>
      <c r="M4" s="12">
        <f t="shared" si="3"/>
        <v>44469</v>
      </c>
      <c r="N4" s="12">
        <f t="shared" si="3"/>
        <v>44561</v>
      </c>
      <c r="O4" s="12">
        <f t="shared" si="3"/>
        <v>44651</v>
      </c>
      <c r="P4" s="12">
        <f t="shared" si="3"/>
        <v>44742</v>
      </c>
      <c r="Q4" s="12">
        <f t="shared" si="3"/>
        <v>44834</v>
      </c>
      <c r="R4" s="12">
        <f t="shared" si="3"/>
        <v>44926</v>
      </c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135"/>
      <c r="AN4" s="70">
        <f>EOMONTH(R4, 3)</f>
        <v>45016</v>
      </c>
      <c r="AO4" s="12">
        <f t="shared" ref="AO4:BG4" si="4">EOMONTH(AN4, 3)</f>
        <v>45107</v>
      </c>
      <c r="AP4" s="12">
        <f t="shared" si="4"/>
        <v>45199</v>
      </c>
      <c r="AQ4" s="12">
        <f t="shared" si="4"/>
        <v>45291</v>
      </c>
      <c r="AR4" s="12">
        <f t="shared" si="4"/>
        <v>45382</v>
      </c>
      <c r="AS4" s="12">
        <f t="shared" si="4"/>
        <v>45473</v>
      </c>
      <c r="AT4" s="12">
        <f t="shared" si="4"/>
        <v>45565</v>
      </c>
      <c r="AU4" s="12">
        <f t="shared" si="4"/>
        <v>45657</v>
      </c>
      <c r="AV4" s="12">
        <f t="shared" si="4"/>
        <v>45747</v>
      </c>
      <c r="AW4" s="12">
        <f t="shared" si="4"/>
        <v>45838</v>
      </c>
      <c r="AX4" s="12">
        <f t="shared" si="4"/>
        <v>45930</v>
      </c>
      <c r="AY4" s="12">
        <f t="shared" si="4"/>
        <v>46022</v>
      </c>
      <c r="AZ4" s="12">
        <f t="shared" si="4"/>
        <v>46112</v>
      </c>
      <c r="BA4" s="12">
        <f t="shared" si="4"/>
        <v>46203</v>
      </c>
      <c r="BB4" s="12">
        <f t="shared" si="4"/>
        <v>46295</v>
      </c>
      <c r="BC4" s="12">
        <f t="shared" si="4"/>
        <v>46387</v>
      </c>
      <c r="BD4" s="12">
        <f t="shared" si="4"/>
        <v>46477</v>
      </c>
      <c r="BE4" s="12">
        <f t="shared" si="4"/>
        <v>46568</v>
      </c>
      <c r="BF4" s="12">
        <f t="shared" si="4"/>
        <v>46660</v>
      </c>
      <c r="BG4" s="12">
        <f t="shared" si="4"/>
        <v>46752</v>
      </c>
      <c r="BI4" s="12">
        <f>+F4</f>
        <v>43830</v>
      </c>
      <c r="BJ4" s="12">
        <f>+J4</f>
        <v>44196</v>
      </c>
      <c r="BK4" s="12">
        <f>N4</f>
        <v>44561</v>
      </c>
      <c r="BL4" s="12">
        <f>+R4</f>
        <v>44926</v>
      </c>
      <c r="BM4" s="12">
        <f>+AQ4</f>
        <v>45291</v>
      </c>
      <c r="BN4" s="12">
        <f>+AU4</f>
        <v>45657</v>
      </c>
      <c r="BO4" s="12">
        <f>+AY4</f>
        <v>46022</v>
      </c>
      <c r="BP4" s="12">
        <f>+BC4</f>
        <v>46387</v>
      </c>
      <c r="BQ4" s="12">
        <f>+BG4</f>
        <v>46752</v>
      </c>
    </row>
    <row r="5" spans="2:69">
      <c r="B5" s="10" t="s">
        <v>11</v>
      </c>
    </row>
    <row r="6" spans="2:69">
      <c r="B6" s="2" t="s">
        <v>78</v>
      </c>
      <c r="C6" s="35">
        <v>6305.9690374999991</v>
      </c>
      <c r="D6" s="35">
        <v>7498.028012499999</v>
      </c>
      <c r="E6" s="35">
        <v>8564.1711124999983</v>
      </c>
      <c r="F6" s="35">
        <v>9665.0932374999975</v>
      </c>
      <c r="G6" s="35">
        <v>10969.617837499998</v>
      </c>
      <c r="H6" s="35">
        <v>12465.142374999999</v>
      </c>
      <c r="I6" s="35">
        <v>13872.589218749999</v>
      </c>
      <c r="J6" s="35">
        <v>15164.2671875</v>
      </c>
      <c r="K6" s="35">
        <v>16576.7971125</v>
      </c>
      <c r="L6" s="35">
        <v>17933.736624999998</v>
      </c>
      <c r="M6" s="35">
        <v>19375.358874999994</v>
      </c>
      <c r="N6" s="35">
        <v>20979.593643749991</v>
      </c>
      <c r="O6" s="35">
        <v>22599.598237499995</v>
      </c>
      <c r="P6" s="35">
        <v>24085.090749999996</v>
      </c>
      <c r="Q6" s="35">
        <v>25405.709112500001</v>
      </c>
      <c r="R6" s="35">
        <v>26616.545512500001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63"/>
      <c r="AN6" s="42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I6" s="27">
        <f t="shared" ref="BI6:BQ7" si="5">+SUMIFS($C6:$BG6, $C$3:$BG$3, BI$3)</f>
        <v>32033.261399999996</v>
      </c>
      <c r="BJ6" s="27">
        <f t="shared" si="5"/>
        <v>52471.616618749998</v>
      </c>
      <c r="BK6" s="27">
        <f t="shared" si="5"/>
        <v>74865.486256249977</v>
      </c>
      <c r="BL6" s="27">
        <f t="shared" si="5"/>
        <v>98706.943612499992</v>
      </c>
      <c r="BM6" s="27">
        <f t="shared" si="5"/>
        <v>0</v>
      </c>
      <c r="BN6" s="27">
        <f t="shared" si="5"/>
        <v>0</v>
      </c>
      <c r="BO6" s="27">
        <f t="shared" si="5"/>
        <v>0</v>
      </c>
      <c r="BP6" s="27">
        <f t="shared" si="5"/>
        <v>0</v>
      </c>
      <c r="BQ6" s="27">
        <f t="shared" si="5"/>
        <v>0</v>
      </c>
    </row>
    <row r="7" spans="2:69">
      <c r="B7" s="2" t="s">
        <v>79</v>
      </c>
      <c r="C7" s="35">
        <v>315.29845187499996</v>
      </c>
      <c r="D7" s="35">
        <v>374.90140062499995</v>
      </c>
      <c r="E7" s="35">
        <v>428.20855562499992</v>
      </c>
      <c r="F7" s="35">
        <v>483.2546618749999</v>
      </c>
      <c r="G7" s="35">
        <v>548.48089187499988</v>
      </c>
      <c r="H7" s="35">
        <v>623.25711875000002</v>
      </c>
      <c r="I7" s="35">
        <v>693.62946093749997</v>
      </c>
      <c r="J7" s="35">
        <v>758.21335937499998</v>
      </c>
      <c r="K7" s="35">
        <v>828.83985562500004</v>
      </c>
      <c r="L7" s="35">
        <v>896.68683124999995</v>
      </c>
      <c r="M7" s="35">
        <v>968.76794374999974</v>
      </c>
      <c r="N7" s="35">
        <v>1048.9796821874995</v>
      </c>
      <c r="O7" s="35">
        <v>1129.9799118749997</v>
      </c>
      <c r="P7" s="35">
        <v>1204.2545374999997</v>
      </c>
      <c r="Q7" s="35">
        <v>1270.2854556250002</v>
      </c>
      <c r="R7" s="35">
        <v>1330.8272756250001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63"/>
      <c r="AN7" s="51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I7" s="27">
        <f t="shared" si="5"/>
        <v>1601.6630699999996</v>
      </c>
      <c r="BJ7" s="27">
        <f t="shared" si="5"/>
        <v>2623.5808309374997</v>
      </c>
      <c r="BK7" s="27">
        <f t="shared" si="5"/>
        <v>3743.2743128124994</v>
      </c>
      <c r="BL7" s="27">
        <f t="shared" si="5"/>
        <v>4935.347180625</v>
      </c>
      <c r="BM7" s="27">
        <f t="shared" si="5"/>
        <v>0</v>
      </c>
      <c r="BN7" s="27">
        <f t="shared" si="5"/>
        <v>0</v>
      </c>
      <c r="BO7" s="27">
        <f t="shared" si="5"/>
        <v>0</v>
      </c>
      <c r="BP7" s="27">
        <f t="shared" si="5"/>
        <v>0</v>
      </c>
      <c r="BQ7" s="27">
        <f t="shared" si="5"/>
        <v>0</v>
      </c>
    </row>
    <row r="8" spans="2:69">
      <c r="B8" s="31" t="s">
        <v>11</v>
      </c>
      <c r="C8" s="13">
        <f t="shared" ref="C8:R8" si="6">SUM(C6:C7)</f>
        <v>6621.2674893749991</v>
      </c>
      <c r="D8" s="13">
        <f t="shared" si="6"/>
        <v>7872.929413124999</v>
      </c>
      <c r="E8" s="13">
        <f t="shared" si="6"/>
        <v>8992.3796681249987</v>
      </c>
      <c r="F8" s="13">
        <f t="shared" si="6"/>
        <v>10148.347899374998</v>
      </c>
      <c r="G8" s="13">
        <f t="shared" si="6"/>
        <v>11518.098729374999</v>
      </c>
      <c r="H8" s="13">
        <f t="shared" si="6"/>
        <v>13088.399493749999</v>
      </c>
      <c r="I8" s="13">
        <f t="shared" si="6"/>
        <v>14566.218679687499</v>
      </c>
      <c r="J8" s="13">
        <f t="shared" si="6"/>
        <v>15922.480546875</v>
      </c>
      <c r="K8" s="13">
        <f t="shared" si="6"/>
        <v>17405.636968125</v>
      </c>
      <c r="L8" s="13">
        <f t="shared" si="6"/>
        <v>18830.423456249999</v>
      </c>
      <c r="M8" s="13">
        <f t="shared" si="6"/>
        <v>20344.126818749995</v>
      </c>
      <c r="N8" s="13">
        <f t="shared" si="6"/>
        <v>22028.57332593749</v>
      </c>
      <c r="O8" s="13">
        <f t="shared" si="6"/>
        <v>23729.578149374996</v>
      </c>
      <c r="P8" s="13">
        <f t="shared" si="6"/>
        <v>25289.345287499997</v>
      </c>
      <c r="Q8" s="13">
        <f t="shared" si="6"/>
        <v>26675.994568124999</v>
      </c>
      <c r="R8" s="13">
        <f t="shared" si="6"/>
        <v>27947.372788125002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64"/>
      <c r="AN8" s="4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I8" s="13">
        <f t="shared" ref="BI8:BQ8" si="7">SUM(BI6:BI7)</f>
        <v>33634.924469999998</v>
      </c>
      <c r="BJ8" s="13">
        <f t="shared" si="7"/>
        <v>55095.197449687497</v>
      </c>
      <c r="BK8" s="13">
        <f t="shared" si="7"/>
        <v>78608.760569062477</v>
      </c>
      <c r="BL8" s="13">
        <f t="shared" si="7"/>
        <v>103642.29079312499</v>
      </c>
      <c r="BM8" s="13">
        <f t="shared" si="7"/>
        <v>0</v>
      </c>
      <c r="BN8" s="13">
        <f t="shared" si="7"/>
        <v>0</v>
      </c>
      <c r="BO8" s="13">
        <f t="shared" si="7"/>
        <v>0</v>
      </c>
      <c r="BP8" s="13">
        <f t="shared" si="7"/>
        <v>0</v>
      </c>
      <c r="BQ8" s="13">
        <f t="shared" si="7"/>
        <v>0</v>
      </c>
    </row>
    <row r="9" spans="2:69">
      <c r="B9" s="6" t="s">
        <v>6</v>
      </c>
      <c r="G9" s="25">
        <f>G8/C8-1</f>
        <v>0.73956100517881751</v>
      </c>
      <c r="H9" s="25">
        <f t="shared" ref="H9:R9" si="8">H8/D8-1</f>
        <v>0.66245609568533226</v>
      </c>
      <c r="I9" s="25">
        <f t="shared" si="8"/>
        <v>0.619840266678231</v>
      </c>
      <c r="J9" s="25">
        <f t="shared" si="8"/>
        <v>0.56897267464151602</v>
      </c>
      <c r="K9" s="25">
        <f t="shared" si="8"/>
        <v>0.51115538919064929</v>
      </c>
      <c r="L9" s="25">
        <f t="shared" si="8"/>
        <v>0.43871093369681624</v>
      </c>
      <c r="M9" s="25">
        <f t="shared" si="8"/>
        <v>0.39666493179316009</v>
      </c>
      <c r="N9" s="25">
        <f t="shared" si="8"/>
        <v>0.38348878876544723</v>
      </c>
      <c r="O9" s="25">
        <f t="shared" si="8"/>
        <v>0.36332719065846608</v>
      </c>
      <c r="P9" s="25">
        <f t="shared" si="8"/>
        <v>0.34300459818423357</v>
      </c>
      <c r="Q9" s="25">
        <f t="shared" si="8"/>
        <v>0.31123811829266068</v>
      </c>
      <c r="R9" s="25">
        <f t="shared" si="8"/>
        <v>0.26868737137953613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48"/>
      <c r="AN9" s="49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I9" s="25"/>
      <c r="BJ9" s="25">
        <f t="shared" ref="BJ9:BQ9" si="9">+BJ8/BI8-1</f>
        <v>0.63803541461282487</v>
      </c>
      <c r="BK9" s="25">
        <f t="shared" si="9"/>
        <v>0.42678063075910355</v>
      </c>
      <c r="BL9" s="25">
        <f t="shared" si="9"/>
        <v>0.31845725645386658</v>
      </c>
      <c r="BM9" s="25">
        <f t="shared" si="9"/>
        <v>-1</v>
      </c>
      <c r="BN9" s="25" t="e">
        <f t="shared" si="9"/>
        <v>#DIV/0!</v>
      </c>
      <c r="BO9" s="25" t="e">
        <f t="shared" si="9"/>
        <v>#DIV/0!</v>
      </c>
      <c r="BP9" s="25" t="e">
        <f t="shared" si="9"/>
        <v>#DIV/0!</v>
      </c>
      <c r="BQ9" s="25" t="e">
        <f t="shared" si="9"/>
        <v>#DIV/0!</v>
      </c>
    </row>
    <row r="10" spans="2:69">
      <c r="B10" s="6"/>
    </row>
    <row r="11" spans="2:69">
      <c r="B11" s="10" t="s">
        <v>51</v>
      </c>
    </row>
    <row r="12" spans="2:69">
      <c r="B12" s="2" t="s">
        <v>71</v>
      </c>
      <c r="C12" s="28">
        <v>1576.4922593749998</v>
      </c>
      <c r="D12" s="28">
        <v>1874.5070031249998</v>
      </c>
      <c r="E12" s="28">
        <v>2141.0427781249996</v>
      </c>
      <c r="F12" s="28">
        <v>2416.2733093749994</v>
      </c>
      <c r="G12" s="28">
        <v>2742.4044593749995</v>
      </c>
      <c r="H12" s="28">
        <v>3116.2855937499999</v>
      </c>
      <c r="I12" s="28">
        <v>3468.1473046874999</v>
      </c>
      <c r="J12" s="28">
        <v>3791.0667968749999</v>
      </c>
      <c r="K12" s="28">
        <v>4144.1992781250001</v>
      </c>
      <c r="L12" s="28">
        <v>4483.4341562499994</v>
      </c>
      <c r="M12" s="28">
        <v>4843.8397187499986</v>
      </c>
      <c r="N12" s="28">
        <v>5244.8984109374978</v>
      </c>
      <c r="O12" s="28">
        <v>5649.8995593749987</v>
      </c>
      <c r="P12" s="28">
        <v>6021.2726874999989</v>
      </c>
      <c r="Q12" s="28">
        <v>6351.4272781250002</v>
      </c>
      <c r="R12" s="28">
        <v>6654.1363781250002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111"/>
      <c r="AN12" s="45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I12" s="27">
        <f t="shared" ref="BI12:BQ13" si="10">+SUMIFS($C12:$BG12, $C$3:$BG$3, BI$3)</f>
        <v>8008.3153499999989</v>
      </c>
      <c r="BJ12" s="27">
        <f t="shared" si="10"/>
        <v>13117.9041546875</v>
      </c>
      <c r="BK12" s="27">
        <f t="shared" si="10"/>
        <v>18716.371564062494</v>
      </c>
      <c r="BL12" s="27">
        <f t="shared" si="10"/>
        <v>24676.735903124998</v>
      </c>
      <c r="BM12" s="27">
        <f t="shared" si="10"/>
        <v>0</v>
      </c>
      <c r="BN12" s="27">
        <f t="shared" si="10"/>
        <v>0</v>
      </c>
      <c r="BO12" s="27">
        <f t="shared" si="10"/>
        <v>0</v>
      </c>
      <c r="BP12" s="27">
        <f t="shared" si="10"/>
        <v>0</v>
      </c>
      <c r="BQ12" s="27">
        <f t="shared" si="10"/>
        <v>0</v>
      </c>
    </row>
    <row r="13" spans="2:69">
      <c r="B13" s="2" t="s">
        <v>72</v>
      </c>
      <c r="C13" s="28">
        <v>420.39793583333324</v>
      </c>
      <c r="D13" s="28">
        <v>499.86853416666656</v>
      </c>
      <c r="E13" s="28">
        <v>570.94474083333319</v>
      </c>
      <c r="F13" s="28">
        <v>644.33954916666653</v>
      </c>
      <c r="G13" s="28">
        <v>731.30785583333318</v>
      </c>
      <c r="H13" s="28">
        <v>831.00949166666669</v>
      </c>
      <c r="I13" s="28">
        <v>924.83928124999989</v>
      </c>
      <c r="J13" s="28">
        <v>758.21335937499998</v>
      </c>
      <c r="K13" s="28">
        <v>704.51387728124996</v>
      </c>
      <c r="L13" s="28">
        <v>744.25006993749992</v>
      </c>
      <c r="M13" s="28">
        <v>775.0143549999998</v>
      </c>
      <c r="N13" s="28">
        <v>839.18374574999962</v>
      </c>
      <c r="O13" s="28">
        <v>903.98392949999982</v>
      </c>
      <c r="P13" s="28">
        <v>963.40362999999979</v>
      </c>
      <c r="Q13" s="28">
        <v>1016.2283645000002</v>
      </c>
      <c r="R13" s="28">
        <v>1064.6618205000002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111"/>
      <c r="AN13" s="45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I13" s="27">
        <f t="shared" si="10"/>
        <v>2135.5507599999996</v>
      </c>
      <c r="BJ13" s="27">
        <f t="shared" si="10"/>
        <v>3245.369988125</v>
      </c>
      <c r="BK13" s="27">
        <f t="shared" si="10"/>
        <v>3062.9620479687492</v>
      </c>
      <c r="BL13" s="27">
        <f t="shared" si="10"/>
        <v>3948.2777445000002</v>
      </c>
      <c r="BM13" s="27">
        <f t="shared" si="10"/>
        <v>0</v>
      </c>
      <c r="BN13" s="27">
        <f t="shared" si="10"/>
        <v>0</v>
      </c>
      <c r="BO13" s="27">
        <f t="shared" si="10"/>
        <v>0</v>
      </c>
      <c r="BP13" s="27">
        <f t="shared" si="10"/>
        <v>0</v>
      </c>
      <c r="BQ13" s="27">
        <f t="shared" si="10"/>
        <v>0</v>
      </c>
    </row>
    <row r="14" spans="2:69">
      <c r="B14" s="31" t="s">
        <v>51</v>
      </c>
      <c r="C14" s="13">
        <f t="shared" ref="C14:R14" si="11">SUM(C12:C13)</f>
        <v>1996.8901952083329</v>
      </c>
      <c r="D14" s="13">
        <f t="shared" si="11"/>
        <v>2374.3755372916662</v>
      </c>
      <c r="E14" s="13">
        <f t="shared" si="11"/>
        <v>2711.9875189583327</v>
      </c>
      <c r="F14" s="13">
        <f t="shared" si="11"/>
        <v>3060.6128585416659</v>
      </c>
      <c r="G14" s="13">
        <f t="shared" si="11"/>
        <v>3473.7123152083327</v>
      </c>
      <c r="H14" s="13">
        <f t="shared" si="11"/>
        <v>3947.2950854166666</v>
      </c>
      <c r="I14" s="13">
        <f t="shared" si="11"/>
        <v>4392.9865859374995</v>
      </c>
      <c r="J14" s="13">
        <f t="shared" si="11"/>
        <v>4549.2801562499999</v>
      </c>
      <c r="K14" s="13">
        <f t="shared" si="11"/>
        <v>4848.7131554062498</v>
      </c>
      <c r="L14" s="13">
        <f t="shared" si="11"/>
        <v>5227.684226187499</v>
      </c>
      <c r="M14" s="13">
        <f t="shared" si="11"/>
        <v>5618.8540737499989</v>
      </c>
      <c r="N14" s="13">
        <f t="shared" si="11"/>
        <v>6084.0821566874974</v>
      </c>
      <c r="O14" s="13">
        <f t="shared" si="11"/>
        <v>6553.8834888749989</v>
      </c>
      <c r="P14" s="13">
        <f t="shared" si="11"/>
        <v>6984.6763174999987</v>
      </c>
      <c r="Q14" s="13">
        <f t="shared" si="11"/>
        <v>7367.6556426250008</v>
      </c>
      <c r="R14" s="13">
        <f t="shared" si="11"/>
        <v>7718.7981986250006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64"/>
      <c r="AN14" s="4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I14" s="13">
        <f t="shared" ref="BI14:BQ14" si="12">SUM(BI12:BI13)</f>
        <v>10143.866109999999</v>
      </c>
      <c r="BJ14" s="13">
        <f t="shared" si="12"/>
        <v>16363.274142812499</v>
      </c>
      <c r="BK14" s="13">
        <f t="shared" si="12"/>
        <v>21779.333612031245</v>
      </c>
      <c r="BL14" s="13">
        <f t="shared" si="12"/>
        <v>28625.013647624997</v>
      </c>
      <c r="BM14" s="13">
        <f t="shared" si="12"/>
        <v>0</v>
      </c>
      <c r="BN14" s="13">
        <f t="shared" si="12"/>
        <v>0</v>
      </c>
      <c r="BO14" s="13">
        <f t="shared" si="12"/>
        <v>0</v>
      </c>
      <c r="BP14" s="13">
        <f t="shared" si="12"/>
        <v>0</v>
      </c>
      <c r="BQ14" s="13">
        <f t="shared" si="12"/>
        <v>0</v>
      </c>
    </row>
    <row r="15" spans="2:69">
      <c r="B15" s="6" t="s">
        <v>7</v>
      </c>
      <c r="C15" s="34">
        <f t="shared" ref="C15:R15" si="13">+C12/C6</f>
        <v>0.25</v>
      </c>
      <c r="D15" s="34">
        <f t="shared" si="13"/>
        <v>0.25</v>
      </c>
      <c r="E15" s="34">
        <f t="shared" si="13"/>
        <v>0.25</v>
      </c>
      <c r="F15" s="34">
        <f t="shared" si="13"/>
        <v>0.25</v>
      </c>
      <c r="G15" s="34">
        <f t="shared" si="13"/>
        <v>0.25</v>
      </c>
      <c r="H15" s="34">
        <f t="shared" si="13"/>
        <v>0.25</v>
      </c>
      <c r="I15" s="34">
        <f t="shared" si="13"/>
        <v>0.25</v>
      </c>
      <c r="J15" s="34">
        <f t="shared" si="13"/>
        <v>0.25</v>
      </c>
      <c r="K15" s="34">
        <f t="shared" si="13"/>
        <v>0.25</v>
      </c>
      <c r="L15" s="34">
        <f t="shared" si="13"/>
        <v>0.25</v>
      </c>
      <c r="M15" s="34">
        <f t="shared" si="13"/>
        <v>0.25</v>
      </c>
      <c r="N15" s="34">
        <f t="shared" si="13"/>
        <v>0.25</v>
      </c>
      <c r="O15" s="34">
        <f t="shared" si="13"/>
        <v>0.25</v>
      </c>
      <c r="P15" s="34">
        <f t="shared" si="13"/>
        <v>0.25</v>
      </c>
      <c r="Q15" s="34">
        <f t="shared" si="13"/>
        <v>0.25</v>
      </c>
      <c r="R15" s="34">
        <f t="shared" si="13"/>
        <v>0.25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48"/>
      <c r="AN15" s="113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I15" s="25">
        <f t="shared" ref="BI15:BQ15" si="14">+BI12/BI6</f>
        <v>0.25</v>
      </c>
      <c r="BJ15" s="25">
        <f t="shared" si="14"/>
        <v>0.25</v>
      </c>
      <c r="BK15" s="25">
        <f t="shared" si="14"/>
        <v>0.25</v>
      </c>
      <c r="BL15" s="25">
        <f t="shared" si="14"/>
        <v>0.25</v>
      </c>
      <c r="BM15" s="25" t="e">
        <f t="shared" si="14"/>
        <v>#DIV/0!</v>
      </c>
      <c r="BN15" s="25" t="e">
        <f t="shared" si="14"/>
        <v>#DIV/0!</v>
      </c>
      <c r="BO15" s="25" t="e">
        <f t="shared" si="14"/>
        <v>#DIV/0!</v>
      </c>
      <c r="BP15" s="25" t="e">
        <f t="shared" si="14"/>
        <v>#DIV/0!</v>
      </c>
      <c r="BQ15" s="25" t="e">
        <f t="shared" si="14"/>
        <v>#DIV/0!</v>
      </c>
    </row>
    <row r="16" spans="2:69">
      <c r="B16" s="6" t="s">
        <v>8</v>
      </c>
      <c r="C16" s="34">
        <f t="shared" ref="C16:R16" si="15">+C13/C7</f>
        <v>1.3333333333333333</v>
      </c>
      <c r="D16" s="34">
        <f t="shared" si="15"/>
        <v>1.3333333333333333</v>
      </c>
      <c r="E16" s="34">
        <f t="shared" si="15"/>
        <v>1.3333333333333333</v>
      </c>
      <c r="F16" s="34">
        <f t="shared" si="15"/>
        <v>1.3333333333333333</v>
      </c>
      <c r="G16" s="34">
        <f t="shared" si="15"/>
        <v>1.3333333333333333</v>
      </c>
      <c r="H16" s="34">
        <f t="shared" si="15"/>
        <v>1.3333333333333333</v>
      </c>
      <c r="I16" s="34">
        <f t="shared" si="15"/>
        <v>1.3333333333333333</v>
      </c>
      <c r="J16" s="34">
        <f t="shared" si="15"/>
        <v>1</v>
      </c>
      <c r="K16" s="34">
        <f t="shared" si="15"/>
        <v>0.84999999999999987</v>
      </c>
      <c r="L16" s="34">
        <f t="shared" si="15"/>
        <v>0.83</v>
      </c>
      <c r="M16" s="34">
        <f t="shared" si="15"/>
        <v>0.8</v>
      </c>
      <c r="N16" s="34">
        <f t="shared" si="15"/>
        <v>0.8</v>
      </c>
      <c r="O16" s="34">
        <f t="shared" si="15"/>
        <v>0.8</v>
      </c>
      <c r="P16" s="34">
        <f t="shared" si="15"/>
        <v>0.8</v>
      </c>
      <c r="Q16" s="34">
        <f t="shared" si="15"/>
        <v>0.8</v>
      </c>
      <c r="R16" s="34">
        <f t="shared" si="15"/>
        <v>0.80000000000000016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48"/>
      <c r="AN16" s="113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I16" s="25">
        <f t="shared" ref="BI16:BQ16" si="16">+BI13/BI7</f>
        <v>1.3333333333333335</v>
      </c>
      <c r="BJ16" s="25">
        <f t="shared" si="16"/>
        <v>1.2370001906765391</v>
      </c>
      <c r="BK16" s="25">
        <f t="shared" si="16"/>
        <v>0.81825743774236004</v>
      </c>
      <c r="BL16" s="25">
        <f t="shared" si="16"/>
        <v>0.8</v>
      </c>
      <c r="BM16" s="25" t="e">
        <f t="shared" si="16"/>
        <v>#DIV/0!</v>
      </c>
      <c r="BN16" s="25" t="e">
        <f t="shared" si="16"/>
        <v>#DIV/0!</v>
      </c>
      <c r="BO16" s="25" t="e">
        <f t="shared" si="16"/>
        <v>#DIV/0!</v>
      </c>
      <c r="BP16" s="25" t="e">
        <f t="shared" si="16"/>
        <v>#DIV/0!</v>
      </c>
      <c r="BQ16" s="25" t="e">
        <f t="shared" si="16"/>
        <v>#DIV/0!</v>
      </c>
    </row>
    <row r="17" spans="2:69">
      <c r="B17" s="6" t="s">
        <v>9</v>
      </c>
      <c r="C17" s="25">
        <f t="shared" ref="C17:R17" si="17">+C14/C8</f>
        <v>0.30158730158730157</v>
      </c>
      <c r="D17" s="25">
        <f t="shared" si="17"/>
        <v>0.30158730158730157</v>
      </c>
      <c r="E17" s="25">
        <f t="shared" si="17"/>
        <v>0.30158730158730157</v>
      </c>
      <c r="F17" s="25">
        <f t="shared" si="17"/>
        <v>0.30158730158730157</v>
      </c>
      <c r="G17" s="25">
        <f t="shared" si="17"/>
        <v>0.30158730158730157</v>
      </c>
      <c r="H17" s="25">
        <f t="shared" si="17"/>
        <v>0.30158730158730157</v>
      </c>
      <c r="I17" s="25">
        <f t="shared" si="17"/>
        <v>0.30158730158730157</v>
      </c>
      <c r="J17" s="25">
        <f t="shared" si="17"/>
        <v>0.2857142857142857</v>
      </c>
      <c r="K17" s="25">
        <f t="shared" si="17"/>
        <v>0.27857142857142858</v>
      </c>
      <c r="L17" s="25">
        <f t="shared" si="17"/>
        <v>0.2776190476190476</v>
      </c>
      <c r="M17" s="25">
        <f t="shared" si="17"/>
        <v>0.27619047619047621</v>
      </c>
      <c r="N17" s="25">
        <f t="shared" si="17"/>
        <v>0.27619047619047621</v>
      </c>
      <c r="O17" s="25">
        <f t="shared" si="17"/>
        <v>0.27619047619047621</v>
      </c>
      <c r="P17" s="25">
        <f t="shared" si="17"/>
        <v>0.27619047619047615</v>
      </c>
      <c r="Q17" s="25">
        <f t="shared" si="17"/>
        <v>0.27619047619047621</v>
      </c>
      <c r="R17" s="25">
        <f t="shared" si="17"/>
        <v>0.27619047619047621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48"/>
      <c r="AN17" s="49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I17" s="25">
        <f t="shared" ref="BI17:BQ17" si="18">+BI14/BI8</f>
        <v>0.30158730158730157</v>
      </c>
      <c r="BJ17" s="25">
        <f t="shared" si="18"/>
        <v>0.2970000090798352</v>
      </c>
      <c r="BK17" s="25">
        <f t="shared" si="18"/>
        <v>0.27705987798773146</v>
      </c>
      <c r="BL17" s="25">
        <f t="shared" si="18"/>
        <v>0.27619047619047615</v>
      </c>
      <c r="BM17" s="25" t="e">
        <f t="shared" si="18"/>
        <v>#DIV/0!</v>
      </c>
      <c r="BN17" s="25" t="e">
        <f t="shared" si="18"/>
        <v>#DIV/0!</v>
      </c>
      <c r="BO17" s="25" t="e">
        <f t="shared" si="18"/>
        <v>#DIV/0!</v>
      </c>
      <c r="BP17" s="25" t="e">
        <f t="shared" si="18"/>
        <v>#DIV/0!</v>
      </c>
      <c r="BQ17" s="25" t="e">
        <f t="shared" si="18"/>
        <v>#DIV/0!</v>
      </c>
    </row>
    <row r="19" spans="2:69">
      <c r="B19" s="10" t="s">
        <v>10</v>
      </c>
    </row>
    <row r="20" spans="2:69">
      <c r="B20" s="2" t="s">
        <v>76</v>
      </c>
      <c r="C20" s="27">
        <f t="shared" ref="C20:R20" si="19">+C6-C12</f>
        <v>4729.4767781249993</v>
      </c>
      <c r="D20" s="27">
        <f t="shared" si="19"/>
        <v>5623.5210093749993</v>
      </c>
      <c r="E20" s="27">
        <f t="shared" si="19"/>
        <v>6423.1283343749983</v>
      </c>
      <c r="F20" s="27">
        <f t="shared" si="19"/>
        <v>7248.8199281249981</v>
      </c>
      <c r="G20" s="27">
        <f t="shared" si="19"/>
        <v>8227.2133781249977</v>
      </c>
      <c r="H20" s="27">
        <f t="shared" si="19"/>
        <v>9348.8567812500005</v>
      </c>
      <c r="I20" s="27">
        <f t="shared" si="19"/>
        <v>10404.4419140625</v>
      </c>
      <c r="J20" s="27">
        <f t="shared" si="19"/>
        <v>11373.200390624999</v>
      </c>
      <c r="K20" s="27">
        <f t="shared" si="19"/>
        <v>12432.597834374999</v>
      </c>
      <c r="L20" s="27">
        <f t="shared" si="19"/>
        <v>13450.302468749998</v>
      </c>
      <c r="M20" s="27">
        <f t="shared" si="19"/>
        <v>14531.519156249997</v>
      </c>
      <c r="N20" s="27">
        <f t="shared" si="19"/>
        <v>15734.695232812493</v>
      </c>
      <c r="O20" s="27">
        <f t="shared" si="19"/>
        <v>16949.698678124994</v>
      </c>
      <c r="P20" s="27">
        <f t="shared" si="19"/>
        <v>18063.818062499995</v>
      </c>
      <c r="Q20" s="27">
        <f t="shared" si="19"/>
        <v>19054.281834375</v>
      </c>
      <c r="R20" s="27">
        <f t="shared" si="19"/>
        <v>19962.409134375001</v>
      </c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44"/>
      <c r="AN20" s="45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I20" s="27">
        <f t="shared" ref="BI20:BQ20" si="20">+BI6-BI12</f>
        <v>24024.946049999999</v>
      </c>
      <c r="BJ20" s="27">
        <f t="shared" si="20"/>
        <v>39353.712464062497</v>
      </c>
      <c r="BK20" s="27">
        <f t="shared" si="20"/>
        <v>56149.114692187482</v>
      </c>
      <c r="BL20" s="27">
        <f t="shared" si="20"/>
        <v>74030.207709374998</v>
      </c>
      <c r="BM20" s="27">
        <f t="shared" si="20"/>
        <v>0</v>
      </c>
      <c r="BN20" s="27">
        <f t="shared" si="20"/>
        <v>0</v>
      </c>
      <c r="BO20" s="27">
        <f t="shared" si="20"/>
        <v>0</v>
      </c>
      <c r="BP20" s="27">
        <f t="shared" si="20"/>
        <v>0</v>
      </c>
      <c r="BQ20" s="27">
        <f t="shared" si="20"/>
        <v>0</v>
      </c>
    </row>
    <row r="21" spans="2:69">
      <c r="B21" s="2" t="s">
        <v>77</v>
      </c>
      <c r="C21" s="27">
        <f t="shared" ref="C21:R21" si="21">+C7-C13</f>
        <v>-105.09948395833328</v>
      </c>
      <c r="D21" s="27">
        <f t="shared" si="21"/>
        <v>-124.96713354166661</v>
      </c>
      <c r="E21" s="27">
        <f t="shared" si="21"/>
        <v>-142.73618520833327</v>
      </c>
      <c r="F21" s="27">
        <f t="shared" si="21"/>
        <v>-161.08488729166663</v>
      </c>
      <c r="G21" s="27">
        <f t="shared" si="21"/>
        <v>-182.82696395833329</v>
      </c>
      <c r="H21" s="27">
        <f t="shared" si="21"/>
        <v>-207.75237291666667</v>
      </c>
      <c r="I21" s="27">
        <f t="shared" si="21"/>
        <v>-231.20982031249991</v>
      </c>
      <c r="J21" s="27">
        <f t="shared" si="21"/>
        <v>0</v>
      </c>
      <c r="K21" s="27">
        <f t="shared" si="21"/>
        <v>124.32597834375008</v>
      </c>
      <c r="L21" s="27">
        <f t="shared" si="21"/>
        <v>152.43676131250004</v>
      </c>
      <c r="M21" s="27">
        <f t="shared" si="21"/>
        <v>193.75358874999995</v>
      </c>
      <c r="N21" s="27">
        <f t="shared" si="21"/>
        <v>209.7959364374999</v>
      </c>
      <c r="O21" s="27">
        <f t="shared" si="21"/>
        <v>225.99598237499993</v>
      </c>
      <c r="P21" s="27">
        <f t="shared" si="21"/>
        <v>240.85090749999995</v>
      </c>
      <c r="Q21" s="27">
        <f t="shared" si="21"/>
        <v>254.05709112499994</v>
      </c>
      <c r="R21" s="27">
        <f t="shared" si="21"/>
        <v>266.16545512499988</v>
      </c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44"/>
      <c r="AN21" s="45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I21" s="27">
        <f t="shared" ref="BI21:BQ21" si="22">+BI7-BI13</f>
        <v>-533.88769000000002</v>
      </c>
      <c r="BJ21" s="27">
        <f t="shared" si="22"/>
        <v>-621.78915718750022</v>
      </c>
      <c r="BK21" s="27">
        <f t="shared" si="22"/>
        <v>680.3122648437502</v>
      </c>
      <c r="BL21" s="27">
        <f t="shared" si="22"/>
        <v>987.06943612499981</v>
      </c>
      <c r="BM21" s="27">
        <f t="shared" si="22"/>
        <v>0</v>
      </c>
      <c r="BN21" s="27">
        <f t="shared" si="22"/>
        <v>0</v>
      </c>
      <c r="BO21" s="27">
        <f t="shared" si="22"/>
        <v>0</v>
      </c>
      <c r="BP21" s="27">
        <f t="shared" si="22"/>
        <v>0</v>
      </c>
      <c r="BQ21" s="27">
        <f t="shared" si="22"/>
        <v>0</v>
      </c>
    </row>
    <row r="22" spans="2:69">
      <c r="B22" s="31" t="s">
        <v>10</v>
      </c>
      <c r="C22" s="13">
        <f t="shared" ref="C22:R22" si="23">SUM(C20:C21)</f>
        <v>4624.3772941666657</v>
      </c>
      <c r="D22" s="13">
        <f t="shared" si="23"/>
        <v>5498.5538758333323</v>
      </c>
      <c r="E22" s="13">
        <f t="shared" si="23"/>
        <v>6280.3921491666651</v>
      </c>
      <c r="F22" s="13">
        <f t="shared" si="23"/>
        <v>7087.7350408333314</v>
      </c>
      <c r="G22" s="13">
        <f t="shared" si="23"/>
        <v>8044.3864141666645</v>
      </c>
      <c r="H22" s="13">
        <f t="shared" si="23"/>
        <v>9141.1044083333345</v>
      </c>
      <c r="I22" s="13">
        <f t="shared" si="23"/>
        <v>10173.232093749999</v>
      </c>
      <c r="J22" s="13">
        <f t="shared" si="23"/>
        <v>11373.200390624999</v>
      </c>
      <c r="K22" s="13">
        <f t="shared" si="23"/>
        <v>12556.923812718749</v>
      </c>
      <c r="L22" s="13">
        <f t="shared" si="23"/>
        <v>13602.739230062498</v>
      </c>
      <c r="M22" s="13">
        <f t="shared" si="23"/>
        <v>14725.272744999997</v>
      </c>
      <c r="N22" s="13">
        <f t="shared" si="23"/>
        <v>15944.491169249994</v>
      </c>
      <c r="O22" s="13">
        <f t="shared" si="23"/>
        <v>17175.694660499994</v>
      </c>
      <c r="P22" s="13">
        <f t="shared" si="23"/>
        <v>18304.668969999995</v>
      </c>
      <c r="Q22" s="13">
        <f t="shared" si="23"/>
        <v>19308.3389255</v>
      </c>
      <c r="R22" s="13">
        <f t="shared" si="23"/>
        <v>20228.5745895</v>
      </c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64"/>
      <c r="AN22" s="4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I22" s="13">
        <f t="shared" ref="BI22:BQ22" si="24">SUM(BI20:BI21)</f>
        <v>23491.058359999999</v>
      </c>
      <c r="BJ22" s="13">
        <f t="shared" si="24"/>
        <v>38731.923306874996</v>
      </c>
      <c r="BK22" s="13">
        <f t="shared" si="24"/>
        <v>56829.426957031232</v>
      </c>
      <c r="BL22" s="13">
        <f t="shared" si="24"/>
        <v>75017.277145500004</v>
      </c>
      <c r="BM22" s="13">
        <f t="shared" si="24"/>
        <v>0</v>
      </c>
      <c r="BN22" s="13">
        <f t="shared" si="24"/>
        <v>0</v>
      </c>
      <c r="BO22" s="13">
        <f t="shared" si="24"/>
        <v>0</v>
      </c>
      <c r="BP22" s="13">
        <f t="shared" si="24"/>
        <v>0</v>
      </c>
      <c r="BQ22" s="13">
        <f t="shared" si="24"/>
        <v>0</v>
      </c>
    </row>
    <row r="23" spans="2:69">
      <c r="B23" s="6" t="s">
        <v>13</v>
      </c>
      <c r="C23" s="34">
        <f t="shared" ref="C23:R23" si="25">+C20/C6</f>
        <v>0.75</v>
      </c>
      <c r="D23" s="34">
        <f t="shared" si="25"/>
        <v>0.75</v>
      </c>
      <c r="E23" s="34">
        <f t="shared" si="25"/>
        <v>0.75</v>
      </c>
      <c r="F23" s="34">
        <f t="shared" si="25"/>
        <v>0.75</v>
      </c>
      <c r="G23" s="34">
        <f t="shared" si="25"/>
        <v>0.74999999999999989</v>
      </c>
      <c r="H23" s="34">
        <f t="shared" si="25"/>
        <v>0.75000000000000011</v>
      </c>
      <c r="I23" s="34">
        <f t="shared" si="25"/>
        <v>0.75</v>
      </c>
      <c r="J23" s="34">
        <f t="shared" si="25"/>
        <v>0.75</v>
      </c>
      <c r="K23" s="34">
        <f t="shared" si="25"/>
        <v>0.75</v>
      </c>
      <c r="L23" s="34">
        <f t="shared" si="25"/>
        <v>0.75</v>
      </c>
      <c r="M23" s="34">
        <f t="shared" si="25"/>
        <v>0.75</v>
      </c>
      <c r="N23" s="34">
        <f t="shared" si="25"/>
        <v>0.75</v>
      </c>
      <c r="O23" s="34">
        <f t="shared" si="25"/>
        <v>0.74999999999999989</v>
      </c>
      <c r="P23" s="34">
        <f t="shared" si="25"/>
        <v>0.74999999999999989</v>
      </c>
      <c r="Q23" s="34">
        <f t="shared" si="25"/>
        <v>0.75</v>
      </c>
      <c r="R23" s="34">
        <f t="shared" si="25"/>
        <v>0.75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48"/>
      <c r="AN23" s="49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I23" s="34">
        <f t="shared" ref="BI23:BQ23" si="26">+BI20/BI6</f>
        <v>0.75000000000000011</v>
      </c>
      <c r="BJ23" s="34">
        <f t="shared" si="26"/>
        <v>0.75</v>
      </c>
      <c r="BK23" s="34">
        <f t="shared" si="26"/>
        <v>0.75</v>
      </c>
      <c r="BL23" s="34">
        <f t="shared" si="26"/>
        <v>0.75</v>
      </c>
      <c r="BM23" s="34" t="e">
        <f t="shared" si="26"/>
        <v>#DIV/0!</v>
      </c>
      <c r="BN23" s="34" t="e">
        <f t="shared" si="26"/>
        <v>#DIV/0!</v>
      </c>
      <c r="BO23" s="34" t="e">
        <f t="shared" si="26"/>
        <v>#DIV/0!</v>
      </c>
      <c r="BP23" s="34" t="e">
        <f t="shared" si="26"/>
        <v>#DIV/0!</v>
      </c>
      <c r="BQ23" s="34" t="e">
        <f t="shared" si="26"/>
        <v>#DIV/0!</v>
      </c>
    </row>
    <row r="24" spans="2:69">
      <c r="B24" s="6" t="s">
        <v>12</v>
      </c>
      <c r="C24" s="34">
        <f t="shared" ref="C24:R24" si="27">+C21/C7</f>
        <v>-0.3333333333333332</v>
      </c>
      <c r="D24" s="34">
        <f t="shared" si="27"/>
        <v>-0.33333333333333326</v>
      </c>
      <c r="E24" s="34">
        <f t="shared" si="27"/>
        <v>-0.33333333333333326</v>
      </c>
      <c r="F24" s="34">
        <f t="shared" si="27"/>
        <v>-0.33333333333333331</v>
      </c>
      <c r="G24" s="34">
        <f t="shared" si="27"/>
        <v>-0.33333333333333331</v>
      </c>
      <c r="H24" s="34">
        <f t="shared" si="27"/>
        <v>-0.33333333333333331</v>
      </c>
      <c r="I24" s="34">
        <f t="shared" si="27"/>
        <v>-0.3333333333333332</v>
      </c>
      <c r="J24" s="34">
        <f t="shared" si="27"/>
        <v>0</v>
      </c>
      <c r="K24" s="34">
        <f t="shared" si="27"/>
        <v>0.15000000000000008</v>
      </c>
      <c r="L24" s="34">
        <f t="shared" si="27"/>
        <v>0.17000000000000004</v>
      </c>
      <c r="M24" s="34">
        <f t="shared" si="27"/>
        <v>0.2</v>
      </c>
      <c r="N24" s="34">
        <f t="shared" si="27"/>
        <v>0.2</v>
      </c>
      <c r="O24" s="34">
        <f t="shared" si="27"/>
        <v>0.19999999999999998</v>
      </c>
      <c r="P24" s="34">
        <f t="shared" si="27"/>
        <v>0.2</v>
      </c>
      <c r="Q24" s="34">
        <f t="shared" si="27"/>
        <v>0.19999999999999993</v>
      </c>
      <c r="R24" s="34">
        <f t="shared" si="27"/>
        <v>0.1999999999999999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48"/>
      <c r="AN24" s="49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I24" s="34">
        <f t="shared" ref="BI24:BQ24" si="28">+BI21/BI7</f>
        <v>-0.33333333333333343</v>
      </c>
      <c r="BJ24" s="34">
        <f t="shared" si="28"/>
        <v>-0.23700019067653905</v>
      </c>
      <c r="BK24" s="34">
        <f t="shared" si="28"/>
        <v>0.18174256225763999</v>
      </c>
      <c r="BL24" s="34">
        <f t="shared" si="28"/>
        <v>0.19999999999999996</v>
      </c>
      <c r="BM24" s="34" t="e">
        <f t="shared" si="28"/>
        <v>#DIV/0!</v>
      </c>
      <c r="BN24" s="34" t="e">
        <f t="shared" si="28"/>
        <v>#DIV/0!</v>
      </c>
      <c r="BO24" s="34" t="e">
        <f t="shared" si="28"/>
        <v>#DIV/0!</v>
      </c>
      <c r="BP24" s="34" t="e">
        <f t="shared" si="28"/>
        <v>#DIV/0!</v>
      </c>
      <c r="BQ24" s="34" t="e">
        <f t="shared" si="28"/>
        <v>#DIV/0!</v>
      </c>
    </row>
    <row r="25" spans="2:69">
      <c r="B25" s="6" t="s">
        <v>14</v>
      </c>
      <c r="C25" s="34">
        <f t="shared" ref="C25:R25" si="29">+C22/C8</f>
        <v>0.69841269841269837</v>
      </c>
      <c r="D25" s="34">
        <f t="shared" si="29"/>
        <v>0.69841269841269837</v>
      </c>
      <c r="E25" s="34">
        <f t="shared" si="29"/>
        <v>0.69841269841269837</v>
      </c>
      <c r="F25" s="34">
        <f t="shared" si="29"/>
        <v>0.69841269841269837</v>
      </c>
      <c r="G25" s="34">
        <f t="shared" si="29"/>
        <v>0.69841269841269826</v>
      </c>
      <c r="H25" s="34">
        <f t="shared" si="29"/>
        <v>0.6984126984126986</v>
      </c>
      <c r="I25" s="34">
        <f t="shared" si="29"/>
        <v>0.69841269841269837</v>
      </c>
      <c r="J25" s="34">
        <f t="shared" si="29"/>
        <v>0.71428571428571419</v>
      </c>
      <c r="K25" s="34">
        <f t="shared" si="29"/>
        <v>0.72142857142857142</v>
      </c>
      <c r="L25" s="34">
        <f t="shared" si="29"/>
        <v>0.72238095238095235</v>
      </c>
      <c r="M25" s="34">
        <f t="shared" si="29"/>
        <v>0.72380952380952379</v>
      </c>
      <c r="N25" s="34">
        <f t="shared" si="29"/>
        <v>0.72380952380952379</v>
      </c>
      <c r="O25" s="34">
        <f t="shared" si="29"/>
        <v>0.72380952380952368</v>
      </c>
      <c r="P25" s="34">
        <f t="shared" si="29"/>
        <v>0.72380952380952368</v>
      </c>
      <c r="Q25" s="34">
        <f t="shared" si="29"/>
        <v>0.72380952380952379</v>
      </c>
      <c r="R25" s="34">
        <f t="shared" si="29"/>
        <v>0.72380952380952379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48"/>
      <c r="AN25" s="49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I25" s="34">
        <f t="shared" ref="BI25:BQ25" si="30">+BI22/BI8</f>
        <v>0.69841269841269837</v>
      </c>
      <c r="BJ25" s="34">
        <f t="shared" si="30"/>
        <v>0.70299999092016474</v>
      </c>
      <c r="BK25" s="34">
        <f t="shared" si="30"/>
        <v>0.72294012201226854</v>
      </c>
      <c r="BL25" s="34">
        <f t="shared" si="30"/>
        <v>0.7238095238095239</v>
      </c>
      <c r="BM25" s="34" t="e">
        <f t="shared" si="30"/>
        <v>#DIV/0!</v>
      </c>
      <c r="BN25" s="34" t="e">
        <f t="shared" si="30"/>
        <v>#DIV/0!</v>
      </c>
      <c r="BO25" s="34" t="e">
        <f t="shared" si="30"/>
        <v>#DIV/0!</v>
      </c>
      <c r="BP25" s="34" t="e">
        <f t="shared" si="30"/>
        <v>#DIV/0!</v>
      </c>
      <c r="BQ25" s="34" t="e">
        <f t="shared" si="30"/>
        <v>#DIV/0!</v>
      </c>
    </row>
    <row r="27" spans="2:69">
      <c r="B27" s="10" t="s">
        <v>17</v>
      </c>
    </row>
    <row r="28" spans="2:69">
      <c r="B28" s="2" t="s">
        <v>4</v>
      </c>
      <c r="C28" s="28">
        <v>3970.4835820895523</v>
      </c>
      <c r="D28" s="28">
        <v>3978.9755223880588</v>
      </c>
      <c r="E28" s="28">
        <v>4209.6161194029846</v>
      </c>
      <c r="F28" s="28">
        <v>4476.3474626865682</v>
      </c>
      <c r="G28" s="28">
        <v>4752.5171107679998</v>
      </c>
      <c r="H28" s="28">
        <v>5346.3126730435833</v>
      </c>
      <c r="I28" s="28">
        <v>5905.1371316208952</v>
      </c>
      <c r="J28" s="28">
        <v>6404.269149255224</v>
      </c>
      <c r="K28" s="28">
        <v>6963.9123249181976</v>
      </c>
      <c r="L28" s="28">
        <v>7533.6874578217303</v>
      </c>
      <c r="M28" s="28">
        <v>7428.7343283582095</v>
      </c>
      <c r="N28" s="28">
        <v>7444.6567164179096</v>
      </c>
      <c r="O28" s="28">
        <v>7937.8927949827175</v>
      </c>
      <c r="P28" s="28">
        <v>8186.7173966764331</v>
      </c>
      <c r="Q28" s="28">
        <v>8349.8402125577923</v>
      </c>
      <c r="R28" s="28">
        <v>8859.5654779149882</v>
      </c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111"/>
      <c r="AN28" s="41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I28" s="27">
        <f t="shared" ref="BI28:BJ30" si="31">+SUMIFS($C28:$BG28, $C$3:$BG$3, BI$3)</f>
        <v>16635.422686567166</v>
      </c>
      <c r="BJ28" s="27">
        <f t="shared" si="31"/>
        <v>22408.236064687702</v>
      </c>
      <c r="BK28" s="27">
        <f t="shared" ref="BK28:BQ30" si="32">+SUMIFS($C28:$BG28, $C$3:$BG$3, BK$3)</f>
        <v>29370.990827516049</v>
      </c>
      <c r="BL28" s="27">
        <f t="shared" si="32"/>
        <v>33334.015882131935</v>
      </c>
      <c r="BM28" s="27">
        <f t="shared" si="32"/>
        <v>0</v>
      </c>
      <c r="BN28" s="27">
        <f t="shared" si="32"/>
        <v>0</v>
      </c>
      <c r="BO28" s="27">
        <f t="shared" si="32"/>
        <v>0</v>
      </c>
      <c r="BP28" s="27">
        <f t="shared" si="32"/>
        <v>0</v>
      </c>
      <c r="BQ28" s="27">
        <f t="shared" si="32"/>
        <v>0</v>
      </c>
    </row>
    <row r="29" spans="2:69">
      <c r="B29" s="2" t="s">
        <v>15</v>
      </c>
      <c r="C29" s="28">
        <v>6332.8558452383977</v>
      </c>
      <c r="D29" s="28">
        <v>7033.5140652939463</v>
      </c>
      <c r="E29" s="28">
        <v>7088.4776649351425</v>
      </c>
      <c r="F29" s="28">
        <v>7466.3864372469498</v>
      </c>
      <c r="G29" s="28">
        <v>7868.8493427110407</v>
      </c>
      <c r="H29" s="28">
        <v>8253.8176460727809</v>
      </c>
      <c r="I29" s="28">
        <v>8420.2811374815647</v>
      </c>
      <c r="J29" s="28">
        <v>8702.2418216347614</v>
      </c>
      <c r="K29" s="28">
        <v>8781.0860979449226</v>
      </c>
      <c r="L29" s="28">
        <v>8906.1432691084738</v>
      </c>
      <c r="M29" s="28">
        <v>8552.9537313163091</v>
      </c>
      <c r="N29" s="28">
        <v>8798.0625365304786</v>
      </c>
      <c r="O29" s="28">
        <v>8729.2139672801604</v>
      </c>
      <c r="P29" s="28">
        <v>8505.5938577779489</v>
      </c>
      <c r="Q29" s="28">
        <v>7850.4712695467697</v>
      </c>
      <c r="R29" s="28">
        <v>7930.8882232367878</v>
      </c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111"/>
      <c r="AN29" s="41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I29" s="27">
        <f t="shared" si="31"/>
        <v>27921.234012714438</v>
      </c>
      <c r="BJ29" s="27">
        <f t="shared" si="31"/>
        <v>33245.189947900144</v>
      </c>
      <c r="BK29" s="27">
        <f t="shared" si="32"/>
        <v>35038.245634900188</v>
      </c>
      <c r="BL29" s="27">
        <f t="shared" si="32"/>
        <v>33016.167317841668</v>
      </c>
      <c r="BM29" s="27">
        <f t="shared" si="32"/>
        <v>0</v>
      </c>
      <c r="BN29" s="27">
        <f t="shared" si="32"/>
        <v>0</v>
      </c>
      <c r="BO29" s="27">
        <f t="shared" si="32"/>
        <v>0</v>
      </c>
      <c r="BP29" s="27">
        <f t="shared" si="32"/>
        <v>0</v>
      </c>
      <c r="BQ29" s="27">
        <f t="shared" si="32"/>
        <v>0</v>
      </c>
    </row>
    <row r="30" spans="2:69">
      <c r="B30" s="2" t="s">
        <v>16</v>
      </c>
      <c r="C30" s="28">
        <v>3347.3314576206112</v>
      </c>
      <c r="D30" s="28">
        <v>2667.4184667615327</v>
      </c>
      <c r="E30" s="28">
        <v>2349.3690951602662</v>
      </c>
      <c r="F30" s="28">
        <v>4714.1822016146107</v>
      </c>
      <c r="G30" s="28">
        <v>4491.751355156799</v>
      </c>
      <c r="H30" s="28">
        <v>4377.555121162035</v>
      </c>
      <c r="I30" s="28">
        <v>4880.9317907250006</v>
      </c>
      <c r="J30" s="28">
        <v>6224.6283951250007</v>
      </c>
      <c r="K30" s="28">
        <v>5602.1547580595543</v>
      </c>
      <c r="L30" s="28">
        <v>9625.4574995843468</v>
      </c>
      <c r="M30" s="28">
        <v>8910.4249405050432</v>
      </c>
      <c r="N30" s="28">
        <v>7863.4027920266199</v>
      </c>
      <c r="O30" s="28">
        <v>7846.62716529507</v>
      </c>
      <c r="P30" s="28">
        <v>6784.8765457288409</v>
      </c>
      <c r="Q30" s="28">
        <v>6309.4274199508063</v>
      </c>
      <c r="R30" s="28">
        <v>5509.6734585084869</v>
      </c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111"/>
      <c r="AN30" s="41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I30" s="27">
        <f t="shared" si="31"/>
        <v>13078.30122115702</v>
      </c>
      <c r="BJ30" s="27">
        <f t="shared" si="31"/>
        <v>19974.866662168835</v>
      </c>
      <c r="BK30" s="27">
        <f t="shared" si="32"/>
        <v>32001.439990175564</v>
      </c>
      <c r="BL30" s="27">
        <f t="shared" si="32"/>
        <v>26450.604589483206</v>
      </c>
      <c r="BM30" s="27">
        <f t="shared" si="32"/>
        <v>0</v>
      </c>
      <c r="BN30" s="27">
        <f t="shared" si="32"/>
        <v>0</v>
      </c>
      <c r="BO30" s="27">
        <f t="shared" si="32"/>
        <v>0</v>
      </c>
      <c r="BP30" s="27">
        <f t="shared" si="32"/>
        <v>0</v>
      </c>
      <c r="BQ30" s="27">
        <f t="shared" si="32"/>
        <v>0</v>
      </c>
    </row>
    <row r="31" spans="2:69">
      <c r="B31" s="31" t="s">
        <v>17</v>
      </c>
      <c r="C31" s="13">
        <f t="shared" ref="C31:R31" si="33">SUM(C28:C30)</f>
        <v>13650.670884948562</v>
      </c>
      <c r="D31" s="13">
        <f t="shared" si="33"/>
        <v>13679.908054443538</v>
      </c>
      <c r="E31" s="13">
        <f t="shared" si="33"/>
        <v>13647.462879498393</v>
      </c>
      <c r="F31" s="13">
        <f t="shared" si="33"/>
        <v>16656.91610154813</v>
      </c>
      <c r="G31" s="13">
        <f t="shared" si="33"/>
        <v>17113.117808635841</v>
      </c>
      <c r="H31" s="13">
        <f t="shared" si="33"/>
        <v>17977.685440278401</v>
      </c>
      <c r="I31" s="13">
        <f t="shared" si="33"/>
        <v>19206.350059827462</v>
      </c>
      <c r="J31" s="13">
        <f t="shared" si="33"/>
        <v>21331.139366014984</v>
      </c>
      <c r="K31" s="13">
        <f t="shared" si="33"/>
        <v>21347.153180922673</v>
      </c>
      <c r="L31" s="13">
        <f t="shared" si="33"/>
        <v>26065.288226514549</v>
      </c>
      <c r="M31" s="13">
        <f t="shared" si="33"/>
        <v>24892.113000179561</v>
      </c>
      <c r="N31" s="13">
        <f t="shared" si="33"/>
        <v>24106.122044975007</v>
      </c>
      <c r="O31" s="13">
        <f t="shared" si="33"/>
        <v>24513.733927557947</v>
      </c>
      <c r="P31" s="13">
        <f t="shared" si="33"/>
        <v>23477.187800183223</v>
      </c>
      <c r="Q31" s="13">
        <f t="shared" si="33"/>
        <v>22509.738902055367</v>
      </c>
      <c r="R31" s="13">
        <f t="shared" si="33"/>
        <v>22300.12715966026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64"/>
      <c r="AN31" s="4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I31" s="13">
        <f t="shared" ref="BI31:BQ31" si="34">SUM(BI28:BI30)</f>
        <v>57634.957920438625</v>
      </c>
      <c r="BJ31" s="13">
        <f t="shared" si="34"/>
        <v>75628.292674756682</v>
      </c>
      <c r="BK31" s="13">
        <f t="shared" si="34"/>
        <v>96410.676452591797</v>
      </c>
      <c r="BL31" s="13">
        <f t="shared" si="34"/>
        <v>92800.787789456808</v>
      </c>
      <c r="BM31" s="13">
        <f t="shared" si="34"/>
        <v>0</v>
      </c>
      <c r="BN31" s="13">
        <f t="shared" si="34"/>
        <v>0</v>
      </c>
      <c r="BO31" s="13">
        <f t="shared" si="34"/>
        <v>0</v>
      </c>
      <c r="BP31" s="13">
        <f t="shared" si="34"/>
        <v>0</v>
      </c>
      <c r="BQ31" s="13">
        <f t="shared" si="34"/>
        <v>0</v>
      </c>
    </row>
    <row r="32" spans="2:69">
      <c r="B32" s="6" t="str">
        <f>B28&amp;" as % of Revenue"</f>
        <v>S&amp;M as % of Revenue</v>
      </c>
      <c r="C32" s="34">
        <f>+C28/C$8</f>
        <v>0.59965612149953151</v>
      </c>
      <c r="D32" s="34">
        <f t="shared" ref="D32:R32" si="35">+D28/D$8</f>
        <v>0.50539961856570048</v>
      </c>
      <c r="E32" s="34">
        <f t="shared" si="35"/>
        <v>0.46813149297117385</v>
      </c>
      <c r="F32" s="34">
        <f t="shared" si="35"/>
        <v>0.44109125022825157</v>
      </c>
      <c r="G32" s="34">
        <f t="shared" si="35"/>
        <v>0.41261298608662678</v>
      </c>
      <c r="H32" s="34">
        <f t="shared" si="35"/>
        <v>0.40847719200476468</v>
      </c>
      <c r="I32" s="34">
        <f t="shared" si="35"/>
        <v>0.40539945619899087</v>
      </c>
      <c r="J32" s="34">
        <f t="shared" si="35"/>
        <v>0.402215542383699</v>
      </c>
      <c r="K32" s="34">
        <f t="shared" si="35"/>
        <v>0.40009522993448804</v>
      </c>
      <c r="L32" s="34">
        <f t="shared" si="35"/>
        <v>0.40008061822535523</v>
      </c>
      <c r="M32" s="34">
        <f t="shared" si="35"/>
        <v>0.36515375639084091</v>
      </c>
      <c r="N32" s="34">
        <f t="shared" si="35"/>
        <v>0.33795455594267726</v>
      </c>
      <c r="O32" s="34">
        <f t="shared" si="35"/>
        <v>0.33451470333836469</v>
      </c>
      <c r="P32" s="34">
        <f t="shared" si="35"/>
        <v>0.3237219984782666</v>
      </c>
      <c r="Q32" s="34">
        <f t="shared" si="35"/>
        <v>0.31300951839804958</v>
      </c>
      <c r="R32" s="34">
        <f t="shared" si="35"/>
        <v>0.31700888470201638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48"/>
      <c r="AN32" s="49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I32" s="34">
        <f t="shared" ref="BI32:BQ32" si="36">+BI28/BI$8</f>
        <v>0.49458778185765812</v>
      </c>
      <c r="BJ32" s="34">
        <f t="shared" si="36"/>
        <v>0.40671850001355797</v>
      </c>
      <c r="BK32" s="34">
        <f t="shared" si="36"/>
        <v>0.37363508360765829</v>
      </c>
      <c r="BL32" s="34">
        <f t="shared" si="36"/>
        <v>0.3216256185292955</v>
      </c>
      <c r="BM32" s="34" t="e">
        <f t="shared" si="36"/>
        <v>#DIV/0!</v>
      </c>
      <c r="BN32" s="34" t="e">
        <f t="shared" si="36"/>
        <v>#DIV/0!</v>
      </c>
      <c r="BO32" s="34" t="e">
        <f t="shared" si="36"/>
        <v>#DIV/0!</v>
      </c>
      <c r="BP32" s="34" t="e">
        <f t="shared" si="36"/>
        <v>#DIV/0!</v>
      </c>
      <c r="BQ32" s="34" t="e">
        <f t="shared" si="36"/>
        <v>#DIV/0!</v>
      </c>
    </row>
    <row r="33" spans="2:69">
      <c r="B33" s="6" t="str">
        <f>B29&amp;" as % of Revenue"</f>
        <v>R&amp;D as % of Revenue</v>
      </c>
      <c r="C33" s="34">
        <f t="shared" ref="C33:R35" si="37">+C29/C$8</f>
        <v>0.95644162622950835</v>
      </c>
      <c r="D33" s="34">
        <f t="shared" si="37"/>
        <v>0.8933795409836065</v>
      </c>
      <c r="E33" s="34">
        <f t="shared" si="37"/>
        <v>0.7882760655737705</v>
      </c>
      <c r="F33" s="34">
        <f t="shared" si="37"/>
        <v>0.73572432786885233</v>
      </c>
      <c r="G33" s="34">
        <f t="shared" si="37"/>
        <v>0.6831725901639345</v>
      </c>
      <c r="H33" s="34">
        <f t="shared" si="37"/>
        <v>0.63062085245901622</v>
      </c>
      <c r="I33" s="34">
        <f t="shared" si="37"/>
        <v>0.57806911475409839</v>
      </c>
      <c r="J33" s="34">
        <f t="shared" si="37"/>
        <v>0.54653807213114747</v>
      </c>
      <c r="K33" s="34">
        <f t="shared" si="37"/>
        <v>0.50449668196721298</v>
      </c>
      <c r="L33" s="34">
        <f t="shared" si="37"/>
        <v>0.47296563934426228</v>
      </c>
      <c r="M33" s="34">
        <f t="shared" si="37"/>
        <v>0.42041390163934439</v>
      </c>
      <c r="N33" s="34">
        <f t="shared" si="37"/>
        <v>0.39939320655737703</v>
      </c>
      <c r="O33" s="34">
        <f t="shared" si="37"/>
        <v>0.36786216393442611</v>
      </c>
      <c r="P33" s="34">
        <f t="shared" si="37"/>
        <v>0.33633112131147536</v>
      </c>
      <c r="Q33" s="34">
        <f t="shared" si="37"/>
        <v>0.29428973114754098</v>
      </c>
      <c r="R33" s="34">
        <f t="shared" si="37"/>
        <v>0.28377938360655736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48"/>
      <c r="AN33" s="49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I33" s="34">
        <f t="shared" ref="BI33:BQ33" si="38">+BI29/BI$8</f>
        <v>0.83012625872307899</v>
      </c>
      <c r="BJ33" s="34">
        <f t="shared" si="38"/>
        <v>0.60341357299353349</v>
      </c>
      <c r="BK33" s="34">
        <f t="shared" si="38"/>
        <v>0.44572952659795473</v>
      </c>
      <c r="BL33" s="34">
        <f t="shared" si="38"/>
        <v>0.3185588340935413</v>
      </c>
      <c r="BM33" s="34" t="e">
        <f t="shared" si="38"/>
        <v>#DIV/0!</v>
      </c>
      <c r="BN33" s="34" t="e">
        <f t="shared" si="38"/>
        <v>#DIV/0!</v>
      </c>
      <c r="BO33" s="34" t="e">
        <f t="shared" si="38"/>
        <v>#DIV/0!</v>
      </c>
      <c r="BP33" s="34" t="e">
        <f t="shared" si="38"/>
        <v>#DIV/0!</v>
      </c>
      <c r="BQ33" s="34" t="e">
        <f t="shared" si="38"/>
        <v>#DIV/0!</v>
      </c>
    </row>
    <row r="34" spans="2:69">
      <c r="B34" s="6" t="str">
        <f>B30&amp;" as % of Revenue"</f>
        <v>G&amp;A as % of Revenue</v>
      </c>
      <c r="C34" s="34">
        <f t="shared" si="37"/>
        <v>0.50554239999999995</v>
      </c>
      <c r="D34" s="34">
        <f t="shared" si="37"/>
        <v>0.33880888888888888</v>
      </c>
      <c r="E34" s="34">
        <f t="shared" si="37"/>
        <v>0.26126222222222223</v>
      </c>
      <c r="F34" s="34">
        <f t="shared" si="37"/>
        <v>0.4645270588235294</v>
      </c>
      <c r="G34" s="34">
        <f t="shared" si="37"/>
        <v>0.38997333333333328</v>
      </c>
      <c r="H34" s="34">
        <f t="shared" si="37"/>
        <v>0.33446068965517245</v>
      </c>
      <c r="I34" s="34">
        <f t="shared" si="37"/>
        <v>0.33508571428571432</v>
      </c>
      <c r="J34" s="34">
        <f t="shared" si="37"/>
        <v>0.39093333333333335</v>
      </c>
      <c r="K34" s="34">
        <f t="shared" si="37"/>
        <v>0.32185864661654146</v>
      </c>
      <c r="L34" s="34">
        <f t="shared" si="37"/>
        <v>0.51116521739130438</v>
      </c>
      <c r="M34" s="34">
        <f t="shared" si="37"/>
        <v>0.43798512562814068</v>
      </c>
      <c r="N34" s="34">
        <f t="shared" si="37"/>
        <v>0.35696377952755909</v>
      </c>
      <c r="O34" s="34">
        <f t="shared" si="37"/>
        <v>0.33066863287250386</v>
      </c>
      <c r="P34" s="34">
        <f t="shared" si="37"/>
        <v>0.26828992481203007</v>
      </c>
      <c r="Q34" s="34">
        <f t="shared" si="37"/>
        <v>0.2365207941483804</v>
      </c>
      <c r="R34" s="34">
        <f t="shared" si="37"/>
        <v>0.19714459388646285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48"/>
      <c r="AN34" s="49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I34" s="34">
        <f t="shared" ref="BI34:BQ34" si="39">+BI30/BI$8</f>
        <v>0.38883099716254604</v>
      </c>
      <c r="BJ34" s="34">
        <f t="shared" si="39"/>
        <v>0.36255186634751108</v>
      </c>
      <c r="BK34" s="34">
        <f t="shared" si="39"/>
        <v>0.40709762828610424</v>
      </c>
      <c r="BL34" s="34">
        <f t="shared" si="39"/>
        <v>0.25521053603764787</v>
      </c>
      <c r="BM34" s="34" t="e">
        <f t="shared" si="39"/>
        <v>#DIV/0!</v>
      </c>
      <c r="BN34" s="34" t="e">
        <f t="shared" si="39"/>
        <v>#DIV/0!</v>
      </c>
      <c r="BO34" s="34" t="e">
        <f t="shared" si="39"/>
        <v>#DIV/0!</v>
      </c>
      <c r="BP34" s="34" t="e">
        <f t="shared" si="39"/>
        <v>#DIV/0!</v>
      </c>
      <c r="BQ34" s="34" t="e">
        <f t="shared" si="39"/>
        <v>#DIV/0!</v>
      </c>
    </row>
    <row r="35" spans="2:69">
      <c r="B35" s="6" t="str">
        <f>B31&amp;" as % of Revenue"</f>
        <v>Operating Expenses as % of Revenue</v>
      </c>
      <c r="C35" s="34">
        <f t="shared" si="37"/>
        <v>2.0616401477290398</v>
      </c>
      <c r="D35" s="34">
        <f t="shared" si="37"/>
        <v>1.737588048438196</v>
      </c>
      <c r="E35" s="34">
        <f t="shared" si="37"/>
        <v>1.5176697807671666</v>
      </c>
      <c r="F35" s="34">
        <f t="shared" si="37"/>
        <v>1.6413426369206334</v>
      </c>
      <c r="G35" s="34">
        <f t="shared" si="37"/>
        <v>1.4857589095838948</v>
      </c>
      <c r="H35" s="34">
        <f t="shared" si="37"/>
        <v>1.3735587341189535</v>
      </c>
      <c r="I35" s="34">
        <f t="shared" si="37"/>
        <v>1.3185542852388037</v>
      </c>
      <c r="J35" s="34">
        <f t="shared" si="37"/>
        <v>1.3396869478481797</v>
      </c>
      <c r="K35" s="34">
        <f t="shared" si="37"/>
        <v>1.2264505585182424</v>
      </c>
      <c r="L35" s="34">
        <f t="shared" si="37"/>
        <v>1.3842114749609218</v>
      </c>
      <c r="M35" s="34">
        <f t="shared" si="37"/>
        <v>1.223552783658326</v>
      </c>
      <c r="N35" s="34">
        <f t="shared" si="37"/>
        <v>1.0943115420276135</v>
      </c>
      <c r="O35" s="34">
        <f t="shared" si="37"/>
        <v>1.0330455001452945</v>
      </c>
      <c r="P35" s="34">
        <f t="shared" si="37"/>
        <v>0.92834304460177208</v>
      </c>
      <c r="Q35" s="34">
        <f t="shared" si="37"/>
        <v>0.8438200436939709</v>
      </c>
      <c r="R35" s="34">
        <f t="shared" si="37"/>
        <v>0.79793286219503656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48"/>
      <c r="AN35" s="49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I35" s="34">
        <f t="shared" ref="BI35:BQ35" si="40">+BI31/BI$8</f>
        <v>1.713545037743283</v>
      </c>
      <c r="BJ35" s="34">
        <f t="shared" si="40"/>
        <v>1.3726839393546024</v>
      </c>
      <c r="BK35" s="34">
        <f t="shared" si="40"/>
        <v>1.2264622384917172</v>
      </c>
      <c r="BL35" s="34">
        <f t="shared" si="40"/>
        <v>0.89539498866048461</v>
      </c>
      <c r="BM35" s="34" t="e">
        <f t="shared" si="40"/>
        <v>#DIV/0!</v>
      </c>
      <c r="BN35" s="34" t="e">
        <f t="shared" si="40"/>
        <v>#DIV/0!</v>
      </c>
      <c r="BO35" s="34" t="e">
        <f t="shared" si="40"/>
        <v>#DIV/0!</v>
      </c>
      <c r="BP35" s="34" t="e">
        <f t="shared" si="40"/>
        <v>#DIV/0!</v>
      </c>
      <c r="BQ35" s="34" t="e">
        <f t="shared" si="40"/>
        <v>#DIV/0!</v>
      </c>
    </row>
    <row r="37" spans="2:69">
      <c r="B37" s="31" t="s">
        <v>22</v>
      </c>
      <c r="C37" s="13">
        <f t="shared" ref="C37:R37" si="41">+C22-C31</f>
        <v>-9026.2935907818974</v>
      </c>
      <c r="D37" s="13">
        <f t="shared" si="41"/>
        <v>-8181.354178610206</v>
      </c>
      <c r="E37" s="13">
        <f t="shared" si="41"/>
        <v>-7367.0707303317276</v>
      </c>
      <c r="F37" s="13">
        <f t="shared" si="41"/>
        <v>-9569.1810607147982</v>
      </c>
      <c r="G37" s="13">
        <f t="shared" si="41"/>
        <v>-9068.7313944691778</v>
      </c>
      <c r="H37" s="13">
        <f t="shared" si="41"/>
        <v>-8836.5810319450666</v>
      </c>
      <c r="I37" s="13">
        <f t="shared" si="41"/>
        <v>-9033.1179660774633</v>
      </c>
      <c r="J37" s="13">
        <f t="shared" si="41"/>
        <v>-9957.938975389985</v>
      </c>
      <c r="K37" s="13">
        <f t="shared" si="41"/>
        <v>-8790.2293682039235</v>
      </c>
      <c r="L37" s="13">
        <f t="shared" si="41"/>
        <v>-12462.548996452051</v>
      </c>
      <c r="M37" s="13">
        <f t="shared" si="41"/>
        <v>-10166.840255179564</v>
      </c>
      <c r="N37" s="13">
        <f t="shared" si="41"/>
        <v>-8161.6308757250135</v>
      </c>
      <c r="O37" s="13">
        <f t="shared" si="41"/>
        <v>-7338.0392670579531</v>
      </c>
      <c r="P37" s="13">
        <f t="shared" si="41"/>
        <v>-5172.5188301832277</v>
      </c>
      <c r="Q37" s="13">
        <f t="shared" si="41"/>
        <v>-3201.3999765553672</v>
      </c>
      <c r="R37" s="13">
        <f t="shared" si="41"/>
        <v>-2071.5525701602601</v>
      </c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64"/>
      <c r="AN37" s="4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I37" s="13">
        <f t="shared" ref="BI37:BQ37" si="42">+BI22-BI31</f>
        <v>-34143.899560438629</v>
      </c>
      <c r="BJ37" s="13">
        <f t="shared" si="42"/>
        <v>-36896.369367881685</v>
      </c>
      <c r="BK37" s="13">
        <f t="shared" si="42"/>
        <v>-39581.249495560565</v>
      </c>
      <c r="BL37" s="13">
        <f t="shared" si="42"/>
        <v>-17783.510643956804</v>
      </c>
      <c r="BM37" s="13">
        <f t="shared" si="42"/>
        <v>0</v>
      </c>
      <c r="BN37" s="13">
        <f t="shared" si="42"/>
        <v>0</v>
      </c>
      <c r="BO37" s="13">
        <f t="shared" si="42"/>
        <v>0</v>
      </c>
      <c r="BP37" s="13">
        <f t="shared" si="42"/>
        <v>0</v>
      </c>
      <c r="BQ37" s="13">
        <f t="shared" si="42"/>
        <v>0</v>
      </c>
    </row>
    <row r="38" spans="2:69">
      <c r="B38" s="6" t="s">
        <v>39</v>
      </c>
      <c r="C38" s="34">
        <f t="shared" ref="C38:R38" si="43">+C37/C8</f>
        <v>-1.3632274493163417</v>
      </c>
      <c r="D38" s="34">
        <f t="shared" si="43"/>
        <v>-1.0391753500254977</v>
      </c>
      <c r="E38" s="34">
        <f t="shared" si="43"/>
        <v>-0.81925708235446826</v>
      </c>
      <c r="F38" s="34">
        <f t="shared" si="43"/>
        <v>-0.94292993850793505</v>
      </c>
      <c r="G38" s="34">
        <f t="shared" si="43"/>
        <v>-0.78734621117119652</v>
      </c>
      <c r="H38" s="34">
        <f t="shared" si="43"/>
        <v>-0.67514603570625498</v>
      </c>
      <c r="I38" s="34">
        <f t="shared" si="43"/>
        <v>-0.62014158682610532</v>
      </c>
      <c r="J38" s="34">
        <f t="shared" si="43"/>
        <v>-0.62540123356246546</v>
      </c>
      <c r="K38" s="34">
        <f t="shared" si="43"/>
        <v>-0.50502198708967094</v>
      </c>
      <c r="L38" s="34">
        <f t="shared" si="43"/>
        <v>-0.66183052257996944</v>
      </c>
      <c r="M38" s="34">
        <f t="shared" si="43"/>
        <v>-0.49974325984880219</v>
      </c>
      <c r="N38" s="34">
        <f t="shared" si="43"/>
        <v>-0.37050201821808953</v>
      </c>
      <c r="O38" s="34">
        <f t="shared" si="43"/>
        <v>-0.30923597633577093</v>
      </c>
      <c r="P38" s="34">
        <f t="shared" si="43"/>
        <v>-0.20453352079224832</v>
      </c>
      <c r="Q38" s="34">
        <f t="shared" si="43"/>
        <v>-0.12001051988444707</v>
      </c>
      <c r="R38" s="34">
        <f t="shared" si="43"/>
        <v>-7.4123338385512744E-2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48"/>
      <c r="AN38" s="49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I38" s="34">
        <f t="shared" ref="BI38:BQ38" si="44">+BI37/BI8</f>
        <v>-1.0151323393305849</v>
      </c>
      <c r="BJ38" s="34">
        <f t="shared" si="44"/>
        <v>-0.66968394843443768</v>
      </c>
      <c r="BK38" s="34">
        <f t="shared" si="44"/>
        <v>-0.50352211647944867</v>
      </c>
      <c r="BL38" s="34">
        <f t="shared" si="44"/>
        <v>-0.17158546485096077</v>
      </c>
      <c r="BM38" s="34" t="e">
        <f t="shared" si="44"/>
        <v>#DIV/0!</v>
      </c>
      <c r="BN38" s="34" t="e">
        <f t="shared" si="44"/>
        <v>#DIV/0!</v>
      </c>
      <c r="BO38" s="34" t="e">
        <f t="shared" si="44"/>
        <v>#DIV/0!</v>
      </c>
      <c r="BP38" s="34" t="e">
        <f t="shared" si="44"/>
        <v>#DIV/0!</v>
      </c>
      <c r="BQ38" s="34" t="e">
        <f t="shared" si="44"/>
        <v>#DIV/0!</v>
      </c>
    </row>
    <row r="40" spans="2:69">
      <c r="B40" s="14" t="s">
        <v>37</v>
      </c>
      <c r="C40" s="80">
        <v>595.91407404374991</v>
      </c>
      <c r="D40" s="80">
        <v>708.56364718124985</v>
      </c>
      <c r="E40" s="80">
        <v>809.31417013124985</v>
      </c>
      <c r="F40" s="80">
        <v>913.35131094374981</v>
      </c>
      <c r="G40" s="80">
        <v>1036.6288856437498</v>
      </c>
      <c r="H40" s="80">
        <v>1177.9559544374999</v>
      </c>
      <c r="I40" s="80">
        <v>1456.6218679687499</v>
      </c>
      <c r="J40" s="80">
        <v>1592.2480546875001</v>
      </c>
      <c r="K40" s="80">
        <v>1740.5636968125</v>
      </c>
      <c r="L40" s="80">
        <v>1883.0423456250001</v>
      </c>
      <c r="M40" s="80">
        <v>2034.4126818749996</v>
      </c>
      <c r="N40" s="80">
        <v>2202.8573325937491</v>
      </c>
      <c r="O40" s="80">
        <v>2610.2535964312497</v>
      </c>
      <c r="P40" s="80">
        <v>2781.8279816249997</v>
      </c>
      <c r="Q40" s="80">
        <v>2934.3594024937497</v>
      </c>
      <c r="R40" s="80">
        <v>3074.2110066937503</v>
      </c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63"/>
      <c r="AN40" s="78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I40" s="27">
        <f t="shared" ref="BI40:BQ40" si="45">+SUMIFS($C40:$BG40, $C$3:$BG$3, BI$3)</f>
        <v>3027.1432022999993</v>
      </c>
      <c r="BJ40" s="27">
        <f t="shared" si="45"/>
        <v>5263.4547627374995</v>
      </c>
      <c r="BK40" s="27">
        <f t="shared" si="45"/>
        <v>7860.8760569062488</v>
      </c>
      <c r="BL40" s="27">
        <f t="shared" si="45"/>
        <v>11400.651987243749</v>
      </c>
      <c r="BM40" s="27">
        <f t="shared" si="45"/>
        <v>0</v>
      </c>
      <c r="BN40" s="27">
        <f t="shared" si="45"/>
        <v>0</v>
      </c>
      <c r="BO40" s="27">
        <f t="shared" si="45"/>
        <v>0</v>
      </c>
      <c r="BP40" s="27">
        <f t="shared" si="45"/>
        <v>0</v>
      </c>
      <c r="BQ40" s="27">
        <f t="shared" si="45"/>
        <v>0</v>
      </c>
    </row>
    <row r="41" spans="2:69">
      <c r="B41" s="31" t="s">
        <v>47</v>
      </c>
      <c r="C41" s="13">
        <f t="shared" ref="C41:R41" si="46">+C37+C40</f>
        <v>-8430.3795167381468</v>
      </c>
      <c r="D41" s="13">
        <f t="shared" si="46"/>
        <v>-7472.7905314289565</v>
      </c>
      <c r="E41" s="13">
        <f t="shared" si="46"/>
        <v>-6557.7565602004779</v>
      </c>
      <c r="F41" s="13">
        <f t="shared" si="46"/>
        <v>-8655.8297497710482</v>
      </c>
      <c r="G41" s="13">
        <f t="shared" si="46"/>
        <v>-8032.1025088254282</v>
      </c>
      <c r="H41" s="13">
        <f t="shared" si="46"/>
        <v>-7658.6250775075669</v>
      </c>
      <c r="I41" s="13">
        <f t="shared" si="46"/>
        <v>-7576.4960981087133</v>
      </c>
      <c r="J41" s="13">
        <f t="shared" si="46"/>
        <v>-8365.6909207024855</v>
      </c>
      <c r="K41" s="13">
        <f t="shared" si="46"/>
        <v>-7049.6656713914235</v>
      </c>
      <c r="L41" s="13">
        <f t="shared" si="46"/>
        <v>-10579.50665082705</v>
      </c>
      <c r="M41" s="13">
        <f t="shared" si="46"/>
        <v>-8132.4275733045652</v>
      </c>
      <c r="N41" s="13">
        <f t="shared" si="46"/>
        <v>-5958.7735431312649</v>
      </c>
      <c r="O41" s="13">
        <f t="shared" si="46"/>
        <v>-4727.785670626703</v>
      </c>
      <c r="P41" s="13">
        <f t="shared" si="46"/>
        <v>-2390.690848558228</v>
      </c>
      <c r="Q41" s="13">
        <f t="shared" si="46"/>
        <v>-267.04057406161746</v>
      </c>
      <c r="R41" s="13">
        <f t="shared" si="46"/>
        <v>1002.6584365334902</v>
      </c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64"/>
      <c r="AN41" s="4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I41" s="13">
        <f t="shared" ref="BI41:BQ41" si="47">+BI37+BI40</f>
        <v>-31116.756358138631</v>
      </c>
      <c r="BJ41" s="13">
        <f t="shared" si="47"/>
        <v>-31632.914605144186</v>
      </c>
      <c r="BK41" s="13">
        <f t="shared" si="47"/>
        <v>-31720.373438654315</v>
      </c>
      <c r="BL41" s="13">
        <f t="shared" si="47"/>
        <v>-6382.8586567130551</v>
      </c>
      <c r="BM41" s="13">
        <f t="shared" si="47"/>
        <v>0</v>
      </c>
      <c r="BN41" s="13">
        <f t="shared" si="47"/>
        <v>0</v>
      </c>
      <c r="BO41" s="13">
        <f t="shared" si="47"/>
        <v>0</v>
      </c>
      <c r="BP41" s="13">
        <f t="shared" si="47"/>
        <v>0</v>
      </c>
      <c r="BQ41" s="13">
        <f t="shared" si="47"/>
        <v>0</v>
      </c>
    </row>
    <row r="42" spans="2:69">
      <c r="B42" s="6" t="s">
        <v>39</v>
      </c>
      <c r="C42" s="34">
        <f t="shared" ref="C42:R42" si="48">+C41/C8</f>
        <v>-1.2732274493163416</v>
      </c>
      <c r="D42" s="34">
        <f t="shared" si="48"/>
        <v>-0.94917535002549758</v>
      </c>
      <c r="E42" s="34">
        <f t="shared" si="48"/>
        <v>-0.72925708235446818</v>
      </c>
      <c r="F42" s="34">
        <f t="shared" si="48"/>
        <v>-0.85292993850793497</v>
      </c>
      <c r="G42" s="34">
        <f t="shared" si="48"/>
        <v>-0.69734621117119655</v>
      </c>
      <c r="H42" s="34">
        <f t="shared" si="48"/>
        <v>-0.58514603570625501</v>
      </c>
      <c r="I42" s="34">
        <f t="shared" si="48"/>
        <v>-0.52014158682610534</v>
      </c>
      <c r="J42" s="34">
        <f t="shared" si="48"/>
        <v>-0.52540123356246549</v>
      </c>
      <c r="K42" s="34">
        <f t="shared" si="48"/>
        <v>-0.40502198708967097</v>
      </c>
      <c r="L42" s="34">
        <f t="shared" si="48"/>
        <v>-0.56183052257996935</v>
      </c>
      <c r="M42" s="34">
        <f t="shared" si="48"/>
        <v>-0.39974325984880221</v>
      </c>
      <c r="N42" s="34">
        <f t="shared" si="48"/>
        <v>-0.27050201821808956</v>
      </c>
      <c r="O42" s="34">
        <f t="shared" si="48"/>
        <v>-0.19923597633577089</v>
      </c>
      <c r="P42" s="34">
        <f t="shared" si="48"/>
        <v>-9.4533520792248318E-2</v>
      </c>
      <c r="Q42" s="34">
        <f t="shared" si="48"/>
        <v>-1.0010519884447075E-2</v>
      </c>
      <c r="R42" s="34">
        <f t="shared" si="48"/>
        <v>3.5876661614487264E-2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48"/>
      <c r="AN42" s="49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I42" s="34">
        <f t="shared" ref="BI42:BQ42" si="49">+BI41/BI8</f>
        <v>-0.92513233933058492</v>
      </c>
      <c r="BJ42" s="34">
        <f t="shared" si="49"/>
        <v>-0.57415012686053291</v>
      </c>
      <c r="BK42" s="34">
        <f t="shared" si="49"/>
        <v>-0.40352211647944858</v>
      </c>
      <c r="BL42" s="34">
        <f t="shared" si="49"/>
        <v>-6.158546485096078E-2</v>
      </c>
      <c r="BM42" s="34" t="e">
        <f t="shared" si="49"/>
        <v>#DIV/0!</v>
      </c>
      <c r="BN42" s="34" t="e">
        <f t="shared" si="49"/>
        <v>#DIV/0!</v>
      </c>
      <c r="BO42" s="34" t="e">
        <f t="shared" si="49"/>
        <v>#DIV/0!</v>
      </c>
      <c r="BP42" s="34" t="e">
        <f t="shared" si="49"/>
        <v>#DIV/0!</v>
      </c>
      <c r="BQ42" s="34" t="e">
        <f t="shared" si="49"/>
        <v>#DIV/0!</v>
      </c>
    </row>
    <row r="43" spans="2:69">
      <c r="B43" s="32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64"/>
      <c r="AN43" s="65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I43" s="29"/>
      <c r="BJ43" s="29"/>
      <c r="BK43" s="29"/>
      <c r="BL43" s="29"/>
      <c r="BM43" s="29"/>
      <c r="BN43" s="29"/>
      <c r="BO43" s="29"/>
      <c r="BP43" s="29"/>
      <c r="BQ43" s="29"/>
    </row>
    <row r="44" spans="2:69">
      <c r="B44" s="14" t="s">
        <v>18</v>
      </c>
      <c r="C44" s="35">
        <v>0</v>
      </c>
      <c r="D44" s="35">
        <v>0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63"/>
      <c r="AN44" s="71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I44" s="27">
        <f t="shared" ref="BI44:BQ44" si="50">+SUMIFS($C44:$BG44, $C$3:$BG$3, BI$3)</f>
        <v>0</v>
      </c>
      <c r="BJ44" s="27">
        <f t="shared" si="50"/>
        <v>0</v>
      </c>
      <c r="BK44" s="27">
        <f t="shared" si="50"/>
        <v>0</v>
      </c>
      <c r="BL44" s="27">
        <f t="shared" si="50"/>
        <v>0</v>
      </c>
      <c r="BM44" s="27">
        <f t="shared" si="50"/>
        <v>0</v>
      </c>
      <c r="BN44" s="27">
        <f t="shared" si="50"/>
        <v>0</v>
      </c>
      <c r="BO44" s="27">
        <f t="shared" si="50"/>
        <v>0</v>
      </c>
      <c r="BP44" s="27">
        <f t="shared" si="50"/>
        <v>0</v>
      </c>
      <c r="BQ44" s="27">
        <f t="shared" si="50"/>
        <v>0</v>
      </c>
    </row>
    <row r="45" spans="2:69">
      <c r="B45" s="31" t="s">
        <v>19</v>
      </c>
      <c r="C45" s="13">
        <f t="shared" ref="C45:R45" si="51">+C37-C44</f>
        <v>-9026.2935907818974</v>
      </c>
      <c r="D45" s="13">
        <f t="shared" si="51"/>
        <v>-8181.354178610206</v>
      </c>
      <c r="E45" s="13">
        <f t="shared" si="51"/>
        <v>-7367.0707303317276</v>
      </c>
      <c r="F45" s="13">
        <f t="shared" si="51"/>
        <v>-9569.1810607147982</v>
      </c>
      <c r="G45" s="13">
        <f t="shared" si="51"/>
        <v>-9068.7313944691778</v>
      </c>
      <c r="H45" s="13">
        <f t="shared" si="51"/>
        <v>-8836.5810319450666</v>
      </c>
      <c r="I45" s="13">
        <f t="shared" si="51"/>
        <v>-9033.1179660774633</v>
      </c>
      <c r="J45" s="13">
        <f t="shared" si="51"/>
        <v>-9957.938975389985</v>
      </c>
      <c r="K45" s="13">
        <f t="shared" si="51"/>
        <v>-8790.2293682039235</v>
      </c>
      <c r="L45" s="13">
        <f t="shared" si="51"/>
        <v>-12462.548996452051</v>
      </c>
      <c r="M45" s="13">
        <f t="shared" si="51"/>
        <v>-10166.840255179564</v>
      </c>
      <c r="N45" s="13">
        <f t="shared" si="51"/>
        <v>-8161.6308757250135</v>
      </c>
      <c r="O45" s="13">
        <f t="shared" si="51"/>
        <v>-7338.0392670579531</v>
      </c>
      <c r="P45" s="13">
        <f t="shared" si="51"/>
        <v>-5172.5188301832277</v>
      </c>
      <c r="Q45" s="13">
        <f t="shared" si="51"/>
        <v>-3201.3999765553672</v>
      </c>
      <c r="R45" s="13">
        <f t="shared" si="51"/>
        <v>-2071.5525701602601</v>
      </c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64"/>
      <c r="AN45" s="4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I45" s="13">
        <f t="shared" ref="BI45:BQ45" si="52">+BI37-BI44</f>
        <v>-34143.899560438629</v>
      </c>
      <c r="BJ45" s="13">
        <f t="shared" si="52"/>
        <v>-36896.369367881685</v>
      </c>
      <c r="BK45" s="13">
        <f t="shared" si="52"/>
        <v>-39581.249495560565</v>
      </c>
      <c r="BL45" s="13">
        <f t="shared" si="52"/>
        <v>-17783.510643956804</v>
      </c>
      <c r="BM45" s="13">
        <f t="shared" si="52"/>
        <v>0</v>
      </c>
      <c r="BN45" s="13">
        <f t="shared" si="52"/>
        <v>0</v>
      </c>
      <c r="BO45" s="13">
        <f t="shared" si="52"/>
        <v>0</v>
      </c>
      <c r="BP45" s="13">
        <f t="shared" si="52"/>
        <v>0</v>
      </c>
      <c r="BQ45" s="13">
        <f t="shared" si="52"/>
        <v>0</v>
      </c>
    </row>
    <row r="47" spans="2:69">
      <c r="B47" s="14" t="s">
        <v>0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63"/>
      <c r="AN47" s="51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I47" s="27">
        <f t="shared" ref="BI47:BQ47" si="53">+SUMIFS($C47:$BG47, $C$3:$BG$3, BI$3)</f>
        <v>0</v>
      </c>
      <c r="BJ47" s="27">
        <f t="shared" si="53"/>
        <v>0</v>
      </c>
      <c r="BK47" s="27">
        <f t="shared" si="53"/>
        <v>0</v>
      </c>
      <c r="BL47" s="27">
        <f t="shared" si="53"/>
        <v>0</v>
      </c>
      <c r="BM47" s="27">
        <f t="shared" si="53"/>
        <v>0</v>
      </c>
      <c r="BN47" s="27">
        <f t="shared" si="53"/>
        <v>0</v>
      </c>
      <c r="BO47" s="27">
        <f t="shared" si="53"/>
        <v>0</v>
      </c>
      <c r="BP47" s="27">
        <f t="shared" si="53"/>
        <v>0</v>
      </c>
      <c r="BQ47" s="27">
        <f t="shared" si="53"/>
        <v>0</v>
      </c>
    </row>
    <row r="48" spans="2:69">
      <c r="B48" s="6" t="s">
        <v>20</v>
      </c>
      <c r="C48" s="68">
        <v>0.25</v>
      </c>
      <c r="D48" s="68">
        <v>0.25</v>
      </c>
      <c r="E48" s="68">
        <v>0.25</v>
      </c>
      <c r="F48" s="68">
        <v>0.25</v>
      </c>
      <c r="G48" s="68">
        <v>0.25</v>
      </c>
      <c r="H48" s="68">
        <v>0.25</v>
      </c>
      <c r="I48" s="68">
        <v>0.25</v>
      </c>
      <c r="J48" s="68">
        <v>0.25</v>
      </c>
      <c r="K48" s="68">
        <v>0.25</v>
      </c>
      <c r="L48" s="68">
        <v>0.25</v>
      </c>
      <c r="M48" s="68">
        <v>0.25</v>
      </c>
      <c r="N48" s="68">
        <v>0.25</v>
      </c>
      <c r="O48" s="68">
        <v>0.25</v>
      </c>
      <c r="P48" s="68">
        <v>0.25</v>
      </c>
      <c r="Q48" s="68">
        <v>0.25</v>
      </c>
      <c r="R48" s="68">
        <v>0.25</v>
      </c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9"/>
      <c r="AN48" s="115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I48" s="34">
        <f t="shared" ref="BI48:BQ48" si="54">+BI47/BI45</f>
        <v>0</v>
      </c>
      <c r="BJ48" s="34">
        <f t="shared" si="54"/>
        <v>0</v>
      </c>
      <c r="BK48" s="34">
        <f t="shared" si="54"/>
        <v>0</v>
      </c>
      <c r="BL48" s="34">
        <f t="shared" si="54"/>
        <v>0</v>
      </c>
      <c r="BM48" s="34" t="e">
        <f t="shared" si="54"/>
        <v>#DIV/0!</v>
      </c>
      <c r="BN48" s="34" t="e">
        <f t="shared" si="54"/>
        <v>#DIV/0!</v>
      </c>
      <c r="BO48" s="34" t="e">
        <f t="shared" si="54"/>
        <v>#DIV/0!</v>
      </c>
      <c r="BP48" s="34" t="e">
        <f t="shared" si="54"/>
        <v>#DIV/0!</v>
      </c>
      <c r="BQ48" s="34" t="e">
        <f t="shared" si="54"/>
        <v>#DIV/0!</v>
      </c>
    </row>
    <row r="49" spans="1:69">
      <c r="B49" s="14"/>
      <c r="C49" s="35"/>
    </row>
    <row r="50" spans="1:69">
      <c r="B50" s="31" t="s">
        <v>21</v>
      </c>
      <c r="C50" s="13">
        <f t="shared" ref="C50:R50" si="55">+C45-C47</f>
        <v>-9026.2935907818974</v>
      </c>
      <c r="D50" s="13">
        <f t="shared" si="55"/>
        <v>-8181.354178610206</v>
      </c>
      <c r="E50" s="13">
        <f t="shared" si="55"/>
        <v>-7367.0707303317276</v>
      </c>
      <c r="F50" s="13">
        <f t="shared" si="55"/>
        <v>-9569.1810607147982</v>
      </c>
      <c r="G50" s="13">
        <f t="shared" si="55"/>
        <v>-9068.7313944691778</v>
      </c>
      <c r="H50" s="13">
        <f t="shared" si="55"/>
        <v>-8836.5810319450666</v>
      </c>
      <c r="I50" s="13">
        <f t="shared" si="55"/>
        <v>-9033.1179660774633</v>
      </c>
      <c r="J50" s="13">
        <f t="shared" si="55"/>
        <v>-9957.938975389985</v>
      </c>
      <c r="K50" s="13">
        <f t="shared" si="55"/>
        <v>-8790.2293682039235</v>
      </c>
      <c r="L50" s="13">
        <f t="shared" si="55"/>
        <v>-12462.548996452051</v>
      </c>
      <c r="M50" s="13">
        <f t="shared" si="55"/>
        <v>-10166.840255179564</v>
      </c>
      <c r="N50" s="13">
        <f t="shared" si="55"/>
        <v>-8161.6308757250135</v>
      </c>
      <c r="O50" s="13">
        <f t="shared" si="55"/>
        <v>-7338.0392670579531</v>
      </c>
      <c r="P50" s="13">
        <f t="shared" si="55"/>
        <v>-5172.5188301832277</v>
      </c>
      <c r="Q50" s="13">
        <f t="shared" si="55"/>
        <v>-3201.3999765553672</v>
      </c>
      <c r="R50" s="13">
        <f t="shared" si="55"/>
        <v>-2071.5525701602601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64"/>
      <c r="AN50" s="4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I50" s="13">
        <f t="shared" ref="BI50:BQ50" si="56">+BI45-BI47</f>
        <v>-34143.899560438629</v>
      </c>
      <c r="BJ50" s="13">
        <f t="shared" si="56"/>
        <v>-36896.369367881685</v>
      </c>
      <c r="BK50" s="13">
        <f t="shared" si="56"/>
        <v>-39581.249495560565</v>
      </c>
      <c r="BL50" s="13">
        <f t="shared" si="56"/>
        <v>-17783.510643956804</v>
      </c>
      <c r="BM50" s="13">
        <f t="shared" si="56"/>
        <v>0</v>
      </c>
      <c r="BN50" s="13">
        <f t="shared" si="56"/>
        <v>0</v>
      </c>
      <c r="BO50" s="13">
        <f t="shared" si="56"/>
        <v>0</v>
      </c>
      <c r="BP50" s="13">
        <f t="shared" si="56"/>
        <v>0</v>
      </c>
      <c r="BQ50" s="13">
        <f t="shared" si="56"/>
        <v>0</v>
      </c>
    </row>
    <row r="51" spans="1:69">
      <c r="B51" s="6" t="s">
        <v>39</v>
      </c>
      <c r="C51" s="34">
        <f t="shared" ref="C51:R51" si="57">+C50/C8</f>
        <v>-1.3632274493163417</v>
      </c>
      <c r="D51" s="34">
        <f t="shared" si="57"/>
        <v>-1.0391753500254977</v>
      </c>
      <c r="E51" s="34">
        <f t="shared" si="57"/>
        <v>-0.81925708235446826</v>
      </c>
      <c r="F51" s="34">
        <f t="shared" si="57"/>
        <v>-0.94292993850793505</v>
      </c>
      <c r="G51" s="34">
        <f t="shared" si="57"/>
        <v>-0.78734621117119652</v>
      </c>
      <c r="H51" s="34">
        <f t="shared" si="57"/>
        <v>-0.67514603570625498</v>
      </c>
      <c r="I51" s="34">
        <f t="shared" si="57"/>
        <v>-0.62014158682610532</v>
      </c>
      <c r="J51" s="34">
        <f t="shared" si="57"/>
        <v>-0.62540123356246546</v>
      </c>
      <c r="K51" s="34">
        <f t="shared" si="57"/>
        <v>-0.50502198708967094</v>
      </c>
      <c r="L51" s="34">
        <f t="shared" si="57"/>
        <v>-0.66183052257996944</v>
      </c>
      <c r="M51" s="34">
        <f t="shared" si="57"/>
        <v>-0.49974325984880219</v>
      </c>
      <c r="N51" s="34">
        <f t="shared" si="57"/>
        <v>-0.37050201821808953</v>
      </c>
      <c r="O51" s="34">
        <f t="shared" si="57"/>
        <v>-0.30923597633577093</v>
      </c>
      <c r="P51" s="34">
        <f t="shared" si="57"/>
        <v>-0.20453352079224832</v>
      </c>
      <c r="Q51" s="34">
        <f t="shared" si="57"/>
        <v>-0.12001051988444707</v>
      </c>
      <c r="R51" s="34">
        <f t="shared" si="57"/>
        <v>-7.4123338385512744E-2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48"/>
      <c r="AN51" s="49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I51" s="34">
        <f t="shared" ref="BI51:BQ51" si="58">+BI50/BI8</f>
        <v>-1.0151323393305849</v>
      </c>
      <c r="BJ51" s="34">
        <f t="shared" si="58"/>
        <v>-0.66968394843443768</v>
      </c>
      <c r="BK51" s="34">
        <f t="shared" si="58"/>
        <v>-0.50352211647944867</v>
      </c>
      <c r="BL51" s="34">
        <f t="shared" si="58"/>
        <v>-0.17158546485096077</v>
      </c>
      <c r="BM51" s="34" t="e">
        <f t="shared" si="58"/>
        <v>#DIV/0!</v>
      </c>
      <c r="BN51" s="34" t="e">
        <f t="shared" si="58"/>
        <v>#DIV/0!</v>
      </c>
      <c r="BO51" s="34" t="e">
        <f t="shared" si="58"/>
        <v>#DIV/0!</v>
      </c>
      <c r="BP51" s="34" t="e">
        <f t="shared" si="58"/>
        <v>#DIV/0!</v>
      </c>
      <c r="BQ51" s="34" t="e">
        <f t="shared" si="58"/>
        <v>#DIV/0!</v>
      </c>
    </row>
    <row r="53" spans="1:69">
      <c r="B53" s="10" t="s">
        <v>80</v>
      </c>
    </row>
    <row r="54" spans="1:69">
      <c r="B54" s="14" t="s">
        <v>83</v>
      </c>
      <c r="C54" s="142" t="s">
        <v>82</v>
      </c>
      <c r="D54" s="142" t="s">
        <v>82</v>
      </c>
      <c r="E54" s="142" t="s">
        <v>82</v>
      </c>
      <c r="F54" s="142" t="s">
        <v>82</v>
      </c>
      <c r="G54" s="142" t="s">
        <v>82</v>
      </c>
      <c r="H54" s="142" t="s">
        <v>82</v>
      </c>
      <c r="I54" s="142" t="s">
        <v>82</v>
      </c>
      <c r="J54" s="142" t="s">
        <v>82</v>
      </c>
      <c r="K54" s="142" t="s">
        <v>82</v>
      </c>
      <c r="L54" s="142" t="s">
        <v>82</v>
      </c>
      <c r="M54" s="142" t="s">
        <v>82</v>
      </c>
      <c r="N54" s="142" t="s">
        <v>82</v>
      </c>
      <c r="O54" s="28">
        <v>19296.4832010502</v>
      </c>
      <c r="P54" s="28">
        <v>21496.074628498602</v>
      </c>
      <c r="Q54" s="28">
        <v>22067.705959072999</v>
      </c>
      <c r="R54" s="28">
        <v>23290.284730224499</v>
      </c>
    </row>
    <row r="55" spans="1:69">
      <c r="B55" s="14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28"/>
      <c r="P55" s="28"/>
      <c r="Q55" s="28"/>
      <c r="R55" s="28"/>
    </row>
    <row r="57" spans="1:69" s="2" customFormat="1">
      <c r="B57" s="3" t="s">
        <v>24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3"/>
      <c r="AN57" s="39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I57" s="15"/>
      <c r="BJ57" s="15"/>
      <c r="BK57" s="15"/>
      <c r="BL57" s="15"/>
      <c r="BM57" s="15"/>
      <c r="BN57" s="15"/>
      <c r="BO57" s="15"/>
      <c r="BP57" s="15"/>
      <c r="BQ57" s="15"/>
    </row>
    <row r="58" spans="1:69" s="2" customFormat="1">
      <c r="B58" s="4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>
        <f>R4</f>
        <v>44926</v>
      </c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6"/>
      <c r="AN58" s="72">
        <f t="shared" ref="AN58:BG58" si="59">AN4</f>
        <v>45016</v>
      </c>
      <c r="AO58" s="52">
        <f t="shared" si="59"/>
        <v>45107</v>
      </c>
      <c r="AP58" s="52">
        <f t="shared" si="59"/>
        <v>45199</v>
      </c>
      <c r="AQ58" s="52">
        <f t="shared" si="59"/>
        <v>45291</v>
      </c>
      <c r="AR58" s="52">
        <f t="shared" si="59"/>
        <v>45382</v>
      </c>
      <c r="AS58" s="52">
        <f t="shared" si="59"/>
        <v>45473</v>
      </c>
      <c r="AT58" s="52">
        <f t="shared" si="59"/>
        <v>45565</v>
      </c>
      <c r="AU58" s="52">
        <f t="shared" si="59"/>
        <v>45657</v>
      </c>
      <c r="AV58" s="52">
        <f t="shared" si="59"/>
        <v>45747</v>
      </c>
      <c r="AW58" s="52">
        <f t="shared" si="59"/>
        <v>45838</v>
      </c>
      <c r="AX58" s="52">
        <f t="shared" si="59"/>
        <v>45930</v>
      </c>
      <c r="AY58" s="52">
        <f t="shared" si="59"/>
        <v>46022</v>
      </c>
      <c r="AZ58" s="52">
        <f t="shared" si="59"/>
        <v>46112</v>
      </c>
      <c r="BA58" s="52">
        <f t="shared" si="59"/>
        <v>46203</v>
      </c>
      <c r="BB58" s="52">
        <f t="shared" si="59"/>
        <v>46295</v>
      </c>
      <c r="BC58" s="52">
        <f t="shared" si="59"/>
        <v>46387</v>
      </c>
      <c r="BD58" s="52">
        <f t="shared" si="59"/>
        <v>46477</v>
      </c>
      <c r="BE58" s="52">
        <f t="shared" si="59"/>
        <v>46568</v>
      </c>
      <c r="BF58" s="52">
        <f t="shared" si="59"/>
        <v>46660</v>
      </c>
      <c r="BG58" s="52">
        <f t="shared" si="59"/>
        <v>46752</v>
      </c>
      <c r="BI58" s="52">
        <f t="shared" ref="BI58:BQ58" si="60">+BI4</f>
        <v>43830</v>
      </c>
      <c r="BJ58" s="52">
        <f t="shared" si="60"/>
        <v>44196</v>
      </c>
      <c r="BK58" s="52">
        <f t="shared" si="60"/>
        <v>44561</v>
      </c>
      <c r="BL58" s="52">
        <f t="shared" si="60"/>
        <v>44926</v>
      </c>
      <c r="BM58" s="52">
        <f t="shared" si="60"/>
        <v>45291</v>
      </c>
      <c r="BN58" s="52">
        <f t="shared" si="60"/>
        <v>45657</v>
      </c>
      <c r="BO58" s="52">
        <f t="shared" si="60"/>
        <v>46022</v>
      </c>
      <c r="BP58" s="52">
        <f t="shared" si="60"/>
        <v>46387</v>
      </c>
      <c r="BQ58" s="52">
        <f t="shared" si="60"/>
        <v>46752</v>
      </c>
    </row>
    <row r="59" spans="1:69">
      <c r="A59" s="73"/>
      <c r="B59" s="2" t="s">
        <v>26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5">
        <v>31655.587672747399</v>
      </c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50"/>
      <c r="AN59" s="60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I59" s="81"/>
      <c r="BJ59" s="81"/>
      <c r="BK59" s="81"/>
      <c r="BL59" s="11">
        <f t="shared" ref="BL59:BQ65" si="61">SUMIFS($C59:$BG59, $C$58:$BG$58, BL$58)</f>
        <v>31655.587672747399</v>
      </c>
      <c r="BM59" s="11">
        <f t="shared" si="61"/>
        <v>0</v>
      </c>
      <c r="BN59" s="11">
        <f t="shared" si="61"/>
        <v>0</v>
      </c>
      <c r="BO59" s="11">
        <f t="shared" si="61"/>
        <v>0</v>
      </c>
      <c r="BP59" s="11">
        <f t="shared" si="61"/>
        <v>0</v>
      </c>
      <c r="BQ59" s="11">
        <f t="shared" si="61"/>
        <v>0</v>
      </c>
    </row>
    <row r="60" spans="1:69">
      <c r="A60" s="73"/>
      <c r="B60" s="2" t="s">
        <v>5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5">
        <v>1991.5060562305473</v>
      </c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50"/>
      <c r="AN60" s="42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I60" s="82"/>
      <c r="BJ60" s="82"/>
      <c r="BK60" s="83"/>
      <c r="BL60" s="11">
        <f t="shared" si="61"/>
        <v>1991.5060562305473</v>
      </c>
      <c r="BM60" s="11">
        <f t="shared" si="61"/>
        <v>0</v>
      </c>
      <c r="BN60" s="11">
        <f t="shared" si="61"/>
        <v>0</v>
      </c>
      <c r="BO60" s="11">
        <f t="shared" si="61"/>
        <v>0</v>
      </c>
      <c r="BP60" s="11">
        <f t="shared" si="61"/>
        <v>0</v>
      </c>
      <c r="BQ60" s="11">
        <f t="shared" si="61"/>
        <v>0</v>
      </c>
    </row>
    <row r="61" spans="1:69">
      <c r="A61" s="73"/>
      <c r="B61" s="2" t="s">
        <v>27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5">
        <v>16999.583357166321</v>
      </c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50"/>
      <c r="AN61" s="60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I61" s="81"/>
      <c r="BJ61" s="81"/>
      <c r="BK61" s="83"/>
      <c r="BL61" s="11">
        <f t="shared" si="61"/>
        <v>16999.583357166321</v>
      </c>
      <c r="BM61" s="11">
        <f t="shared" si="61"/>
        <v>0</v>
      </c>
      <c r="BN61" s="11">
        <f t="shared" si="61"/>
        <v>0</v>
      </c>
      <c r="BO61" s="11">
        <f t="shared" si="61"/>
        <v>0</v>
      </c>
      <c r="BP61" s="11">
        <f t="shared" si="61"/>
        <v>0</v>
      </c>
      <c r="BQ61" s="11">
        <f t="shared" si="61"/>
        <v>0</v>
      </c>
    </row>
    <row r="62" spans="1:69">
      <c r="A62" s="73"/>
      <c r="B62" s="2" t="s">
        <v>41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5">
        <v>2082.8816954793983</v>
      </c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50"/>
      <c r="AN62" s="51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I62" s="84"/>
      <c r="BJ62" s="84"/>
      <c r="BK62" s="83"/>
      <c r="BL62" s="11">
        <f t="shared" si="61"/>
        <v>2082.8816954793983</v>
      </c>
      <c r="BM62" s="11">
        <f t="shared" si="61"/>
        <v>0</v>
      </c>
      <c r="BN62" s="11">
        <f t="shared" si="61"/>
        <v>0</v>
      </c>
      <c r="BO62" s="11">
        <f t="shared" si="61"/>
        <v>0</v>
      </c>
      <c r="BP62" s="11">
        <f t="shared" si="61"/>
        <v>0</v>
      </c>
      <c r="BQ62" s="11">
        <f t="shared" si="61"/>
        <v>0</v>
      </c>
    </row>
    <row r="63" spans="1:69">
      <c r="A63" s="73"/>
      <c r="B63" s="2" t="s">
        <v>40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5">
        <v>15908</v>
      </c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50"/>
      <c r="AN63" s="42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I63" s="82"/>
      <c r="BJ63" s="82"/>
      <c r="BK63" s="83"/>
      <c r="BL63" s="11">
        <f t="shared" si="61"/>
        <v>15908</v>
      </c>
      <c r="BM63" s="11">
        <f t="shared" si="61"/>
        <v>0</v>
      </c>
      <c r="BN63" s="11">
        <f t="shared" si="61"/>
        <v>0</v>
      </c>
      <c r="BO63" s="11">
        <f t="shared" si="61"/>
        <v>0</v>
      </c>
      <c r="BP63" s="11">
        <f t="shared" si="61"/>
        <v>0</v>
      </c>
      <c r="BQ63" s="11">
        <f t="shared" si="61"/>
        <v>0</v>
      </c>
    </row>
    <row r="64" spans="1:69">
      <c r="A64" s="73"/>
      <c r="B64" s="2" t="s">
        <v>43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5">
        <v>2359.7422275827898</v>
      </c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50"/>
      <c r="AN64" s="42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I64" s="82"/>
      <c r="BJ64" s="82"/>
      <c r="BK64" s="83"/>
      <c r="BL64" s="11">
        <f t="shared" si="61"/>
        <v>2359.7422275827898</v>
      </c>
      <c r="BM64" s="11">
        <f t="shared" si="61"/>
        <v>0</v>
      </c>
      <c r="BN64" s="11">
        <f t="shared" si="61"/>
        <v>0</v>
      </c>
      <c r="BO64" s="11">
        <f t="shared" si="61"/>
        <v>0</v>
      </c>
      <c r="BP64" s="11">
        <f t="shared" si="61"/>
        <v>0</v>
      </c>
      <c r="BQ64" s="11">
        <f t="shared" si="61"/>
        <v>0</v>
      </c>
    </row>
    <row r="65" spans="1:69">
      <c r="A65" s="73"/>
      <c r="B65" s="2" t="s">
        <v>34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5">
        <f>5706.94024828716+54.1390810736775</f>
        <v>5761.0793293608376</v>
      </c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50"/>
      <c r="AN65" s="51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I65" s="84"/>
      <c r="BJ65" s="84"/>
      <c r="BK65" s="83"/>
      <c r="BL65" s="11">
        <f t="shared" si="61"/>
        <v>5761.0793293608376</v>
      </c>
      <c r="BM65" s="11">
        <f t="shared" si="61"/>
        <v>0</v>
      </c>
      <c r="BN65" s="11">
        <f t="shared" si="61"/>
        <v>0</v>
      </c>
      <c r="BO65" s="11">
        <f t="shared" si="61"/>
        <v>0</v>
      </c>
      <c r="BP65" s="11">
        <f t="shared" si="61"/>
        <v>0</v>
      </c>
      <c r="BQ65" s="11">
        <f t="shared" si="61"/>
        <v>0</v>
      </c>
    </row>
    <row r="66" spans="1:69">
      <c r="A66" s="73"/>
      <c r="B66" s="8" t="s">
        <v>31</v>
      </c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>
        <f>SUM(R59:R65)</f>
        <v>76758.380338567295</v>
      </c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64"/>
      <c r="AN66" s="4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I66" s="85"/>
      <c r="BJ66" s="85"/>
      <c r="BK66" s="85"/>
      <c r="BL66" s="13">
        <f t="shared" ref="BL66:BQ66" si="62">SUM(BL59:BL65)</f>
        <v>76758.380338567295</v>
      </c>
      <c r="BM66" s="13">
        <f t="shared" si="62"/>
        <v>0</v>
      </c>
      <c r="BN66" s="13">
        <f t="shared" si="62"/>
        <v>0</v>
      </c>
      <c r="BO66" s="13">
        <f t="shared" si="62"/>
        <v>0</v>
      </c>
      <c r="BP66" s="13">
        <f t="shared" si="62"/>
        <v>0</v>
      </c>
      <c r="BQ66" s="13">
        <f t="shared" si="62"/>
        <v>0</v>
      </c>
    </row>
    <row r="67" spans="1:69">
      <c r="A67" s="73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50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I67" s="86"/>
      <c r="BJ67" s="86"/>
      <c r="BK67" s="83"/>
    </row>
    <row r="68" spans="1:69">
      <c r="A68" s="73"/>
      <c r="B68" s="2" t="s">
        <v>33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5">
        <v>8360.4995455818644</v>
      </c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50"/>
      <c r="AN68" s="51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I68" s="84"/>
      <c r="BJ68" s="84"/>
      <c r="BK68" s="83"/>
      <c r="BL68" s="11">
        <f t="shared" ref="BL68:BQ72" si="63">SUMIFS($C68:$BG68, $C$58:$BG$58, BL$58)</f>
        <v>8360.4995455818644</v>
      </c>
      <c r="BM68" s="11">
        <f t="shared" si="63"/>
        <v>0</v>
      </c>
      <c r="BN68" s="11">
        <f t="shared" si="63"/>
        <v>0</v>
      </c>
      <c r="BO68" s="11">
        <f t="shared" si="63"/>
        <v>0</v>
      </c>
      <c r="BP68" s="11">
        <f t="shared" si="63"/>
        <v>0</v>
      </c>
      <c r="BQ68" s="11">
        <f t="shared" si="63"/>
        <v>0</v>
      </c>
    </row>
    <row r="69" spans="1:69">
      <c r="A69" s="73"/>
      <c r="B69" s="2" t="s">
        <v>3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5">
        <v>4663.3148900394308</v>
      </c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50"/>
      <c r="AN69" s="42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I69" s="82"/>
      <c r="BJ69" s="82"/>
      <c r="BK69" s="83"/>
      <c r="BL69" s="11">
        <f t="shared" si="63"/>
        <v>4663.3148900394308</v>
      </c>
      <c r="BM69" s="11">
        <f t="shared" si="63"/>
        <v>0</v>
      </c>
      <c r="BN69" s="11">
        <f t="shared" si="63"/>
        <v>0</v>
      </c>
      <c r="BO69" s="11">
        <f t="shared" si="63"/>
        <v>0</v>
      </c>
      <c r="BP69" s="11">
        <f t="shared" si="63"/>
        <v>0</v>
      </c>
      <c r="BQ69" s="11">
        <f t="shared" si="63"/>
        <v>0</v>
      </c>
    </row>
    <row r="70" spans="1:69">
      <c r="A70" s="73"/>
      <c r="B70" s="2" t="s">
        <v>28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5">
        <v>0</v>
      </c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50"/>
      <c r="AN70" s="71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I70" s="87"/>
      <c r="BJ70" s="87"/>
      <c r="BK70" s="83"/>
      <c r="BL70" s="11">
        <f t="shared" si="63"/>
        <v>0</v>
      </c>
      <c r="BM70" s="11">
        <f t="shared" si="63"/>
        <v>0</v>
      </c>
      <c r="BN70" s="11">
        <f t="shared" si="63"/>
        <v>0</v>
      </c>
      <c r="BO70" s="11">
        <f t="shared" si="63"/>
        <v>0</v>
      </c>
      <c r="BP70" s="11">
        <f t="shared" si="63"/>
        <v>0</v>
      </c>
      <c r="BQ70" s="11">
        <f t="shared" si="63"/>
        <v>0</v>
      </c>
    </row>
    <row r="71" spans="1:69">
      <c r="A71" s="73"/>
      <c r="B71" s="2" t="s">
        <v>30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5">
        <v>11753.284459805396</v>
      </c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50"/>
      <c r="AN71" s="51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I71" s="84"/>
      <c r="BJ71" s="84"/>
      <c r="BK71" s="83"/>
      <c r="BL71" s="11">
        <f t="shared" si="63"/>
        <v>11753.284459805396</v>
      </c>
      <c r="BM71" s="11">
        <f t="shared" si="63"/>
        <v>0</v>
      </c>
      <c r="BN71" s="11">
        <f t="shared" si="63"/>
        <v>0</v>
      </c>
      <c r="BO71" s="11">
        <f t="shared" si="63"/>
        <v>0</v>
      </c>
      <c r="BP71" s="11">
        <f t="shared" si="63"/>
        <v>0</v>
      </c>
      <c r="BQ71" s="11">
        <f t="shared" si="63"/>
        <v>0</v>
      </c>
    </row>
    <row r="72" spans="1:69">
      <c r="A72" s="73"/>
      <c r="B72" s="2" t="s">
        <v>29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5">
        <v>51981.2814431406</v>
      </c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50"/>
      <c r="AN72" s="66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I72" s="88"/>
      <c r="BJ72" s="81"/>
      <c r="BK72" s="83"/>
      <c r="BL72" s="11">
        <f t="shared" si="63"/>
        <v>51981.2814431406</v>
      </c>
      <c r="BM72" s="11">
        <f t="shared" si="63"/>
        <v>0</v>
      </c>
      <c r="BN72" s="11">
        <f t="shared" si="63"/>
        <v>0</v>
      </c>
      <c r="BO72" s="11">
        <f t="shared" si="63"/>
        <v>0</v>
      </c>
      <c r="BP72" s="11">
        <f t="shared" si="63"/>
        <v>0</v>
      </c>
      <c r="BQ72" s="11">
        <f t="shared" si="63"/>
        <v>0</v>
      </c>
    </row>
    <row r="73" spans="1:69">
      <c r="A73" s="73"/>
      <c r="B73" s="8" t="s">
        <v>32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>
        <f>SUM(R68:R72)</f>
        <v>76758.380338567295</v>
      </c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64"/>
      <c r="AN73" s="4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I73" s="85"/>
      <c r="BJ73" s="85"/>
      <c r="BK73" s="85"/>
      <c r="BL73" s="13">
        <f t="shared" ref="BL73:BQ73" si="64">SUM(BL68:BL72)</f>
        <v>76758.380338567295</v>
      </c>
      <c r="BM73" s="13">
        <f t="shared" si="64"/>
        <v>0</v>
      </c>
      <c r="BN73" s="13">
        <f t="shared" si="64"/>
        <v>0</v>
      </c>
      <c r="BO73" s="13">
        <f t="shared" si="64"/>
        <v>0</v>
      </c>
      <c r="BP73" s="13">
        <f t="shared" si="64"/>
        <v>0</v>
      </c>
      <c r="BQ73" s="13">
        <f t="shared" si="64"/>
        <v>0</v>
      </c>
    </row>
    <row r="74" spans="1:69">
      <c r="B74" s="7" t="s">
        <v>2</v>
      </c>
      <c r="C74" s="29"/>
      <c r="R74" s="9">
        <f>+R66-R73</f>
        <v>0</v>
      </c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61"/>
      <c r="AN74" s="62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I74" s="89"/>
      <c r="BJ74" s="89"/>
      <c r="BK74" s="89"/>
      <c r="BL74" s="9">
        <f t="shared" ref="BL74:BQ74" si="65">+BL66-BL73</f>
        <v>0</v>
      </c>
      <c r="BM74" s="9">
        <f t="shared" si="65"/>
        <v>0</v>
      </c>
      <c r="BN74" s="9">
        <f t="shared" si="65"/>
        <v>0</v>
      </c>
      <c r="BO74" s="9">
        <f t="shared" si="65"/>
        <v>0</v>
      </c>
      <c r="BP74" s="9">
        <f t="shared" si="65"/>
        <v>0</v>
      </c>
      <c r="BQ74" s="9">
        <f t="shared" si="65"/>
        <v>0</v>
      </c>
    </row>
    <row r="75" spans="1:69">
      <c r="B75" s="7"/>
      <c r="C75" s="2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61"/>
    </row>
    <row r="76" spans="1:69">
      <c r="C76" s="59"/>
    </row>
    <row r="77" spans="1:69" s="2" customFormat="1">
      <c r="B77" s="3" t="s">
        <v>25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  <c r="AL77" s="130"/>
      <c r="AM77" s="133"/>
      <c r="AN77" s="39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I77" s="15"/>
      <c r="BJ77" s="15"/>
      <c r="BK77" s="15"/>
      <c r="BL77" s="15"/>
      <c r="BM77" s="15"/>
      <c r="BN77" s="15"/>
      <c r="BO77" s="15"/>
      <c r="BP77" s="15"/>
      <c r="BQ77" s="15"/>
    </row>
    <row r="78" spans="1:69" s="2" customFormat="1">
      <c r="B78" s="4"/>
      <c r="C78" s="76">
        <f t="shared" ref="C78:R78" si="66">YEAR(C79)</f>
        <v>2019</v>
      </c>
      <c r="D78" s="76">
        <f t="shared" si="66"/>
        <v>2019</v>
      </c>
      <c r="E78" s="76">
        <f t="shared" si="66"/>
        <v>2019</v>
      </c>
      <c r="F78" s="76">
        <f t="shared" si="66"/>
        <v>2019</v>
      </c>
      <c r="G78" s="76">
        <f t="shared" si="66"/>
        <v>2020</v>
      </c>
      <c r="H78" s="76">
        <f t="shared" si="66"/>
        <v>2020</v>
      </c>
      <c r="I78" s="76">
        <f t="shared" si="66"/>
        <v>2020</v>
      </c>
      <c r="J78" s="76">
        <f t="shared" si="66"/>
        <v>2020</v>
      </c>
      <c r="K78" s="76">
        <f t="shared" si="66"/>
        <v>2021</v>
      </c>
      <c r="L78" s="76">
        <f t="shared" si="66"/>
        <v>2021</v>
      </c>
      <c r="M78" s="76">
        <f t="shared" si="66"/>
        <v>2021</v>
      </c>
      <c r="N78" s="76">
        <f t="shared" si="66"/>
        <v>2021</v>
      </c>
      <c r="O78" s="76">
        <f t="shared" si="66"/>
        <v>2022</v>
      </c>
      <c r="P78" s="76">
        <f t="shared" si="66"/>
        <v>2022</v>
      </c>
      <c r="Q78" s="76">
        <f t="shared" si="66"/>
        <v>2022</v>
      </c>
      <c r="R78" s="76">
        <f t="shared" si="66"/>
        <v>2022</v>
      </c>
      <c r="S78" s="131"/>
      <c r="T78" s="131"/>
      <c r="U78" s="131"/>
      <c r="V78" s="131"/>
      <c r="W78" s="131"/>
      <c r="X78" s="131"/>
      <c r="Y78" s="131"/>
      <c r="Z78" s="131"/>
      <c r="AA78" s="131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4"/>
      <c r="AN78" s="105">
        <f t="shared" ref="AN78:BG78" si="67">YEAR(AN79)</f>
        <v>2023</v>
      </c>
      <c r="AO78" s="76">
        <f t="shared" si="67"/>
        <v>2023</v>
      </c>
      <c r="AP78" s="76">
        <f t="shared" si="67"/>
        <v>2023</v>
      </c>
      <c r="AQ78" s="76">
        <f t="shared" si="67"/>
        <v>2023</v>
      </c>
      <c r="AR78" s="76">
        <f t="shared" si="67"/>
        <v>2024</v>
      </c>
      <c r="AS78" s="76">
        <f t="shared" si="67"/>
        <v>2024</v>
      </c>
      <c r="AT78" s="76">
        <f t="shared" si="67"/>
        <v>2024</v>
      </c>
      <c r="AU78" s="76">
        <f t="shared" si="67"/>
        <v>2024</v>
      </c>
      <c r="AV78" s="76">
        <f t="shared" si="67"/>
        <v>2025</v>
      </c>
      <c r="AW78" s="76">
        <f t="shared" si="67"/>
        <v>2025</v>
      </c>
      <c r="AX78" s="76">
        <f t="shared" si="67"/>
        <v>2025</v>
      </c>
      <c r="AY78" s="76">
        <f t="shared" si="67"/>
        <v>2025</v>
      </c>
      <c r="AZ78" s="76">
        <f t="shared" si="67"/>
        <v>2026</v>
      </c>
      <c r="BA78" s="76">
        <f t="shared" si="67"/>
        <v>2026</v>
      </c>
      <c r="BB78" s="76">
        <f t="shared" si="67"/>
        <v>2026</v>
      </c>
      <c r="BC78" s="76">
        <f t="shared" si="67"/>
        <v>2026</v>
      </c>
      <c r="BD78" s="76">
        <f t="shared" si="67"/>
        <v>2027</v>
      </c>
      <c r="BE78" s="76">
        <f t="shared" si="67"/>
        <v>2027</v>
      </c>
      <c r="BF78" s="76">
        <f t="shared" si="67"/>
        <v>2027</v>
      </c>
      <c r="BG78" s="76">
        <f t="shared" si="67"/>
        <v>2027</v>
      </c>
      <c r="BI78" s="76">
        <f t="shared" ref="BI78:BQ78" si="68">YEAR(BI79)</f>
        <v>2019</v>
      </c>
      <c r="BJ78" s="76">
        <f t="shared" si="68"/>
        <v>2020</v>
      </c>
      <c r="BK78" s="76">
        <f t="shared" si="68"/>
        <v>2021</v>
      </c>
      <c r="BL78" s="76">
        <f t="shared" si="68"/>
        <v>2022</v>
      </c>
      <c r="BM78" s="76">
        <f t="shared" si="68"/>
        <v>2023</v>
      </c>
      <c r="BN78" s="76">
        <f t="shared" si="68"/>
        <v>2024</v>
      </c>
      <c r="BO78" s="76">
        <f t="shared" si="68"/>
        <v>2025</v>
      </c>
      <c r="BP78" s="76">
        <f t="shared" si="68"/>
        <v>2026</v>
      </c>
      <c r="BQ78" s="76">
        <f t="shared" si="68"/>
        <v>2027</v>
      </c>
    </row>
    <row r="79" spans="1:69" s="2" customFormat="1">
      <c r="B79" s="4"/>
      <c r="C79" s="52">
        <f t="shared" ref="C79:R79" si="69">C$4</f>
        <v>43555</v>
      </c>
      <c r="D79" s="52">
        <f t="shared" si="69"/>
        <v>43646</v>
      </c>
      <c r="E79" s="52">
        <f t="shared" si="69"/>
        <v>43738</v>
      </c>
      <c r="F79" s="52">
        <f t="shared" si="69"/>
        <v>43830</v>
      </c>
      <c r="G79" s="52">
        <f t="shared" si="69"/>
        <v>43921</v>
      </c>
      <c r="H79" s="52">
        <f t="shared" si="69"/>
        <v>44012</v>
      </c>
      <c r="I79" s="52">
        <f t="shared" si="69"/>
        <v>44104</v>
      </c>
      <c r="J79" s="52">
        <f t="shared" si="69"/>
        <v>44196</v>
      </c>
      <c r="K79" s="52">
        <f t="shared" si="69"/>
        <v>44286</v>
      </c>
      <c r="L79" s="52">
        <f t="shared" si="69"/>
        <v>44377</v>
      </c>
      <c r="M79" s="52">
        <f t="shared" si="69"/>
        <v>44469</v>
      </c>
      <c r="N79" s="52">
        <f t="shared" si="69"/>
        <v>44561</v>
      </c>
      <c r="O79" s="52">
        <f t="shared" si="69"/>
        <v>44651</v>
      </c>
      <c r="P79" s="52">
        <f t="shared" si="69"/>
        <v>44742</v>
      </c>
      <c r="Q79" s="52">
        <f t="shared" si="69"/>
        <v>44834</v>
      </c>
      <c r="R79" s="52">
        <f t="shared" si="69"/>
        <v>44926</v>
      </c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6"/>
      <c r="AN79" s="72">
        <f t="shared" ref="AN79:BG79" si="70">AN$4</f>
        <v>45016</v>
      </c>
      <c r="AO79" s="52">
        <f t="shared" si="70"/>
        <v>45107</v>
      </c>
      <c r="AP79" s="52">
        <f t="shared" si="70"/>
        <v>45199</v>
      </c>
      <c r="AQ79" s="52">
        <f t="shared" si="70"/>
        <v>45291</v>
      </c>
      <c r="AR79" s="52">
        <f t="shared" si="70"/>
        <v>45382</v>
      </c>
      <c r="AS79" s="52">
        <f t="shared" si="70"/>
        <v>45473</v>
      </c>
      <c r="AT79" s="52">
        <f t="shared" si="70"/>
        <v>45565</v>
      </c>
      <c r="AU79" s="52">
        <f t="shared" si="70"/>
        <v>45657</v>
      </c>
      <c r="AV79" s="52">
        <f t="shared" si="70"/>
        <v>45747</v>
      </c>
      <c r="AW79" s="52">
        <f t="shared" si="70"/>
        <v>45838</v>
      </c>
      <c r="AX79" s="52">
        <f t="shared" si="70"/>
        <v>45930</v>
      </c>
      <c r="AY79" s="52">
        <f t="shared" si="70"/>
        <v>46022</v>
      </c>
      <c r="AZ79" s="52">
        <f t="shared" si="70"/>
        <v>46112</v>
      </c>
      <c r="BA79" s="52">
        <f t="shared" si="70"/>
        <v>46203</v>
      </c>
      <c r="BB79" s="52">
        <f t="shared" si="70"/>
        <v>46295</v>
      </c>
      <c r="BC79" s="52">
        <f t="shared" si="70"/>
        <v>46387</v>
      </c>
      <c r="BD79" s="52">
        <f t="shared" si="70"/>
        <v>46477</v>
      </c>
      <c r="BE79" s="52">
        <f t="shared" si="70"/>
        <v>46568</v>
      </c>
      <c r="BF79" s="52">
        <f t="shared" si="70"/>
        <v>46660</v>
      </c>
      <c r="BG79" s="52">
        <f t="shared" si="70"/>
        <v>46752</v>
      </c>
      <c r="BI79" s="52">
        <f t="shared" ref="BI79:BQ79" si="71">BI$4</f>
        <v>43830</v>
      </c>
      <c r="BJ79" s="52">
        <f t="shared" si="71"/>
        <v>44196</v>
      </c>
      <c r="BK79" s="52">
        <f t="shared" si="71"/>
        <v>44561</v>
      </c>
      <c r="BL79" s="52">
        <f t="shared" si="71"/>
        <v>44926</v>
      </c>
      <c r="BM79" s="52">
        <f t="shared" si="71"/>
        <v>45291</v>
      </c>
      <c r="BN79" s="52">
        <f t="shared" si="71"/>
        <v>45657</v>
      </c>
      <c r="BO79" s="52">
        <f t="shared" si="71"/>
        <v>46022</v>
      </c>
      <c r="BP79" s="52">
        <f t="shared" si="71"/>
        <v>46387</v>
      </c>
      <c r="BQ79" s="52">
        <f t="shared" si="71"/>
        <v>46752</v>
      </c>
    </row>
    <row r="80" spans="1:69">
      <c r="B80" s="2" t="s">
        <v>38</v>
      </c>
      <c r="C80" s="35">
        <v>-4401</v>
      </c>
      <c r="D80" s="35">
        <v>-3740</v>
      </c>
      <c r="E80" s="35">
        <v>-3309</v>
      </c>
      <c r="F80" s="35">
        <v>-1342</v>
      </c>
      <c r="G80" s="35">
        <v>-560</v>
      </c>
      <c r="H80" s="35">
        <v>-489</v>
      </c>
      <c r="I80" s="35">
        <v>-823</v>
      </c>
      <c r="J80" s="35">
        <v>-256</v>
      </c>
      <c r="K80" s="35">
        <v>1453</v>
      </c>
      <c r="L80" s="35">
        <v>1189</v>
      </c>
      <c r="M80" s="35">
        <v>2122</v>
      </c>
      <c r="N80" s="35">
        <v>3200</v>
      </c>
      <c r="O80" s="35">
        <v>2432</v>
      </c>
      <c r="P80" s="35">
        <v>5490</v>
      </c>
      <c r="Q80" s="35">
        <v>3743</v>
      </c>
      <c r="R80" s="35">
        <v>3532</v>
      </c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8"/>
      <c r="AN80" s="4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I80" s="85"/>
      <c r="BJ80" s="85"/>
      <c r="BK80" s="85"/>
      <c r="BL80" s="85"/>
      <c r="BM80" s="13" t="e">
        <f>+#REF!+#REF!</f>
        <v>#REF!</v>
      </c>
      <c r="BN80" s="13" t="e">
        <f>+#REF!+#REF!</f>
        <v>#REF!</v>
      </c>
      <c r="BO80" s="13" t="e">
        <f>+#REF!+#REF!</f>
        <v>#REF!</v>
      </c>
      <c r="BP80" s="13" t="e">
        <f>+#REF!+#REF!</f>
        <v>#REF!</v>
      </c>
      <c r="BQ80" s="13" t="e">
        <f>+#REF!+#REF!</f>
        <v>#REF!</v>
      </c>
    </row>
    <row r="81" spans="2:69">
      <c r="B81" s="6" t="s">
        <v>39</v>
      </c>
      <c r="C81" s="1"/>
      <c r="D81" s="1"/>
      <c r="E81" s="1"/>
      <c r="F81" s="1"/>
      <c r="G81" s="1"/>
      <c r="H81" s="1"/>
      <c r="I81" s="1"/>
      <c r="J81" s="1"/>
      <c r="K81" s="1"/>
      <c r="L81" s="1"/>
      <c r="AN81" s="106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I81" s="91"/>
      <c r="BJ81" s="91"/>
      <c r="BK81" s="91"/>
      <c r="BL81" s="91"/>
      <c r="BM81" s="90" t="e">
        <f>+BM80/BM8</f>
        <v>#REF!</v>
      </c>
      <c r="BN81" s="90" t="e">
        <f>+BN80/BN8</f>
        <v>#REF!</v>
      </c>
      <c r="BO81" s="90" t="e">
        <f>+BO80/BO8</f>
        <v>#REF!</v>
      </c>
      <c r="BP81" s="90" t="e">
        <f>+BP80/BP8</f>
        <v>#REF!</v>
      </c>
      <c r="BQ81" s="90" t="e">
        <f>+BQ80/BQ8</f>
        <v>#REF!</v>
      </c>
    </row>
    <row r="83" spans="2:69">
      <c r="B83" s="10" t="s">
        <v>80</v>
      </c>
      <c r="C83" s="2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61"/>
    </row>
    <row r="84" spans="2:69">
      <c r="B84" s="2" t="s">
        <v>36</v>
      </c>
      <c r="C84" s="29"/>
      <c r="R84" s="129">
        <v>1.7999999999999999E-2</v>
      </c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18"/>
      <c r="AN84" s="116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I84" s="93"/>
      <c r="BJ84" s="93"/>
      <c r="BK84" s="93"/>
      <c r="BL84" s="93"/>
      <c r="BM84" s="92" t="e">
        <f>+#REF!/#REF!</f>
        <v>#REF!</v>
      </c>
      <c r="BN84" s="92" t="e">
        <f>+#REF!/#REF!</f>
        <v>#REF!</v>
      </c>
      <c r="BO84" s="92" t="e">
        <f>+#REF!/#REF!</f>
        <v>#REF!</v>
      </c>
      <c r="BP84" s="92" t="e">
        <f>+#REF!/#REF!</f>
        <v>#REF!</v>
      </c>
      <c r="BQ84" s="92" t="e">
        <f>+#REF!/#REF!</f>
        <v>#REF!</v>
      </c>
    </row>
    <row r="85" spans="2:69">
      <c r="B85" s="2" t="s">
        <v>35</v>
      </c>
      <c r="C85" s="29"/>
      <c r="R85" s="129">
        <v>-0.02</v>
      </c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18"/>
      <c r="AN85" s="116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I85" s="93"/>
      <c r="BJ85" s="93"/>
      <c r="BK85" s="93"/>
      <c r="BL85" s="93"/>
      <c r="BM85" s="92" t="e">
        <f>+#REF!/#REF!</f>
        <v>#REF!</v>
      </c>
      <c r="BN85" s="92" t="e">
        <f>+#REF!/#REF!</f>
        <v>#REF!</v>
      </c>
      <c r="BO85" s="92" t="e">
        <f>+#REF!/#REF!</f>
        <v>#REF!</v>
      </c>
      <c r="BP85" s="92" t="e">
        <f>+#REF!/#REF!</f>
        <v>#REF!</v>
      </c>
      <c r="BQ85" s="92" t="e">
        <f>+#REF!/#REF!</f>
        <v>#REF!</v>
      </c>
    </row>
    <row r="98" spans="2:12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2:12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2:12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2:12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2:1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2:12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2:12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2:12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2:12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2:12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2:12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2:12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2:12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2:12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</sheetData>
  <pageMargins left="0.7" right="0.7" top="0.75" bottom="0.75" header="0.3" footer="0.3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099B-9384-46E7-AECF-06154E612054}">
  <dimension ref="A1:AL36"/>
  <sheetViews>
    <sheetView showGridLines="0" zoomScale="120" zoomScaleNormal="120" zoomScaleSheetLayoutView="13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4.59765625" style="1" customWidth="1"/>
    <col min="2" max="2" width="28.796875" style="2" customWidth="1"/>
    <col min="3" max="12" width="7.796875" style="2" customWidth="1"/>
    <col min="13" max="17" width="7.796875" style="1" customWidth="1"/>
    <col min="18" max="18" width="7.796875" style="46" customWidth="1"/>
    <col min="19" max="19" width="7.796875" style="47" customWidth="1"/>
    <col min="20" max="38" width="7.796875" style="1" customWidth="1"/>
    <col min="39" max="16384" width="9.1328125" style="1"/>
  </cols>
  <sheetData>
    <row r="1" spans="1:38" s="2" customFormat="1">
      <c r="B1" s="7"/>
      <c r="R1" s="36"/>
      <c r="S1" s="37"/>
    </row>
    <row r="2" spans="1:38" s="2" customFormat="1">
      <c r="B2" s="3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38"/>
      <c r="S2" s="39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spans="1:38" s="2" customFormat="1">
      <c r="B3" s="4"/>
      <c r="C3" s="141">
        <v>43555</v>
      </c>
      <c r="D3" s="12">
        <f>EOMONTH(C3, 3)</f>
        <v>43646</v>
      </c>
      <c r="E3" s="12">
        <f t="shared" ref="E3:AL3" si="0">EOMONTH(D3, 3)</f>
        <v>43738</v>
      </c>
      <c r="F3" s="12">
        <f t="shared" si="0"/>
        <v>43830</v>
      </c>
      <c r="G3" s="12">
        <f t="shared" si="0"/>
        <v>43921</v>
      </c>
      <c r="H3" s="12">
        <f t="shared" si="0"/>
        <v>44012</v>
      </c>
      <c r="I3" s="12">
        <f t="shared" si="0"/>
        <v>44104</v>
      </c>
      <c r="J3" s="12">
        <f t="shared" si="0"/>
        <v>44196</v>
      </c>
      <c r="K3" s="12">
        <f t="shared" si="0"/>
        <v>44286</v>
      </c>
      <c r="L3" s="12">
        <f t="shared" si="0"/>
        <v>44377</v>
      </c>
      <c r="M3" s="12">
        <f t="shared" si="0"/>
        <v>44469</v>
      </c>
      <c r="N3" s="12">
        <f t="shared" si="0"/>
        <v>44561</v>
      </c>
      <c r="O3" s="12">
        <f t="shared" si="0"/>
        <v>44651</v>
      </c>
      <c r="P3" s="12">
        <f t="shared" si="0"/>
        <v>44742</v>
      </c>
      <c r="Q3" s="12">
        <f t="shared" si="0"/>
        <v>44834</v>
      </c>
      <c r="R3" s="40">
        <f t="shared" si="0"/>
        <v>44926</v>
      </c>
      <c r="S3" s="70">
        <f t="shared" si="0"/>
        <v>45016</v>
      </c>
      <c r="T3" s="12">
        <f t="shared" si="0"/>
        <v>45107</v>
      </c>
      <c r="U3" s="12">
        <f t="shared" si="0"/>
        <v>45199</v>
      </c>
      <c r="V3" s="12">
        <f t="shared" si="0"/>
        <v>45291</v>
      </c>
      <c r="W3" s="12">
        <f t="shared" si="0"/>
        <v>45382</v>
      </c>
      <c r="X3" s="12">
        <f t="shared" si="0"/>
        <v>45473</v>
      </c>
      <c r="Y3" s="12">
        <f t="shared" si="0"/>
        <v>45565</v>
      </c>
      <c r="Z3" s="12">
        <f t="shared" si="0"/>
        <v>45657</v>
      </c>
      <c r="AA3" s="12">
        <f t="shared" si="0"/>
        <v>45747</v>
      </c>
      <c r="AB3" s="12">
        <f t="shared" si="0"/>
        <v>45838</v>
      </c>
      <c r="AC3" s="12">
        <f t="shared" si="0"/>
        <v>45930</v>
      </c>
      <c r="AD3" s="12">
        <f t="shared" si="0"/>
        <v>46022</v>
      </c>
      <c r="AE3" s="12">
        <f t="shared" si="0"/>
        <v>46112</v>
      </c>
      <c r="AF3" s="12">
        <f t="shared" si="0"/>
        <v>46203</v>
      </c>
      <c r="AG3" s="12">
        <f t="shared" si="0"/>
        <v>46295</v>
      </c>
      <c r="AH3" s="12">
        <f t="shared" si="0"/>
        <v>46387</v>
      </c>
      <c r="AI3" s="12">
        <f t="shared" si="0"/>
        <v>46477</v>
      </c>
      <c r="AJ3" s="12">
        <f t="shared" si="0"/>
        <v>46568</v>
      </c>
      <c r="AK3" s="12">
        <f t="shared" si="0"/>
        <v>46660</v>
      </c>
      <c r="AL3" s="12">
        <f t="shared" si="0"/>
        <v>46752</v>
      </c>
    </row>
    <row r="4" spans="1:38">
      <c r="B4" s="99" t="s">
        <v>50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21"/>
      <c r="S4" s="122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</row>
    <row r="5" spans="1:38">
      <c r="A5" s="98"/>
      <c r="B5" s="27" t="s">
        <v>71</v>
      </c>
      <c r="C5" s="119">
        <v>38.036003718253966</v>
      </c>
      <c r="D5" s="119">
        <v>44.778416544868769</v>
      </c>
      <c r="E5" s="119">
        <v>49.373083516263563</v>
      </c>
      <c r="F5" s="119">
        <v>55.168298475108124</v>
      </c>
      <c r="G5" s="119">
        <v>61.994571921343386</v>
      </c>
      <c r="H5" s="119">
        <v>69.749008320321735</v>
      </c>
      <c r="I5" s="119">
        <v>76.855852948049801</v>
      </c>
      <c r="J5" s="119">
        <v>78.802206556455062</v>
      </c>
      <c r="K5" s="119">
        <v>87.421864397868916</v>
      </c>
      <c r="L5" s="119">
        <v>88.769197707432241</v>
      </c>
      <c r="M5" s="119">
        <v>99.311279535650186</v>
      </c>
      <c r="N5" s="119">
        <v>106.46932980523869</v>
      </c>
      <c r="O5" s="119">
        <v>113.55513895804199</v>
      </c>
      <c r="P5" s="119">
        <v>113.97608575249238</v>
      </c>
      <c r="Q5" s="119">
        <v>125.13956707082301</v>
      </c>
      <c r="R5" s="121">
        <v>129.80566369636529</v>
      </c>
      <c r="S5" s="58">
        <v>126.73233715409788</v>
      </c>
      <c r="T5" s="57">
        <v>133.79637261789244</v>
      </c>
      <c r="U5" s="57">
        <v>141.2056241880409</v>
      </c>
      <c r="V5" s="57">
        <v>148.97739263454201</v>
      </c>
      <c r="W5" s="57">
        <v>157.12984141882086</v>
      </c>
      <c r="X5" s="57">
        <v>165.68203975415335</v>
      </c>
      <c r="Y5" s="57">
        <v>174.65400781498536</v>
      </c>
      <c r="Z5" s="57">
        <v>184.06676420239108</v>
      </c>
      <c r="AA5" s="57">
        <v>193.94237577826394</v>
      </c>
      <c r="AB5" s="57">
        <v>204.30400998645538</v>
      </c>
      <c r="AC5" s="57">
        <v>215.17598978497585</v>
      </c>
      <c r="AD5" s="57">
        <v>226.58385131956419</v>
      </c>
      <c r="AE5" s="57">
        <v>238.55440447543774</v>
      </c>
      <c r="AF5" s="57">
        <v>251.11579645086124</v>
      </c>
      <c r="AG5" s="57">
        <v>264.2975785033417</v>
      </c>
      <c r="AH5" s="57">
        <v>278.13077602678203</v>
      </c>
      <c r="AI5" s="57">
        <v>292.6479621258286</v>
      </c>
      <c r="AJ5" s="57">
        <v>307.88333486194352</v>
      </c>
      <c r="AK5" s="57">
        <v>323.87279835444269</v>
      </c>
      <c r="AL5" s="57">
        <v>340.6540479288858</v>
      </c>
    </row>
    <row r="6" spans="1:38">
      <c r="A6" s="98"/>
      <c r="B6" s="27" t="s">
        <v>72</v>
      </c>
      <c r="C6" s="119">
        <v>20.114733771929821</v>
      </c>
      <c r="D6" s="119">
        <v>23.680351232491663</v>
      </c>
      <c r="E6" s="119">
        <v>26.779659036773914</v>
      </c>
      <c r="F6" s="119">
        <v>29.922948245995531</v>
      </c>
      <c r="G6" s="119">
        <v>33.625477283335215</v>
      </c>
      <c r="H6" s="119">
        <v>37.831436239060267</v>
      </c>
      <c r="I6" s="119">
        <v>41.686145372128578</v>
      </c>
      <c r="J6" s="119">
        <v>33.837286584172823</v>
      </c>
      <c r="K6" s="119">
        <v>31.12950936244961</v>
      </c>
      <c r="L6" s="119">
        <v>32.559687949148163</v>
      </c>
      <c r="M6" s="119">
        <v>33.569874893841934</v>
      </c>
      <c r="N6" s="119">
        <v>35.98948778330891</v>
      </c>
      <c r="O6" s="119">
        <v>38.384681238608813</v>
      </c>
      <c r="P6" s="119">
        <v>40.502714721736531</v>
      </c>
      <c r="Q6" s="119">
        <v>42.300528504710783</v>
      </c>
      <c r="R6" s="121">
        <v>43.877794256339754</v>
      </c>
      <c r="S6" s="58">
        <v>46.612319122750996</v>
      </c>
      <c r="T6" s="57">
        <v>48.981893868653025</v>
      </c>
      <c r="U6" s="57">
        <v>51.490150825200516</v>
      </c>
      <c r="V6" s="57">
        <v>54.124259002138139</v>
      </c>
      <c r="W6" s="57">
        <v>57.054445710213535</v>
      </c>
      <c r="X6" s="57">
        <v>60.256509401269156</v>
      </c>
      <c r="Y6" s="57">
        <v>63.707577512224383</v>
      </c>
      <c r="Z6" s="57">
        <v>67.386039851571383</v>
      </c>
      <c r="AA6" s="57">
        <v>71.271485246479699</v>
      </c>
      <c r="AB6" s="57">
        <v>75.344641291876414</v>
      </c>
      <c r="AC6" s="57">
        <v>79.58731705057572</v>
      </c>
      <c r="AD6" s="57">
        <v>83.982348560862391</v>
      </c>
      <c r="AE6" s="57">
        <v>88.513547014910287</v>
      </c>
      <c r="AF6" s="57">
        <v>93.165649478054007</v>
      </c>
      <c r="AG6" s="57">
        <v>97.924272025245855</v>
      </c>
      <c r="AH6" s="57">
        <v>102.77586517703968</v>
      </c>
      <c r="AI6" s="57">
        <v>107.707671523158</v>
      </c>
      <c r="AJ6" s="57">
        <v>112.70768542713874</v>
      </c>
      <c r="AK6" s="57">
        <v>117.76461471073195</v>
      </c>
      <c r="AL6" s="57">
        <v>122.86784422164033</v>
      </c>
    </row>
    <row r="7" spans="1:38">
      <c r="A7" s="98"/>
      <c r="B7" s="27" t="s">
        <v>4</v>
      </c>
      <c r="C7" s="119">
        <v>71.641791044776113</v>
      </c>
      <c r="D7" s="119">
        <v>69.750258607950343</v>
      </c>
      <c r="E7" s="119">
        <v>75.863209196640071</v>
      </c>
      <c r="F7" s="119">
        <v>76.922890828295394</v>
      </c>
      <c r="G7" s="119">
        <v>82.406453536537853</v>
      </c>
      <c r="H7" s="119">
        <v>91.784747094104915</v>
      </c>
      <c r="I7" s="119">
        <v>100.37481893313328</v>
      </c>
      <c r="J7" s="119">
        <v>109.81241010870137</v>
      </c>
      <c r="K7" s="119">
        <v>118.2262103331973</v>
      </c>
      <c r="L7" s="119">
        <v>121.95824425749623</v>
      </c>
      <c r="M7" s="119">
        <v>123.63247217075815</v>
      </c>
      <c r="N7" s="119">
        <v>120.40169339791412</v>
      </c>
      <c r="O7" s="119">
        <v>126</v>
      </c>
      <c r="P7" s="119">
        <v>130</v>
      </c>
      <c r="Q7" s="119">
        <v>136</v>
      </c>
      <c r="R7" s="121">
        <v>140</v>
      </c>
      <c r="S7" s="58">
        <v>146</v>
      </c>
      <c r="T7" s="57">
        <v>156</v>
      </c>
      <c r="U7" s="57">
        <v>166</v>
      </c>
      <c r="V7" s="57">
        <v>176</v>
      </c>
      <c r="W7" s="57">
        <v>192</v>
      </c>
      <c r="X7" s="57">
        <v>208</v>
      </c>
      <c r="Y7" s="57">
        <v>224</v>
      </c>
      <c r="Z7" s="57">
        <v>240</v>
      </c>
      <c r="AA7" s="57">
        <v>256</v>
      </c>
      <c r="AB7" s="57">
        <v>272</v>
      </c>
      <c r="AC7" s="57">
        <v>288</v>
      </c>
      <c r="AD7" s="57">
        <v>304</v>
      </c>
      <c r="AE7" s="57">
        <v>320</v>
      </c>
      <c r="AF7" s="57">
        <v>336</v>
      </c>
      <c r="AG7" s="57">
        <v>352</v>
      </c>
      <c r="AH7" s="57">
        <v>368</v>
      </c>
      <c r="AI7" s="57">
        <v>384</v>
      </c>
      <c r="AJ7" s="57">
        <v>400</v>
      </c>
      <c r="AK7" s="57">
        <v>416</v>
      </c>
      <c r="AL7" s="57">
        <v>432</v>
      </c>
    </row>
    <row r="8" spans="1:38">
      <c r="A8" s="98"/>
      <c r="B8" s="27" t="s">
        <v>15</v>
      </c>
      <c r="C8" s="119">
        <v>118.53154259668034</v>
      </c>
      <c r="D8" s="119">
        <v>130.34228211958285</v>
      </c>
      <c r="E8" s="119">
        <v>130.06024323093524</v>
      </c>
      <c r="F8" s="119">
        <v>135.63778115828666</v>
      </c>
      <c r="G8" s="119">
        <v>141.53376816555186</v>
      </c>
      <c r="H8" s="119">
        <v>146.98815372581504</v>
      </c>
      <c r="I8" s="119">
        <v>148.46794026056529</v>
      </c>
      <c r="J8" s="119">
        <v>151.92031952523141</v>
      </c>
      <c r="K8" s="119">
        <v>151.77896230833522</v>
      </c>
      <c r="L8" s="119">
        <v>152.41638163294118</v>
      </c>
      <c r="M8" s="119">
        <v>144.92280089416946</v>
      </c>
      <c r="N8" s="119">
        <v>147.5999692985859</v>
      </c>
      <c r="O8" s="119">
        <v>144.99498709349731</v>
      </c>
      <c r="P8" s="119">
        <v>139.88176911242095</v>
      </c>
      <c r="Q8" s="119">
        <v>127.8294233360881</v>
      </c>
      <c r="R8" s="121">
        <v>127.86025211702531</v>
      </c>
      <c r="S8" s="58">
        <v>124.83298585342499</v>
      </c>
      <c r="T8" s="57">
        <v>126.90999807829323</v>
      </c>
      <c r="U8" s="57">
        <v>128.78644459511239</v>
      </c>
      <c r="V8" s="57">
        <v>130.43969090796722</v>
      </c>
      <c r="W8" s="57">
        <v>137.57770615148146</v>
      </c>
      <c r="X8" s="57">
        <v>139.02132354448926</v>
      </c>
      <c r="Y8" s="57">
        <v>140.17784752203846</v>
      </c>
      <c r="Z8" s="57">
        <v>141.01743881302741</v>
      </c>
      <c r="AA8" s="57">
        <v>141.50795579955229</v>
      </c>
      <c r="AB8" s="57">
        <v>141.61479957064148</v>
      </c>
      <c r="AC8" s="57">
        <v>141.30074923794388</v>
      </c>
      <c r="AD8" s="57">
        <v>140.52578692738953</v>
      </c>
      <c r="AE8" s="57">
        <v>147.94984381577217</v>
      </c>
      <c r="AF8" s="57">
        <v>146.57913880714833</v>
      </c>
      <c r="AG8" s="57">
        <v>154.27349451278073</v>
      </c>
      <c r="AH8" s="57">
        <v>162.34808881785003</v>
      </c>
      <c r="AI8" s="57">
        <v>160.14556407470306</v>
      </c>
      <c r="AJ8" s="57">
        <v>168.48280771374948</v>
      </c>
      <c r="AK8" s="57">
        <v>177.23271197297399</v>
      </c>
      <c r="AL8" s="57">
        <v>186.41590484216624</v>
      </c>
    </row>
    <row r="9" spans="1:38">
      <c r="A9" s="98"/>
      <c r="B9" s="27" t="s">
        <v>16</v>
      </c>
      <c r="C9" s="119">
        <v>41.682203099113494</v>
      </c>
      <c r="D9" s="119">
        <v>32.427115206534644</v>
      </c>
      <c r="E9" s="119">
        <v>28.678765337025773</v>
      </c>
      <c r="F9" s="119">
        <v>55.379538270983986</v>
      </c>
      <c r="G9" s="119">
        <v>52.244105807981647</v>
      </c>
      <c r="H9" s="119">
        <v>51.865276897856361</v>
      </c>
      <c r="I9" s="119">
        <v>56.456380400381207</v>
      </c>
      <c r="J9" s="119">
        <v>71.285688392608577</v>
      </c>
      <c r="K9" s="119">
        <v>63.521778116448971</v>
      </c>
      <c r="L9" s="119">
        <v>109.59253257124136</v>
      </c>
      <c r="M9" s="119">
        <v>97.631905656154856</v>
      </c>
      <c r="N9" s="119">
        <v>85.306573635898957</v>
      </c>
      <c r="O9" s="119">
        <v>84.281764646133368</v>
      </c>
      <c r="P9" s="119">
        <v>72.155788790347259</v>
      </c>
      <c r="Q9" s="119">
        <v>67.395244108184755</v>
      </c>
      <c r="R9" s="121">
        <v>59.095879437470899</v>
      </c>
      <c r="S9" s="58">
        <v>55.052271450144531</v>
      </c>
      <c r="T9" s="57">
        <v>58.120874196840518</v>
      </c>
      <c r="U9" s="57">
        <v>61.33943812331691</v>
      </c>
      <c r="V9" s="57">
        <v>64.715478649139499</v>
      </c>
      <c r="W9" s="57">
        <v>68.25688594528836</v>
      </c>
      <c r="X9" s="57">
        <v>71.971943639519282</v>
      </c>
      <c r="Y9" s="57">
        <v>75.869348455200793</v>
      </c>
      <c r="Z9" s="57">
        <v>74.96084140332502</v>
      </c>
      <c r="AA9" s="57">
        <v>78.982665529520119</v>
      </c>
      <c r="AB9" s="57">
        <v>83.202421453003765</v>
      </c>
      <c r="AC9" s="57">
        <v>87.630014652398216</v>
      </c>
      <c r="AD9" s="57">
        <v>92.275844674732369</v>
      </c>
      <c r="AE9" s="57">
        <v>77.720663836021885</v>
      </c>
      <c r="AF9" s="57">
        <v>81.813146325209871</v>
      </c>
      <c r="AG9" s="57">
        <v>86.107750962308586</v>
      </c>
      <c r="AH9" s="57">
        <v>90.614585773683032</v>
      </c>
      <c r="AI9" s="57">
        <v>79.453552522929385</v>
      </c>
      <c r="AJ9" s="57">
        <v>83.58993700038161</v>
      </c>
      <c r="AK9" s="57">
        <v>87.931056166858184</v>
      </c>
      <c r="AL9" s="57">
        <v>92.487144255693437</v>
      </c>
    </row>
    <row r="10" spans="1:38">
      <c r="B10" s="54" t="s">
        <v>52</v>
      </c>
      <c r="C10" s="100">
        <f t="shared" ref="C10:AL10" si="1">SUM(C5:C9)</f>
        <v>290.00627423075372</v>
      </c>
      <c r="D10" s="100">
        <f t="shared" si="1"/>
        <v>300.97842371142832</v>
      </c>
      <c r="E10" s="100">
        <f t="shared" si="1"/>
        <v>310.75496031763856</v>
      </c>
      <c r="F10" s="100">
        <f t="shared" si="1"/>
        <v>353.03145697866967</v>
      </c>
      <c r="G10" s="100">
        <f t="shared" si="1"/>
        <v>371.80437671474999</v>
      </c>
      <c r="H10" s="100">
        <f t="shared" si="1"/>
        <v>398.21862227715832</v>
      </c>
      <c r="I10" s="100">
        <f t="shared" si="1"/>
        <v>423.84113791425813</v>
      </c>
      <c r="J10" s="100">
        <f t="shared" si="1"/>
        <v>445.65791116716923</v>
      </c>
      <c r="K10" s="100">
        <f t="shared" si="1"/>
        <v>452.07832451830001</v>
      </c>
      <c r="L10" s="100">
        <f t="shared" si="1"/>
        <v>505.29604411825915</v>
      </c>
      <c r="M10" s="100">
        <f t="shared" si="1"/>
        <v>499.06833315057457</v>
      </c>
      <c r="N10" s="100">
        <f t="shared" si="1"/>
        <v>495.76705392094652</v>
      </c>
      <c r="O10" s="100">
        <f t="shared" si="1"/>
        <v>507.21657193628147</v>
      </c>
      <c r="P10" s="100">
        <f t="shared" si="1"/>
        <v>496.51635837699712</v>
      </c>
      <c r="Q10" s="100">
        <f t="shared" si="1"/>
        <v>498.66476301980663</v>
      </c>
      <c r="R10" s="123">
        <f t="shared" si="1"/>
        <v>500.63958950720126</v>
      </c>
      <c r="S10" s="124">
        <f t="shared" si="1"/>
        <v>499.22991358041838</v>
      </c>
      <c r="T10" s="100">
        <f t="shared" si="1"/>
        <v>523.80913876167926</v>
      </c>
      <c r="U10" s="100">
        <f t="shared" si="1"/>
        <v>548.82165773167071</v>
      </c>
      <c r="V10" s="100">
        <f t="shared" si="1"/>
        <v>574.25682119378689</v>
      </c>
      <c r="W10" s="100">
        <f t="shared" si="1"/>
        <v>612.0188792258042</v>
      </c>
      <c r="X10" s="100">
        <f t="shared" si="1"/>
        <v>644.93181633943107</v>
      </c>
      <c r="Y10" s="100">
        <f t="shared" si="1"/>
        <v>678.40878130444901</v>
      </c>
      <c r="Z10" s="100">
        <f t="shared" si="1"/>
        <v>707.43108427031495</v>
      </c>
      <c r="AA10" s="100">
        <f t="shared" si="1"/>
        <v>741.70448235381605</v>
      </c>
      <c r="AB10" s="100">
        <f t="shared" si="1"/>
        <v>776.46587230197702</v>
      </c>
      <c r="AC10" s="100">
        <f t="shared" si="1"/>
        <v>811.69407072589377</v>
      </c>
      <c r="AD10" s="100">
        <f t="shared" si="1"/>
        <v>847.36783148254847</v>
      </c>
      <c r="AE10" s="100">
        <f t="shared" si="1"/>
        <v>872.73845914214212</v>
      </c>
      <c r="AF10" s="100">
        <f t="shared" si="1"/>
        <v>908.67373106127343</v>
      </c>
      <c r="AG10" s="100">
        <f t="shared" si="1"/>
        <v>954.60309600367691</v>
      </c>
      <c r="AH10" s="100">
        <f t="shared" si="1"/>
        <v>1001.8693157953547</v>
      </c>
      <c r="AI10" s="100">
        <f t="shared" si="1"/>
        <v>1023.9547502466191</v>
      </c>
      <c r="AJ10" s="100">
        <f t="shared" si="1"/>
        <v>1072.6637650032135</v>
      </c>
      <c r="AK10" s="100">
        <f t="shared" si="1"/>
        <v>1122.8011812050067</v>
      </c>
      <c r="AL10" s="100">
        <f t="shared" si="1"/>
        <v>1174.4249412483857</v>
      </c>
    </row>
    <row r="11" spans="1:38">
      <c r="B11" s="26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108"/>
      <c r="S11" s="125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</row>
    <row r="12" spans="1:38">
      <c r="B12" s="99" t="s">
        <v>54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108"/>
      <c r="S12" s="125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</row>
    <row r="13" spans="1:38">
      <c r="B13" s="27" t="s">
        <v>71</v>
      </c>
      <c r="C13" s="28">
        <v>722.68407064682538</v>
      </c>
      <c r="D13" s="28">
        <v>859.29781349603172</v>
      </c>
      <c r="E13" s="28">
        <v>956.94416740386885</v>
      </c>
      <c r="F13" s="28">
        <v>1079.9591086568453</v>
      </c>
      <c r="G13" s="28">
        <v>1225.7242026520837</v>
      </c>
      <c r="H13" s="28">
        <v>1392.8312658541668</v>
      </c>
      <c r="I13" s="28">
        <v>1550.0966953236609</v>
      </c>
      <c r="J13" s="28">
        <v>1605.2459979910718</v>
      </c>
      <c r="K13" s="28">
        <v>1798.6416895530808</v>
      </c>
      <c r="L13" s="28">
        <v>1844.6257198118749</v>
      </c>
      <c r="M13" s="28">
        <v>2084.3272968815472</v>
      </c>
      <c r="N13" s="28">
        <v>2256.9047619331245</v>
      </c>
      <c r="O13" s="28">
        <v>2431.1786846826781</v>
      </c>
      <c r="P13" s="28">
        <v>2464.5929291749994</v>
      </c>
      <c r="Q13" s="28">
        <v>2733.0494026689885</v>
      </c>
      <c r="R13" s="111">
        <v>2863.3065698708929</v>
      </c>
      <c r="S13" s="45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</row>
    <row r="14" spans="1:38">
      <c r="B14" s="27" t="s">
        <v>72</v>
      </c>
      <c r="C14" s="28">
        <v>382.17994166666659</v>
      </c>
      <c r="D14" s="28">
        <v>454.42594015151502</v>
      </c>
      <c r="E14" s="28">
        <v>519.04067348484841</v>
      </c>
      <c r="F14" s="28">
        <v>585.76322651515147</v>
      </c>
      <c r="G14" s="28">
        <v>664.82532348484824</v>
      </c>
      <c r="H14" s="28">
        <v>755.4631742424242</v>
      </c>
      <c r="I14" s="28">
        <v>840.76298295454524</v>
      </c>
      <c r="J14" s="28">
        <v>689.28487215909092</v>
      </c>
      <c r="K14" s="28">
        <v>640.46716116477262</v>
      </c>
      <c r="L14" s="28">
        <v>676.59097267045445</v>
      </c>
      <c r="M14" s="28">
        <v>704.5585045454543</v>
      </c>
      <c r="N14" s="28">
        <v>762.89431431818139</v>
      </c>
      <c r="O14" s="28">
        <v>821.80357227272714</v>
      </c>
      <c r="P14" s="28">
        <v>875.82148181818161</v>
      </c>
      <c r="Q14" s="28">
        <v>923.84396772727303</v>
      </c>
      <c r="R14" s="111">
        <v>967.8743822727273</v>
      </c>
      <c r="S14" s="45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</row>
    <row r="15" spans="1:38">
      <c r="B15" s="27" t="s">
        <v>4</v>
      </c>
      <c r="C15" s="28">
        <v>2220.8955223880594</v>
      </c>
      <c r="D15" s="28">
        <v>2183.8805970149251</v>
      </c>
      <c r="E15" s="28">
        <v>2399.0298507462685</v>
      </c>
      <c r="F15" s="28">
        <v>2456.8656716417909</v>
      </c>
      <c r="G15" s="28">
        <v>2658.3270659999989</v>
      </c>
      <c r="H15" s="28">
        <v>2990.467440895522</v>
      </c>
      <c r="I15" s="28">
        <v>3303.0466802238802</v>
      </c>
      <c r="J15" s="28">
        <v>3649.7467763059699</v>
      </c>
      <c r="K15" s="28">
        <v>3968.6833838492544</v>
      </c>
      <c r="L15" s="28">
        <v>4134.9020044328354</v>
      </c>
      <c r="M15" s="28">
        <v>4233.5820895522384</v>
      </c>
      <c r="N15" s="28">
        <v>4164.179104477611</v>
      </c>
      <c r="O15" s="28">
        <v>4401.378567695474</v>
      </c>
      <c r="P15" s="28">
        <v>4586.5159201461565</v>
      </c>
      <c r="Q15" s="28">
        <v>4846.1832830098165</v>
      </c>
      <c r="R15" s="111">
        <v>5038.6052663057944</v>
      </c>
      <c r="S15" s="45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</row>
    <row r="16" spans="1:38">
      <c r="B16" s="27" t="s">
        <v>15</v>
      </c>
      <c r="C16" s="28">
        <v>4425.1775902760655</v>
      </c>
      <c r="D16" s="28">
        <v>4914.7729844557371</v>
      </c>
      <c r="E16" s="28">
        <v>4953.17962047541</v>
      </c>
      <c r="F16" s="28">
        <v>5217.2490184327853</v>
      </c>
      <c r="G16" s="28">
        <v>5498.4759835967216</v>
      </c>
      <c r="H16" s="28">
        <v>5767.4783342950805</v>
      </c>
      <c r="I16" s="28">
        <v>5883.7971847131139</v>
      </c>
      <c r="J16" s="28">
        <v>6080.8214232786886</v>
      </c>
      <c r="K16" s="28">
        <v>6135.9150387304908</v>
      </c>
      <c r="L16" s="28">
        <v>6223.3006045573775</v>
      </c>
      <c r="M16" s="28">
        <v>5976.5041408524585</v>
      </c>
      <c r="N16" s="28">
        <v>6147.7775787009805</v>
      </c>
      <c r="O16" s="28">
        <v>6099.6686128229476</v>
      </c>
      <c r="P16" s="28">
        <v>5943.4107219934403</v>
      </c>
      <c r="Q16" s="28">
        <v>5485.6340305337699</v>
      </c>
      <c r="R16" s="111">
        <v>5541.8265777895085</v>
      </c>
      <c r="S16" s="45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</row>
    <row r="17" spans="2:38">
      <c r="B17" s="27" t="s">
        <v>16</v>
      </c>
      <c r="C17" s="28">
        <v>1597.8177854660171</v>
      </c>
      <c r="D17" s="28">
        <v>1255.4698104129998</v>
      </c>
      <c r="E17" s="28">
        <v>1121.4496599448332</v>
      </c>
      <c r="F17" s="28">
        <v>2187.207756971768</v>
      </c>
      <c r="G17" s="28">
        <v>2084.0079967682495</v>
      </c>
      <c r="H17" s="28">
        <v>2089.5855453832114</v>
      </c>
      <c r="I17" s="28">
        <v>2297.3007746250005</v>
      </c>
      <c r="J17" s="28">
        <v>2929.7364206250004</v>
      </c>
      <c r="K17" s="28">
        <v>2636.7576964946061</v>
      </c>
      <c r="L17" s="28">
        <v>4594.6233233250005</v>
      </c>
      <c r="M17" s="28">
        <v>4134.1105867975057</v>
      </c>
      <c r="N17" s="28">
        <v>3648.330685441782</v>
      </c>
      <c r="O17" s="28">
        <v>3640.5474094999349</v>
      </c>
      <c r="P17" s="28">
        <v>3147.934037388552</v>
      </c>
      <c r="Q17" s="28">
        <v>2969.6486492265049</v>
      </c>
      <c r="R17" s="111">
        <v>2629.9917876590252</v>
      </c>
      <c r="S17" s="45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</row>
    <row r="18" spans="2:38">
      <c r="B18" s="54" t="s">
        <v>53</v>
      </c>
      <c r="C18" s="54">
        <f t="shared" ref="C18:R18" si="2">SUM(C13:C17)</f>
        <v>9348.754910443633</v>
      </c>
      <c r="D18" s="54">
        <f t="shared" si="2"/>
        <v>9667.8471455312101</v>
      </c>
      <c r="E18" s="54">
        <f t="shared" si="2"/>
        <v>9949.6439720552298</v>
      </c>
      <c r="F18" s="54">
        <f t="shared" si="2"/>
        <v>11527.04478221834</v>
      </c>
      <c r="G18" s="54">
        <f t="shared" si="2"/>
        <v>12131.360572501901</v>
      </c>
      <c r="H18" s="54">
        <f t="shared" si="2"/>
        <v>12995.825760670406</v>
      </c>
      <c r="I18" s="54">
        <f t="shared" si="2"/>
        <v>13875.004317840201</v>
      </c>
      <c r="J18" s="54">
        <f t="shared" si="2"/>
        <v>14954.835490359821</v>
      </c>
      <c r="K18" s="54">
        <f t="shared" si="2"/>
        <v>15180.464969792203</v>
      </c>
      <c r="L18" s="54">
        <f t="shared" si="2"/>
        <v>17474.042624797541</v>
      </c>
      <c r="M18" s="54">
        <f t="shared" si="2"/>
        <v>17133.082618629203</v>
      </c>
      <c r="N18" s="54">
        <f t="shared" si="2"/>
        <v>16980.086444871678</v>
      </c>
      <c r="O18" s="54">
        <f t="shared" si="2"/>
        <v>17394.57684697376</v>
      </c>
      <c r="P18" s="54">
        <f t="shared" si="2"/>
        <v>17018.275090521332</v>
      </c>
      <c r="Q18" s="54">
        <f t="shared" si="2"/>
        <v>16958.359333166351</v>
      </c>
      <c r="R18" s="55">
        <f t="shared" si="2"/>
        <v>17041.604583897948</v>
      </c>
      <c r="S18" s="56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</row>
    <row r="19" spans="2:38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44"/>
      <c r="S19" s="45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2:38">
      <c r="B20" s="99" t="s">
        <v>55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108"/>
      <c r="S20" s="125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</row>
    <row r="21" spans="2:38">
      <c r="B21" s="27" t="s">
        <v>71</v>
      </c>
      <c r="C21" s="28">
        <v>72.268407064682535</v>
      </c>
      <c r="D21" s="28">
        <v>85.929781349603175</v>
      </c>
      <c r="E21" s="28">
        <v>95.694416740386885</v>
      </c>
      <c r="F21" s="28">
        <v>107.99591086568454</v>
      </c>
      <c r="G21" s="28">
        <v>122.57242026520836</v>
      </c>
      <c r="H21" s="28">
        <v>139.28312658541668</v>
      </c>
      <c r="I21" s="28">
        <v>155.0096695323661</v>
      </c>
      <c r="J21" s="28">
        <v>160.52459979910719</v>
      </c>
      <c r="K21" s="28">
        <v>179.86416895530809</v>
      </c>
      <c r="L21" s="28">
        <v>184.46257198118749</v>
      </c>
      <c r="M21" s="28">
        <v>208.43272968815472</v>
      </c>
      <c r="N21" s="28">
        <v>225.69047619331246</v>
      </c>
      <c r="O21" s="28">
        <v>243.11786846826783</v>
      </c>
      <c r="P21" s="28">
        <v>246.45929291749994</v>
      </c>
      <c r="Q21" s="28">
        <v>273.30494026689883</v>
      </c>
      <c r="R21" s="111">
        <v>286.3306569870893</v>
      </c>
      <c r="S21" s="45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2:38">
      <c r="B22" s="27" t="s">
        <v>72</v>
      </c>
      <c r="C22" s="28">
        <v>38.217994166666656</v>
      </c>
      <c r="D22" s="28">
        <v>45.442594015151506</v>
      </c>
      <c r="E22" s="28">
        <v>51.904067348484844</v>
      </c>
      <c r="F22" s="28">
        <v>58.576322651515156</v>
      </c>
      <c r="G22" s="28">
        <v>66.482532348484824</v>
      </c>
      <c r="H22" s="28">
        <v>75.546317424242417</v>
      </c>
      <c r="I22" s="28">
        <v>84.076298295454535</v>
      </c>
      <c r="J22" s="28">
        <v>68.928487215909101</v>
      </c>
      <c r="K22" s="28">
        <v>64.04671611647727</v>
      </c>
      <c r="L22" s="28">
        <v>67.659097267045453</v>
      </c>
      <c r="M22" s="28">
        <v>70.455850454545441</v>
      </c>
      <c r="N22" s="28">
        <v>76.289431431818144</v>
      </c>
      <c r="O22" s="28">
        <v>82.180357227272722</v>
      </c>
      <c r="P22" s="28">
        <v>87.582148181818155</v>
      </c>
      <c r="Q22" s="28">
        <v>92.3843967727273</v>
      </c>
      <c r="R22" s="111">
        <v>96.78743822727273</v>
      </c>
      <c r="S22" s="45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2:38">
      <c r="B23" s="27" t="s">
        <v>4</v>
      </c>
      <c r="C23" s="28">
        <v>1110.4477611940297</v>
      </c>
      <c r="D23" s="28">
        <v>1091.9402985074626</v>
      </c>
      <c r="E23" s="28">
        <v>1199.5149253731342</v>
      </c>
      <c r="F23" s="28">
        <v>1228.4328358208954</v>
      </c>
      <c r="G23" s="28">
        <v>1329.1635329999995</v>
      </c>
      <c r="H23" s="28">
        <v>1495.233720447761</v>
      </c>
      <c r="I23" s="28">
        <v>1651.5233401119401</v>
      </c>
      <c r="J23" s="28">
        <v>1824.8733881529849</v>
      </c>
      <c r="K23" s="28">
        <v>1984.3416919246272</v>
      </c>
      <c r="L23" s="28">
        <v>2067.4510022164177</v>
      </c>
      <c r="M23" s="28">
        <v>2116.7910447761192</v>
      </c>
      <c r="N23" s="28">
        <v>2082.0895522388055</v>
      </c>
      <c r="O23" s="28">
        <v>2200.689283847737</v>
      </c>
      <c r="P23" s="28">
        <v>2293.2579600730783</v>
      </c>
      <c r="Q23" s="28">
        <v>2423.0916415049082</v>
      </c>
      <c r="R23" s="111">
        <v>2519.3026331528972</v>
      </c>
      <c r="S23" s="45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2:38">
      <c r="B24" s="27" t="s">
        <v>15</v>
      </c>
      <c r="C24" s="28">
        <v>1991.3299156242297</v>
      </c>
      <c r="D24" s="28">
        <v>2211.647843005082</v>
      </c>
      <c r="E24" s="28">
        <v>2228.9308292139349</v>
      </c>
      <c r="F24" s="28">
        <v>2347.7620582947534</v>
      </c>
      <c r="G24" s="28">
        <v>2474.3141926185244</v>
      </c>
      <c r="H24" s="28">
        <v>2595.3652504327861</v>
      </c>
      <c r="I24" s="28">
        <v>2647.7087331209013</v>
      </c>
      <c r="J24" s="28">
        <v>2736.3696404754101</v>
      </c>
      <c r="K24" s="28">
        <v>2761.1617674287209</v>
      </c>
      <c r="L24" s="28">
        <v>2800.4852720508202</v>
      </c>
      <c r="M24" s="28">
        <v>2689.4268633836068</v>
      </c>
      <c r="N24" s="28">
        <v>2766.4999104154413</v>
      </c>
      <c r="O24" s="28">
        <v>2744.8508757703266</v>
      </c>
      <c r="P24" s="28">
        <v>2674.5348248970481</v>
      </c>
      <c r="Q24" s="28">
        <v>2468.5353137401967</v>
      </c>
      <c r="R24" s="111">
        <v>2493.8219600052789</v>
      </c>
      <c r="S24" s="45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2:38">
      <c r="B25" s="27" t="s">
        <v>16</v>
      </c>
      <c r="C25" s="28">
        <v>639.12711418640686</v>
      </c>
      <c r="D25" s="28">
        <v>502.18792416519995</v>
      </c>
      <c r="E25" s="28">
        <v>448.57986397793326</v>
      </c>
      <c r="F25" s="28">
        <v>874.88310278870722</v>
      </c>
      <c r="G25" s="28">
        <v>833.60319870729995</v>
      </c>
      <c r="H25" s="28">
        <v>835.83421815328472</v>
      </c>
      <c r="I25" s="28">
        <v>918.92030985000019</v>
      </c>
      <c r="J25" s="28">
        <v>1171.89456825</v>
      </c>
      <c r="K25" s="28">
        <v>1054.7030785978425</v>
      </c>
      <c r="L25" s="28">
        <v>1837.8493293300003</v>
      </c>
      <c r="M25" s="28">
        <v>1653.6442347190025</v>
      </c>
      <c r="N25" s="28">
        <v>1459.3322741767129</v>
      </c>
      <c r="O25" s="28">
        <v>1456.2189637999741</v>
      </c>
      <c r="P25" s="28">
        <v>1259.173614955421</v>
      </c>
      <c r="Q25" s="28">
        <v>1187.8594596906019</v>
      </c>
      <c r="R25" s="111">
        <v>1051.9967150636103</v>
      </c>
      <c r="S25" s="45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2:38">
      <c r="B26" s="54" t="s">
        <v>42</v>
      </c>
      <c r="C26" s="54">
        <f t="shared" ref="C26:R26" si="3">SUM(C21:C25)</f>
        <v>3851.3911922360153</v>
      </c>
      <c r="D26" s="54">
        <f t="shared" si="3"/>
        <v>3937.1484410424991</v>
      </c>
      <c r="E26" s="54">
        <f t="shared" si="3"/>
        <v>4024.6241026538742</v>
      </c>
      <c r="F26" s="54">
        <f t="shared" si="3"/>
        <v>4617.6502304215555</v>
      </c>
      <c r="G26" s="54">
        <f t="shared" si="3"/>
        <v>4826.1358769395174</v>
      </c>
      <c r="H26" s="54">
        <f t="shared" si="3"/>
        <v>5141.2626330434905</v>
      </c>
      <c r="I26" s="54">
        <f t="shared" si="3"/>
        <v>5457.2383509106621</v>
      </c>
      <c r="J26" s="54">
        <f t="shared" si="3"/>
        <v>5962.5906838934116</v>
      </c>
      <c r="K26" s="54">
        <f t="shared" si="3"/>
        <v>6044.1174230229753</v>
      </c>
      <c r="L26" s="54">
        <f t="shared" si="3"/>
        <v>6957.9072728454703</v>
      </c>
      <c r="M26" s="54">
        <f t="shared" si="3"/>
        <v>6738.7507230214287</v>
      </c>
      <c r="N26" s="54">
        <f t="shared" si="3"/>
        <v>6609.9016444560912</v>
      </c>
      <c r="O26" s="54">
        <f t="shared" si="3"/>
        <v>6727.0573491135783</v>
      </c>
      <c r="P26" s="54">
        <f t="shared" si="3"/>
        <v>6561.0078410248652</v>
      </c>
      <c r="Q26" s="54">
        <f t="shared" si="3"/>
        <v>6445.1757519753337</v>
      </c>
      <c r="R26" s="55">
        <f t="shared" si="3"/>
        <v>6448.2394034361487</v>
      </c>
      <c r="S26" s="56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</row>
    <row r="27" spans="2:38">
      <c r="B27" s="102" t="s">
        <v>56</v>
      </c>
      <c r="C27" s="101">
        <f t="shared" ref="C27:R27" si="4">+C26/C18</f>
        <v>0.41196835612125943</v>
      </c>
      <c r="D27" s="101">
        <f t="shared" si="4"/>
        <v>0.40724148631811746</v>
      </c>
      <c r="E27" s="101">
        <f t="shared" si="4"/>
        <v>0.40449930811167861</v>
      </c>
      <c r="F27" s="101">
        <f t="shared" si="4"/>
        <v>0.40059272065505974</v>
      </c>
      <c r="G27" s="101">
        <f t="shared" si="4"/>
        <v>0.3978231335303723</v>
      </c>
      <c r="H27" s="101">
        <f t="shared" si="4"/>
        <v>0.39560876913282589</v>
      </c>
      <c r="I27" s="101">
        <f t="shared" si="4"/>
        <v>0.39331435334357734</v>
      </c>
      <c r="J27" s="101">
        <f t="shared" si="4"/>
        <v>0.3987065379446677</v>
      </c>
      <c r="K27" s="101">
        <f t="shared" si="4"/>
        <v>0.39815100756467209</v>
      </c>
      <c r="L27" s="101">
        <f t="shared" si="4"/>
        <v>0.39818532106425408</v>
      </c>
      <c r="M27" s="101">
        <f t="shared" si="4"/>
        <v>0.3933180544926706</v>
      </c>
      <c r="N27" s="101">
        <f t="shared" si="4"/>
        <v>0.38927373343569827</v>
      </c>
      <c r="O27" s="101">
        <f t="shared" si="4"/>
        <v>0.38673302652279956</v>
      </c>
      <c r="P27" s="101">
        <f t="shared" si="4"/>
        <v>0.3855271939210308</v>
      </c>
      <c r="Q27" s="101">
        <f t="shared" si="4"/>
        <v>0.38005892111096895</v>
      </c>
      <c r="R27" s="126">
        <f t="shared" si="4"/>
        <v>0.37838217473540481</v>
      </c>
      <c r="S27" s="127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</row>
    <row r="28" spans="2:38">
      <c r="B28" s="2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7"/>
      <c r="S28" s="45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</row>
    <row r="29" spans="2:38">
      <c r="B29" s="99" t="s">
        <v>57</v>
      </c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8"/>
      <c r="S29" s="104"/>
    </row>
    <row r="30" spans="2:38">
      <c r="B30" s="27" t="s">
        <v>71</v>
      </c>
      <c r="C30" s="27">
        <f t="shared" ref="C30:R30" si="5">+C21+C13</f>
        <v>794.95247771150787</v>
      </c>
      <c r="D30" s="27">
        <f t="shared" si="5"/>
        <v>945.22759484563494</v>
      </c>
      <c r="E30" s="27">
        <f t="shared" si="5"/>
        <v>1052.6385841442557</v>
      </c>
      <c r="F30" s="27">
        <f t="shared" si="5"/>
        <v>1187.9550195225297</v>
      </c>
      <c r="G30" s="27">
        <f t="shared" si="5"/>
        <v>1348.2966229172921</v>
      </c>
      <c r="H30" s="27">
        <f t="shared" si="5"/>
        <v>1532.1143924395835</v>
      </c>
      <c r="I30" s="27">
        <f t="shared" si="5"/>
        <v>1705.1063648560271</v>
      </c>
      <c r="J30" s="27">
        <f t="shared" si="5"/>
        <v>1765.770597790179</v>
      </c>
      <c r="K30" s="27">
        <f t="shared" si="5"/>
        <v>1978.5058585083889</v>
      </c>
      <c r="L30" s="27">
        <f t="shared" si="5"/>
        <v>2029.0882917930624</v>
      </c>
      <c r="M30" s="27">
        <f t="shared" si="5"/>
        <v>2292.7600265697019</v>
      </c>
      <c r="N30" s="27">
        <f t="shared" si="5"/>
        <v>2482.5952381264369</v>
      </c>
      <c r="O30" s="27">
        <f t="shared" si="5"/>
        <v>2674.2965531509458</v>
      </c>
      <c r="P30" s="27">
        <f t="shared" si="5"/>
        <v>2711.0522220924995</v>
      </c>
      <c r="Q30" s="27">
        <f t="shared" si="5"/>
        <v>3006.3543429358874</v>
      </c>
      <c r="R30" s="44">
        <f t="shared" si="5"/>
        <v>3149.6372268579821</v>
      </c>
      <c r="S30" s="125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</row>
    <row r="31" spans="2:38">
      <c r="B31" s="27" t="s">
        <v>72</v>
      </c>
      <c r="C31" s="27">
        <f t="shared" ref="C31:R31" si="6">+C22+C14</f>
        <v>420.39793583333324</v>
      </c>
      <c r="D31" s="27">
        <f t="shared" si="6"/>
        <v>499.86853416666651</v>
      </c>
      <c r="E31" s="27">
        <f t="shared" si="6"/>
        <v>570.9447408333333</v>
      </c>
      <c r="F31" s="27">
        <f t="shared" si="6"/>
        <v>644.33954916666664</v>
      </c>
      <c r="G31" s="27">
        <f t="shared" si="6"/>
        <v>731.30785583333306</v>
      </c>
      <c r="H31" s="27">
        <f t="shared" si="6"/>
        <v>831.00949166666658</v>
      </c>
      <c r="I31" s="27">
        <f t="shared" si="6"/>
        <v>924.83928124999977</v>
      </c>
      <c r="J31" s="27">
        <f t="shared" si="6"/>
        <v>758.21335937499998</v>
      </c>
      <c r="K31" s="27">
        <f t="shared" si="6"/>
        <v>704.51387728124985</v>
      </c>
      <c r="L31" s="27">
        <f t="shared" si="6"/>
        <v>744.25006993749992</v>
      </c>
      <c r="M31" s="27">
        <f t="shared" si="6"/>
        <v>775.0143549999998</v>
      </c>
      <c r="N31" s="27">
        <f t="shared" si="6"/>
        <v>839.1837457499995</v>
      </c>
      <c r="O31" s="27">
        <f t="shared" si="6"/>
        <v>903.98392949999982</v>
      </c>
      <c r="P31" s="27">
        <f t="shared" si="6"/>
        <v>963.40362999999979</v>
      </c>
      <c r="Q31" s="27">
        <f t="shared" si="6"/>
        <v>1016.2283645000003</v>
      </c>
      <c r="R31" s="44">
        <f t="shared" si="6"/>
        <v>1064.6618205</v>
      </c>
      <c r="S31" s="45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</row>
    <row r="32" spans="2:38">
      <c r="B32" s="27" t="s">
        <v>4</v>
      </c>
      <c r="C32" s="27">
        <f t="shared" ref="C32:R32" si="7">+C23+C15</f>
        <v>3331.343283582089</v>
      </c>
      <c r="D32" s="27">
        <f t="shared" si="7"/>
        <v>3275.8208955223877</v>
      </c>
      <c r="E32" s="27">
        <f t="shared" si="7"/>
        <v>3598.5447761194027</v>
      </c>
      <c r="F32" s="27">
        <f t="shared" si="7"/>
        <v>3685.2985074626863</v>
      </c>
      <c r="G32" s="27">
        <f t="shared" si="7"/>
        <v>3987.4905989999984</v>
      </c>
      <c r="H32" s="27">
        <f t="shared" si="7"/>
        <v>4485.7011613432833</v>
      </c>
      <c r="I32" s="27">
        <f t="shared" si="7"/>
        <v>4954.5700203358201</v>
      </c>
      <c r="J32" s="27">
        <f t="shared" si="7"/>
        <v>5474.6201644589546</v>
      </c>
      <c r="K32" s="27">
        <f t="shared" si="7"/>
        <v>5953.0250757738813</v>
      </c>
      <c r="L32" s="27">
        <f t="shared" si="7"/>
        <v>6202.3530066492531</v>
      </c>
      <c r="M32" s="27">
        <f t="shared" si="7"/>
        <v>6350.373134328358</v>
      </c>
      <c r="N32" s="27">
        <f t="shared" si="7"/>
        <v>6246.2686567164164</v>
      </c>
      <c r="O32" s="27">
        <f t="shared" si="7"/>
        <v>6602.067851543211</v>
      </c>
      <c r="P32" s="27">
        <f t="shared" si="7"/>
        <v>6879.7738802192343</v>
      </c>
      <c r="Q32" s="27">
        <f t="shared" si="7"/>
        <v>7269.2749245147243</v>
      </c>
      <c r="R32" s="44">
        <f t="shared" si="7"/>
        <v>7557.9078994586916</v>
      </c>
      <c r="S32" s="45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</row>
    <row r="33" spans="2:38">
      <c r="B33" s="27" t="s">
        <v>15</v>
      </c>
      <c r="C33" s="27">
        <f t="shared" ref="C33:R33" si="8">+C24+C16</f>
        <v>6416.5075059002957</v>
      </c>
      <c r="D33" s="27">
        <f t="shared" si="8"/>
        <v>7126.4208274608191</v>
      </c>
      <c r="E33" s="27">
        <f t="shared" si="8"/>
        <v>7182.1104496893449</v>
      </c>
      <c r="F33" s="27">
        <f t="shared" si="8"/>
        <v>7565.0110767275382</v>
      </c>
      <c r="G33" s="27">
        <f t="shared" si="8"/>
        <v>7972.790176215246</v>
      </c>
      <c r="H33" s="27">
        <f t="shared" si="8"/>
        <v>8362.843584727867</v>
      </c>
      <c r="I33" s="27">
        <f t="shared" si="8"/>
        <v>8531.5059178340161</v>
      </c>
      <c r="J33" s="27">
        <f t="shared" si="8"/>
        <v>8817.1910637540986</v>
      </c>
      <c r="K33" s="27">
        <f t="shared" si="8"/>
        <v>8897.0768061592116</v>
      </c>
      <c r="L33" s="27">
        <f t="shared" si="8"/>
        <v>9023.7858766081972</v>
      </c>
      <c r="M33" s="27">
        <f t="shared" si="8"/>
        <v>8665.9310042360648</v>
      </c>
      <c r="N33" s="27">
        <f t="shared" si="8"/>
        <v>8914.2774891164227</v>
      </c>
      <c r="O33" s="27">
        <f t="shared" si="8"/>
        <v>8844.5194885932742</v>
      </c>
      <c r="P33" s="27">
        <f t="shared" si="8"/>
        <v>8617.9455468904889</v>
      </c>
      <c r="Q33" s="27">
        <f t="shared" si="8"/>
        <v>7954.169344273967</v>
      </c>
      <c r="R33" s="44">
        <f t="shared" si="8"/>
        <v>8035.6485377947874</v>
      </c>
      <c r="S33" s="45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2:38">
      <c r="B34" s="27" t="s">
        <v>16</v>
      </c>
      <c r="C34" s="27">
        <f t="shared" ref="C34:R34" si="9">+C25+C17</f>
        <v>2236.9448996524238</v>
      </c>
      <c r="D34" s="27">
        <f t="shared" si="9"/>
        <v>1757.6577345781998</v>
      </c>
      <c r="E34" s="27">
        <f t="shared" si="9"/>
        <v>1570.0295239227664</v>
      </c>
      <c r="F34" s="27">
        <f t="shared" si="9"/>
        <v>3062.0908597604753</v>
      </c>
      <c r="G34" s="27">
        <f t="shared" si="9"/>
        <v>2917.6111954755497</v>
      </c>
      <c r="H34" s="27">
        <f t="shared" si="9"/>
        <v>2925.4197635364962</v>
      </c>
      <c r="I34" s="27">
        <f t="shared" si="9"/>
        <v>3216.2210844750007</v>
      </c>
      <c r="J34" s="27">
        <f t="shared" si="9"/>
        <v>4101.6309888750002</v>
      </c>
      <c r="K34" s="27">
        <f t="shared" si="9"/>
        <v>3691.4607750924488</v>
      </c>
      <c r="L34" s="27">
        <f t="shared" si="9"/>
        <v>6432.4726526550003</v>
      </c>
      <c r="M34" s="27">
        <f t="shared" si="9"/>
        <v>5787.7548215165079</v>
      </c>
      <c r="N34" s="27">
        <f t="shared" si="9"/>
        <v>5107.6629596184948</v>
      </c>
      <c r="O34" s="27">
        <f t="shared" si="9"/>
        <v>5096.766373299909</v>
      </c>
      <c r="P34" s="27">
        <f t="shared" si="9"/>
        <v>4407.1076523439733</v>
      </c>
      <c r="Q34" s="27">
        <f t="shared" si="9"/>
        <v>4157.5081089171072</v>
      </c>
      <c r="R34" s="44">
        <f t="shared" si="9"/>
        <v>3681.9885027226355</v>
      </c>
      <c r="S34" s="45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</row>
    <row r="35" spans="2:38">
      <c r="B35" s="54" t="s">
        <v>57</v>
      </c>
      <c r="C35" s="54">
        <f t="shared" ref="C35:R35" si="10">SUM(C30:C34)</f>
        <v>13200.14610267965</v>
      </c>
      <c r="D35" s="54">
        <f t="shared" si="10"/>
        <v>13604.995586573707</v>
      </c>
      <c r="E35" s="54">
        <f t="shared" si="10"/>
        <v>13974.268074709104</v>
      </c>
      <c r="F35" s="54">
        <f t="shared" si="10"/>
        <v>16144.695012639897</v>
      </c>
      <c r="G35" s="54">
        <f t="shared" si="10"/>
        <v>16957.49644944142</v>
      </c>
      <c r="H35" s="54">
        <f t="shared" si="10"/>
        <v>18137.088393713897</v>
      </c>
      <c r="I35" s="54">
        <f t="shared" si="10"/>
        <v>19332.242668750863</v>
      </c>
      <c r="J35" s="54">
        <f t="shared" si="10"/>
        <v>20917.426174253233</v>
      </c>
      <c r="K35" s="54">
        <f t="shared" si="10"/>
        <v>21224.58239281518</v>
      </c>
      <c r="L35" s="54">
        <f t="shared" si="10"/>
        <v>24431.949897643011</v>
      </c>
      <c r="M35" s="54">
        <f t="shared" si="10"/>
        <v>23871.833341650632</v>
      </c>
      <c r="N35" s="54">
        <f t="shared" si="10"/>
        <v>23589.98808932777</v>
      </c>
      <c r="O35" s="54">
        <f t="shared" si="10"/>
        <v>24121.634196087343</v>
      </c>
      <c r="P35" s="54">
        <f t="shared" si="10"/>
        <v>23579.282931546197</v>
      </c>
      <c r="Q35" s="54">
        <f t="shared" si="10"/>
        <v>23403.535085141688</v>
      </c>
      <c r="R35" s="55">
        <f t="shared" si="10"/>
        <v>23489.843987334098</v>
      </c>
      <c r="S35" s="56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</row>
    <row r="36" spans="2:38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110"/>
      <c r="S36" s="109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</row>
  </sheetData>
  <pageMargins left="0.7" right="0.7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0BF0-D60D-42D4-9EB4-B69486926934}">
  <dimension ref="B1:R41"/>
  <sheetViews>
    <sheetView showGridLines="0" zoomScale="120" zoomScaleNormal="120" zoomScaleSheetLayoutView="13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4.33203125" style="1" customWidth="1"/>
    <col min="2" max="2" width="28.796875" style="2" customWidth="1"/>
    <col min="3" max="12" width="7.796875" style="2" customWidth="1"/>
    <col min="13" max="18" width="7.796875" style="1" customWidth="1"/>
    <col min="19" max="16384" width="9.1328125" style="1"/>
  </cols>
  <sheetData>
    <row r="1" spans="2:18" s="2" customFormat="1">
      <c r="B1" s="7"/>
    </row>
    <row r="2" spans="2:18" s="2" customFormat="1">
      <c r="B2" s="3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2:18" s="2" customFormat="1">
      <c r="B3" s="4"/>
      <c r="C3" s="141">
        <v>43555</v>
      </c>
      <c r="D3" s="12">
        <f t="shared" ref="D3:R3" si="0">EOMONTH(C3, 3)</f>
        <v>43646</v>
      </c>
      <c r="E3" s="12">
        <f t="shared" si="0"/>
        <v>43738</v>
      </c>
      <c r="F3" s="12">
        <f t="shared" si="0"/>
        <v>43830</v>
      </c>
      <c r="G3" s="12">
        <f t="shared" si="0"/>
        <v>43921</v>
      </c>
      <c r="H3" s="12">
        <f t="shared" si="0"/>
        <v>44012</v>
      </c>
      <c r="I3" s="12">
        <f t="shared" si="0"/>
        <v>44104</v>
      </c>
      <c r="J3" s="12">
        <f t="shared" si="0"/>
        <v>44196</v>
      </c>
      <c r="K3" s="12">
        <f t="shared" si="0"/>
        <v>44286</v>
      </c>
      <c r="L3" s="12">
        <f t="shared" si="0"/>
        <v>44377</v>
      </c>
      <c r="M3" s="12">
        <f t="shared" si="0"/>
        <v>44469</v>
      </c>
      <c r="N3" s="12">
        <f t="shared" si="0"/>
        <v>44561</v>
      </c>
      <c r="O3" s="12">
        <f t="shared" si="0"/>
        <v>44651</v>
      </c>
      <c r="P3" s="12">
        <f t="shared" si="0"/>
        <v>44742</v>
      </c>
      <c r="Q3" s="12">
        <f t="shared" si="0"/>
        <v>44834</v>
      </c>
      <c r="R3" s="12">
        <f t="shared" si="0"/>
        <v>44926</v>
      </c>
    </row>
    <row r="4" spans="2:18">
      <c r="B4" s="96" t="s">
        <v>49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5"/>
      <c r="N4" s="95"/>
      <c r="O4" s="95"/>
      <c r="P4" s="95"/>
      <c r="Q4" s="95"/>
      <c r="R4" s="95"/>
    </row>
    <row r="5" spans="2:18">
      <c r="B5" s="99" t="s">
        <v>51</v>
      </c>
    </row>
    <row r="6" spans="2:18">
      <c r="B6" s="27" t="s">
        <v>73</v>
      </c>
      <c r="C6" s="28">
        <v>794.95247771150787</v>
      </c>
      <c r="D6" s="28">
        <v>945.22759484563494</v>
      </c>
      <c r="E6" s="28">
        <v>1052.6385841442557</v>
      </c>
      <c r="F6" s="28">
        <v>1187.9550195225297</v>
      </c>
      <c r="G6" s="28">
        <v>1348.2966229172921</v>
      </c>
      <c r="H6" s="28">
        <v>1532.1143924395835</v>
      </c>
      <c r="I6" s="28">
        <v>1705.1063648560271</v>
      </c>
      <c r="J6" s="28">
        <v>1765.770597790179</v>
      </c>
      <c r="K6" s="28">
        <v>1978.5058585083889</v>
      </c>
      <c r="L6" s="28">
        <v>2029.0882917930624</v>
      </c>
      <c r="M6" s="28">
        <v>2292.7600265697019</v>
      </c>
      <c r="N6" s="28">
        <v>2482.5952381264369</v>
      </c>
      <c r="O6" s="28">
        <v>2674.2965531509458</v>
      </c>
      <c r="P6" s="28">
        <v>2711.0522220924995</v>
      </c>
      <c r="Q6" s="28">
        <v>3006.3543429358874</v>
      </c>
      <c r="R6" s="28">
        <v>3149.6372268579821</v>
      </c>
    </row>
    <row r="7" spans="2:18">
      <c r="B7" s="27" t="s">
        <v>75</v>
      </c>
      <c r="C7" s="28">
        <v>781.53978166349191</v>
      </c>
      <c r="D7" s="28">
        <v>929.27940827936482</v>
      </c>
      <c r="E7" s="28">
        <v>1088.4041939807439</v>
      </c>
      <c r="F7" s="28">
        <v>1228.3182898524697</v>
      </c>
      <c r="G7" s="28">
        <v>1394.1078364577074</v>
      </c>
      <c r="H7" s="28">
        <v>1584.1712013104163</v>
      </c>
      <c r="I7" s="28">
        <v>1763.0409398314728</v>
      </c>
      <c r="J7" s="28">
        <v>2025.296199084821</v>
      </c>
      <c r="K7" s="28">
        <v>2165.6934196166112</v>
      </c>
      <c r="L7" s="28">
        <v>2454.3458644569373</v>
      </c>
      <c r="M7" s="28">
        <v>2551.0796921802967</v>
      </c>
      <c r="N7" s="28">
        <v>2762.3031728110609</v>
      </c>
      <c r="O7" s="28">
        <v>2975.6030062240529</v>
      </c>
      <c r="P7" s="28">
        <v>3310.2204654074994</v>
      </c>
      <c r="Q7" s="28">
        <v>3345.0729351891127</v>
      </c>
      <c r="R7" s="28">
        <v>3504.4991512670181</v>
      </c>
    </row>
    <row r="8" spans="2:18">
      <c r="B8" s="27" t="s">
        <v>74</v>
      </c>
      <c r="C8" s="28">
        <v>420.39793583333324</v>
      </c>
      <c r="D8" s="28">
        <v>499.86853416666651</v>
      </c>
      <c r="E8" s="28">
        <v>570.9447408333333</v>
      </c>
      <c r="F8" s="28">
        <v>644.33954916666664</v>
      </c>
      <c r="G8" s="28">
        <v>731.30785583333306</v>
      </c>
      <c r="H8" s="28">
        <v>831.00949166666658</v>
      </c>
      <c r="I8" s="28">
        <v>924.83928124999977</v>
      </c>
      <c r="J8" s="28">
        <v>758.21335937499998</v>
      </c>
      <c r="K8" s="28">
        <v>704.51387728124985</v>
      </c>
      <c r="L8" s="28">
        <v>744.25006993749992</v>
      </c>
      <c r="M8" s="28">
        <v>775.0143549999998</v>
      </c>
      <c r="N8" s="28">
        <v>839.1837457499995</v>
      </c>
      <c r="O8" s="28">
        <v>903.98392949999982</v>
      </c>
      <c r="P8" s="28">
        <v>963.40362999999979</v>
      </c>
      <c r="Q8" s="28">
        <v>1016.2283645000003</v>
      </c>
      <c r="R8" s="28">
        <v>1064.6618205</v>
      </c>
    </row>
    <row r="9" spans="2:18">
      <c r="B9" s="54" t="s">
        <v>64</v>
      </c>
      <c r="C9" s="54">
        <f t="shared" ref="C9:R9" si="1">SUM(C6:C8)</f>
        <v>1996.8901952083329</v>
      </c>
      <c r="D9" s="54">
        <f t="shared" si="1"/>
        <v>2374.3755372916662</v>
      </c>
      <c r="E9" s="54">
        <f t="shared" si="1"/>
        <v>2711.9875189583327</v>
      </c>
      <c r="F9" s="54">
        <f t="shared" si="1"/>
        <v>3060.6128585416659</v>
      </c>
      <c r="G9" s="54">
        <f t="shared" si="1"/>
        <v>3473.7123152083327</v>
      </c>
      <c r="H9" s="54">
        <f t="shared" si="1"/>
        <v>3947.2950854166666</v>
      </c>
      <c r="I9" s="54">
        <f t="shared" si="1"/>
        <v>4392.9865859374995</v>
      </c>
      <c r="J9" s="54">
        <f t="shared" si="1"/>
        <v>4549.2801562499999</v>
      </c>
      <c r="K9" s="54">
        <f t="shared" si="1"/>
        <v>4848.7131554062498</v>
      </c>
      <c r="L9" s="54">
        <f t="shared" si="1"/>
        <v>5227.684226187499</v>
      </c>
      <c r="M9" s="54">
        <f t="shared" si="1"/>
        <v>5618.8540737499989</v>
      </c>
      <c r="N9" s="54">
        <f t="shared" si="1"/>
        <v>6084.0821566874974</v>
      </c>
      <c r="O9" s="54">
        <f t="shared" si="1"/>
        <v>6553.8834888749989</v>
      </c>
      <c r="P9" s="54">
        <f t="shared" si="1"/>
        <v>6984.6763174999987</v>
      </c>
      <c r="Q9" s="54">
        <f t="shared" si="1"/>
        <v>7367.6556426250008</v>
      </c>
      <c r="R9" s="54">
        <f t="shared" si="1"/>
        <v>7718.7981986249997</v>
      </c>
    </row>
    <row r="10" spans="2:18"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</row>
    <row r="11" spans="2:18">
      <c r="B11" s="74"/>
    </row>
    <row r="12" spans="2:18">
      <c r="B12" s="96" t="s">
        <v>46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5"/>
      <c r="N12" s="95"/>
      <c r="O12" s="95"/>
      <c r="P12" s="95"/>
      <c r="Q12" s="95"/>
      <c r="R12" s="95"/>
    </row>
    <row r="13" spans="2:18">
      <c r="B13" s="99" t="s">
        <v>4</v>
      </c>
    </row>
    <row r="14" spans="2:18">
      <c r="B14" s="27" t="s">
        <v>67</v>
      </c>
      <c r="C14" s="28">
        <v>3331.343283582089</v>
      </c>
      <c r="D14" s="28">
        <v>3275.8208955223877</v>
      </c>
      <c r="E14" s="28">
        <v>3598.5447761194027</v>
      </c>
      <c r="F14" s="28">
        <v>3685.2985074626863</v>
      </c>
      <c r="G14" s="28">
        <v>3987.4905989999984</v>
      </c>
      <c r="H14" s="28">
        <v>4485.7011613432833</v>
      </c>
      <c r="I14" s="28">
        <v>4954.5700203358201</v>
      </c>
      <c r="J14" s="28">
        <v>5474.6201644589546</v>
      </c>
      <c r="K14" s="28">
        <v>5953.0250757738813</v>
      </c>
      <c r="L14" s="28">
        <v>6202.3530066492531</v>
      </c>
      <c r="M14" s="28">
        <v>6350.373134328358</v>
      </c>
      <c r="N14" s="28">
        <v>6246.2686567164164</v>
      </c>
      <c r="O14" s="28">
        <v>6602.067851543211</v>
      </c>
      <c r="P14" s="28">
        <v>6879.7738802192343</v>
      </c>
      <c r="Q14" s="28">
        <v>7269.2749245147243</v>
      </c>
      <c r="R14" s="28">
        <v>7557.9078994586916</v>
      </c>
    </row>
    <row r="15" spans="2:18">
      <c r="B15" s="27" t="s">
        <v>58</v>
      </c>
      <c r="C15" s="28">
        <v>880</v>
      </c>
      <c r="D15" s="28">
        <v>932</v>
      </c>
      <c r="E15" s="28">
        <v>879.75</v>
      </c>
      <c r="F15" s="28">
        <v>1048.5</v>
      </c>
      <c r="G15" s="28">
        <v>1053.3263697000002</v>
      </c>
      <c r="H15" s="28">
        <v>1184.9325290000006</v>
      </c>
      <c r="I15" s="28">
        <v>1308.7878512500001</v>
      </c>
      <c r="J15" s="28">
        <v>1338.4013231250001</v>
      </c>
      <c r="K15" s="28">
        <v>1455.3588009149998</v>
      </c>
      <c r="L15" s="28">
        <v>1764.6242534499997</v>
      </c>
      <c r="M15" s="28">
        <v>1552.5</v>
      </c>
      <c r="N15" s="28">
        <v>1650</v>
      </c>
      <c r="O15" s="28">
        <v>1805.75</v>
      </c>
      <c r="P15" s="28">
        <v>1805.75</v>
      </c>
      <c r="Q15" s="28">
        <v>1639.7945358862498</v>
      </c>
      <c r="R15" s="28">
        <v>1864</v>
      </c>
    </row>
    <row r="16" spans="2:18">
      <c r="B16" s="27" t="s">
        <v>70</v>
      </c>
      <c r="C16" s="28">
        <v>425.40895522388058</v>
      </c>
      <c r="D16" s="28">
        <v>426.31880597014913</v>
      </c>
      <c r="E16" s="28">
        <v>451.03029850746265</v>
      </c>
      <c r="F16" s="28">
        <v>479.60865671641795</v>
      </c>
      <c r="G16" s="28">
        <v>509.19826186799992</v>
      </c>
      <c r="H16" s="28">
        <v>572.81921496895529</v>
      </c>
      <c r="I16" s="28">
        <v>632.6932641022388</v>
      </c>
      <c r="J16" s="28">
        <v>686.17169456305965</v>
      </c>
      <c r="K16" s="28">
        <v>746.13346338409258</v>
      </c>
      <c r="L16" s="28">
        <v>807.18079905232821</v>
      </c>
      <c r="M16" s="28">
        <v>795.9358208955224</v>
      </c>
      <c r="N16" s="28">
        <v>797.64179104477603</v>
      </c>
      <c r="O16" s="28">
        <v>850.48851374814831</v>
      </c>
      <c r="P16" s="28">
        <v>877.1482925010464</v>
      </c>
      <c r="Q16" s="28">
        <v>894.62573705976331</v>
      </c>
      <c r="R16" s="28">
        <v>949.23915834803449</v>
      </c>
    </row>
    <row r="17" spans="2:18">
      <c r="B17" s="27" t="s">
        <v>65</v>
      </c>
      <c r="C17" s="28">
        <v>-666.26865671641781</v>
      </c>
      <c r="D17" s="28">
        <v>-655.16417910447751</v>
      </c>
      <c r="E17" s="28">
        <v>-719.70895522388048</v>
      </c>
      <c r="F17" s="28">
        <v>-737.05970149253722</v>
      </c>
      <c r="G17" s="28">
        <v>-797.4981197999997</v>
      </c>
      <c r="H17" s="28">
        <v>-897.14023226865663</v>
      </c>
      <c r="I17" s="28">
        <v>-990.914004067164</v>
      </c>
      <c r="J17" s="28">
        <v>-1094.9240328917908</v>
      </c>
      <c r="K17" s="28">
        <v>-1190.6050151547763</v>
      </c>
      <c r="L17" s="28">
        <v>-1240.4706013298505</v>
      </c>
      <c r="M17" s="28">
        <v>-1270.0746268656715</v>
      </c>
      <c r="N17" s="28">
        <v>-1249.2537313432833</v>
      </c>
      <c r="O17" s="28">
        <v>-1320.4135703086422</v>
      </c>
      <c r="P17" s="28">
        <v>-1375.954776043847</v>
      </c>
      <c r="Q17" s="28">
        <v>-1453.8549849029448</v>
      </c>
      <c r="R17" s="28">
        <v>-1511.5815798917383</v>
      </c>
    </row>
    <row r="18" spans="2:18">
      <c r="B18" s="8" t="s">
        <v>63</v>
      </c>
      <c r="C18" s="54">
        <f>SUM(C14:C17)</f>
        <v>3970.4835820895519</v>
      </c>
      <c r="D18" s="54">
        <f t="shared" ref="D18:R18" si="2">SUM(D14:D17)</f>
        <v>3978.9755223880584</v>
      </c>
      <c r="E18" s="54">
        <f t="shared" si="2"/>
        <v>4209.6161194029846</v>
      </c>
      <c r="F18" s="54">
        <f t="shared" si="2"/>
        <v>4476.3474626865682</v>
      </c>
      <c r="G18" s="54">
        <f t="shared" si="2"/>
        <v>4752.5171107679989</v>
      </c>
      <c r="H18" s="54">
        <f t="shared" si="2"/>
        <v>5346.3126730435824</v>
      </c>
      <c r="I18" s="54">
        <f t="shared" si="2"/>
        <v>5905.1371316208952</v>
      </c>
      <c r="J18" s="54">
        <f t="shared" si="2"/>
        <v>6404.269149255224</v>
      </c>
      <c r="K18" s="54">
        <f t="shared" si="2"/>
        <v>6963.9123249181976</v>
      </c>
      <c r="L18" s="54">
        <f t="shared" si="2"/>
        <v>7533.6874578217303</v>
      </c>
      <c r="M18" s="54">
        <f t="shared" si="2"/>
        <v>7428.7343283582086</v>
      </c>
      <c r="N18" s="54">
        <f t="shared" si="2"/>
        <v>7444.6567164179096</v>
      </c>
      <c r="O18" s="54">
        <f t="shared" si="2"/>
        <v>7937.8927949827184</v>
      </c>
      <c r="P18" s="54">
        <f t="shared" si="2"/>
        <v>8186.7173966764331</v>
      </c>
      <c r="Q18" s="54">
        <f t="shared" si="2"/>
        <v>8349.8402125577923</v>
      </c>
      <c r="R18" s="54">
        <f t="shared" si="2"/>
        <v>8859.5654779149882</v>
      </c>
    </row>
    <row r="19" spans="2:18">
      <c r="B19" s="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</row>
    <row r="20" spans="2:18">
      <c r="B20" s="10" t="s">
        <v>81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</row>
    <row r="21" spans="2:18">
      <c r="B21" s="2" t="s">
        <v>86</v>
      </c>
      <c r="C21" s="112">
        <v>43.993526041666669</v>
      </c>
      <c r="D21" s="112">
        <v>51.398089004237292</v>
      </c>
      <c r="E21" s="112">
        <v>36.426286592189008</v>
      </c>
      <c r="F21" s="112">
        <v>45.447719948585693</v>
      </c>
      <c r="G21" s="112">
        <v>43.034736331998602</v>
      </c>
      <c r="H21" s="112">
        <v>51.144282123336595</v>
      </c>
      <c r="I21" s="112">
        <v>37.781886336715097</v>
      </c>
      <c r="J21" s="112">
        <v>29.283120157520308</v>
      </c>
      <c r="K21" s="112">
        <v>31.048994885774977</v>
      </c>
      <c r="L21" s="112">
        <v>28.677274105518524</v>
      </c>
      <c r="M21" s="112">
        <v>33.688681677798883</v>
      </c>
      <c r="N21" s="112">
        <v>37.017876362170959</v>
      </c>
      <c r="O21" s="112">
        <v>37.96</v>
      </c>
      <c r="P21" s="112">
        <v>33.557538461538456</v>
      </c>
      <c r="Q21" s="112">
        <v>27.103933823529413</v>
      </c>
      <c r="R21" s="139">
        <v>30.096857142857147</v>
      </c>
    </row>
    <row r="22" spans="2:18">
      <c r="B22" s="2" t="s">
        <v>84</v>
      </c>
      <c r="C22" s="112">
        <v>34.411038083333331</v>
      </c>
      <c r="D22" s="112">
        <v>33.563182369809319</v>
      </c>
      <c r="E22" s="112">
        <v>36.231188729117655</v>
      </c>
      <c r="F22" s="112">
        <v>36.493029185109805</v>
      </c>
      <c r="G22" s="112">
        <v>41.557576537152819</v>
      </c>
      <c r="H22" s="112">
        <v>38.964419069905546</v>
      </c>
      <c r="I22" s="112">
        <v>38.339705524785572</v>
      </c>
      <c r="J22" s="112">
        <v>41.052674242715547</v>
      </c>
      <c r="K22" s="112">
        <v>40.614042659977947</v>
      </c>
      <c r="L22" s="112">
        <v>38.559770424957939</v>
      </c>
      <c r="M22" s="112">
        <v>40.567537896296045</v>
      </c>
      <c r="N22" s="112">
        <v>43.082005357325492</v>
      </c>
      <c r="O22" s="112">
        <v>46.265256349206403</v>
      </c>
      <c r="P22" s="112">
        <v>44.334584615384642</v>
      </c>
      <c r="Q22" s="112">
        <v>46.793107352941185</v>
      </c>
      <c r="R22" s="139">
        <v>47.136595357142859</v>
      </c>
    </row>
    <row r="23" spans="2:18">
      <c r="B23" s="2" t="s">
        <v>85</v>
      </c>
      <c r="C23" s="112">
        <v>-1.1794016722408027</v>
      </c>
      <c r="D23" s="112">
        <v>-1.7805353731343279</v>
      </c>
      <c r="E23" s="112">
        <v>-1.5482219273743014</v>
      </c>
      <c r="F23" s="112">
        <v>-1.8487296437659031</v>
      </c>
      <c r="G23" s="112">
        <v>-1.4598546838407496</v>
      </c>
      <c r="H23" s="112">
        <v>-1.4277686440677964</v>
      </c>
      <c r="I23" s="112">
        <v>-1.4906965000000003</v>
      </c>
      <c r="J23" s="112">
        <v>-1.6748601134215497</v>
      </c>
      <c r="K23" s="112">
        <v>-1.5729341397849463</v>
      </c>
      <c r="L23" s="112">
        <v>-1.7474437500000004</v>
      </c>
      <c r="M23" s="112">
        <v>-1.5341656451612906</v>
      </c>
      <c r="N23" s="112">
        <v>-1.5139789513677815</v>
      </c>
      <c r="O23" s="112">
        <v>-1.5996964080459772</v>
      </c>
      <c r="P23" s="112">
        <v>-1.7301699999999995</v>
      </c>
      <c r="Q23" s="112">
        <v>-1.6880350865512646</v>
      </c>
      <c r="R23" s="139">
        <v>-1.7401516839378246</v>
      </c>
    </row>
    <row r="24" spans="2:18"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39"/>
    </row>
    <row r="25" spans="2:18">
      <c r="B25" s="6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</row>
    <row r="27" spans="2:18">
      <c r="B27" s="96" t="s">
        <v>48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95"/>
      <c r="O27" s="95"/>
      <c r="P27" s="95"/>
      <c r="Q27" s="95"/>
      <c r="R27" s="95"/>
    </row>
    <row r="28" spans="2:18">
      <c r="B28" s="99" t="s">
        <v>15</v>
      </c>
    </row>
    <row r="29" spans="2:18">
      <c r="B29" s="27" t="s">
        <v>68</v>
      </c>
      <c r="C29" s="28">
        <v>6416.5075059002957</v>
      </c>
      <c r="D29" s="28">
        <v>7126.4208274608191</v>
      </c>
      <c r="E29" s="28">
        <v>7182.1104496893449</v>
      </c>
      <c r="F29" s="28">
        <v>7565.0110767275382</v>
      </c>
      <c r="G29" s="28">
        <v>7972.790176215246</v>
      </c>
      <c r="H29" s="28">
        <v>8362.843584727867</v>
      </c>
      <c r="I29" s="28">
        <v>8531.5059178340161</v>
      </c>
      <c r="J29" s="28">
        <v>8817.1910637540986</v>
      </c>
      <c r="K29" s="28">
        <v>8897.0768061592116</v>
      </c>
      <c r="L29" s="28">
        <v>9023.7858766081972</v>
      </c>
      <c r="M29" s="28">
        <v>8665.9310042360648</v>
      </c>
      <c r="N29" s="28">
        <v>8914.2774891164227</v>
      </c>
      <c r="O29" s="28">
        <v>8844.5194885932742</v>
      </c>
      <c r="P29" s="28">
        <v>8617.9455468904889</v>
      </c>
      <c r="Q29" s="28">
        <v>7954.169344273967</v>
      </c>
      <c r="R29" s="28">
        <v>8035.6485377947874</v>
      </c>
    </row>
    <row r="30" spans="2:18">
      <c r="B30" s="27" t="s">
        <v>66</v>
      </c>
      <c r="C30" s="28">
        <v>482.02827322649955</v>
      </c>
      <c r="D30" s="28">
        <v>535.35920009249912</v>
      </c>
      <c r="E30" s="28">
        <v>539.54278008749952</v>
      </c>
      <c r="F30" s="28">
        <v>568.30748236499949</v>
      </c>
      <c r="G30" s="28">
        <v>598.94113392749932</v>
      </c>
      <c r="H30" s="28">
        <v>628.24317569999948</v>
      </c>
      <c r="I30" s="28">
        <v>640.91362190625023</v>
      </c>
      <c r="J30" s="28">
        <v>662.37519074999909</v>
      </c>
      <c r="K30" s="28">
        <v>668.37645957599943</v>
      </c>
      <c r="L30" s="28">
        <v>677.89524442499896</v>
      </c>
      <c r="M30" s="28">
        <v>651.01205819999905</v>
      </c>
      <c r="N30" s="28">
        <v>669.66862910849977</v>
      </c>
      <c r="O30" s="28">
        <v>664.42818818249998</v>
      </c>
      <c r="P30" s="28">
        <v>647.40723935999995</v>
      </c>
      <c r="Q30" s="28">
        <v>597.54227832599918</v>
      </c>
      <c r="R30" s="28">
        <v>603.66325222349951</v>
      </c>
    </row>
    <row r="31" spans="2:18">
      <c r="B31" s="27" t="s">
        <v>44</v>
      </c>
      <c r="C31" s="28">
        <v>124.17364402428231</v>
      </c>
      <c r="D31" s="28">
        <v>137.91204049595973</v>
      </c>
      <c r="E31" s="28">
        <v>138.98975813598321</v>
      </c>
      <c r="F31" s="28">
        <v>146.39973406366568</v>
      </c>
      <c r="G31" s="28">
        <v>154.29116358256942</v>
      </c>
      <c r="H31" s="28">
        <v>161.8395616877016</v>
      </c>
      <c r="I31" s="28">
        <v>165.10355171532478</v>
      </c>
      <c r="J31" s="28">
        <v>170.63219258107375</v>
      </c>
      <c r="K31" s="28">
        <v>172.17815878323378</v>
      </c>
      <c r="L31" s="28">
        <v>174.63026017859752</v>
      </c>
      <c r="M31" s="28">
        <v>167.70497512384918</v>
      </c>
      <c r="N31" s="28">
        <v>172.51103012804859</v>
      </c>
      <c r="O31" s="28">
        <v>171.16105818196394</v>
      </c>
      <c r="P31" s="28">
        <v>166.7763501525088</v>
      </c>
      <c r="Q31" s="28">
        <v>153.93080920679941</v>
      </c>
      <c r="R31" s="28">
        <v>155.50761222032918</v>
      </c>
    </row>
    <row r="32" spans="2:18">
      <c r="B32" s="27" t="s">
        <v>43</v>
      </c>
      <c r="C32" s="28">
        <v>-689.85357791267961</v>
      </c>
      <c r="D32" s="28">
        <v>-766.17800275533182</v>
      </c>
      <c r="E32" s="28">
        <v>-772.16532297768447</v>
      </c>
      <c r="F32" s="28">
        <v>-813.33185590925382</v>
      </c>
      <c r="G32" s="28">
        <v>-857.17313101427465</v>
      </c>
      <c r="H32" s="28">
        <v>-899.10867604278667</v>
      </c>
      <c r="I32" s="28">
        <v>-917.24195397402661</v>
      </c>
      <c r="J32" s="28">
        <v>-947.95662545040977</v>
      </c>
      <c r="K32" s="28">
        <v>-956.54532657352104</v>
      </c>
      <c r="L32" s="28">
        <v>-970.16811210331969</v>
      </c>
      <c r="M32" s="28">
        <v>-931.69430624360655</v>
      </c>
      <c r="N32" s="28">
        <v>-958.39461182249215</v>
      </c>
      <c r="O32" s="28">
        <v>-950.89476767757742</v>
      </c>
      <c r="P32" s="28">
        <v>-926.53527862504893</v>
      </c>
      <c r="Q32" s="28">
        <v>-855.17116225999678</v>
      </c>
      <c r="R32" s="28">
        <v>-863.93117900182881</v>
      </c>
    </row>
    <row r="33" spans="2:18">
      <c r="B33" s="54" t="s">
        <v>61</v>
      </c>
      <c r="C33" s="54">
        <f>SUM(C29:C32)</f>
        <v>6332.8558452383977</v>
      </c>
      <c r="D33" s="54">
        <f t="shared" ref="D33:R33" si="3">SUM(D29:D32)</f>
        <v>7033.5140652939463</v>
      </c>
      <c r="E33" s="54">
        <f t="shared" si="3"/>
        <v>7088.4776649351425</v>
      </c>
      <c r="F33" s="54">
        <f t="shared" si="3"/>
        <v>7466.3864372469498</v>
      </c>
      <c r="G33" s="54">
        <f t="shared" si="3"/>
        <v>7868.8493427110407</v>
      </c>
      <c r="H33" s="54">
        <f t="shared" si="3"/>
        <v>8253.8176460727827</v>
      </c>
      <c r="I33" s="54">
        <f t="shared" si="3"/>
        <v>8420.2811374815647</v>
      </c>
      <c r="J33" s="54">
        <f t="shared" si="3"/>
        <v>8702.2418216347614</v>
      </c>
      <c r="K33" s="54">
        <f t="shared" si="3"/>
        <v>8781.0860979449226</v>
      </c>
      <c r="L33" s="54">
        <f t="shared" si="3"/>
        <v>8906.1432691084738</v>
      </c>
      <c r="M33" s="54">
        <f t="shared" si="3"/>
        <v>8552.9537313163073</v>
      </c>
      <c r="N33" s="54">
        <f t="shared" si="3"/>
        <v>8798.0625365304786</v>
      </c>
      <c r="O33" s="54">
        <f t="shared" si="3"/>
        <v>8729.2139672801604</v>
      </c>
      <c r="P33" s="54">
        <f t="shared" si="3"/>
        <v>8505.5938577779489</v>
      </c>
      <c r="Q33" s="54">
        <f t="shared" si="3"/>
        <v>7850.4712695467688</v>
      </c>
      <c r="R33" s="54">
        <f t="shared" si="3"/>
        <v>7930.8882232367887</v>
      </c>
    </row>
    <row r="34" spans="2:18"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40"/>
    </row>
    <row r="36" spans="2:18">
      <c r="B36" s="96" t="s">
        <v>59</v>
      </c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95"/>
      <c r="R36" s="95"/>
    </row>
    <row r="37" spans="2:18">
      <c r="B37" s="99" t="s">
        <v>16</v>
      </c>
    </row>
    <row r="38" spans="2:18">
      <c r="B38" s="27" t="s">
        <v>69</v>
      </c>
      <c r="C38" s="28">
        <v>2236.9448996524238</v>
      </c>
      <c r="D38" s="28">
        <v>1757.6577345781998</v>
      </c>
      <c r="E38" s="28">
        <v>1570.0295239227664</v>
      </c>
      <c r="F38" s="28">
        <v>3062.0908597604753</v>
      </c>
      <c r="G38" s="28">
        <v>2917.6111954755497</v>
      </c>
      <c r="H38" s="28">
        <v>2925.4197635364962</v>
      </c>
      <c r="I38" s="28">
        <v>3216.2210844750007</v>
      </c>
      <c r="J38" s="28">
        <v>4101.6309888750002</v>
      </c>
      <c r="K38" s="28">
        <v>3691.4607750924488</v>
      </c>
      <c r="L38" s="28">
        <v>6432.4726526550003</v>
      </c>
      <c r="M38" s="28">
        <v>5787.7548215165079</v>
      </c>
      <c r="N38" s="28">
        <v>5107.6629596184948</v>
      </c>
      <c r="O38" s="28">
        <v>5096.766373299909</v>
      </c>
      <c r="P38" s="28">
        <v>4407.1076523439733</v>
      </c>
      <c r="Q38" s="28">
        <v>4157.5081089171072</v>
      </c>
      <c r="R38" s="28">
        <v>3681.9885027226355</v>
      </c>
    </row>
    <row r="39" spans="2:18">
      <c r="B39" s="27" t="s">
        <v>60</v>
      </c>
      <c r="C39" s="28">
        <v>1110.3865579681874</v>
      </c>
      <c r="D39" s="28">
        <v>909.76073218333318</v>
      </c>
      <c r="E39" s="28">
        <v>779.33957123749974</v>
      </c>
      <c r="F39" s="28">
        <v>1652.0913418541359</v>
      </c>
      <c r="G39" s="28">
        <v>1574.1401596812498</v>
      </c>
      <c r="H39" s="28">
        <v>1452.1353576255387</v>
      </c>
      <c r="I39" s="28">
        <v>1664.7107062499999</v>
      </c>
      <c r="J39" s="28">
        <v>2122.99740625</v>
      </c>
      <c r="K39" s="28">
        <v>1910.6939829671055</v>
      </c>
      <c r="L39" s="28">
        <v>3192.9848469293474</v>
      </c>
      <c r="M39" s="28">
        <v>3122.6701189885362</v>
      </c>
      <c r="N39" s="28">
        <v>2755.739832408125</v>
      </c>
      <c r="O39" s="28">
        <v>2749.860791995161</v>
      </c>
      <c r="P39" s="28">
        <v>2377.7688933848681</v>
      </c>
      <c r="Q39" s="28">
        <v>2151.9193110336992</v>
      </c>
      <c r="R39" s="28">
        <v>1827.6849557858518</v>
      </c>
    </row>
    <row r="40" spans="2:18">
      <c r="B40" s="8" t="s">
        <v>62</v>
      </c>
      <c r="C40" s="54">
        <f>SUM(C38:C39)</f>
        <v>3347.3314576206112</v>
      </c>
      <c r="D40" s="54">
        <f t="shared" ref="D40:R40" si="4">SUM(D38:D39)</f>
        <v>2667.4184667615327</v>
      </c>
      <c r="E40" s="54">
        <f t="shared" si="4"/>
        <v>2349.3690951602662</v>
      </c>
      <c r="F40" s="54">
        <f t="shared" si="4"/>
        <v>4714.1822016146107</v>
      </c>
      <c r="G40" s="54">
        <f t="shared" si="4"/>
        <v>4491.751355156799</v>
      </c>
      <c r="H40" s="54">
        <f t="shared" si="4"/>
        <v>4377.555121162035</v>
      </c>
      <c r="I40" s="54">
        <f t="shared" si="4"/>
        <v>4880.9317907250006</v>
      </c>
      <c r="J40" s="54">
        <f t="shared" si="4"/>
        <v>6224.6283951250007</v>
      </c>
      <c r="K40" s="54">
        <f t="shared" si="4"/>
        <v>5602.1547580595543</v>
      </c>
      <c r="L40" s="54">
        <f t="shared" si="4"/>
        <v>9625.4574995843468</v>
      </c>
      <c r="M40" s="54">
        <f t="shared" si="4"/>
        <v>8910.4249405050432</v>
      </c>
      <c r="N40" s="54">
        <f t="shared" si="4"/>
        <v>7863.4027920266199</v>
      </c>
      <c r="O40" s="54">
        <f t="shared" si="4"/>
        <v>7846.62716529507</v>
      </c>
      <c r="P40" s="54">
        <f t="shared" si="4"/>
        <v>6784.8765457288409</v>
      </c>
      <c r="Q40" s="54">
        <f t="shared" si="4"/>
        <v>6309.4274199508063</v>
      </c>
      <c r="R40" s="54">
        <f t="shared" si="4"/>
        <v>5509.6734585084869</v>
      </c>
    </row>
    <row r="41" spans="2:18">
      <c r="B41" s="6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</row>
  </sheetData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Resources</vt:lpstr>
      <vt:lpstr>Start -&gt;</vt:lpstr>
      <vt:lpstr>Raw Customer ARR (Start)</vt:lpstr>
      <vt:lpstr>Financials (Start)</vt:lpstr>
      <vt:lpstr>Headcount (Start)</vt:lpstr>
      <vt:lpstr>Expenses (Start)</vt:lpstr>
      <vt:lpstr>'Expenses (Start)'!Print_Area</vt:lpstr>
      <vt:lpstr>'Financials (Start)'!Print_Area</vt:lpstr>
      <vt:lpstr>'Headcount (Start)'!Print_Area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2023-11-27T05:13:54Z</dcterms:modified>
</cp:coreProperties>
</file>