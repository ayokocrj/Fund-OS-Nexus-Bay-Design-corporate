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4_{0E74BCF6-C07F-4D62-ADC9-1CAC1C52D567}" xr6:coauthVersionLast="47" xr6:coauthVersionMax="47" xr10:uidLastSave="{00000000-0000-0000-0000-000000000000}"/>
  <bookViews>
    <workbookView xWindow="735" yWindow="735" windowWidth="22058" windowHeight="13530" xr2:uid="{149DA278-98FA-47F8-A916-DD05CF127C47}"/>
  </bookViews>
  <sheets>
    <sheet name="Model - Start" sheetId="58" r:id="rId1"/>
  </sheets>
  <definedNames>
    <definedName name="_xlnm.Print_Area" localSheetId="0">'Model - Start'!$A$1:$K$53</definedName>
  </definedNames>
  <calcPr calcId="191029" calcMode="autoNoTable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58" l="1"/>
  <c r="E44" i="58"/>
  <c r="G36" i="58"/>
  <c r="H36" i="58" s="1"/>
  <c r="I36" i="58" s="1"/>
  <c r="J36" i="58" s="1"/>
  <c r="G3" i="58"/>
  <c r="H3" i="58" s="1"/>
  <c r="I3" i="58" s="1"/>
  <c r="J3" i="58" s="1"/>
  <c r="D3" i="58"/>
  <c r="C3" i="58" s="1"/>
  <c r="E8" i="58" l="1"/>
  <c r="C8" i="58"/>
  <c r="E12" i="58" l="1"/>
  <c r="E26" i="58"/>
  <c r="D8" i="58"/>
  <c r="C26" i="58"/>
  <c r="E31" i="58" l="1"/>
  <c r="E20" i="58"/>
  <c r="C31" i="58"/>
  <c r="D12" i="58"/>
  <c r="D26" i="58"/>
  <c r="E14" i="58"/>
  <c r="C12" i="58"/>
  <c r="D20" i="58"/>
  <c r="C20" i="58"/>
  <c r="D31" i="58" l="1"/>
  <c r="E22" i="58"/>
  <c r="C14" i="58"/>
  <c r="D14" i="58"/>
  <c r="E33" i="58" l="1"/>
  <c r="C22" i="58"/>
  <c r="D22" i="58"/>
  <c r="C33" i="58" l="1"/>
  <c r="D33" i="58"/>
</calcChain>
</file>

<file path=xl/sharedStrings.xml><?xml version="1.0" encoding="utf-8"?>
<sst xmlns="http://schemas.openxmlformats.org/spreadsheetml/2006/main" count="40" uniqueCount="40">
  <si>
    <t>Income statement</t>
  </si>
  <si>
    <t>EBITDA</t>
  </si>
  <si>
    <t>Balance sheet</t>
  </si>
  <si>
    <t>Cash</t>
  </si>
  <si>
    <t>Total assets</t>
  </si>
  <si>
    <t>Net PP&amp;E</t>
  </si>
  <si>
    <t>Shareholder equity</t>
  </si>
  <si>
    <t>Total liabilities &amp; equity</t>
  </si>
  <si>
    <t>$ millions</t>
  </si>
  <si>
    <t>Capitalized financing fees</t>
  </si>
  <si>
    <t>Goodwill</t>
  </si>
  <si>
    <t>Existing debt</t>
  </si>
  <si>
    <t>New debt</t>
  </si>
  <si>
    <t>Marketing expenses</t>
  </si>
  <si>
    <t>Gross profit</t>
  </si>
  <si>
    <t>Discounts</t>
  </si>
  <si>
    <t>Returns</t>
  </si>
  <si>
    <t>COGS</t>
  </si>
  <si>
    <t>Contribution Profit</t>
  </si>
  <si>
    <t>Headcount</t>
  </si>
  <si>
    <t>Gross revenue</t>
  </si>
  <si>
    <t>Net revenue</t>
  </si>
  <si>
    <t>Product cost</t>
  </si>
  <si>
    <t>Freight, duties, &amp; taxes</t>
  </si>
  <si>
    <t>Picking &amp; packing</t>
  </si>
  <si>
    <t>Packaging material</t>
  </si>
  <si>
    <t>Shipping to customers</t>
  </si>
  <si>
    <t>Merchant fees</t>
  </si>
  <si>
    <t>Fulfillment costs</t>
  </si>
  <si>
    <t>Ad spend</t>
  </si>
  <si>
    <t xml:space="preserve">Other marketing spend </t>
  </si>
  <si>
    <t>Research &amp; development</t>
  </si>
  <si>
    <t>General &amp; administrative</t>
  </si>
  <si>
    <t>Operating expenses</t>
  </si>
  <si>
    <t>Inventory</t>
  </si>
  <si>
    <t>Prepaid expenses</t>
  </si>
  <si>
    <t>Accounts receivable</t>
  </si>
  <si>
    <t>Accounts payable</t>
  </si>
  <si>
    <t>Accrued expenses</t>
  </si>
  <si>
    <t>Historical financials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</si>
</sst>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165" formatCode="0.0%"/>
    <numFmt numFmtId="166" formatCode="&quot;Year &quot;0"/>
    <numFmt numFmtId="167" formatCode="&quot;Year &quot;0;\ &quot;Year -&quot;0"/>
    <numFmt numFmtId="168" formatCode="&quot;$&quot;#,##0.0_);\(&quot;$&quot;#,##0.0\)"/>
    <numFmt numFmtId="169" formatCode="#,##0.0_);\(#,##0.0\)"/>
    <numFmt numFmtId="170" formatCode="0.000"/>
    <numFmt numFmtId="171" formatCode="#,##0.000_);\(#,##0.000\)"/>
    <numFmt numFmtId="172" formatCode="0.0%;\(0.0%\);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sz val="10"/>
      <color theme="0"/>
      <name val="Garamond"/>
      <family val="1"/>
    </font>
    <font>
      <sz val="10"/>
      <color rgb="FF0000FF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i/>
      <sz val="10"/>
      <color theme="1"/>
      <name val="Garamond"/>
      <family val="1"/>
    </font>
    <font>
      <i/>
      <sz val="10"/>
      <name val="Garamond"/>
      <family val="1"/>
    </font>
    <font>
      <i/>
      <sz val="10"/>
      <color theme="0"/>
      <name val="Garamond"/>
      <family val="1"/>
    </font>
    <font>
      <i/>
      <sz val="10"/>
      <color rgb="FF0000FF"/>
      <name val="Garamond"/>
      <family val="1"/>
    </font>
    <font>
      <b/>
      <sz val="10"/>
      <name val="Garamond"/>
      <family val="1"/>
    </font>
    <font>
      <b/>
      <i/>
      <sz val="10"/>
      <color theme="1"/>
      <name val="Garamond"/>
      <family val="1"/>
    </font>
    <font>
      <b/>
      <i/>
      <sz val="1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0" fontId="9" fillId="0" borderId="0" xfId="0" applyFont="1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3" fillId="0" borderId="0" xfId="0" quotePrefix="1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7" fontId="3" fillId="3" borderId="0" xfId="0" applyNumberFormat="1" applyFont="1" applyFill="1" applyAlignment="1">
      <alignment vertical="center"/>
    </xf>
    <xf numFmtId="166" fontId="3" fillId="3" borderId="0" xfId="0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70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 indent="1"/>
    </xf>
    <xf numFmtId="169" fontId="3" fillId="0" borderId="0" xfId="0" applyNumberFormat="1" applyFont="1" applyAlignment="1">
      <alignment vertical="center"/>
    </xf>
    <xf numFmtId="168" fontId="7" fillId="0" borderId="0" xfId="0" applyNumberFormat="1" applyFont="1" applyAlignment="1">
      <alignment vertical="center"/>
    </xf>
    <xf numFmtId="168" fontId="8" fillId="0" borderId="1" xfId="0" applyNumberFormat="1" applyFont="1" applyBorder="1" applyAlignment="1">
      <alignment vertical="center"/>
    </xf>
    <xf numFmtId="168" fontId="3" fillId="0" borderId="0" xfId="0" applyNumberFormat="1" applyFont="1" applyAlignment="1">
      <alignment vertical="center"/>
    </xf>
    <xf numFmtId="7" fontId="3" fillId="0" borderId="0" xfId="0" applyNumberFormat="1" applyFont="1" applyAlignment="1">
      <alignment vertical="center"/>
    </xf>
    <xf numFmtId="166" fontId="3" fillId="3" borderId="2" xfId="0" applyNumberFormat="1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70" fontId="9" fillId="0" borderId="2" xfId="0" applyNumberFormat="1" applyFont="1" applyBorder="1" applyAlignment="1">
      <alignment vertical="center"/>
    </xf>
    <xf numFmtId="167" fontId="3" fillId="3" borderId="2" xfId="0" applyNumberFormat="1" applyFont="1" applyFill="1" applyBorder="1" applyAlignment="1">
      <alignment vertical="center"/>
    </xf>
    <xf numFmtId="172" fontId="10" fillId="0" borderId="0" xfId="1" applyNumberFormat="1" applyFont="1" applyFill="1" applyBorder="1" applyAlignment="1">
      <alignment vertical="center"/>
    </xf>
    <xf numFmtId="172" fontId="10" fillId="0" borderId="2" xfId="1" applyNumberFormat="1" applyFont="1" applyFill="1" applyBorder="1" applyAlignment="1">
      <alignment vertical="center"/>
    </xf>
    <xf numFmtId="165" fontId="10" fillId="0" borderId="0" xfId="1" applyNumberFormat="1" applyFont="1" applyFill="1" applyBorder="1" applyAlignment="1">
      <alignment vertical="center"/>
    </xf>
    <xf numFmtId="165" fontId="10" fillId="0" borderId="2" xfId="1" applyNumberFormat="1" applyFont="1" applyFill="1" applyBorder="1" applyAlignment="1">
      <alignment vertical="center"/>
    </xf>
    <xf numFmtId="168" fontId="6" fillId="0" borderId="0" xfId="0" applyNumberFormat="1" applyFont="1" applyAlignment="1">
      <alignment vertical="center"/>
    </xf>
    <xf numFmtId="168" fontId="6" fillId="0" borderId="2" xfId="0" applyNumberFormat="1" applyFont="1" applyBorder="1" applyAlignment="1">
      <alignment vertical="center"/>
    </xf>
    <xf numFmtId="169" fontId="7" fillId="0" borderId="0" xfId="0" applyNumberFormat="1" applyFont="1" applyAlignment="1">
      <alignment vertical="center"/>
    </xf>
    <xf numFmtId="168" fontId="13" fillId="0" borderId="3" xfId="0" applyNumberFormat="1" applyFont="1" applyBorder="1" applyAlignment="1">
      <alignment vertical="center"/>
    </xf>
    <xf numFmtId="168" fontId="8" fillId="0" borderId="3" xfId="0" applyNumberFormat="1" applyFont="1" applyBorder="1" applyAlignment="1">
      <alignment vertical="center"/>
    </xf>
    <xf numFmtId="168" fontId="3" fillId="0" borderId="2" xfId="0" applyNumberFormat="1" applyFont="1" applyBorder="1" applyAlignment="1">
      <alignment vertical="center"/>
    </xf>
    <xf numFmtId="169" fontId="6" fillId="4" borderId="0" xfId="0" applyNumberFormat="1" applyFont="1" applyFill="1" applyAlignment="1">
      <alignment vertical="center"/>
    </xf>
    <xf numFmtId="168" fontId="13" fillId="0" borderId="2" xfId="0" applyNumberFormat="1" applyFont="1" applyBorder="1" applyAlignment="1">
      <alignment vertical="center"/>
    </xf>
    <xf numFmtId="165" fontId="10" fillId="0" borderId="0" xfId="0" applyNumberFormat="1" applyFont="1" applyAlignment="1">
      <alignment vertical="center"/>
    </xf>
    <xf numFmtId="168" fontId="6" fillId="4" borderId="0" xfId="0" applyNumberFormat="1" applyFont="1" applyFill="1" applyAlignment="1">
      <alignment vertical="center"/>
    </xf>
    <xf numFmtId="172" fontId="12" fillId="0" borderId="0" xfId="1" applyNumberFormat="1" applyFont="1" applyFill="1" applyBorder="1" applyAlignment="1">
      <alignment vertical="center"/>
    </xf>
    <xf numFmtId="168" fontId="13" fillId="0" borderId="1" xfId="0" applyNumberFormat="1" applyFont="1" applyBorder="1" applyAlignment="1">
      <alignment vertical="center"/>
    </xf>
    <xf numFmtId="168" fontId="13" fillId="0" borderId="0" xfId="0" applyNumberFormat="1" applyFont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0" xfId="0" applyFont="1" applyAlignment="1">
      <alignment vertical="center"/>
    </xf>
    <xf numFmtId="168" fontId="15" fillId="0" borderId="0" xfId="0" applyNumberFormat="1" applyFont="1" applyAlignment="1">
      <alignment vertical="center"/>
    </xf>
    <xf numFmtId="7" fontId="9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68" fontId="6" fillId="4" borderId="2" xfId="0" applyNumberFormat="1" applyFont="1" applyFill="1" applyBorder="1" applyAlignment="1">
      <alignment vertical="center"/>
    </xf>
    <xf numFmtId="37" fontId="7" fillId="0" borderId="0" xfId="0" applyNumberFormat="1" applyFont="1" applyAlignment="1">
      <alignment vertical="center"/>
    </xf>
    <xf numFmtId="37" fontId="6" fillId="0" borderId="0" xfId="0" applyNumberFormat="1" applyFont="1" applyAlignment="1">
      <alignment vertical="center"/>
    </xf>
    <xf numFmtId="171" fontId="9" fillId="0" borderId="0" xfId="0" applyNumberFormat="1" applyFont="1" applyAlignment="1">
      <alignment vertical="center"/>
    </xf>
    <xf numFmtId="168" fontId="15" fillId="0" borderId="2" xfId="0" applyNumberFormat="1" applyFont="1" applyBorder="1" applyAlignment="1">
      <alignment vertical="center"/>
    </xf>
    <xf numFmtId="0" fontId="3" fillId="5" borderId="0" xfId="0" applyFont="1" applyFill="1"/>
    <xf numFmtId="0" fontId="3" fillId="5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171" fontId="3" fillId="5" borderId="0" xfId="0" applyNumberFormat="1" applyFont="1" applyFill="1" applyAlignment="1">
      <alignment vertical="center"/>
    </xf>
    <xf numFmtId="169" fontId="6" fillId="0" borderId="2" xfId="0" applyNumberFormat="1" applyFont="1" applyBorder="1" applyAlignment="1">
      <alignment vertical="center"/>
    </xf>
    <xf numFmtId="169" fontId="6" fillId="4" borderId="2" xfId="0" applyNumberFormat="1" applyFont="1" applyFill="1" applyBorder="1" applyAlignment="1">
      <alignment vertical="center"/>
    </xf>
  </cellXfs>
  <cellStyles count="3">
    <cellStyle name="Normal" xfId="0" builtinId="0"/>
    <cellStyle name="Normal 2" xfId="2" xr:uid="{FE34F453-BE46-4638-A718-6F04F1594BE6}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3E75-78BD-49F8-913A-25707F22CC4B}">
  <dimension ref="A1:Q53"/>
  <sheetViews>
    <sheetView showGridLines="0" tabSelected="1" zoomScaleNormal="100" zoomScaleSheetLayoutView="130" workbookViewId="0"/>
  </sheetViews>
  <sheetFormatPr defaultColWidth="9.1328125" defaultRowHeight="13.15" x14ac:dyDescent="0.4"/>
  <cols>
    <col min="1" max="1" width="10" style="2" customWidth="1"/>
    <col min="2" max="2" width="25.59765625" style="2" customWidth="1"/>
    <col min="3" max="10" width="11.265625" style="2" customWidth="1"/>
    <col min="11" max="11" width="9.1328125" style="2"/>
    <col min="12" max="12" width="9.1328125" style="56"/>
    <col min="13" max="17" width="9.1328125" style="2" customWidth="1"/>
    <col min="18" max="20" width="9.1328125" style="1" customWidth="1"/>
    <col min="21" max="16384" width="9.1328125" style="1"/>
  </cols>
  <sheetData>
    <row r="1" spans="2:13" x14ac:dyDescent="0.4">
      <c r="B1" s="3"/>
    </row>
    <row r="2" spans="2:13" s="4" customFormat="1" ht="13.5" customHeight="1" x14ac:dyDescent="0.45">
      <c r="B2" s="5" t="s">
        <v>39</v>
      </c>
      <c r="C2" s="5"/>
      <c r="D2" s="5"/>
      <c r="E2" s="6"/>
      <c r="F2" s="6"/>
      <c r="G2" s="6"/>
      <c r="H2" s="6"/>
      <c r="I2" s="6"/>
      <c r="J2" s="7" t="s">
        <v>8</v>
      </c>
      <c r="L2" s="57"/>
    </row>
    <row r="3" spans="2:13" s="4" customFormat="1" ht="13.5" customHeight="1" x14ac:dyDescent="0.45">
      <c r="B3" s="8" t="s">
        <v>0</v>
      </c>
      <c r="C3" s="13">
        <f>+D3-1</f>
        <v>-2</v>
      </c>
      <c r="D3" s="13">
        <f>+E3-1</f>
        <v>-1</v>
      </c>
      <c r="E3" s="28">
        <v>0</v>
      </c>
      <c r="F3" s="13">
        <v>1</v>
      </c>
      <c r="G3" s="13">
        <f>F3+1</f>
        <v>2</v>
      </c>
      <c r="H3" s="13">
        <f>G3+1</f>
        <v>3</v>
      </c>
      <c r="I3" s="13">
        <f>H3+1</f>
        <v>4</v>
      </c>
      <c r="J3" s="13">
        <f>I3+1</f>
        <v>5</v>
      </c>
      <c r="L3" s="57"/>
    </row>
    <row r="4" spans="2:13" s="4" customFormat="1" ht="13.5" customHeight="1" x14ac:dyDescent="0.45">
      <c r="B4" s="4" t="s">
        <v>20</v>
      </c>
      <c r="C4" s="42">
        <v>27.24</v>
      </c>
      <c r="D4" s="42">
        <v>13.08</v>
      </c>
      <c r="E4" s="51">
        <v>33.200000000000003</v>
      </c>
      <c r="F4" s="20"/>
      <c r="G4" s="20"/>
      <c r="H4" s="20"/>
      <c r="I4" s="20"/>
      <c r="J4" s="20"/>
      <c r="K4" s="23"/>
      <c r="L4" s="57"/>
      <c r="M4" s="11"/>
    </row>
    <row r="5" spans="2:13" s="4" customFormat="1" ht="13.5" customHeight="1" x14ac:dyDescent="0.45">
      <c r="B5" s="18"/>
      <c r="C5" s="43"/>
      <c r="D5" s="29"/>
      <c r="E5" s="30"/>
      <c r="F5" s="29"/>
      <c r="G5" s="29"/>
      <c r="H5" s="29"/>
      <c r="I5" s="29"/>
      <c r="J5" s="29"/>
      <c r="K5" s="29"/>
      <c r="L5" s="57"/>
    </row>
    <row r="6" spans="2:13" s="4" customFormat="1" ht="13.5" customHeight="1" x14ac:dyDescent="0.45">
      <c r="B6" s="4" t="s">
        <v>15</v>
      </c>
      <c r="C6" s="42">
        <v>1.6343999999999999</v>
      </c>
      <c r="D6" s="42">
        <v>1.635</v>
      </c>
      <c r="E6" s="51">
        <v>2.7224000000000004</v>
      </c>
      <c r="F6" s="20"/>
      <c r="G6" s="20"/>
      <c r="H6" s="20"/>
      <c r="I6" s="20"/>
      <c r="J6" s="20"/>
      <c r="L6" s="57"/>
    </row>
    <row r="7" spans="2:13" s="4" customFormat="1" ht="13.5" customHeight="1" x14ac:dyDescent="0.45">
      <c r="B7" s="4" t="s">
        <v>16</v>
      </c>
      <c r="C7" s="39">
        <v>2.1791999999999998</v>
      </c>
      <c r="D7" s="39">
        <v>1.5957600000000001</v>
      </c>
      <c r="E7" s="62">
        <v>2.6228000000000002</v>
      </c>
      <c r="F7" s="35"/>
      <c r="G7" s="35"/>
      <c r="H7" s="35"/>
      <c r="I7" s="35"/>
      <c r="J7" s="35"/>
      <c r="L7" s="57"/>
    </row>
    <row r="8" spans="2:13" s="4" customFormat="1" ht="13.5" customHeight="1" x14ac:dyDescent="0.45">
      <c r="B8" s="10" t="s">
        <v>21</v>
      </c>
      <c r="C8" s="44">
        <f>C4-C6-C7</f>
        <v>23.426400000000001</v>
      </c>
      <c r="D8" s="44">
        <f>D4-D6-D7</f>
        <v>9.84924</v>
      </c>
      <c r="E8" s="36">
        <f>E4-E6-E7</f>
        <v>27.854800000000001</v>
      </c>
      <c r="F8" s="44"/>
      <c r="G8" s="44"/>
      <c r="H8" s="44"/>
      <c r="I8" s="44"/>
      <c r="J8" s="44"/>
      <c r="K8" s="23"/>
      <c r="L8" s="57"/>
      <c r="M8" s="11"/>
    </row>
    <row r="9" spans="2:13" s="16" customFormat="1" ht="13.5" customHeight="1" x14ac:dyDescent="0.45">
      <c r="B9" s="47"/>
      <c r="C9" s="48"/>
      <c r="D9" s="48"/>
      <c r="E9" s="55"/>
      <c r="F9" s="48"/>
      <c r="G9" s="48"/>
      <c r="H9" s="48"/>
      <c r="I9" s="48"/>
      <c r="J9" s="48"/>
      <c r="K9" s="49"/>
      <c r="L9" s="58"/>
      <c r="M9" s="47"/>
    </row>
    <row r="10" spans="2:13" s="4" customFormat="1" ht="13.5" customHeight="1" x14ac:dyDescent="0.45">
      <c r="B10" s="4" t="s">
        <v>22</v>
      </c>
      <c r="C10" s="42">
        <v>8.9254584000000001</v>
      </c>
      <c r="D10" s="42">
        <v>3.9593944800000003</v>
      </c>
      <c r="E10" s="51">
        <v>13.426013599999999</v>
      </c>
      <c r="F10" s="20"/>
      <c r="G10" s="20"/>
      <c r="H10" s="20"/>
      <c r="I10" s="20"/>
      <c r="J10" s="20"/>
      <c r="K10" s="15"/>
      <c r="L10" s="59"/>
    </row>
    <row r="11" spans="2:13" s="4" customFormat="1" ht="13.5" customHeight="1" x14ac:dyDescent="0.45">
      <c r="B11" s="4" t="s">
        <v>23</v>
      </c>
      <c r="C11" s="39">
        <v>0.5622336</v>
      </c>
      <c r="D11" s="39">
        <v>0.34472340000000001</v>
      </c>
      <c r="E11" s="62">
        <v>1.0584823999999999</v>
      </c>
      <c r="F11" s="35"/>
      <c r="G11" s="35"/>
      <c r="H11" s="35"/>
      <c r="I11" s="35"/>
      <c r="J11" s="35"/>
      <c r="K11" s="15"/>
      <c r="L11" s="59"/>
    </row>
    <row r="12" spans="2:13" s="4" customFormat="1" ht="13.5" customHeight="1" x14ac:dyDescent="0.45">
      <c r="B12" s="10" t="s">
        <v>17</v>
      </c>
      <c r="C12" s="44">
        <f>C10+C11</f>
        <v>9.4876920000000009</v>
      </c>
      <c r="D12" s="44">
        <f t="shared" ref="D12:E12" si="0">D10+D11</f>
        <v>4.3041178800000006</v>
      </c>
      <c r="E12" s="36">
        <f t="shared" si="0"/>
        <v>14.484496</v>
      </c>
      <c r="F12" s="44"/>
      <c r="G12" s="44"/>
      <c r="H12" s="44"/>
      <c r="I12" s="44"/>
      <c r="J12" s="44"/>
      <c r="K12" s="15"/>
      <c r="L12" s="59"/>
    </row>
    <row r="13" spans="2:13" s="4" customFormat="1" ht="13.5" customHeight="1" x14ac:dyDescent="0.45">
      <c r="B13" s="11"/>
      <c r="C13" s="45"/>
      <c r="D13" s="45"/>
      <c r="E13" s="40"/>
      <c r="F13" s="45"/>
      <c r="G13" s="45"/>
      <c r="H13" s="45"/>
      <c r="I13" s="45"/>
      <c r="J13" s="45"/>
      <c r="K13" s="15"/>
      <c r="L13" s="59"/>
    </row>
    <row r="14" spans="2:13" s="4" customFormat="1" ht="13.5" customHeight="1" x14ac:dyDescent="0.45">
      <c r="B14" s="11" t="s">
        <v>14</v>
      </c>
      <c r="C14" s="45">
        <f>C8-C12</f>
        <v>13.938708</v>
      </c>
      <c r="D14" s="45">
        <f>D8-D12</f>
        <v>5.5451221199999994</v>
      </c>
      <c r="E14" s="40">
        <f>E8-E12</f>
        <v>13.370304000000001</v>
      </c>
      <c r="F14" s="45"/>
      <c r="G14" s="45"/>
      <c r="H14" s="45"/>
      <c r="I14" s="45"/>
      <c r="J14" s="45"/>
      <c r="K14" s="15"/>
      <c r="L14" s="59"/>
    </row>
    <row r="15" spans="2:13" s="4" customFormat="1" ht="13.5" customHeight="1" x14ac:dyDescent="0.45">
      <c r="B15" s="18"/>
      <c r="C15" s="31"/>
      <c r="D15" s="31"/>
      <c r="E15" s="32"/>
      <c r="F15" s="41"/>
      <c r="G15" s="41"/>
      <c r="H15" s="41"/>
      <c r="I15" s="41"/>
      <c r="J15" s="41"/>
      <c r="K15" s="15"/>
      <c r="L15" s="59"/>
    </row>
    <row r="16" spans="2:13" s="4" customFormat="1" ht="13.5" customHeight="1" x14ac:dyDescent="0.45">
      <c r="B16" s="4" t="s">
        <v>24</v>
      </c>
      <c r="C16" s="42">
        <v>0.49195440000000007</v>
      </c>
      <c r="D16" s="42">
        <v>0.20683404000000002</v>
      </c>
      <c r="E16" s="51">
        <v>0.5849508000000001</v>
      </c>
      <c r="F16" s="20"/>
      <c r="G16" s="20"/>
      <c r="H16" s="20"/>
      <c r="I16" s="20"/>
      <c r="J16" s="20"/>
      <c r="K16" s="15"/>
      <c r="L16" s="59"/>
    </row>
    <row r="17" spans="2:12" s="4" customFormat="1" ht="13.5" customHeight="1" x14ac:dyDescent="0.45">
      <c r="B17" s="4" t="s">
        <v>25</v>
      </c>
      <c r="C17" s="39">
        <v>0.11713200000000001</v>
      </c>
      <c r="D17" s="39">
        <v>3.9396960000000002E-2</v>
      </c>
      <c r="E17" s="62">
        <v>0.13927400000000001</v>
      </c>
      <c r="F17" s="35"/>
      <c r="G17" s="35"/>
      <c r="H17" s="35"/>
      <c r="I17" s="35"/>
      <c r="J17" s="35"/>
      <c r="K17" s="15"/>
      <c r="L17" s="59"/>
    </row>
    <row r="18" spans="2:12" s="4" customFormat="1" ht="13.5" customHeight="1" x14ac:dyDescent="0.45">
      <c r="B18" s="4" t="s">
        <v>26</v>
      </c>
      <c r="C18" s="39">
        <v>1.6164216000000002</v>
      </c>
      <c r="D18" s="39">
        <v>0.73869299999999993</v>
      </c>
      <c r="E18" s="62">
        <v>2.0055456</v>
      </c>
      <c r="F18" s="35"/>
      <c r="G18" s="35"/>
      <c r="H18" s="35"/>
      <c r="I18" s="35"/>
      <c r="J18" s="35"/>
      <c r="K18" s="15"/>
      <c r="L18" s="59"/>
    </row>
    <row r="19" spans="2:12" s="4" customFormat="1" ht="13.5" customHeight="1" x14ac:dyDescent="0.45">
      <c r="B19" s="4" t="s">
        <v>27</v>
      </c>
      <c r="C19" s="39">
        <v>0.7496448</v>
      </c>
      <c r="D19" s="39">
        <v>0.31517568000000001</v>
      </c>
      <c r="E19" s="62">
        <v>0.89135360000000008</v>
      </c>
      <c r="F19" s="35"/>
      <c r="G19" s="35"/>
      <c r="H19" s="35"/>
      <c r="I19" s="35"/>
      <c r="J19" s="35"/>
      <c r="K19" s="15"/>
      <c r="L19" s="59"/>
    </row>
    <row r="20" spans="2:12" s="4" customFormat="1" ht="13.5" customHeight="1" x14ac:dyDescent="0.45">
      <c r="B20" s="10" t="s">
        <v>28</v>
      </c>
      <c r="C20" s="44">
        <f>SUM(C16:C19)</f>
        <v>2.9751528000000005</v>
      </c>
      <c r="D20" s="44">
        <f t="shared" ref="D20:E20" si="1">SUM(D16:D19)</f>
        <v>1.30009968</v>
      </c>
      <c r="E20" s="36">
        <f t="shared" si="1"/>
        <v>3.621124</v>
      </c>
      <c r="F20" s="44"/>
      <c r="G20" s="44"/>
      <c r="H20" s="44"/>
      <c r="I20" s="44"/>
      <c r="J20" s="44"/>
      <c r="K20" s="15"/>
      <c r="L20" s="59"/>
    </row>
    <row r="21" spans="2:12" s="4" customFormat="1" ht="13.5" customHeight="1" x14ac:dyDescent="0.45">
      <c r="B21" s="11"/>
      <c r="C21" s="45"/>
      <c r="D21" s="45"/>
      <c r="E21" s="40"/>
      <c r="F21" s="45"/>
      <c r="G21" s="45"/>
      <c r="H21" s="45"/>
      <c r="I21" s="45"/>
      <c r="J21" s="45"/>
      <c r="K21" s="15"/>
      <c r="L21" s="59"/>
    </row>
    <row r="22" spans="2:12" s="4" customFormat="1" ht="13.5" customHeight="1" x14ac:dyDescent="0.45">
      <c r="B22" s="11" t="s">
        <v>18</v>
      </c>
      <c r="C22" s="45">
        <f>C14-C20</f>
        <v>10.9635552</v>
      </c>
      <c r="D22" s="45">
        <f>D14-D20</f>
        <v>4.2450224399999996</v>
      </c>
      <c r="E22" s="40">
        <f>E14-E20</f>
        <v>9.7491800000000008</v>
      </c>
      <c r="F22" s="45"/>
      <c r="G22" s="45"/>
      <c r="H22" s="45"/>
      <c r="I22" s="45"/>
      <c r="J22" s="45"/>
      <c r="K22" s="15"/>
      <c r="L22" s="59"/>
    </row>
    <row r="23" spans="2:12" s="4" customFormat="1" ht="13.5" customHeight="1" x14ac:dyDescent="0.45">
      <c r="B23" s="18"/>
      <c r="C23" s="31"/>
      <c r="D23" s="31"/>
      <c r="E23" s="32"/>
      <c r="F23" s="41"/>
      <c r="G23" s="41"/>
      <c r="H23" s="41"/>
      <c r="I23" s="41"/>
      <c r="J23" s="41"/>
      <c r="K23" s="15"/>
      <c r="L23" s="59"/>
    </row>
    <row r="24" spans="2:12" s="4" customFormat="1" ht="13.5" customHeight="1" x14ac:dyDescent="0.45">
      <c r="B24" s="4" t="s">
        <v>29</v>
      </c>
      <c r="C24" s="42">
        <v>4.7087064000000005</v>
      </c>
      <c r="D24" s="42">
        <v>1.4773859999999999</v>
      </c>
      <c r="E24" s="51">
        <v>6.2673300000000003</v>
      </c>
      <c r="F24" s="20"/>
      <c r="G24" s="20"/>
      <c r="H24" s="20"/>
      <c r="I24" s="20"/>
      <c r="J24" s="20"/>
      <c r="K24" s="15"/>
      <c r="L24" s="59"/>
    </row>
    <row r="25" spans="2:12" s="4" customFormat="1" ht="13.5" customHeight="1" x14ac:dyDescent="0.45">
      <c r="B25" s="4" t="s">
        <v>30</v>
      </c>
      <c r="C25" s="39">
        <v>0.35139599999999999</v>
      </c>
      <c r="D25" s="39">
        <v>4.9246200000000004E-2</v>
      </c>
      <c r="E25" s="62">
        <v>0.55709600000000004</v>
      </c>
      <c r="F25" s="35"/>
      <c r="G25" s="35"/>
      <c r="H25" s="35"/>
      <c r="I25" s="35"/>
      <c r="J25" s="35"/>
      <c r="K25" s="15"/>
      <c r="L25" s="59"/>
    </row>
    <row r="26" spans="2:12" s="4" customFormat="1" ht="13.5" customHeight="1" x14ac:dyDescent="0.45">
      <c r="B26" s="46" t="s">
        <v>13</v>
      </c>
      <c r="C26" s="44">
        <f>SUM(C24:C25)</f>
        <v>5.0601024000000008</v>
      </c>
      <c r="D26" s="44">
        <f t="shared" ref="D26:E26" si="2">SUM(D24:D25)</f>
        <v>1.5266321999999999</v>
      </c>
      <c r="E26" s="36">
        <f t="shared" si="2"/>
        <v>6.8244260000000008</v>
      </c>
      <c r="F26" s="44"/>
      <c r="G26" s="44"/>
      <c r="H26" s="44"/>
      <c r="I26" s="44"/>
      <c r="J26" s="44"/>
      <c r="L26" s="57"/>
    </row>
    <row r="27" spans="2:12" s="4" customFormat="1" ht="13.5" customHeight="1" x14ac:dyDescent="0.45">
      <c r="B27" s="50"/>
      <c r="C27" s="45"/>
      <c r="D27" s="45"/>
      <c r="E27" s="40"/>
      <c r="F27" s="45"/>
      <c r="G27" s="45"/>
      <c r="H27" s="45"/>
      <c r="I27" s="45"/>
      <c r="J27" s="45"/>
      <c r="L27" s="57"/>
    </row>
    <row r="28" spans="2:12" s="4" customFormat="1" ht="13.5" customHeight="1" x14ac:dyDescent="0.45">
      <c r="B28" s="4" t="s">
        <v>19</v>
      </c>
      <c r="C28" s="42">
        <v>2</v>
      </c>
      <c r="D28" s="42">
        <v>1.2</v>
      </c>
      <c r="E28" s="51">
        <v>3.2549019607843142</v>
      </c>
      <c r="F28" s="20"/>
      <c r="G28" s="20"/>
      <c r="H28" s="20"/>
      <c r="I28" s="20"/>
      <c r="J28" s="20"/>
      <c r="K28" s="15"/>
      <c r="L28" s="59"/>
    </row>
    <row r="29" spans="2:12" s="4" customFormat="1" ht="13.5" customHeight="1" x14ac:dyDescent="0.45">
      <c r="B29" s="4" t="s">
        <v>31</v>
      </c>
      <c r="C29" s="39">
        <v>0.23426400000000003</v>
      </c>
      <c r="D29" s="39">
        <v>4.9246200000000004E-2</v>
      </c>
      <c r="E29" s="62">
        <v>0.16712880000000002</v>
      </c>
      <c r="F29" s="35"/>
      <c r="G29" s="35"/>
      <c r="H29" s="35"/>
      <c r="I29" s="35"/>
      <c r="J29" s="35"/>
      <c r="K29" s="15"/>
      <c r="L29" s="59"/>
    </row>
    <row r="30" spans="2:12" s="4" customFormat="1" ht="13.5" customHeight="1" x14ac:dyDescent="0.45">
      <c r="B30" s="4" t="s">
        <v>32</v>
      </c>
      <c r="C30" s="39">
        <v>1.1713200000000001</v>
      </c>
      <c r="D30" s="39">
        <v>0.78793920000000006</v>
      </c>
      <c r="E30" s="62">
        <v>1.1699016000000002</v>
      </c>
      <c r="F30" s="35"/>
      <c r="G30" s="35"/>
      <c r="H30" s="35"/>
      <c r="I30" s="35"/>
      <c r="J30" s="35"/>
      <c r="K30" s="15"/>
      <c r="L30" s="59"/>
    </row>
    <row r="31" spans="2:12" s="4" customFormat="1" ht="13.5" customHeight="1" x14ac:dyDescent="0.45">
      <c r="B31" s="46" t="s">
        <v>33</v>
      </c>
      <c r="C31" s="44">
        <f>SUM(C28:C30)</f>
        <v>3.4055840000000002</v>
      </c>
      <c r="D31" s="44">
        <f t="shared" ref="D31:E31" si="3">SUM(D28:D30)</f>
        <v>2.0371854000000003</v>
      </c>
      <c r="E31" s="36">
        <f t="shared" si="3"/>
        <v>4.5919323607843143</v>
      </c>
      <c r="F31" s="44"/>
      <c r="G31" s="44"/>
      <c r="H31" s="44"/>
      <c r="I31" s="44"/>
      <c r="J31" s="44"/>
      <c r="K31" s="15"/>
      <c r="L31" s="59"/>
    </row>
    <row r="32" spans="2:12" s="4" customFormat="1" ht="13.5" customHeight="1" x14ac:dyDescent="0.45">
      <c r="C32" s="33"/>
      <c r="D32" s="33"/>
      <c r="E32" s="34"/>
      <c r="F32" s="20"/>
      <c r="G32" s="20"/>
      <c r="H32" s="20"/>
      <c r="I32" s="20"/>
      <c r="J32" s="20"/>
      <c r="K32" s="15"/>
      <c r="L32" s="59"/>
    </row>
    <row r="33" spans="1:17" s="4" customFormat="1" ht="13.5" customHeight="1" x14ac:dyDescent="0.45">
      <c r="B33" s="11" t="s">
        <v>1</v>
      </c>
      <c r="C33" s="45">
        <f>+C22-C26-C31</f>
        <v>2.4978687999999991</v>
      </c>
      <c r="D33" s="45">
        <f>+D22-D26-D31</f>
        <v>0.68120483999999948</v>
      </c>
      <c r="E33" s="40">
        <f>+E22-E26-E31</f>
        <v>-1.6671783607843143</v>
      </c>
      <c r="F33" s="45"/>
      <c r="G33" s="45"/>
      <c r="H33" s="45"/>
      <c r="I33" s="45"/>
      <c r="J33" s="45"/>
      <c r="K33" s="15"/>
      <c r="L33" s="59"/>
    </row>
    <row r="34" spans="1:17" s="4" customFormat="1" ht="13.5" customHeight="1" x14ac:dyDescent="0.45">
      <c r="E34" s="25"/>
      <c r="F34" s="15"/>
      <c r="G34" s="15"/>
      <c r="H34" s="15"/>
      <c r="I34" s="15"/>
      <c r="J34" s="15"/>
      <c r="K34" s="15"/>
      <c r="L34" s="59"/>
    </row>
    <row r="35" spans="1:17" s="12" customFormat="1" ht="13.5" customHeight="1" x14ac:dyDescent="0.45">
      <c r="A35" s="4"/>
      <c r="B35" s="4"/>
      <c r="C35" s="4"/>
      <c r="D35" s="4"/>
      <c r="E35" s="26"/>
      <c r="F35" s="4"/>
      <c r="G35" s="4"/>
      <c r="H35" s="4"/>
      <c r="I35" s="4"/>
      <c r="J35" s="4"/>
      <c r="K35" s="4"/>
      <c r="L35" s="57"/>
      <c r="M35" s="4"/>
      <c r="N35" s="4"/>
      <c r="O35" s="4"/>
      <c r="P35" s="4"/>
      <c r="Q35" s="4"/>
    </row>
    <row r="36" spans="1:17" s="4" customFormat="1" ht="13.5" customHeight="1" x14ac:dyDescent="0.45">
      <c r="B36" s="8" t="s">
        <v>2</v>
      </c>
      <c r="C36" s="8"/>
      <c r="D36" s="8"/>
      <c r="E36" s="24">
        <v>0</v>
      </c>
      <c r="F36" s="14">
        <v>1</v>
      </c>
      <c r="G36" s="14">
        <f>F36+1</f>
        <v>2</v>
      </c>
      <c r="H36" s="14">
        <f>G36+1</f>
        <v>3</v>
      </c>
      <c r="I36" s="14">
        <f>H36+1</f>
        <v>4</v>
      </c>
      <c r="J36" s="14">
        <f>I36+1</f>
        <v>5</v>
      </c>
      <c r="L36" s="57"/>
    </row>
    <row r="37" spans="1:17" s="4" customFormat="1" ht="13.5" customHeight="1" x14ac:dyDescent="0.45">
      <c r="B37" s="4" t="s">
        <v>3</v>
      </c>
      <c r="E37" s="34">
        <v>2.2000000000000002</v>
      </c>
      <c r="F37" s="22"/>
      <c r="G37" s="22"/>
      <c r="H37" s="22"/>
      <c r="I37" s="22"/>
      <c r="J37" s="22"/>
      <c r="L37" s="57"/>
    </row>
    <row r="38" spans="1:17" s="12" customFormat="1" ht="13.5" customHeight="1" x14ac:dyDescent="0.45">
      <c r="A38" s="4"/>
      <c r="B38" s="4" t="s">
        <v>36</v>
      </c>
      <c r="C38" s="4"/>
      <c r="D38" s="4"/>
      <c r="E38" s="61">
        <v>0.12836383561643835</v>
      </c>
      <c r="F38" s="19"/>
      <c r="G38" s="19"/>
      <c r="H38" s="19"/>
      <c r="I38" s="19"/>
      <c r="J38" s="19"/>
      <c r="K38" s="54"/>
      <c r="L38" s="57"/>
      <c r="M38" s="9"/>
      <c r="N38" s="4"/>
      <c r="O38" s="4"/>
      <c r="P38" s="4"/>
      <c r="Q38" s="4"/>
    </row>
    <row r="39" spans="1:17" s="12" customFormat="1" ht="13.5" customHeight="1" x14ac:dyDescent="0.45">
      <c r="A39" s="4"/>
      <c r="B39" s="4" t="s">
        <v>34</v>
      </c>
      <c r="C39" s="4"/>
      <c r="D39" s="4"/>
      <c r="E39" s="61">
        <v>2.5993676712328768</v>
      </c>
      <c r="F39" s="19"/>
      <c r="G39" s="19"/>
      <c r="H39" s="19"/>
      <c r="I39" s="19"/>
      <c r="J39" s="19"/>
      <c r="K39" s="54"/>
      <c r="L39" s="60"/>
      <c r="M39" s="9"/>
      <c r="N39" s="4"/>
      <c r="O39" s="4"/>
      <c r="P39" s="4"/>
      <c r="Q39" s="4"/>
    </row>
    <row r="40" spans="1:17" s="12" customFormat="1" ht="13.5" customHeight="1" x14ac:dyDescent="0.45">
      <c r="A40" s="4"/>
      <c r="B40" s="4" t="s">
        <v>35</v>
      </c>
      <c r="C40" s="4"/>
      <c r="D40" s="4"/>
      <c r="E40" s="61">
        <v>0.46852800000000006</v>
      </c>
      <c r="F40" s="19"/>
      <c r="G40" s="19"/>
      <c r="H40" s="19"/>
      <c r="I40" s="19"/>
      <c r="J40" s="19"/>
      <c r="K40" s="54"/>
      <c r="L40" s="57"/>
      <c r="M40" s="9"/>
      <c r="N40" s="4"/>
      <c r="O40" s="4"/>
      <c r="P40" s="4"/>
      <c r="Q40" s="4"/>
    </row>
    <row r="41" spans="1:17" s="4" customFormat="1" ht="13.5" customHeight="1" x14ac:dyDescent="0.45">
      <c r="B41" s="4" t="s">
        <v>9</v>
      </c>
      <c r="E41" s="61">
        <v>0</v>
      </c>
      <c r="F41" s="19"/>
      <c r="G41" s="19"/>
      <c r="H41" s="19"/>
      <c r="I41" s="19"/>
      <c r="J41" s="19"/>
      <c r="L41" s="57"/>
    </row>
    <row r="42" spans="1:17" s="4" customFormat="1" ht="13.5" customHeight="1" x14ac:dyDescent="0.45">
      <c r="B42" s="4" t="s">
        <v>10</v>
      </c>
      <c r="E42" s="61">
        <v>0</v>
      </c>
      <c r="F42" s="35"/>
      <c r="G42" s="35"/>
      <c r="H42" s="35"/>
      <c r="I42" s="35"/>
      <c r="J42" s="35"/>
      <c r="L42" s="57"/>
    </row>
    <row r="43" spans="1:17" s="4" customFormat="1" ht="13.5" customHeight="1" x14ac:dyDescent="0.45">
      <c r="B43" s="4" t="s">
        <v>5</v>
      </c>
      <c r="E43" s="61">
        <v>2.5</v>
      </c>
      <c r="F43" s="19"/>
      <c r="G43" s="19"/>
      <c r="H43" s="19"/>
      <c r="I43" s="19"/>
      <c r="J43" s="19"/>
      <c r="L43" s="57"/>
    </row>
    <row r="44" spans="1:17" s="4" customFormat="1" ht="13.5" customHeight="1" x14ac:dyDescent="0.45">
      <c r="B44" s="10" t="s">
        <v>4</v>
      </c>
      <c r="C44" s="10"/>
      <c r="D44" s="10"/>
      <c r="E44" s="37">
        <f>SUM(E37:E43)</f>
        <v>7.896259506849316</v>
      </c>
      <c r="F44" s="21"/>
      <c r="G44" s="21"/>
      <c r="H44" s="21"/>
      <c r="I44" s="21"/>
      <c r="J44" s="21"/>
      <c r="L44" s="57"/>
    </row>
    <row r="45" spans="1:17" s="12" customFormat="1" ht="13.5" customHeight="1" x14ac:dyDescent="0.45">
      <c r="A45" s="4"/>
      <c r="B45" s="4"/>
      <c r="C45" s="4"/>
      <c r="D45" s="4"/>
      <c r="E45" s="38"/>
      <c r="F45" s="22"/>
      <c r="G45" s="22"/>
      <c r="H45" s="22"/>
      <c r="I45" s="22"/>
      <c r="J45" s="22"/>
      <c r="K45" s="4"/>
      <c r="L45" s="57"/>
      <c r="M45" s="4"/>
      <c r="N45" s="4"/>
      <c r="O45" s="4"/>
      <c r="P45" s="4"/>
      <c r="Q45" s="4"/>
    </row>
    <row r="46" spans="1:17" s="12" customFormat="1" ht="13.5" customHeight="1" x14ac:dyDescent="0.45">
      <c r="A46" s="4"/>
      <c r="B46" s="4" t="s">
        <v>37</v>
      </c>
      <c r="C46" s="4"/>
      <c r="D46" s="4"/>
      <c r="E46" s="34">
        <v>1.2996838356164384</v>
      </c>
      <c r="F46" s="22"/>
      <c r="G46" s="22"/>
      <c r="H46" s="22"/>
      <c r="I46" s="22"/>
      <c r="J46" s="22"/>
      <c r="K46" s="54"/>
      <c r="L46" s="57"/>
      <c r="M46" s="9"/>
      <c r="N46" s="4"/>
      <c r="O46" s="4"/>
      <c r="P46" s="4"/>
      <c r="Q46" s="4"/>
    </row>
    <row r="47" spans="1:17" s="12" customFormat="1" ht="13.5" customHeight="1" x14ac:dyDescent="0.45">
      <c r="A47" s="4"/>
      <c r="B47" s="4" t="s">
        <v>38</v>
      </c>
      <c r="C47" s="4"/>
      <c r="D47" s="4"/>
      <c r="E47" s="61">
        <v>0.47438460000000005</v>
      </c>
      <c r="F47" s="35"/>
      <c r="G47" s="35"/>
      <c r="H47" s="35"/>
      <c r="I47" s="35"/>
      <c r="J47" s="35"/>
      <c r="K47" s="54"/>
      <c r="L47" s="57"/>
      <c r="M47" s="9"/>
      <c r="N47" s="4"/>
      <c r="O47" s="4"/>
      <c r="P47" s="4"/>
      <c r="Q47" s="4"/>
    </row>
    <row r="48" spans="1:17" s="4" customFormat="1" ht="13.5" customHeight="1" x14ac:dyDescent="0.45">
      <c r="B48" s="4" t="s">
        <v>11</v>
      </c>
      <c r="E48" s="61">
        <v>0</v>
      </c>
      <c r="F48" s="35"/>
      <c r="G48" s="35"/>
      <c r="H48" s="35"/>
      <c r="I48" s="35"/>
      <c r="J48" s="35"/>
      <c r="L48" s="57"/>
    </row>
    <row r="49" spans="1:17" s="4" customFormat="1" ht="13.5" customHeight="1" x14ac:dyDescent="0.45">
      <c r="B49" s="4" t="s">
        <v>12</v>
      </c>
      <c r="E49" s="61">
        <v>0</v>
      </c>
      <c r="F49" s="35"/>
      <c r="G49" s="35"/>
      <c r="H49" s="35"/>
      <c r="I49" s="35"/>
      <c r="J49" s="35"/>
      <c r="L49" s="57"/>
    </row>
    <row r="50" spans="1:17" s="4" customFormat="1" ht="13.5" customHeight="1" x14ac:dyDescent="0.45">
      <c r="B50" s="4" t="s">
        <v>6</v>
      </c>
      <c r="E50" s="61">
        <v>6.1221910712328773</v>
      </c>
      <c r="F50" s="19"/>
      <c r="G50" s="19"/>
      <c r="H50" s="19"/>
      <c r="I50" s="19"/>
      <c r="J50" s="19"/>
      <c r="L50" s="57"/>
    </row>
    <row r="51" spans="1:17" s="4" customFormat="1" ht="13.5" customHeight="1" x14ac:dyDescent="0.45">
      <c r="B51" s="10" t="s">
        <v>7</v>
      </c>
      <c r="C51" s="10"/>
      <c r="D51" s="10"/>
      <c r="E51" s="37">
        <f>SUM(E46:E50)</f>
        <v>7.896259506849316</v>
      </c>
      <c r="F51" s="21"/>
      <c r="G51" s="21"/>
      <c r="H51" s="21"/>
      <c r="I51" s="21"/>
      <c r="J51" s="21"/>
      <c r="L51" s="57"/>
    </row>
    <row r="52" spans="1:17" s="4" customFormat="1" ht="13.5" customHeight="1" x14ac:dyDescent="0.45">
      <c r="B52" s="16"/>
      <c r="C52" s="16"/>
      <c r="D52" s="16"/>
      <c r="E52" s="27"/>
      <c r="F52" s="17"/>
      <c r="G52" s="17"/>
      <c r="H52" s="17"/>
      <c r="I52" s="17"/>
      <c r="J52" s="17"/>
      <c r="L52" s="57"/>
    </row>
    <row r="53" spans="1:17" s="12" customFormat="1" ht="13.5" customHeight="1" x14ac:dyDescent="0.45">
      <c r="A53" s="4"/>
      <c r="B53" s="4"/>
      <c r="C53" s="52"/>
      <c r="D53" s="4"/>
      <c r="E53" s="38"/>
      <c r="F53" s="53"/>
      <c r="G53" s="53"/>
      <c r="H53" s="53"/>
      <c r="I53" s="53"/>
      <c r="J53" s="53"/>
      <c r="K53" s="4"/>
      <c r="L53" s="57"/>
      <c r="M53" s="9"/>
      <c r="N53" s="4"/>
      <c r="O53" s="4"/>
      <c r="P53" s="4"/>
      <c r="Q53" s="4"/>
    </row>
  </sheetData>
  <pageMargins left="0.7" right="0.7" top="0.75" bottom="0.75" header="0.3" footer="0.3"/>
  <pageSetup scale="80" orientation="portrait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Model - Start</vt:lpstr>
      <vt:lpstr>'Model - Start'!Print_Area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mhinckley</dc:creator>
  <cp:lastModifiedBy>Mike Hinckley</cp:lastModifiedBy>
  <dcterms:created xsi:type="dcterms:W3CDTF">2021-01-06T16:29:03Z</dcterms:created>
  <dcterms:modified xsi:type="dcterms:W3CDTF">2024-03-26T12:50:01Z</dcterms:modified>
</cp:coreProperties>
</file>