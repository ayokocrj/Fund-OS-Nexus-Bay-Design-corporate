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40265FBD-D756-4C77-A0C6-867A6C328ABC}" xr6:coauthVersionLast="47" xr6:coauthVersionMax="47" xr10:uidLastSave="{00000000-0000-0000-0000-000000000000}"/>
  <bookViews>
    <workbookView xWindow="210" yWindow="45" windowWidth="22470" windowHeight="14115" xr2:uid="{149DA278-98FA-47F8-A916-DD05CF127C47}"/>
  </bookViews>
  <sheets>
    <sheet name="Model - Start" sheetId="59" r:id="rId1"/>
    <sheet name="Revenue Build - Start" sheetId="61" r:id="rId2"/>
  </sheets>
  <definedNames>
    <definedName name="_xlnm.Print_Area" localSheetId="0">'Model - Start'!$A$1:$K$42</definedName>
    <definedName name="_xlnm.Print_Area" localSheetId="1">'Revenue Build - Start'!$A$1:$K$47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59" l="1"/>
  <c r="D15" i="59"/>
  <c r="C15" i="59"/>
  <c r="E8" i="61"/>
  <c r="D8" i="61"/>
  <c r="C8" i="61"/>
  <c r="C4" i="61"/>
  <c r="C5" i="61" s="1"/>
  <c r="E40" i="61"/>
  <c r="D40" i="61"/>
  <c r="C40" i="61"/>
  <c r="D32" i="61"/>
  <c r="D45" i="61" s="1"/>
  <c r="G30" i="61"/>
  <c r="H30" i="61" s="1"/>
  <c r="I30" i="61" s="1"/>
  <c r="J30" i="61" s="1"/>
  <c r="D30" i="61"/>
  <c r="C30" i="61" s="1"/>
  <c r="E22" i="61"/>
  <c r="D22" i="61"/>
  <c r="C22" i="61"/>
  <c r="D25" i="61" s="1"/>
  <c r="D15" i="61" s="1"/>
  <c r="D14" i="61"/>
  <c r="D27" i="61" s="1"/>
  <c r="G12" i="61"/>
  <c r="H12" i="61" s="1"/>
  <c r="I12" i="61" s="1"/>
  <c r="J12" i="61" s="1"/>
  <c r="D12" i="61"/>
  <c r="C12" i="61" s="1"/>
  <c r="G3" i="61"/>
  <c r="H3" i="61" s="1"/>
  <c r="I3" i="61" s="1"/>
  <c r="J3" i="61" s="1"/>
  <c r="D3" i="61"/>
  <c r="C3" i="61" s="1"/>
  <c r="E40" i="59"/>
  <c r="E35" i="59"/>
  <c r="E29" i="59"/>
  <c r="G22" i="59"/>
  <c r="H22" i="59" s="1"/>
  <c r="I22" i="59" s="1"/>
  <c r="J22" i="59" s="1"/>
  <c r="C8" i="59"/>
  <c r="G3" i="59"/>
  <c r="H3" i="59" s="1"/>
  <c r="I3" i="59" s="1"/>
  <c r="J3" i="59" s="1"/>
  <c r="D3" i="59"/>
  <c r="C3" i="59" s="1"/>
  <c r="D43" i="61" l="1"/>
  <c r="D33" i="61" s="1"/>
  <c r="D35" i="61" s="1"/>
  <c r="E43" i="61"/>
  <c r="E33" i="61" s="1"/>
  <c r="C25" i="61"/>
  <c r="C43" i="61"/>
  <c r="E25" i="61"/>
  <c r="E15" i="61" s="1"/>
  <c r="D17" i="61"/>
  <c r="E5" i="59"/>
  <c r="D8" i="59"/>
  <c r="D5" i="59"/>
  <c r="E8" i="59"/>
  <c r="C11" i="59"/>
  <c r="D4" i="61" l="1"/>
  <c r="D5" i="61" s="1"/>
  <c r="E32" i="61"/>
  <c r="E45" i="61" s="1"/>
  <c r="D36" i="61"/>
  <c r="D18" i="61"/>
  <c r="E14" i="61"/>
  <c r="E27" i="61" s="1"/>
  <c r="C17" i="59"/>
  <c r="D11" i="59"/>
  <c r="E38" i="59"/>
  <c r="E39" i="59"/>
  <c r="E35" i="61" l="1"/>
  <c r="E17" i="61"/>
  <c r="E4" i="61" s="1"/>
  <c r="E5" i="61" s="1"/>
  <c r="E36" i="61"/>
  <c r="C19" i="59"/>
  <c r="E11" i="59"/>
  <c r="D17" i="59"/>
  <c r="E17" i="59"/>
  <c r="E18" i="61" l="1"/>
  <c r="D19" i="59"/>
  <c r="E19" i="59"/>
</calcChain>
</file>

<file path=xl/sharedStrings.xml><?xml version="1.0" encoding="utf-8"?>
<sst xmlns="http://schemas.openxmlformats.org/spreadsheetml/2006/main" count="66" uniqueCount="58">
  <si>
    <t>Model</t>
  </si>
  <si>
    <t>Income statement</t>
  </si>
  <si>
    <t>EBITDA</t>
  </si>
  <si>
    <t>Balance sheet</t>
  </si>
  <si>
    <t>Cash</t>
  </si>
  <si>
    <t>Net working capital</t>
  </si>
  <si>
    <t>Total assets</t>
  </si>
  <si>
    <t>Net PP&amp;E</t>
  </si>
  <si>
    <t>Shareholder equity</t>
  </si>
  <si>
    <t>Total liabilities &amp; equity</t>
  </si>
  <si>
    <t>$ millions</t>
  </si>
  <si>
    <t>Capitalized financing fees</t>
  </si>
  <si>
    <t>Goodwill</t>
  </si>
  <si>
    <t>Gross profit</t>
  </si>
  <si>
    <t>COGS</t>
  </si>
  <si>
    <t>% Growth</t>
  </si>
  <si>
    <t>Gross revenue</t>
  </si>
  <si>
    <t>Net revenue</t>
  </si>
  <si>
    <t>Ad spend</t>
  </si>
  <si>
    <t>General &amp; administrative</t>
  </si>
  <si>
    <t>Operating expenses</t>
  </si>
  <si>
    <t>Working capital</t>
  </si>
  <si>
    <t>Revenue Build</t>
  </si>
  <si>
    <t>Supply</t>
  </si>
  <si>
    <t>Vehicle ad spend</t>
  </si>
  <si>
    <t xml:space="preserve">  % Growth</t>
  </si>
  <si>
    <t>New vehicles added</t>
  </si>
  <si>
    <t>Total vehicle days added</t>
  </si>
  <si>
    <t>Vehicles days available</t>
  </si>
  <si>
    <t>Beginning</t>
  </si>
  <si>
    <t>New added</t>
  </si>
  <si>
    <t>Churned</t>
  </si>
  <si>
    <t>Ending</t>
  </si>
  <si>
    <t xml:space="preserve">Churn as % of prior ending </t>
  </si>
  <si>
    <t>Demand</t>
  </si>
  <si>
    <t>Driver ad spend</t>
  </si>
  <si>
    <t>Acquisition cost per driver</t>
  </si>
  <si>
    <t>Acquisition cost per vehicle</t>
  </si>
  <si>
    <t>Driver days demanded</t>
  </si>
  <si>
    <t>New drivers added</t>
  </si>
  <si>
    <t>Total driver days added</t>
  </si>
  <si>
    <t>Supply &amp; Demand</t>
  </si>
  <si>
    <t xml:space="preserve">Total booking value </t>
  </si>
  <si>
    <t>Marketplace fee %</t>
  </si>
  <si>
    <t>Cancellations</t>
  </si>
  <si>
    <t>Operations &amp; support</t>
  </si>
  <si>
    <t>Product development</t>
  </si>
  <si>
    <t>Receivables</t>
  </si>
  <si>
    <t>Other assets</t>
  </si>
  <si>
    <t>Other liabilities</t>
  </si>
  <si>
    <t>Payables &amp; accrued expenses</t>
  </si>
  <si>
    <t>Receivable turnover</t>
  </si>
  <si>
    <t>Payable turnover</t>
  </si>
  <si>
    <t>Debt</t>
  </si>
  <si>
    <t>Total vehicle days rented</t>
  </si>
  <si>
    <t>Vehicle days available per vehicle added</t>
  </si>
  <si>
    <t>Driver days demanded per driver added</t>
  </si>
  <si>
    <t>Average price per vehicle day rented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</si>
</sst>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165" formatCode="0.0%"/>
    <numFmt numFmtId="166" formatCode="&quot;Year &quot;0"/>
    <numFmt numFmtId="167" formatCode="&quot;Year &quot;0;\ &quot;Year -&quot;0"/>
    <numFmt numFmtId="168" formatCode="&quot;$&quot;#,##0.0_);\(&quot;$&quot;#,##0.0\)"/>
    <numFmt numFmtId="169" formatCode="#,##0.0_);\(#,##0.0\)"/>
    <numFmt numFmtId="171" formatCode="#,##0.000_);\(#,##0.000\)"/>
    <numFmt numFmtId="172" formatCode="0.0%;\(0.0%\);0.0%"/>
    <numFmt numFmtId="178" formatCode="0.0%;\(0.0%\);0.0\x"/>
    <numFmt numFmtId="183" formatCode="#,##0.0\x_);\(#,##0.0\x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0000FF"/>
      <name val="Garamond"/>
      <family val="1"/>
    </font>
    <font>
      <u/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theme="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name val="Garamond"/>
      <family val="1"/>
    </font>
    <font>
      <b/>
      <i/>
      <sz val="10"/>
      <color theme="1"/>
      <name val="Garamond"/>
      <family val="1"/>
    </font>
    <font>
      <b/>
      <i/>
      <sz val="10"/>
      <name val="Garamond"/>
      <family val="1"/>
    </font>
    <font>
      <sz val="10"/>
      <color rgb="FF00B05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0" borderId="0" xfId="0" quotePrefix="1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3" fillId="3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5" fontId="10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8" fontId="9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7" fontId="3" fillId="0" borderId="0" xfId="0" applyNumberFormat="1" applyFont="1" applyAlignment="1">
      <alignment vertical="center"/>
    </xf>
    <xf numFmtId="0" fontId="3" fillId="0" borderId="2" xfId="0" applyFont="1" applyBorder="1"/>
    <xf numFmtId="0" fontId="5" fillId="2" borderId="2" xfId="0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5" fontId="10" fillId="0" borderId="2" xfId="0" applyNumberFormat="1" applyFont="1" applyBorder="1" applyAlignment="1">
      <alignment vertical="center"/>
    </xf>
    <xf numFmtId="167" fontId="3" fillId="3" borderId="2" xfId="0" applyNumberFormat="1" applyFont="1" applyFill="1" applyBorder="1" applyAlignment="1">
      <alignment vertical="center"/>
    </xf>
    <xf numFmtId="172" fontId="11" fillId="0" borderId="0" xfId="1" applyNumberFormat="1" applyFont="1" applyFill="1" applyBorder="1" applyAlignment="1">
      <alignment vertical="center"/>
    </xf>
    <xf numFmtId="172" fontId="11" fillId="0" borderId="2" xfId="1" applyNumberFormat="1" applyFont="1" applyFill="1" applyBorder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11" fillId="0" borderId="2" xfId="1" applyNumberFormat="1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2" xfId="0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168" fontId="15" fillId="0" borderId="3" xfId="0" applyNumberFormat="1" applyFont="1" applyBorder="1" applyAlignment="1">
      <alignment vertical="center"/>
    </xf>
    <xf numFmtId="168" fontId="9" fillId="0" borderId="3" xfId="0" applyNumberFormat="1" applyFont="1" applyBorder="1" applyAlignment="1">
      <alignment vertical="center"/>
    </xf>
    <xf numFmtId="168" fontId="3" fillId="0" borderId="2" xfId="0" applyNumberFormat="1" applyFont="1" applyBorder="1" applyAlignment="1">
      <alignment vertical="center"/>
    </xf>
    <xf numFmtId="169" fontId="6" fillId="4" borderId="0" xfId="0" applyNumberFormat="1" applyFont="1" applyFill="1" applyAlignment="1">
      <alignment vertical="center"/>
    </xf>
    <xf numFmtId="168" fontId="15" fillId="0" borderId="2" xfId="0" applyNumberFormat="1" applyFont="1" applyBorder="1" applyAlignment="1">
      <alignment vertical="center"/>
    </xf>
    <xf numFmtId="168" fontId="6" fillId="4" borderId="0" xfId="0" applyNumberFormat="1" applyFont="1" applyFill="1" applyAlignment="1">
      <alignment vertical="center"/>
    </xf>
    <xf numFmtId="172" fontId="13" fillId="0" borderId="0" xfId="1" applyNumberFormat="1" applyFont="1" applyFill="1" applyBorder="1" applyAlignment="1">
      <alignment vertical="center"/>
    </xf>
    <xf numFmtId="168" fontId="15" fillId="0" borderId="1" xfId="0" applyNumberFormat="1" applyFont="1" applyBorder="1" applyAlignment="1">
      <alignment vertical="center"/>
    </xf>
    <xf numFmtId="16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8" fontId="17" fillId="0" borderId="0" xfId="0" applyNumberFormat="1" applyFont="1" applyAlignment="1">
      <alignment vertical="center"/>
    </xf>
    <xf numFmtId="7" fontId="10" fillId="0" borderId="0" xfId="0" applyNumberFormat="1" applyFont="1" applyAlignment="1">
      <alignment vertical="center"/>
    </xf>
    <xf numFmtId="168" fontId="6" fillId="4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7" fontId="8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171" fontId="10" fillId="0" borderId="0" xfId="0" applyNumberFormat="1" applyFont="1" applyAlignment="1">
      <alignment vertical="center"/>
    </xf>
    <xf numFmtId="168" fontId="17" fillId="0" borderId="2" xfId="0" applyNumberFormat="1" applyFont="1" applyBorder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37" fontId="8" fillId="0" borderId="2" xfId="0" applyNumberFormat="1" applyFont="1" applyBorder="1" applyAlignment="1">
      <alignment vertical="center"/>
    </xf>
    <xf numFmtId="7" fontId="8" fillId="0" borderId="0" xfId="1" applyNumberFormat="1" applyFont="1" applyFill="1" applyBorder="1" applyAlignment="1">
      <alignment vertical="center"/>
    </xf>
    <xf numFmtId="7" fontId="8" fillId="0" borderId="2" xfId="1" applyNumberFormat="1" applyFont="1" applyFill="1" applyBorder="1" applyAlignment="1">
      <alignment vertical="center"/>
    </xf>
    <xf numFmtId="7" fontId="6" fillId="4" borderId="0" xfId="1" applyNumberFormat="1" applyFont="1" applyFill="1" applyBorder="1" applyAlignment="1">
      <alignment vertical="center"/>
    </xf>
    <xf numFmtId="169" fontId="6" fillId="0" borderId="2" xfId="0" applyNumberFormat="1" applyFont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37" fontId="6" fillId="4" borderId="0" xfId="0" applyNumberFormat="1" applyFont="1" applyFill="1" applyAlignment="1">
      <alignment vertical="center"/>
    </xf>
    <xf numFmtId="37" fontId="6" fillId="4" borderId="2" xfId="0" applyNumberFormat="1" applyFont="1" applyFill="1" applyBorder="1" applyAlignment="1">
      <alignment vertical="center"/>
    </xf>
    <xf numFmtId="37" fontId="6" fillId="0" borderId="0" xfId="0" applyNumberFormat="1" applyFont="1" applyFill="1" applyAlignment="1">
      <alignment vertical="center"/>
    </xf>
    <xf numFmtId="37" fontId="8" fillId="0" borderId="0" xfId="0" applyNumberFormat="1" applyFont="1" applyFill="1" applyAlignment="1">
      <alignment vertical="center"/>
    </xf>
    <xf numFmtId="37" fontId="14" fillId="4" borderId="1" xfId="0" applyNumberFormat="1" applyFont="1" applyFill="1" applyBorder="1" applyAlignment="1">
      <alignment vertical="center"/>
    </xf>
    <xf numFmtId="37" fontId="15" fillId="0" borderId="1" xfId="0" applyNumberFormat="1" applyFont="1" applyFill="1" applyBorder="1" applyAlignment="1">
      <alignment vertical="center"/>
    </xf>
    <xf numFmtId="168" fontId="6" fillId="4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Alignment="1">
      <alignment vertical="center"/>
    </xf>
    <xf numFmtId="168" fontId="8" fillId="0" borderId="0" xfId="1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7" fontId="15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37" fontId="8" fillId="0" borderId="0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165" fontId="13" fillId="0" borderId="0" xfId="1" applyNumberFormat="1" applyFont="1" applyFill="1" applyAlignment="1">
      <alignment vertical="center"/>
    </xf>
    <xf numFmtId="178" fontId="11" fillId="0" borderId="0" xfId="1" applyNumberFormat="1" applyFont="1" applyFill="1" applyAlignment="1">
      <alignment vertical="center"/>
    </xf>
    <xf numFmtId="37" fontId="8" fillId="0" borderId="2" xfId="0" applyNumberFormat="1" applyFont="1" applyFill="1" applyBorder="1" applyAlignment="1">
      <alignment vertical="center"/>
    </xf>
    <xf numFmtId="37" fontId="15" fillId="0" borderId="3" xfId="0" applyNumberFormat="1" applyFont="1" applyFill="1" applyBorder="1" applyAlignment="1">
      <alignment vertical="center"/>
    </xf>
    <xf numFmtId="7" fontId="6" fillId="4" borderId="2" xfId="1" applyNumberFormat="1" applyFont="1" applyFill="1" applyBorder="1" applyAlignment="1">
      <alignment vertical="center"/>
    </xf>
    <xf numFmtId="178" fontId="11" fillId="0" borderId="2" xfId="1" applyNumberFormat="1" applyFont="1" applyFill="1" applyBorder="1" applyAlignment="1">
      <alignment vertical="center"/>
    </xf>
    <xf numFmtId="168" fontId="6" fillId="4" borderId="2" xfId="1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169" fontId="18" fillId="0" borderId="0" xfId="0" applyNumberFormat="1" applyFont="1" applyAlignment="1">
      <alignment vertical="center"/>
    </xf>
    <xf numFmtId="183" fontId="8" fillId="0" borderId="0" xfId="0" applyNumberFormat="1" applyFont="1" applyAlignment="1">
      <alignment vertical="center"/>
    </xf>
    <xf numFmtId="168" fontId="3" fillId="0" borderId="0" xfId="0" applyNumberFormat="1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 indent="1"/>
    </xf>
    <xf numFmtId="165" fontId="6" fillId="0" borderId="0" xfId="1" applyNumberFormat="1" applyFont="1" applyFill="1" applyAlignment="1">
      <alignment vertical="center"/>
    </xf>
    <xf numFmtId="168" fontId="6" fillId="4" borderId="0" xfId="0" applyNumberFormat="1" applyFont="1" applyFill="1" applyBorder="1" applyAlignment="1">
      <alignment vertical="center"/>
    </xf>
    <xf numFmtId="168" fontId="8" fillId="0" borderId="0" xfId="0" applyNumberFormat="1" applyFont="1" applyFill="1" applyAlignment="1">
      <alignment vertical="center"/>
    </xf>
    <xf numFmtId="168" fontId="15" fillId="0" borderId="1" xfId="0" applyNumberFormat="1" applyFont="1" applyFill="1" applyBorder="1" applyAlignment="1">
      <alignment vertical="center"/>
    </xf>
    <xf numFmtId="168" fontId="17" fillId="0" borderId="0" xfId="0" applyNumberFormat="1" applyFont="1" applyFill="1" applyAlignment="1">
      <alignment vertical="center"/>
    </xf>
    <xf numFmtId="168" fontId="8" fillId="0" borderId="0" xfId="0" applyNumberFormat="1" applyFont="1" applyFill="1" applyBorder="1" applyAlignment="1">
      <alignment vertical="center"/>
    </xf>
    <xf numFmtId="168" fontId="15" fillId="0" borderId="0" xfId="0" applyNumberFormat="1" applyFont="1" applyFill="1" applyAlignment="1">
      <alignment vertical="center"/>
    </xf>
    <xf numFmtId="165" fontId="11" fillId="0" borderId="0" xfId="0" applyNumberFormat="1" applyFont="1" applyFill="1" applyAlignment="1">
      <alignment vertical="center"/>
    </xf>
    <xf numFmtId="169" fontId="8" fillId="0" borderId="0" xfId="0" applyNumberFormat="1" applyFont="1" applyFill="1" applyAlignment="1">
      <alignment vertical="center"/>
    </xf>
    <xf numFmtId="183" fontId="8" fillId="0" borderId="2" xfId="0" applyNumberFormat="1" applyFont="1" applyBorder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8" fillId="0" borderId="2" xfId="1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78" fontId="6" fillId="0" borderId="0" xfId="1" applyNumberFormat="1" applyFont="1" applyFill="1" applyAlignment="1">
      <alignment vertical="center"/>
    </xf>
    <xf numFmtId="178" fontId="8" fillId="0" borderId="0" xfId="1" applyNumberFormat="1" applyFont="1" applyFill="1" applyAlignment="1">
      <alignment vertical="center"/>
    </xf>
    <xf numFmtId="178" fontId="8" fillId="0" borderId="2" xfId="1" applyNumberFormat="1" applyFont="1" applyFill="1" applyBorder="1" applyAlignment="1">
      <alignment vertical="center"/>
    </xf>
    <xf numFmtId="168" fontId="14" fillId="4" borderId="1" xfId="1" applyNumberFormat="1" applyFont="1" applyFill="1" applyBorder="1" applyAlignment="1">
      <alignment vertical="center"/>
    </xf>
    <xf numFmtId="168" fontId="14" fillId="4" borderId="3" xfId="1" applyNumberFormat="1" applyFont="1" applyFill="1" applyBorder="1" applyAlignment="1">
      <alignment vertical="center"/>
    </xf>
    <xf numFmtId="168" fontId="15" fillId="0" borderId="1" xfId="1" applyNumberFormat="1" applyFont="1" applyFill="1" applyBorder="1" applyAlignment="1">
      <alignment vertical="center"/>
    </xf>
  </cellXfs>
  <cellStyles count="3">
    <cellStyle name="Normal" xfId="0" builtinId="0"/>
    <cellStyle name="Normal 2" xfId="2" xr:uid="{FE34F453-BE46-4638-A718-6F04F1594BE6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802F-C4F0-46D2-A0D4-BDB9CD9478A8}">
  <dimension ref="A1:Q44"/>
  <sheetViews>
    <sheetView showGridLines="0" tabSelected="1" view="pageBreakPreview" zoomScale="130" zoomScaleNormal="140" zoomScaleSheetLayoutView="130" workbookViewId="0"/>
  </sheetViews>
  <sheetFormatPr defaultColWidth="9.1328125" defaultRowHeight="13.15" x14ac:dyDescent="0.4"/>
  <cols>
    <col min="1" max="1" width="5.19921875" style="2" customWidth="1"/>
    <col min="2" max="2" width="25.59765625" style="2" customWidth="1"/>
    <col min="3" max="10" width="11.265625" style="2" customWidth="1"/>
    <col min="11" max="11" width="6.06640625" style="2" customWidth="1"/>
    <col min="12" max="12" width="9.1328125" style="55"/>
    <col min="13" max="17" width="9.1328125" style="2" customWidth="1"/>
    <col min="18" max="20" width="9.1328125" style="1" customWidth="1"/>
    <col min="21" max="16384" width="9.1328125" style="1"/>
  </cols>
  <sheetData>
    <row r="1" spans="2:13" x14ac:dyDescent="0.4">
      <c r="B1" s="3"/>
    </row>
    <row r="2" spans="2:13" s="4" customFormat="1" ht="13.5" customHeight="1" x14ac:dyDescent="0.45">
      <c r="B2" s="5" t="s">
        <v>0</v>
      </c>
      <c r="C2" s="5"/>
      <c r="D2" s="5"/>
      <c r="E2" s="24"/>
      <c r="F2" s="6"/>
      <c r="G2" s="6"/>
      <c r="H2" s="6"/>
      <c r="I2" s="6"/>
      <c r="J2" s="7" t="s">
        <v>10</v>
      </c>
      <c r="L2" s="56"/>
    </row>
    <row r="3" spans="2:13" s="4" customFormat="1" ht="13.5" customHeight="1" x14ac:dyDescent="0.45">
      <c r="B3" s="8" t="s">
        <v>1</v>
      </c>
      <c r="C3" s="13">
        <f>+D3-1</f>
        <v>-2</v>
      </c>
      <c r="D3" s="13">
        <f>+E3-1</f>
        <v>-1</v>
      </c>
      <c r="E3" s="29">
        <v>0</v>
      </c>
      <c r="F3" s="13">
        <v>1</v>
      </c>
      <c r="G3" s="13">
        <f>F3+1</f>
        <v>2</v>
      </c>
      <c r="H3" s="13">
        <f>G3+1</f>
        <v>3</v>
      </c>
      <c r="I3" s="13">
        <f>H3+1</f>
        <v>4</v>
      </c>
      <c r="J3" s="13">
        <f>I3+1</f>
        <v>5</v>
      </c>
      <c r="L3" s="56"/>
    </row>
    <row r="4" spans="2:13" s="4" customFormat="1" ht="13.5" customHeight="1" x14ac:dyDescent="0.45">
      <c r="B4" s="4" t="s">
        <v>16</v>
      </c>
      <c r="C4" s="42">
        <v>73.836296074709992</v>
      </c>
      <c r="D4" s="42">
        <v>92.488395802653002</v>
      </c>
      <c r="E4" s="49">
        <v>119.83782209874963</v>
      </c>
      <c r="F4" s="95"/>
      <c r="G4" s="95"/>
      <c r="H4" s="95"/>
      <c r="I4" s="95"/>
      <c r="J4" s="95"/>
      <c r="K4" s="22"/>
      <c r="L4" s="56"/>
      <c r="M4" s="11"/>
    </row>
    <row r="5" spans="2:13" s="4" customFormat="1" ht="13.5" customHeight="1" x14ac:dyDescent="0.45">
      <c r="B5" s="19" t="s">
        <v>15</v>
      </c>
      <c r="C5" s="43"/>
      <c r="D5" s="30">
        <f t="shared" ref="D5" si="0">D4/C4-1</f>
        <v>0.2526142387894188</v>
      </c>
      <c r="E5" s="31">
        <f>E4/D4-1</f>
        <v>0.29570657009181378</v>
      </c>
      <c r="F5" s="30"/>
      <c r="G5" s="30"/>
      <c r="H5" s="30"/>
      <c r="I5" s="30"/>
      <c r="J5" s="30"/>
      <c r="L5" s="56"/>
    </row>
    <row r="6" spans="2:13" s="4" customFormat="1" ht="13.5" customHeight="1" x14ac:dyDescent="0.45">
      <c r="B6" s="19"/>
      <c r="C6" s="43"/>
      <c r="D6" s="30"/>
      <c r="E6" s="31"/>
      <c r="F6" s="30"/>
      <c r="G6" s="30"/>
      <c r="H6" s="30"/>
      <c r="I6" s="30"/>
      <c r="J6" s="30"/>
      <c r="K6" s="30"/>
      <c r="L6" s="56"/>
    </row>
    <row r="7" spans="2:13" s="4" customFormat="1" ht="13.5" customHeight="1" x14ac:dyDescent="0.45">
      <c r="B7" s="4" t="s">
        <v>44</v>
      </c>
      <c r="C7" s="42">
        <v>10.410917746534109</v>
      </c>
      <c r="D7" s="42">
        <v>13.688282578792643</v>
      </c>
      <c r="E7" s="49">
        <v>18.215348959009944</v>
      </c>
      <c r="F7" s="95"/>
      <c r="G7" s="95"/>
      <c r="H7" s="95"/>
      <c r="I7" s="95"/>
      <c r="J7" s="95"/>
      <c r="L7" s="56"/>
    </row>
    <row r="8" spans="2:13" s="4" customFormat="1" ht="13.5" customHeight="1" x14ac:dyDescent="0.45">
      <c r="B8" s="10" t="s">
        <v>17</v>
      </c>
      <c r="C8" s="44">
        <f>C4-C7</f>
        <v>63.425378328175881</v>
      </c>
      <c r="D8" s="44">
        <f t="shared" ref="D8:E8" si="1">D4-D7</f>
        <v>78.800113223860365</v>
      </c>
      <c r="E8" s="37">
        <f t="shared" si="1"/>
        <v>101.62247313973968</v>
      </c>
      <c r="F8" s="96"/>
      <c r="G8" s="96"/>
      <c r="H8" s="96"/>
      <c r="I8" s="96"/>
      <c r="J8" s="96"/>
      <c r="K8" s="22"/>
      <c r="L8" s="56"/>
      <c r="M8" s="11"/>
    </row>
    <row r="9" spans="2:13" s="16" customFormat="1" ht="13.5" customHeight="1" x14ac:dyDescent="0.45">
      <c r="B9" s="46"/>
      <c r="C9" s="47"/>
      <c r="D9" s="47"/>
      <c r="E9" s="54"/>
      <c r="F9" s="97"/>
      <c r="G9" s="97"/>
      <c r="H9" s="97"/>
      <c r="I9" s="97"/>
      <c r="J9" s="97"/>
      <c r="K9" s="48"/>
      <c r="L9" s="57"/>
      <c r="M9" s="46"/>
    </row>
    <row r="10" spans="2:13" s="4" customFormat="1" ht="13.5" customHeight="1" x14ac:dyDescent="0.45">
      <c r="B10" s="87" t="s">
        <v>14</v>
      </c>
      <c r="C10" s="94">
        <v>11.315087493746578</v>
      </c>
      <c r="D10" s="94">
        <v>14.105220267071005</v>
      </c>
      <c r="E10" s="49">
        <v>18.292045165153141</v>
      </c>
      <c r="F10" s="98"/>
      <c r="G10" s="98"/>
      <c r="H10" s="98"/>
      <c r="I10" s="98"/>
      <c r="J10" s="98"/>
      <c r="K10" s="15"/>
      <c r="L10" s="58"/>
    </row>
    <row r="11" spans="2:13" s="4" customFormat="1" ht="13.5" customHeight="1" x14ac:dyDescent="0.45">
      <c r="B11" s="10" t="s">
        <v>13</v>
      </c>
      <c r="C11" s="44">
        <f>C8-C10</f>
        <v>52.110290834429307</v>
      </c>
      <c r="D11" s="44">
        <f>D8-D10</f>
        <v>64.69489295678936</v>
      </c>
      <c r="E11" s="37">
        <f>E8-E10</f>
        <v>83.330427974586541</v>
      </c>
      <c r="F11" s="96"/>
      <c r="G11" s="96"/>
      <c r="H11" s="96"/>
      <c r="I11" s="96"/>
      <c r="J11" s="96"/>
      <c r="K11" s="15"/>
      <c r="L11" s="58"/>
    </row>
    <row r="12" spans="2:13" s="4" customFormat="1" ht="13.5" customHeight="1" x14ac:dyDescent="0.45">
      <c r="B12" s="19"/>
      <c r="C12" s="32"/>
      <c r="D12" s="32"/>
      <c r="E12" s="33"/>
      <c r="F12" s="100"/>
      <c r="G12" s="100"/>
      <c r="H12" s="100"/>
      <c r="I12" s="100"/>
      <c r="J12" s="100"/>
      <c r="K12" s="15"/>
      <c r="L12" s="58"/>
    </row>
    <row r="13" spans="2:13" s="4" customFormat="1" ht="13.5" customHeight="1" x14ac:dyDescent="0.45">
      <c r="B13" s="4" t="s">
        <v>45</v>
      </c>
      <c r="C13" s="42">
        <v>11.923971125697065</v>
      </c>
      <c r="D13" s="42">
        <v>14.499220833190307</v>
      </c>
      <c r="E13" s="49">
        <v>17.479065380035223</v>
      </c>
      <c r="F13" s="95"/>
      <c r="G13" s="95"/>
      <c r="H13" s="95"/>
      <c r="I13" s="95"/>
      <c r="J13" s="95"/>
      <c r="K13" s="15"/>
      <c r="L13" s="58"/>
    </row>
    <row r="14" spans="2:13" s="4" customFormat="1" ht="13.5" customHeight="1" x14ac:dyDescent="0.45">
      <c r="B14" s="4" t="s">
        <v>46</v>
      </c>
      <c r="C14" s="40">
        <v>11.099441207430779</v>
      </c>
      <c r="D14" s="40">
        <v>14.184020380294864</v>
      </c>
      <c r="E14" s="64">
        <v>18.6985350577121</v>
      </c>
      <c r="F14" s="101"/>
      <c r="G14" s="101"/>
      <c r="H14" s="101"/>
      <c r="I14" s="101"/>
      <c r="J14" s="101"/>
      <c r="K14" s="15"/>
      <c r="L14" s="58"/>
    </row>
    <row r="15" spans="2:13" s="4" customFormat="1" ht="13.5" customHeight="1" x14ac:dyDescent="0.45">
      <c r="B15" s="4" t="s">
        <v>18</v>
      </c>
      <c r="C15" s="88">
        <f>+'Revenue Build - Start'!C20+'Revenue Build - Start'!C38</f>
        <v>8.4</v>
      </c>
      <c r="D15" s="88">
        <f>+'Revenue Build - Start'!D20+'Revenue Build - Start'!D38</f>
        <v>11.4</v>
      </c>
      <c r="E15" s="88">
        <f>+'Revenue Build - Start'!E20+'Revenue Build - Start'!E38</f>
        <v>13.8</v>
      </c>
      <c r="F15" s="101"/>
      <c r="G15" s="101"/>
      <c r="H15" s="101"/>
      <c r="I15" s="101"/>
      <c r="J15" s="101"/>
      <c r="K15" s="15"/>
      <c r="L15" s="58"/>
    </row>
    <row r="16" spans="2:13" s="4" customFormat="1" ht="13.5" customHeight="1" x14ac:dyDescent="0.45">
      <c r="B16" s="4" t="s">
        <v>19</v>
      </c>
      <c r="C16" s="40">
        <v>8.3721499393192165</v>
      </c>
      <c r="D16" s="40">
        <v>10.87441562489273</v>
      </c>
      <c r="E16" s="64">
        <v>13.719033873864857</v>
      </c>
      <c r="F16" s="101"/>
      <c r="G16" s="101"/>
      <c r="H16" s="101"/>
      <c r="I16" s="101"/>
      <c r="J16" s="101"/>
      <c r="K16" s="15"/>
      <c r="L16" s="58"/>
    </row>
    <row r="17" spans="1:17" s="4" customFormat="1" ht="13.5" customHeight="1" x14ac:dyDescent="0.45">
      <c r="B17" s="10" t="s">
        <v>20</v>
      </c>
      <c r="C17" s="44">
        <f>SUM(C13:C16)</f>
        <v>39.795562272447057</v>
      </c>
      <c r="D17" s="44">
        <f>SUM(D13:D16)</f>
        <v>50.9576568383779</v>
      </c>
      <c r="E17" s="37">
        <f>SUM(E13:E16)</f>
        <v>63.696634311612186</v>
      </c>
      <c r="F17" s="96"/>
      <c r="G17" s="96"/>
      <c r="H17" s="96"/>
      <c r="I17" s="96"/>
      <c r="J17" s="96"/>
      <c r="K17" s="15"/>
      <c r="L17" s="58"/>
    </row>
    <row r="18" spans="1:17" s="4" customFormat="1" ht="13.5" customHeight="1" x14ac:dyDescent="0.45">
      <c r="B18" s="11"/>
      <c r="C18" s="45"/>
      <c r="D18" s="45"/>
      <c r="E18" s="41"/>
      <c r="F18" s="99"/>
      <c r="G18" s="99"/>
      <c r="H18" s="99"/>
      <c r="I18" s="99"/>
      <c r="J18" s="99"/>
      <c r="K18" s="15"/>
      <c r="L18" s="58"/>
    </row>
    <row r="19" spans="1:17" s="4" customFormat="1" ht="13.5" customHeight="1" x14ac:dyDescent="0.45">
      <c r="B19" s="11" t="s">
        <v>2</v>
      </c>
      <c r="C19" s="45">
        <f>+C11-C17</f>
        <v>12.31472856198225</v>
      </c>
      <c r="D19" s="45">
        <f>+D11-D17</f>
        <v>13.73723611841146</v>
      </c>
      <c r="E19" s="41">
        <f>+E11-E17</f>
        <v>19.633793662974355</v>
      </c>
      <c r="F19" s="99"/>
      <c r="G19" s="99"/>
      <c r="H19" s="99"/>
      <c r="I19" s="99"/>
      <c r="J19" s="99"/>
      <c r="K19" s="15"/>
      <c r="L19" s="58"/>
    </row>
    <row r="20" spans="1:17" s="4" customFormat="1" ht="13.5" customHeight="1" x14ac:dyDescent="0.45">
      <c r="E20" s="26"/>
      <c r="F20" s="15"/>
      <c r="G20" s="15"/>
      <c r="H20" s="15"/>
      <c r="I20" s="15"/>
      <c r="J20" s="15"/>
      <c r="K20" s="15"/>
      <c r="L20" s="58"/>
    </row>
    <row r="21" spans="1:17" s="12" customFormat="1" ht="13.5" customHeight="1" x14ac:dyDescent="0.45">
      <c r="A21" s="4"/>
      <c r="B21" s="4"/>
      <c r="C21" s="4"/>
      <c r="D21" s="4"/>
      <c r="E21" s="27"/>
      <c r="F21" s="4"/>
      <c r="G21" s="4"/>
      <c r="H21" s="4"/>
      <c r="I21" s="4"/>
      <c r="J21" s="4"/>
      <c r="K21" s="4"/>
      <c r="L21" s="56"/>
      <c r="M21" s="4"/>
      <c r="N21" s="4"/>
      <c r="O21" s="4"/>
      <c r="P21" s="4"/>
      <c r="Q21" s="4"/>
    </row>
    <row r="22" spans="1:17" s="4" customFormat="1" ht="13.5" customHeight="1" x14ac:dyDescent="0.45">
      <c r="B22" s="8" t="s">
        <v>3</v>
      </c>
      <c r="C22" s="14"/>
      <c r="D22" s="14"/>
      <c r="E22" s="25">
        <v>0</v>
      </c>
      <c r="F22" s="14">
        <v>1</v>
      </c>
      <c r="G22" s="14">
        <f>F22+1</f>
        <v>2</v>
      </c>
      <c r="H22" s="14">
        <f>G22+1</f>
        <v>3</v>
      </c>
      <c r="I22" s="14">
        <f>H22+1</f>
        <v>4</v>
      </c>
      <c r="J22" s="14">
        <f>I22+1</f>
        <v>5</v>
      </c>
      <c r="L22" s="56"/>
    </row>
    <row r="23" spans="1:17" s="4" customFormat="1" ht="13.5" customHeight="1" x14ac:dyDescent="0.45">
      <c r="B23" s="4" t="s">
        <v>4</v>
      </c>
      <c r="C23" s="34"/>
      <c r="D23" s="34"/>
      <c r="E23" s="35">
        <v>110.9</v>
      </c>
      <c r="F23" s="34"/>
      <c r="G23" s="34"/>
      <c r="H23" s="34"/>
      <c r="I23" s="34"/>
      <c r="J23" s="34"/>
      <c r="L23" s="56"/>
    </row>
    <row r="24" spans="1:17" s="12" customFormat="1" ht="13.5" customHeight="1" x14ac:dyDescent="0.45">
      <c r="A24" s="4"/>
      <c r="B24" s="4" t="s">
        <v>47</v>
      </c>
      <c r="C24" s="36"/>
      <c r="D24" s="36"/>
      <c r="E24" s="63">
        <v>55.1</v>
      </c>
      <c r="F24" s="36"/>
      <c r="G24" s="36"/>
      <c r="H24" s="36"/>
      <c r="I24" s="36"/>
      <c r="J24" s="36"/>
      <c r="K24" s="53"/>
      <c r="L24" s="56"/>
      <c r="M24" s="9"/>
      <c r="N24" s="4"/>
      <c r="O24" s="4"/>
      <c r="P24" s="4"/>
      <c r="Q24" s="4"/>
    </row>
    <row r="25" spans="1:17" s="4" customFormat="1" ht="13.5" customHeight="1" x14ac:dyDescent="0.45">
      <c r="B25" s="4" t="s">
        <v>11</v>
      </c>
      <c r="C25" s="36"/>
      <c r="D25" s="36"/>
      <c r="E25" s="63">
        <v>0</v>
      </c>
      <c r="F25" s="36"/>
      <c r="G25" s="36"/>
      <c r="H25" s="36"/>
      <c r="I25" s="36"/>
      <c r="J25" s="36"/>
      <c r="L25" s="56"/>
    </row>
    <row r="26" spans="1:17" s="4" customFormat="1" ht="13.5" customHeight="1" x14ac:dyDescent="0.45">
      <c r="B26" s="4" t="s">
        <v>12</v>
      </c>
      <c r="C26" s="36"/>
      <c r="D26" s="36"/>
      <c r="E26" s="63">
        <v>0</v>
      </c>
      <c r="F26" s="36"/>
      <c r="G26" s="36"/>
      <c r="H26" s="36"/>
      <c r="I26" s="36"/>
      <c r="J26" s="36"/>
      <c r="L26" s="56"/>
    </row>
    <row r="27" spans="1:17" s="4" customFormat="1" ht="13.5" customHeight="1" x14ac:dyDescent="0.45">
      <c r="B27" s="4" t="s">
        <v>7</v>
      </c>
      <c r="C27" s="36"/>
      <c r="D27" s="36"/>
      <c r="E27" s="63">
        <v>3</v>
      </c>
      <c r="F27" s="36"/>
      <c r="G27" s="36"/>
      <c r="H27" s="36"/>
      <c r="I27" s="36"/>
      <c r="J27" s="36"/>
      <c r="L27" s="56"/>
    </row>
    <row r="28" spans="1:17" s="4" customFormat="1" ht="13.5" customHeight="1" x14ac:dyDescent="0.45">
      <c r="B28" s="4" t="s">
        <v>48</v>
      </c>
      <c r="C28" s="36"/>
      <c r="D28" s="36"/>
      <c r="E28" s="63">
        <v>15.8</v>
      </c>
      <c r="F28" s="36"/>
      <c r="G28" s="36"/>
      <c r="H28" s="36"/>
      <c r="I28" s="36"/>
      <c r="J28" s="36"/>
      <c r="L28" s="56"/>
    </row>
    <row r="29" spans="1:17" s="4" customFormat="1" ht="13.5" customHeight="1" x14ac:dyDescent="0.45">
      <c r="B29" s="10" t="s">
        <v>6</v>
      </c>
      <c r="C29" s="20"/>
      <c r="D29" s="20"/>
      <c r="E29" s="38">
        <f>SUM(E23:E28)</f>
        <v>184.8</v>
      </c>
      <c r="F29" s="20"/>
      <c r="G29" s="20"/>
      <c r="H29" s="20"/>
      <c r="I29" s="20"/>
      <c r="J29" s="20"/>
      <c r="L29" s="56"/>
    </row>
    <row r="30" spans="1:17" s="12" customFormat="1" ht="13.5" customHeight="1" x14ac:dyDescent="0.45">
      <c r="A30" s="4"/>
      <c r="B30" s="4"/>
      <c r="C30" s="21"/>
      <c r="D30" s="21"/>
      <c r="E30" s="39"/>
      <c r="F30" s="21"/>
      <c r="G30" s="21"/>
      <c r="H30" s="21"/>
      <c r="I30" s="21"/>
      <c r="J30" s="21"/>
      <c r="K30" s="4"/>
      <c r="L30" s="56"/>
      <c r="M30" s="4"/>
      <c r="N30" s="4"/>
      <c r="O30" s="4"/>
      <c r="P30" s="4"/>
      <c r="Q30" s="4"/>
    </row>
    <row r="31" spans="1:17" s="12" customFormat="1" ht="13.5" customHeight="1" x14ac:dyDescent="0.45">
      <c r="A31" s="4"/>
      <c r="B31" s="4" t="s">
        <v>50</v>
      </c>
      <c r="C31" s="34"/>
      <c r="D31" s="34"/>
      <c r="E31" s="35">
        <v>38.4</v>
      </c>
      <c r="F31" s="34"/>
      <c r="G31" s="34"/>
      <c r="H31" s="34"/>
      <c r="I31" s="34"/>
      <c r="J31" s="34"/>
      <c r="K31" s="53"/>
      <c r="L31" s="56"/>
      <c r="M31" s="9"/>
      <c r="N31" s="4"/>
      <c r="O31" s="4"/>
      <c r="P31" s="4"/>
      <c r="Q31" s="4"/>
    </row>
    <row r="32" spans="1:17" s="12" customFormat="1" ht="13.5" customHeight="1" x14ac:dyDescent="0.45">
      <c r="A32" s="4"/>
      <c r="B32" s="4" t="s">
        <v>49</v>
      </c>
      <c r="C32" s="36"/>
      <c r="D32" s="36"/>
      <c r="E32" s="63">
        <v>7.7</v>
      </c>
      <c r="F32" s="36"/>
      <c r="G32" s="36"/>
      <c r="H32" s="36"/>
      <c r="I32" s="36"/>
      <c r="J32" s="36"/>
      <c r="K32" s="4"/>
      <c r="L32" s="56"/>
      <c r="M32" s="9"/>
      <c r="N32" s="4"/>
      <c r="O32" s="4"/>
      <c r="P32" s="4"/>
      <c r="Q32" s="4"/>
    </row>
    <row r="33" spans="1:17" s="4" customFormat="1" ht="13.5" customHeight="1" x14ac:dyDescent="0.45">
      <c r="B33" s="4" t="s">
        <v>53</v>
      </c>
      <c r="C33" s="36"/>
      <c r="D33" s="36"/>
      <c r="E33" s="63">
        <v>0</v>
      </c>
      <c r="F33" s="36"/>
      <c r="G33" s="36"/>
      <c r="H33" s="36"/>
      <c r="I33" s="36"/>
      <c r="J33" s="36"/>
      <c r="L33" s="56"/>
    </row>
    <row r="34" spans="1:17" s="4" customFormat="1" ht="13.5" customHeight="1" x14ac:dyDescent="0.45">
      <c r="B34" s="4" t="s">
        <v>8</v>
      </c>
      <c r="C34" s="36"/>
      <c r="D34" s="36"/>
      <c r="E34" s="63">
        <v>138.70000000000002</v>
      </c>
      <c r="F34" s="36"/>
      <c r="G34" s="36"/>
      <c r="H34" s="36"/>
      <c r="I34" s="36"/>
      <c r="J34" s="36"/>
      <c r="L34" s="56"/>
    </row>
    <row r="35" spans="1:17" s="4" customFormat="1" ht="13.5" customHeight="1" x14ac:dyDescent="0.45">
      <c r="B35" s="10" t="s">
        <v>9</v>
      </c>
      <c r="C35" s="20"/>
      <c r="D35" s="20"/>
      <c r="E35" s="38">
        <f>SUM(E31:E34)</f>
        <v>184.8</v>
      </c>
      <c r="F35" s="20"/>
      <c r="G35" s="20"/>
      <c r="H35" s="20"/>
      <c r="I35" s="20"/>
      <c r="J35" s="20"/>
      <c r="L35" s="56"/>
    </row>
    <row r="36" spans="1:17" s="12" customFormat="1" ht="13.5" customHeight="1" x14ac:dyDescent="0.45">
      <c r="A36" s="4"/>
      <c r="B36" s="4"/>
      <c r="C36" s="51"/>
      <c r="D36" s="4"/>
      <c r="E36" s="39"/>
      <c r="F36" s="52"/>
      <c r="G36" s="52"/>
      <c r="H36" s="52"/>
      <c r="I36" s="52"/>
      <c r="J36" s="52"/>
      <c r="K36" s="4"/>
      <c r="L36" s="56"/>
      <c r="M36" s="9"/>
      <c r="N36" s="4"/>
      <c r="O36" s="4"/>
      <c r="P36" s="4"/>
      <c r="Q36" s="4"/>
    </row>
    <row r="37" spans="1:17" s="4" customFormat="1" ht="13.5" customHeight="1" x14ac:dyDescent="0.45">
      <c r="B37" s="50" t="s">
        <v>21</v>
      </c>
      <c r="C37" s="16"/>
      <c r="D37" s="16"/>
      <c r="E37" s="28"/>
      <c r="F37" s="17"/>
      <c r="G37" s="17"/>
      <c r="H37" s="17"/>
      <c r="I37" s="17"/>
      <c r="J37" s="17"/>
      <c r="L37" s="56"/>
    </row>
    <row r="38" spans="1:17" s="12" customFormat="1" ht="13.5" customHeight="1" x14ac:dyDescent="0.45">
      <c r="A38" s="4"/>
      <c r="B38" s="4" t="s">
        <v>51</v>
      </c>
      <c r="D38" s="4"/>
      <c r="E38" s="102">
        <f>+E8/E24</f>
        <v>1.8443280061658744</v>
      </c>
      <c r="F38" s="89"/>
      <c r="G38" s="89"/>
      <c r="H38" s="89"/>
      <c r="I38" s="89"/>
      <c r="J38" s="89"/>
      <c r="K38" s="4"/>
      <c r="L38" s="56"/>
      <c r="M38" s="9"/>
      <c r="N38" s="4"/>
      <c r="O38" s="4"/>
      <c r="P38" s="4"/>
      <c r="Q38" s="4"/>
    </row>
    <row r="39" spans="1:17" s="12" customFormat="1" ht="13.5" customHeight="1" x14ac:dyDescent="0.45">
      <c r="A39" s="4"/>
      <c r="B39" s="4" t="s">
        <v>52</v>
      </c>
      <c r="D39" s="4"/>
      <c r="E39" s="102">
        <f>+E10/E31</f>
        <v>0.47635534284252973</v>
      </c>
      <c r="F39" s="89"/>
      <c r="G39" s="89"/>
      <c r="H39" s="89"/>
      <c r="I39" s="89"/>
      <c r="J39" s="89"/>
      <c r="K39" s="4"/>
      <c r="L39" s="56"/>
      <c r="M39" s="9"/>
      <c r="N39" s="4"/>
      <c r="O39" s="4"/>
      <c r="P39" s="4"/>
      <c r="Q39" s="4"/>
    </row>
    <row r="40" spans="1:17" s="12" customFormat="1" ht="13.5" customHeight="1" x14ac:dyDescent="0.45">
      <c r="A40" s="4"/>
      <c r="B40" s="4" t="s">
        <v>5</v>
      </c>
      <c r="D40" s="4"/>
      <c r="E40" s="39">
        <f>+E24+E28-E31-E32</f>
        <v>24.800000000000008</v>
      </c>
      <c r="F40" s="90"/>
      <c r="G40" s="90"/>
      <c r="H40" s="90"/>
      <c r="I40" s="90"/>
      <c r="J40" s="90"/>
      <c r="K40" s="4"/>
      <c r="L40" s="56"/>
      <c r="M40" s="9"/>
      <c r="N40" s="4"/>
      <c r="O40" s="4"/>
      <c r="P40" s="4"/>
      <c r="Q40" s="4"/>
    </row>
    <row r="41" spans="1:17" s="74" customFormat="1" ht="13.5" customHeight="1" x14ac:dyDescent="0.45">
      <c r="B41" s="92"/>
      <c r="E41" s="91"/>
      <c r="F41" s="80"/>
      <c r="G41" s="80"/>
      <c r="H41" s="80"/>
      <c r="I41" s="80"/>
      <c r="J41" s="80"/>
    </row>
    <row r="42" spans="1:17" s="2" customFormat="1" x14ac:dyDescent="0.4">
      <c r="E42" s="23"/>
      <c r="L42" s="55"/>
    </row>
    <row r="43" spans="1:17" s="2" customFormat="1" x14ac:dyDescent="0.4">
      <c r="E43" s="23"/>
      <c r="L43" s="55"/>
    </row>
    <row r="44" spans="1:17" s="2" customFormat="1" x14ac:dyDescent="0.4">
      <c r="E44" s="23"/>
      <c r="L44" s="55"/>
    </row>
  </sheetData>
  <pageMargins left="0.7" right="0.7" top="0.75" bottom="0.75" header="0.3" footer="0.3"/>
  <pageSetup scale="68" orientation="portrait" r:id="rId1"/>
  <rowBreaks count="1" manualBreakCount="1">
    <brk id="20" max="10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C6C3-770B-4CB2-BEAB-6EBE4198A6DA}">
  <dimension ref="A1:Q49"/>
  <sheetViews>
    <sheetView showGridLines="0" view="pageBreakPreview" topLeftCell="A23" zoomScale="130" zoomScaleNormal="130" zoomScaleSheetLayoutView="130" workbookViewId="0"/>
  </sheetViews>
  <sheetFormatPr defaultColWidth="9.1328125" defaultRowHeight="13.15" x14ac:dyDescent="0.4"/>
  <cols>
    <col min="1" max="1" width="5.1328125" style="2" customWidth="1"/>
    <col min="2" max="2" width="33.53125" style="2" customWidth="1"/>
    <col min="3" max="10" width="11.265625" style="2" customWidth="1"/>
    <col min="11" max="11" width="4.53125" style="2" customWidth="1"/>
    <col min="12" max="12" width="9.1328125" style="55"/>
    <col min="13" max="17" width="9.1328125" style="2" customWidth="1"/>
    <col min="18" max="20" width="9.1328125" style="1" customWidth="1"/>
    <col min="21" max="16384" width="9.1328125" style="1"/>
  </cols>
  <sheetData>
    <row r="1" spans="1:17" s="12" customFormat="1" ht="13.5" customHeight="1" x14ac:dyDescent="0.45">
      <c r="A1" s="4"/>
      <c r="B1" s="4"/>
      <c r="C1" s="4"/>
      <c r="D1" s="4"/>
      <c r="E1" s="4"/>
      <c r="F1" s="4"/>
      <c r="G1" s="4"/>
      <c r="H1" s="22"/>
      <c r="I1" s="4"/>
      <c r="J1" s="4"/>
      <c r="K1" s="4"/>
      <c r="L1" s="56"/>
      <c r="M1" s="4"/>
      <c r="N1" s="4"/>
      <c r="O1" s="4"/>
      <c r="P1" s="4"/>
      <c r="Q1" s="4"/>
    </row>
    <row r="2" spans="1:17" s="4" customFormat="1" ht="13.5" customHeight="1" x14ac:dyDescent="0.45">
      <c r="B2" s="5" t="s">
        <v>22</v>
      </c>
      <c r="C2" s="5"/>
      <c r="D2" s="5"/>
      <c r="E2" s="24"/>
      <c r="F2" s="6"/>
      <c r="G2" s="6"/>
      <c r="H2" s="6"/>
      <c r="I2" s="6"/>
      <c r="J2" s="7" t="s">
        <v>10</v>
      </c>
      <c r="L2" s="56"/>
    </row>
    <row r="3" spans="1:17" s="4" customFormat="1" ht="13.5" customHeight="1" x14ac:dyDescent="0.45">
      <c r="B3" s="8" t="s">
        <v>41</v>
      </c>
      <c r="C3" s="13">
        <f>+D3-1</f>
        <v>-2</v>
      </c>
      <c r="D3" s="13">
        <f>+E3-1</f>
        <v>-1</v>
      </c>
      <c r="E3" s="29">
        <v>0</v>
      </c>
      <c r="F3" s="13">
        <v>1</v>
      </c>
      <c r="G3" s="13">
        <f>F3+1</f>
        <v>2</v>
      </c>
      <c r="H3" s="13">
        <f>G3+1</f>
        <v>3</v>
      </c>
      <c r="I3" s="13">
        <f>H3+1</f>
        <v>4</v>
      </c>
      <c r="J3" s="13">
        <f>I3+1</f>
        <v>5</v>
      </c>
      <c r="L3" s="56"/>
    </row>
    <row r="4" spans="1:17" s="77" customFormat="1" ht="13.5" customHeight="1" x14ac:dyDescent="0.45">
      <c r="B4" s="77" t="s">
        <v>54</v>
      </c>
      <c r="C4" s="78">
        <f>MIN(C17,C35)</f>
        <v>3212127</v>
      </c>
      <c r="D4" s="78">
        <f>MIN(D17,D35)</f>
        <v>4304628.9085187893</v>
      </c>
      <c r="E4" s="82">
        <f>MIN(E17,E35)</f>
        <v>5402115.180145137</v>
      </c>
      <c r="F4" s="76"/>
      <c r="G4" s="76"/>
      <c r="H4" s="76"/>
      <c r="I4" s="76"/>
      <c r="J4" s="76"/>
      <c r="K4" s="105"/>
    </row>
    <row r="5" spans="1:17" s="4" customFormat="1" ht="13.5" customHeight="1" x14ac:dyDescent="0.45">
      <c r="B5" s="4" t="s">
        <v>57</v>
      </c>
      <c r="C5" s="60">
        <f>+C6*1000000/C4</f>
        <v>152.22999999999999</v>
      </c>
      <c r="D5" s="60">
        <f>+D6*1000000/D4</f>
        <v>144.19999999999999</v>
      </c>
      <c r="E5" s="61">
        <f>+E6*1000000/E4</f>
        <v>147.88999999999999</v>
      </c>
      <c r="F5" s="60"/>
      <c r="G5" s="60"/>
      <c r="H5" s="60"/>
      <c r="I5" s="60"/>
      <c r="J5" s="60"/>
      <c r="K5" s="15"/>
      <c r="L5" s="58"/>
    </row>
    <row r="6" spans="1:17" s="4" customFormat="1" ht="13.5" customHeight="1" x14ac:dyDescent="0.45">
      <c r="B6" s="10" t="s">
        <v>42</v>
      </c>
      <c r="C6" s="109">
        <v>488.98209320999996</v>
      </c>
      <c r="D6" s="109">
        <v>620.72748860840943</v>
      </c>
      <c r="E6" s="110">
        <v>798.91881399166425</v>
      </c>
      <c r="F6" s="111"/>
      <c r="G6" s="111"/>
      <c r="H6" s="111"/>
      <c r="I6" s="111"/>
      <c r="J6" s="111"/>
      <c r="K6" s="15"/>
      <c r="L6" s="58"/>
    </row>
    <row r="7" spans="1:17" s="74" customFormat="1" ht="13.5" customHeight="1" x14ac:dyDescent="0.45">
      <c r="B7" s="79"/>
      <c r="C7" s="68"/>
      <c r="D7" s="72"/>
      <c r="E7" s="33"/>
      <c r="F7" s="80"/>
      <c r="G7" s="80"/>
      <c r="H7" s="80"/>
      <c r="I7" s="80"/>
      <c r="J7" s="80"/>
      <c r="K7" s="75"/>
      <c r="L7" s="75"/>
    </row>
    <row r="8" spans="1:17" s="4" customFormat="1" ht="13.5" customHeight="1" x14ac:dyDescent="0.45">
      <c r="B8" s="4" t="s">
        <v>43</v>
      </c>
      <c r="C8" s="107">
        <f>+C9/C6</f>
        <v>0.151</v>
      </c>
      <c r="D8" s="107">
        <f>+D9/D6</f>
        <v>0.14899999999999999</v>
      </c>
      <c r="E8" s="108">
        <f>+E9/E6</f>
        <v>0.15</v>
      </c>
      <c r="F8" s="106"/>
      <c r="G8" s="106"/>
      <c r="H8" s="106"/>
      <c r="I8" s="106"/>
      <c r="J8" s="106"/>
      <c r="K8" s="15"/>
      <c r="L8" s="58"/>
    </row>
    <row r="9" spans="1:17" s="4" customFormat="1" ht="13.5" customHeight="1" x14ac:dyDescent="0.45">
      <c r="B9" s="10" t="s">
        <v>16</v>
      </c>
      <c r="C9" s="109">
        <v>73.836296074709992</v>
      </c>
      <c r="D9" s="109">
        <v>92.488395802653002</v>
      </c>
      <c r="E9" s="110">
        <v>119.83782209874963</v>
      </c>
      <c r="F9" s="111"/>
      <c r="G9" s="111"/>
      <c r="H9" s="111"/>
      <c r="I9" s="111"/>
      <c r="J9" s="111"/>
      <c r="K9" s="15"/>
      <c r="L9" s="58"/>
    </row>
    <row r="10" spans="1:17" s="4" customFormat="1" ht="13.5" customHeight="1" x14ac:dyDescent="0.45">
      <c r="B10" s="16"/>
      <c r="C10" s="68"/>
      <c r="D10" s="72"/>
      <c r="E10" s="33"/>
      <c r="F10" s="72"/>
      <c r="G10" s="72"/>
      <c r="H10" s="72"/>
      <c r="I10" s="72"/>
      <c r="J10" s="72"/>
      <c r="K10" s="15"/>
      <c r="L10" s="58"/>
    </row>
    <row r="11" spans="1:17" s="2" customFormat="1" x14ac:dyDescent="0.4">
      <c r="E11" s="23"/>
      <c r="L11" s="55"/>
    </row>
    <row r="12" spans="1:17" s="4" customFormat="1" ht="13.5" customHeight="1" x14ac:dyDescent="0.45">
      <c r="B12" s="8" t="s">
        <v>23</v>
      </c>
      <c r="C12" s="13">
        <f>+D12-1</f>
        <v>-2</v>
      </c>
      <c r="D12" s="13">
        <f>+E12-1</f>
        <v>-1</v>
      </c>
      <c r="E12" s="29">
        <v>0</v>
      </c>
      <c r="F12" s="13">
        <v>1</v>
      </c>
      <c r="G12" s="13">
        <f>F12+1</f>
        <v>2</v>
      </c>
      <c r="H12" s="13">
        <f>G12+1</f>
        <v>3</v>
      </c>
      <c r="I12" s="13">
        <f>H12+1</f>
        <v>4</v>
      </c>
      <c r="J12" s="13">
        <f>I12+1</f>
        <v>5</v>
      </c>
      <c r="L12" s="56"/>
    </row>
    <row r="13" spans="1:17" s="4" customFormat="1" ht="13.5" customHeight="1" x14ac:dyDescent="0.45">
      <c r="B13" s="50" t="s">
        <v>28</v>
      </c>
      <c r="C13" s="67"/>
      <c r="D13" s="68"/>
      <c r="E13" s="82"/>
      <c r="F13" s="68"/>
      <c r="G13" s="68"/>
      <c r="H13" s="68"/>
      <c r="I13" s="68"/>
      <c r="J13" s="68"/>
      <c r="K13" s="15"/>
      <c r="L13" s="58"/>
    </row>
    <row r="14" spans="1:17" s="4" customFormat="1" ht="13.5" customHeight="1" x14ac:dyDescent="0.45">
      <c r="B14" s="18" t="s">
        <v>29</v>
      </c>
      <c r="C14" s="67"/>
      <c r="D14" s="68">
        <f>+C17</f>
        <v>3212127</v>
      </c>
      <c r="E14" s="82">
        <f t="shared" ref="E14" si="0">+D17</f>
        <v>4304628.9085187893</v>
      </c>
      <c r="F14" s="68"/>
      <c r="G14" s="68"/>
      <c r="H14" s="68"/>
      <c r="I14" s="68"/>
      <c r="J14" s="68"/>
      <c r="K14" s="15"/>
      <c r="L14" s="58"/>
    </row>
    <row r="15" spans="1:17" s="4" customFormat="1" ht="13.5" customHeight="1" x14ac:dyDescent="0.45">
      <c r="B15" s="18" t="s">
        <v>30</v>
      </c>
      <c r="C15" s="67"/>
      <c r="D15" s="68">
        <f>+D25</f>
        <v>1628927.1175187889</v>
      </c>
      <c r="E15" s="82">
        <f t="shared" ref="E15" si="1">+E25</f>
        <v>1911061.1353363986</v>
      </c>
      <c r="F15" s="68"/>
      <c r="G15" s="68"/>
      <c r="H15" s="68"/>
      <c r="I15" s="68"/>
      <c r="J15" s="68"/>
      <c r="K15" s="15"/>
      <c r="L15" s="58"/>
    </row>
    <row r="16" spans="1:17" s="4" customFormat="1" ht="13.5" customHeight="1" x14ac:dyDescent="0.45">
      <c r="B16" s="18" t="s">
        <v>31</v>
      </c>
      <c r="C16" s="67"/>
      <c r="D16" s="65">
        <v>536425.20900000003</v>
      </c>
      <c r="E16" s="66">
        <v>813574.86371005117</v>
      </c>
      <c r="F16" s="68"/>
      <c r="G16" s="68"/>
      <c r="H16" s="68"/>
      <c r="I16" s="68"/>
      <c r="J16" s="68"/>
      <c r="K16" s="15"/>
      <c r="L16" s="58"/>
    </row>
    <row r="17" spans="2:12" s="4" customFormat="1" ht="13.5" customHeight="1" x14ac:dyDescent="0.45">
      <c r="B17" s="10" t="s">
        <v>32</v>
      </c>
      <c r="C17" s="69">
        <v>3212127</v>
      </c>
      <c r="D17" s="70">
        <f>D14+D15-D16</f>
        <v>4304628.9085187893</v>
      </c>
      <c r="E17" s="83">
        <f t="shared" ref="E17" si="2">E14+E15-E16</f>
        <v>5402115.180145137</v>
      </c>
      <c r="F17" s="70"/>
      <c r="G17" s="70"/>
      <c r="H17" s="70"/>
      <c r="I17" s="70"/>
      <c r="J17" s="70"/>
      <c r="K17" s="15"/>
      <c r="L17" s="58"/>
    </row>
    <row r="18" spans="2:12" s="4" customFormat="1" ht="13.5" customHeight="1" x14ac:dyDescent="0.45">
      <c r="B18" s="16" t="s">
        <v>25</v>
      </c>
      <c r="C18" s="68"/>
      <c r="D18" s="81">
        <f>+D17/C17-1</f>
        <v>0.34011790583584944</v>
      </c>
      <c r="E18" s="85">
        <f t="shared" ref="E18" si="3">+E17/D17-1</f>
        <v>0.25495490899446427</v>
      </c>
      <c r="F18" s="81"/>
      <c r="G18" s="81"/>
      <c r="H18" s="81"/>
      <c r="I18" s="81"/>
      <c r="J18" s="81"/>
      <c r="K18" s="15"/>
      <c r="L18" s="58"/>
    </row>
    <row r="19" spans="2:12" s="4" customFormat="1" ht="13.5" customHeight="1" x14ac:dyDescent="0.45">
      <c r="C19" s="68"/>
      <c r="D19" s="68"/>
      <c r="E19" s="82"/>
      <c r="F19" s="68"/>
      <c r="G19" s="68"/>
      <c r="H19" s="68"/>
      <c r="I19" s="68"/>
      <c r="J19" s="68"/>
      <c r="K19" s="15"/>
      <c r="L19" s="58"/>
    </row>
    <row r="20" spans="2:12" s="4" customFormat="1" ht="13.5" customHeight="1" x14ac:dyDescent="0.45">
      <c r="B20" s="4" t="s">
        <v>24</v>
      </c>
      <c r="C20" s="71">
        <v>3.2</v>
      </c>
      <c r="D20" s="71">
        <v>4.5</v>
      </c>
      <c r="E20" s="86">
        <v>5.8</v>
      </c>
      <c r="F20" s="73"/>
      <c r="G20" s="73"/>
      <c r="H20" s="73"/>
      <c r="I20" s="73"/>
      <c r="J20" s="73"/>
      <c r="K20" s="15"/>
      <c r="L20" s="58"/>
    </row>
    <row r="21" spans="2:12" s="4" customFormat="1" ht="13.5" customHeight="1" x14ac:dyDescent="0.45">
      <c r="B21" s="4" t="s">
        <v>37</v>
      </c>
      <c r="C21" s="62">
        <v>543.26</v>
      </c>
      <c r="D21" s="62">
        <v>621.02</v>
      </c>
      <c r="E21" s="84">
        <v>732.23</v>
      </c>
      <c r="F21" s="60"/>
      <c r="G21" s="60"/>
      <c r="H21" s="60"/>
      <c r="I21" s="60"/>
      <c r="J21" s="60"/>
      <c r="K21" s="15"/>
      <c r="L21" s="58"/>
    </row>
    <row r="22" spans="2:12" s="4" customFormat="1" ht="13.5" customHeight="1" x14ac:dyDescent="0.45">
      <c r="B22" s="10" t="s">
        <v>26</v>
      </c>
      <c r="C22" s="70">
        <f>+C20*1000000/C21</f>
        <v>5890.3655708132383</v>
      </c>
      <c r="D22" s="70">
        <f>+D20*1000000/D21</f>
        <v>7246.1434414350588</v>
      </c>
      <c r="E22" s="83">
        <f>+E20*1000000/E21</f>
        <v>7921.0084263141362</v>
      </c>
      <c r="F22" s="70"/>
      <c r="G22" s="70"/>
      <c r="H22" s="70"/>
      <c r="I22" s="70"/>
      <c r="J22" s="70"/>
      <c r="K22" s="15"/>
      <c r="L22" s="58"/>
    </row>
    <row r="23" spans="2:12" s="4" customFormat="1" ht="13.5" customHeight="1" x14ac:dyDescent="0.45">
      <c r="C23" s="68"/>
      <c r="D23" s="68"/>
      <c r="E23" s="82"/>
      <c r="F23" s="68"/>
      <c r="G23" s="68"/>
      <c r="H23" s="68"/>
      <c r="I23" s="68"/>
      <c r="J23" s="68"/>
      <c r="K23" s="15"/>
      <c r="L23" s="58"/>
    </row>
    <row r="24" spans="2:12" s="4" customFormat="1" ht="13.5" customHeight="1" x14ac:dyDescent="0.45">
      <c r="B24" s="4" t="s">
        <v>55</v>
      </c>
      <c r="C24" s="65">
        <v>250</v>
      </c>
      <c r="D24" s="65">
        <v>248</v>
      </c>
      <c r="E24" s="66">
        <v>252</v>
      </c>
      <c r="F24" s="67"/>
      <c r="G24" s="67"/>
      <c r="H24" s="67"/>
      <c r="I24" s="67"/>
      <c r="J24" s="67"/>
      <c r="K24" s="15"/>
      <c r="L24" s="58"/>
    </row>
    <row r="25" spans="2:12" s="4" customFormat="1" ht="13.5" customHeight="1" x14ac:dyDescent="0.45">
      <c r="B25" s="10" t="s">
        <v>27</v>
      </c>
      <c r="C25" s="70">
        <f>+C24*AVERAGE(C22)</f>
        <v>1472591.3927033097</v>
      </c>
      <c r="D25" s="70">
        <f>+D24*AVERAGE(C22:D22)</f>
        <v>1628927.1175187889</v>
      </c>
      <c r="E25" s="83">
        <f>+E24*AVERAGE(D22:E22)</f>
        <v>1911061.1353363986</v>
      </c>
      <c r="F25" s="70"/>
      <c r="G25" s="70"/>
      <c r="H25" s="70"/>
      <c r="I25" s="70"/>
      <c r="J25" s="70"/>
      <c r="K25" s="15"/>
      <c r="L25" s="58"/>
    </row>
    <row r="26" spans="2:12" s="4" customFormat="1" ht="13.5" customHeight="1" x14ac:dyDescent="0.45">
      <c r="C26" s="51"/>
      <c r="D26" s="51"/>
      <c r="E26" s="59"/>
      <c r="F26" s="68"/>
      <c r="G26" s="68"/>
      <c r="H26" s="68"/>
      <c r="I26" s="68"/>
      <c r="J26" s="68"/>
      <c r="K26" s="15"/>
      <c r="L26" s="58"/>
    </row>
    <row r="27" spans="2:12" s="4" customFormat="1" ht="13.5" customHeight="1" x14ac:dyDescent="0.45">
      <c r="B27" s="4" t="s">
        <v>33</v>
      </c>
      <c r="C27" s="103"/>
      <c r="D27" s="103">
        <f>+D16/D14</f>
        <v>0.16700000000000001</v>
      </c>
      <c r="E27" s="104">
        <f>+E16/E14</f>
        <v>0.189</v>
      </c>
      <c r="F27" s="93"/>
      <c r="G27" s="93"/>
      <c r="H27" s="93"/>
      <c r="I27" s="93"/>
      <c r="J27" s="93"/>
      <c r="K27" s="15"/>
      <c r="L27" s="58"/>
    </row>
    <row r="28" spans="2:12" s="4" customFormat="1" ht="13.5" customHeight="1" x14ac:dyDescent="0.45">
      <c r="C28" s="68"/>
      <c r="D28" s="68"/>
      <c r="E28" s="82"/>
      <c r="F28" s="68"/>
      <c r="G28" s="68"/>
      <c r="H28" s="68"/>
      <c r="I28" s="68"/>
      <c r="J28" s="68"/>
      <c r="K28" s="15"/>
      <c r="L28" s="58"/>
    </row>
    <row r="29" spans="2:12" s="4" customFormat="1" ht="13.5" customHeight="1" x14ac:dyDescent="0.45">
      <c r="C29" s="68"/>
      <c r="D29" s="68"/>
      <c r="E29" s="82"/>
      <c r="F29" s="68"/>
      <c r="G29" s="68"/>
      <c r="H29" s="68"/>
      <c r="I29" s="68"/>
      <c r="J29" s="68"/>
      <c r="K29" s="15"/>
      <c r="L29" s="58"/>
    </row>
    <row r="30" spans="2:12" s="4" customFormat="1" ht="13.5" customHeight="1" x14ac:dyDescent="0.45">
      <c r="B30" s="8" t="s">
        <v>34</v>
      </c>
      <c r="C30" s="13">
        <f>+D30-1</f>
        <v>-2</v>
      </c>
      <c r="D30" s="13">
        <f>+E30-1</f>
        <v>-1</v>
      </c>
      <c r="E30" s="29">
        <v>0</v>
      </c>
      <c r="F30" s="13">
        <v>1</v>
      </c>
      <c r="G30" s="13">
        <f>F30+1</f>
        <v>2</v>
      </c>
      <c r="H30" s="13">
        <f>G30+1</f>
        <v>3</v>
      </c>
      <c r="I30" s="13">
        <f>H30+1</f>
        <v>4</v>
      </c>
      <c r="J30" s="13">
        <f>I30+1</f>
        <v>5</v>
      </c>
      <c r="L30" s="56"/>
    </row>
    <row r="31" spans="2:12" s="4" customFormat="1" ht="13.5" customHeight="1" x14ac:dyDescent="0.45">
      <c r="B31" s="50" t="s">
        <v>38</v>
      </c>
      <c r="C31" s="67"/>
      <c r="D31" s="68"/>
      <c r="E31" s="82"/>
      <c r="F31" s="68"/>
      <c r="G31" s="68"/>
      <c r="H31" s="68"/>
      <c r="I31" s="68"/>
      <c r="J31" s="68"/>
      <c r="K31" s="15"/>
      <c r="L31" s="58"/>
    </row>
    <row r="32" spans="2:12" s="4" customFormat="1" ht="13.5" customHeight="1" x14ac:dyDescent="0.45">
      <c r="B32" s="18" t="s">
        <v>29</v>
      </c>
      <c r="C32" s="67"/>
      <c r="D32" s="68">
        <f>+C35</f>
        <v>3505699</v>
      </c>
      <c r="E32" s="82">
        <f t="shared" ref="E32" si="4">+D35</f>
        <v>5665304.5457586208</v>
      </c>
      <c r="F32" s="68"/>
      <c r="G32" s="68"/>
      <c r="H32" s="68"/>
      <c r="I32" s="68"/>
      <c r="J32" s="68"/>
      <c r="K32" s="15"/>
      <c r="L32" s="58"/>
    </row>
    <row r="33" spans="2:12" s="4" customFormat="1" ht="13.5" customHeight="1" x14ac:dyDescent="0.45">
      <c r="B33" s="18" t="s">
        <v>30</v>
      </c>
      <c r="C33" s="67"/>
      <c r="D33" s="68">
        <f>+D43</f>
        <v>2731034.4827586208</v>
      </c>
      <c r="E33" s="82">
        <f t="shared" ref="E33" si="5">+E43</f>
        <v>2471860.0953895068</v>
      </c>
      <c r="F33" s="68"/>
      <c r="G33" s="68"/>
      <c r="H33" s="68"/>
      <c r="I33" s="68"/>
      <c r="J33" s="68"/>
      <c r="K33" s="15"/>
      <c r="L33" s="58"/>
    </row>
    <row r="34" spans="2:12" s="4" customFormat="1" ht="13.5" customHeight="1" x14ac:dyDescent="0.45">
      <c r="B34" s="18" t="s">
        <v>31</v>
      </c>
      <c r="C34" s="67"/>
      <c r="D34" s="65">
        <v>571428.93700000003</v>
      </c>
      <c r="E34" s="66">
        <v>974432.3818704827</v>
      </c>
      <c r="F34" s="68"/>
      <c r="G34" s="68"/>
      <c r="H34" s="68"/>
      <c r="I34" s="68"/>
      <c r="J34" s="68"/>
      <c r="K34" s="15"/>
      <c r="L34" s="58"/>
    </row>
    <row r="35" spans="2:12" s="4" customFormat="1" ht="13.5" customHeight="1" x14ac:dyDescent="0.45">
      <c r="B35" s="10" t="s">
        <v>32</v>
      </c>
      <c r="C35" s="69">
        <v>3505699</v>
      </c>
      <c r="D35" s="70">
        <f>D32+D33-D34</f>
        <v>5665304.5457586208</v>
      </c>
      <c r="E35" s="83">
        <f t="shared" ref="E35" si="6">E32+E33-E34</f>
        <v>7162732.2592776446</v>
      </c>
      <c r="F35" s="70"/>
      <c r="G35" s="70"/>
      <c r="H35" s="70"/>
      <c r="I35" s="70"/>
      <c r="J35" s="70"/>
      <c r="K35" s="15"/>
      <c r="L35" s="58"/>
    </row>
    <row r="36" spans="2:12" s="4" customFormat="1" ht="13.5" customHeight="1" x14ac:dyDescent="0.45">
      <c r="B36" s="16" t="s">
        <v>25</v>
      </c>
      <c r="C36" s="68"/>
      <c r="D36" s="81">
        <f>+D35/C35-1</f>
        <v>0.61602708782431725</v>
      </c>
      <c r="E36" s="85">
        <f t="shared" ref="E36" si="7">+E35/D35-1</f>
        <v>0.26431548408815653</v>
      </c>
      <c r="F36" s="81"/>
      <c r="G36" s="81"/>
      <c r="H36" s="81"/>
      <c r="I36" s="81"/>
      <c r="J36" s="81"/>
      <c r="K36" s="15"/>
      <c r="L36" s="58"/>
    </row>
    <row r="37" spans="2:12" s="4" customFormat="1" ht="13.5" customHeight="1" x14ac:dyDescent="0.45">
      <c r="C37" s="68"/>
      <c r="D37" s="68"/>
      <c r="E37" s="82"/>
      <c r="F37" s="68"/>
      <c r="G37" s="68"/>
      <c r="H37" s="68"/>
      <c r="I37" s="68"/>
      <c r="J37" s="68"/>
      <c r="K37" s="15"/>
      <c r="L37" s="58"/>
    </row>
    <row r="38" spans="2:12" s="4" customFormat="1" ht="13.5" customHeight="1" x14ac:dyDescent="0.45">
      <c r="B38" s="4" t="s">
        <v>35</v>
      </c>
      <c r="C38" s="71">
        <v>5.2</v>
      </c>
      <c r="D38" s="71">
        <v>6.9</v>
      </c>
      <c r="E38" s="86">
        <v>8</v>
      </c>
      <c r="F38" s="73"/>
      <c r="G38" s="73"/>
      <c r="H38" s="73"/>
      <c r="I38" s="73"/>
      <c r="J38" s="73"/>
      <c r="K38" s="15"/>
      <c r="L38" s="58"/>
    </row>
    <row r="39" spans="2:12" s="4" customFormat="1" ht="13.5" customHeight="1" x14ac:dyDescent="0.45">
      <c r="B39" s="4" t="s">
        <v>36</v>
      </c>
      <c r="C39" s="62">
        <v>14.5</v>
      </c>
      <c r="D39" s="62">
        <v>17.25</v>
      </c>
      <c r="E39" s="84">
        <v>18.87</v>
      </c>
      <c r="F39" s="60"/>
      <c r="G39" s="60"/>
      <c r="H39" s="60"/>
      <c r="I39" s="60"/>
      <c r="J39" s="60"/>
      <c r="K39" s="15"/>
      <c r="L39" s="58"/>
    </row>
    <row r="40" spans="2:12" s="4" customFormat="1" ht="13.5" customHeight="1" x14ac:dyDescent="0.45">
      <c r="B40" s="10" t="s">
        <v>39</v>
      </c>
      <c r="C40" s="70">
        <f>+C38*1000000/C39</f>
        <v>358620.68965517241</v>
      </c>
      <c r="D40" s="70">
        <f>+D38*1000000/D39</f>
        <v>400000</v>
      </c>
      <c r="E40" s="83">
        <f>+E38*1000000/E39</f>
        <v>423953.36512983567</v>
      </c>
      <c r="F40" s="70"/>
      <c r="G40" s="70"/>
      <c r="H40" s="70"/>
      <c r="I40" s="70"/>
      <c r="J40" s="70"/>
      <c r="K40" s="15"/>
      <c r="L40" s="58"/>
    </row>
    <row r="41" spans="2:12" s="4" customFormat="1" ht="13.5" customHeight="1" x14ac:dyDescent="0.45">
      <c r="C41" s="68"/>
      <c r="D41" s="68"/>
      <c r="E41" s="82"/>
      <c r="F41" s="68"/>
      <c r="G41" s="68"/>
      <c r="H41" s="68"/>
      <c r="I41" s="68"/>
      <c r="J41" s="68"/>
      <c r="K41" s="15"/>
      <c r="L41" s="58"/>
    </row>
    <row r="42" spans="2:12" s="4" customFormat="1" ht="13.5" customHeight="1" x14ac:dyDescent="0.45">
      <c r="B42" s="4" t="s">
        <v>56</v>
      </c>
      <c r="C42" s="40">
        <v>8</v>
      </c>
      <c r="D42" s="40">
        <v>7.2</v>
      </c>
      <c r="E42" s="64">
        <v>6</v>
      </c>
      <c r="F42" s="101"/>
      <c r="G42" s="101"/>
      <c r="H42" s="101"/>
      <c r="I42" s="101"/>
      <c r="J42" s="101"/>
      <c r="K42" s="15"/>
      <c r="L42" s="58"/>
    </row>
    <row r="43" spans="2:12" s="4" customFormat="1" ht="13.5" customHeight="1" x14ac:dyDescent="0.45">
      <c r="B43" s="10" t="s">
        <v>40</v>
      </c>
      <c r="C43" s="70">
        <f>+C42*AVERAGE(C40)</f>
        <v>2868965.5172413792</v>
      </c>
      <c r="D43" s="70">
        <f t="shared" ref="D43:E43" si="8">+D42*AVERAGE(C40:D40)</f>
        <v>2731034.4827586208</v>
      </c>
      <c r="E43" s="83">
        <f t="shared" si="8"/>
        <v>2471860.0953895068</v>
      </c>
      <c r="F43" s="70"/>
      <c r="G43" s="70"/>
      <c r="H43" s="70"/>
      <c r="I43" s="70"/>
      <c r="J43" s="70"/>
      <c r="K43" s="15"/>
      <c r="L43" s="58"/>
    </row>
    <row r="44" spans="2:12" s="4" customFormat="1" ht="13.5" customHeight="1" x14ac:dyDescent="0.45">
      <c r="C44" s="51"/>
      <c r="D44" s="51"/>
      <c r="E44" s="59"/>
      <c r="F44" s="68"/>
      <c r="G44" s="68"/>
      <c r="H44" s="68"/>
      <c r="I44" s="68"/>
      <c r="J44" s="68"/>
      <c r="K44" s="15"/>
      <c r="L44" s="58"/>
    </row>
    <row r="45" spans="2:12" s="4" customFormat="1" ht="13.5" customHeight="1" x14ac:dyDescent="0.45">
      <c r="B45" s="4" t="s">
        <v>33</v>
      </c>
      <c r="C45" s="103"/>
      <c r="D45" s="103">
        <f>+D34/D32</f>
        <v>0.16300000000000001</v>
      </c>
      <c r="E45" s="104">
        <f>+E34/E32</f>
        <v>0.17199999999999999</v>
      </c>
      <c r="F45" s="103"/>
      <c r="G45" s="103"/>
      <c r="H45" s="103"/>
      <c r="I45" s="103"/>
      <c r="J45" s="103"/>
      <c r="K45" s="15"/>
      <c r="L45" s="58"/>
    </row>
    <row r="46" spans="2:12" s="4" customFormat="1" ht="13.5" customHeight="1" x14ac:dyDescent="0.45">
      <c r="C46" s="68"/>
      <c r="D46" s="68"/>
      <c r="E46" s="82"/>
      <c r="F46" s="68"/>
      <c r="G46" s="68"/>
      <c r="H46" s="68"/>
      <c r="I46" s="68"/>
      <c r="J46" s="68"/>
      <c r="K46" s="15"/>
      <c r="L46" s="58"/>
    </row>
    <row r="47" spans="2:12" s="2" customFormat="1" x14ac:dyDescent="0.4">
      <c r="E47" s="23"/>
      <c r="L47" s="55"/>
    </row>
    <row r="48" spans="2:12" s="2" customFormat="1" x14ac:dyDescent="0.4">
      <c r="E48" s="23"/>
      <c r="L48" s="55"/>
    </row>
    <row r="49" spans="5:12" s="2" customFormat="1" x14ac:dyDescent="0.4">
      <c r="E49" s="23"/>
      <c r="L49" s="55"/>
    </row>
  </sheetData>
  <pageMargins left="0.7" right="0.7" top="0.75" bottom="0.75" header="0.3" footer="0.3"/>
  <pageSetup scale="63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Model - Start</vt:lpstr>
      <vt:lpstr>Revenue Build - Start</vt:lpstr>
      <vt:lpstr>'Model - Start'!Print_Area</vt:lpstr>
      <vt:lpstr>'Revenue Build - Start'!Print_Area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mhinckley</cp:lastModifiedBy>
  <dcterms:created xsi:type="dcterms:W3CDTF">2021-01-06T16:29:03Z</dcterms:created>
  <dcterms:modified xsi:type="dcterms:W3CDTF">2023-06-22T16:37:24Z</dcterms:modified>
</cp:coreProperties>
</file>