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esktop\Growth equity files\SaaS course\"/>
    </mc:Choice>
  </mc:AlternateContent>
  <xr:revisionPtr revIDLastSave="0" documentId="14_{46B128A9-6C93-4113-A6E3-B92EC076AB24}" xr6:coauthVersionLast="47" xr6:coauthVersionMax="47" xr10:uidLastSave="{00000000-0000-0000-0000-000000000000}"/>
  <bookViews>
    <workbookView xWindow="-98" yWindow="-98" windowWidth="38596" windowHeight="21795" tabRatio="923" xr2:uid="{149DA278-98FA-47F8-A916-DD05CF127C47}"/>
  </bookViews>
  <sheets>
    <sheet name="Resources" sheetId="97" r:id="rId1"/>
    <sheet name="Model" sheetId="100" r:id="rId2"/>
    <sheet name="Raw Customer ARR" sheetId="101" r:id="rId3"/>
  </sheets>
  <definedNames>
    <definedName name="different">#REF!</definedName>
    <definedName name="mike">#REF!</definedName>
    <definedName name="_xlnm.Print_Area" localSheetId="1">Model!$B$1:$H$4</definedName>
    <definedName name="unit" localSheetId="1">Model!#REF!</definedName>
    <definedName name="unit">#REF!</definedName>
  </definedNames>
  <calcPr calcId="191029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01" l="1"/>
  <c r="A4" i="101" s="1"/>
  <c r="A5" i="101" s="1"/>
  <c r="A6" i="101" s="1"/>
  <c r="A7" i="101" s="1"/>
  <c r="A8" i="101" s="1"/>
  <c r="A9" i="101" s="1"/>
  <c r="A10" i="101" s="1"/>
  <c r="A11" i="101" s="1"/>
  <c r="A12" i="101" s="1"/>
  <c r="A13" i="101" s="1"/>
  <c r="A14" i="101" s="1"/>
  <c r="A15" i="101" s="1"/>
  <c r="A16" i="101" s="1"/>
  <c r="A17" i="101" s="1"/>
  <c r="A18" i="101" s="1"/>
  <c r="A19" i="101" s="1"/>
  <c r="A20" i="101" s="1"/>
  <c r="A21" i="101" s="1"/>
  <c r="A22" i="101" s="1"/>
  <c r="A23" i="101" s="1"/>
  <c r="A24" i="101" s="1"/>
  <c r="A25" i="101" s="1"/>
  <c r="A26" i="101" s="1"/>
  <c r="A27" i="101" s="1"/>
  <c r="A28" i="101" s="1"/>
  <c r="A29" i="101" s="1"/>
  <c r="A30" i="101" s="1"/>
  <c r="A31" i="101" s="1"/>
  <c r="A32" i="101" s="1"/>
  <c r="A33" i="101" s="1"/>
  <c r="A34" i="101" s="1"/>
  <c r="A35" i="101" s="1"/>
  <c r="A36" i="101" s="1"/>
  <c r="A37" i="101" s="1"/>
  <c r="A38" i="101" s="1"/>
  <c r="A39" i="101" s="1"/>
  <c r="A40" i="101" s="1"/>
  <c r="A41" i="101" s="1"/>
  <c r="A42" i="101" s="1"/>
  <c r="A43" i="101" s="1"/>
  <c r="A44" i="101" s="1"/>
  <c r="A45" i="101" s="1"/>
  <c r="A46" i="101" s="1"/>
  <c r="A47" i="101" s="1"/>
  <c r="A48" i="101" s="1"/>
  <c r="A49" i="101" s="1"/>
  <c r="A50" i="101" s="1"/>
  <c r="A51" i="101" s="1"/>
  <c r="A52" i="101" s="1"/>
  <c r="A53" i="101" s="1"/>
  <c r="A54" i="101" s="1"/>
  <c r="A55" i="101" s="1"/>
  <c r="A56" i="101" s="1"/>
  <c r="A57" i="101" s="1"/>
  <c r="A58" i="101" s="1"/>
  <c r="A59" i="101" s="1"/>
  <c r="A60" i="101" s="1"/>
  <c r="A61" i="101" s="1"/>
  <c r="A62" i="101" s="1"/>
  <c r="A63" i="101" s="1"/>
  <c r="A64" i="101" s="1"/>
  <c r="A65" i="101" s="1"/>
  <c r="A66" i="101" s="1"/>
  <c r="A67" i="101" s="1"/>
  <c r="A68" i="101" s="1"/>
  <c r="A69" i="101" s="1"/>
  <c r="A70" i="101" s="1"/>
  <c r="A71" i="101" s="1"/>
  <c r="A72" i="101" s="1"/>
  <c r="A73" i="101" s="1"/>
  <c r="A74" i="101" s="1"/>
  <c r="A75" i="101" s="1"/>
  <c r="A76" i="101" s="1"/>
  <c r="A77" i="101" s="1"/>
  <c r="A78" i="101" s="1"/>
  <c r="A79" i="101" s="1"/>
  <c r="A80" i="101" s="1"/>
  <c r="A81" i="101" s="1"/>
  <c r="A82" i="101" s="1"/>
  <c r="A83" i="101" s="1"/>
  <c r="A84" i="101" s="1"/>
  <c r="A85" i="101" s="1"/>
  <c r="A86" i="101" s="1"/>
  <c r="A87" i="101" s="1"/>
  <c r="A88" i="101" s="1"/>
  <c r="A89" i="101" s="1"/>
  <c r="A90" i="101" s="1"/>
  <c r="A91" i="101" s="1"/>
  <c r="A92" i="101" s="1"/>
  <c r="A93" i="101" s="1"/>
  <c r="A94" i="101" s="1"/>
  <c r="A95" i="101" s="1"/>
  <c r="A96" i="101" s="1"/>
  <c r="A97" i="101" s="1"/>
  <c r="A98" i="101" s="1"/>
  <c r="A99" i="101" s="1"/>
  <c r="A100" i="101" s="1"/>
  <c r="A101" i="101" s="1"/>
  <c r="A102" i="101" s="1"/>
  <c r="A103" i="101" s="1"/>
  <c r="A104" i="101" s="1"/>
  <c r="A105" i="101" s="1"/>
  <c r="A106" i="101" s="1"/>
  <c r="A107" i="101" s="1"/>
  <c r="A108" i="101" s="1"/>
  <c r="A109" i="101" s="1"/>
  <c r="A110" i="101" s="1"/>
  <c r="A111" i="101" s="1"/>
  <c r="A112" i="101" s="1"/>
  <c r="A113" i="101" s="1"/>
  <c r="A114" i="101" s="1"/>
  <c r="A115" i="101" s="1"/>
  <c r="A116" i="101" s="1"/>
  <c r="A117" i="101" s="1"/>
  <c r="A118" i="101" s="1"/>
  <c r="A119" i="101" s="1"/>
  <c r="A120" i="101" s="1"/>
  <c r="A121" i="101" s="1"/>
  <c r="A122" i="101" s="1"/>
  <c r="A123" i="101" s="1"/>
  <c r="A124" i="101" s="1"/>
  <c r="A125" i="101" s="1"/>
  <c r="A126" i="101" s="1"/>
  <c r="A127" i="101" s="1"/>
  <c r="A128" i="101" s="1"/>
  <c r="A129" i="101" s="1"/>
  <c r="A130" i="101" s="1"/>
  <c r="A131" i="101" s="1"/>
  <c r="A132" i="101" s="1"/>
  <c r="A133" i="101" s="1"/>
  <c r="A134" i="101" s="1"/>
  <c r="A135" i="101" s="1"/>
  <c r="A136" i="101" s="1"/>
  <c r="A137" i="101" s="1"/>
  <c r="A138" i="101" s="1"/>
  <c r="A139" i="101" s="1"/>
  <c r="A140" i="101" s="1"/>
  <c r="A141" i="101" s="1"/>
  <c r="A142" i="101" s="1"/>
  <c r="A143" i="101" s="1"/>
  <c r="A144" i="101" s="1"/>
  <c r="A145" i="101" s="1"/>
  <c r="A146" i="101" s="1"/>
  <c r="A147" i="101" s="1"/>
  <c r="A148" i="101" s="1"/>
  <c r="A149" i="101" s="1"/>
  <c r="A150" i="101" s="1"/>
  <c r="A151" i="101" s="1"/>
  <c r="A152" i="101" s="1"/>
  <c r="A153" i="101" s="1"/>
  <c r="A154" i="101" s="1"/>
  <c r="A155" i="101" s="1"/>
  <c r="A156" i="101" s="1"/>
  <c r="A157" i="101" s="1"/>
  <c r="A158" i="101" s="1"/>
  <c r="A159" i="101" s="1"/>
  <c r="A160" i="101" s="1"/>
  <c r="A161" i="101" s="1"/>
  <c r="A162" i="101" s="1"/>
  <c r="A163" i="101" s="1"/>
  <c r="A164" i="101" s="1"/>
  <c r="A165" i="101" s="1"/>
  <c r="A166" i="101" s="1"/>
  <c r="A167" i="101" s="1"/>
  <c r="A168" i="101" s="1"/>
  <c r="A169" i="101" s="1"/>
  <c r="A170" i="101" s="1"/>
  <c r="A171" i="101" s="1"/>
  <c r="A172" i="101" s="1"/>
  <c r="A173" i="101" s="1"/>
  <c r="A174" i="101" s="1"/>
  <c r="A175" i="101" s="1"/>
  <c r="A176" i="101" s="1"/>
  <c r="A177" i="101" s="1"/>
  <c r="A178" i="101" s="1"/>
  <c r="A179" i="101" s="1"/>
  <c r="A180" i="101" s="1"/>
  <c r="A181" i="101" s="1"/>
  <c r="A182" i="101" s="1"/>
  <c r="A183" i="101" s="1"/>
  <c r="A184" i="101" s="1"/>
  <c r="A185" i="101" s="1"/>
  <c r="A186" i="101" s="1"/>
  <c r="A187" i="101" s="1"/>
  <c r="A188" i="101" s="1"/>
  <c r="A189" i="101" s="1"/>
  <c r="A190" i="101" s="1"/>
  <c r="A191" i="101" s="1"/>
  <c r="A192" i="101" s="1"/>
  <c r="A193" i="101" s="1"/>
  <c r="A194" i="101" s="1"/>
  <c r="A195" i="101" s="1"/>
  <c r="A196" i="101" s="1"/>
  <c r="A197" i="101" s="1"/>
  <c r="D1" i="101"/>
  <c r="B1" i="101"/>
  <c r="N52" i="100"/>
  <c r="N38" i="100"/>
  <c r="N45" i="100" s="1"/>
  <c r="B21" i="100"/>
  <c r="N20" i="100"/>
  <c r="M20" i="100"/>
  <c r="L20" i="100"/>
  <c r="K20" i="100"/>
  <c r="J20" i="100"/>
  <c r="I20" i="100"/>
  <c r="H20" i="100"/>
  <c r="G20" i="100"/>
  <c r="F20" i="100"/>
  <c r="E20" i="100"/>
  <c r="D20" i="100"/>
  <c r="C20" i="100"/>
  <c r="B20" i="100"/>
  <c r="N19" i="100"/>
  <c r="M19" i="100"/>
  <c r="L19" i="100"/>
  <c r="K19" i="100"/>
  <c r="J19" i="100"/>
  <c r="I19" i="100"/>
  <c r="H19" i="100"/>
  <c r="G19" i="100"/>
  <c r="F19" i="100"/>
  <c r="E19" i="100"/>
  <c r="D19" i="100"/>
  <c r="C19" i="100"/>
  <c r="B19" i="100"/>
  <c r="N18" i="100"/>
  <c r="M18" i="100"/>
  <c r="L18" i="100"/>
  <c r="K18" i="100"/>
  <c r="J18" i="100"/>
  <c r="I18" i="100"/>
  <c r="H18" i="100"/>
  <c r="G18" i="100"/>
  <c r="F18" i="100"/>
  <c r="E18" i="100"/>
  <c r="D18" i="100"/>
  <c r="C18" i="100"/>
  <c r="B18" i="100"/>
  <c r="N17" i="100"/>
  <c r="N21" i="100" s="1"/>
  <c r="M17" i="100"/>
  <c r="M21" i="100" s="1"/>
  <c r="L17" i="100"/>
  <c r="L21" i="100" s="1"/>
  <c r="K17" i="100"/>
  <c r="K21" i="100" s="1"/>
  <c r="J17" i="100"/>
  <c r="J21" i="100" s="1"/>
  <c r="I17" i="100"/>
  <c r="I21" i="100" s="1"/>
  <c r="H17" i="100"/>
  <c r="H21" i="100" s="1"/>
  <c r="G17" i="100"/>
  <c r="G21" i="100" s="1"/>
  <c r="F17" i="100"/>
  <c r="F21" i="100" s="1"/>
  <c r="E17" i="100"/>
  <c r="E21" i="100" s="1"/>
  <c r="D17" i="100"/>
  <c r="D21" i="100" s="1"/>
  <c r="C17" i="100"/>
  <c r="C21" i="100" s="1"/>
  <c r="N10" i="100"/>
  <c r="M10" i="100"/>
  <c r="L10" i="100"/>
  <c r="K10" i="100"/>
  <c r="J10" i="100"/>
  <c r="I10" i="100"/>
  <c r="H10" i="100"/>
  <c r="H11" i="100" s="1"/>
  <c r="G10" i="100"/>
  <c r="F10" i="100"/>
  <c r="E10" i="100"/>
  <c r="D10" i="100"/>
  <c r="C10" i="100"/>
  <c r="N6" i="100"/>
  <c r="M6" i="100"/>
  <c r="L6" i="100"/>
  <c r="K6" i="100"/>
  <c r="J6" i="100"/>
  <c r="I6" i="100"/>
  <c r="H6" i="100"/>
  <c r="G6" i="100"/>
  <c r="D4" i="100"/>
  <c r="C3" i="100"/>
  <c r="E1" i="101" l="1"/>
  <c r="C23" i="100"/>
  <c r="C24" i="100" s="1"/>
  <c r="K23" i="100"/>
  <c r="K27" i="100" s="1"/>
  <c r="D23" i="100"/>
  <c r="D24" i="100" s="1"/>
  <c r="E23" i="100"/>
  <c r="E24" i="100" s="1"/>
  <c r="F23" i="100"/>
  <c r="F24" i="100" s="1"/>
  <c r="N23" i="100"/>
  <c r="N24" i="100" s="1"/>
  <c r="D3" i="100"/>
  <c r="L23" i="100"/>
  <c r="L27" i="100" s="1"/>
  <c r="M23" i="100"/>
  <c r="M24" i="100" s="1"/>
  <c r="G23" i="100"/>
  <c r="G27" i="100" s="1"/>
  <c r="E4" i="100"/>
  <c r="I23" i="100"/>
  <c r="I24" i="100" s="1"/>
  <c r="J23" i="100"/>
  <c r="J27" i="100" s="1"/>
  <c r="G11" i="100"/>
  <c r="H23" i="100"/>
  <c r="N11" i="100"/>
  <c r="F11" i="100"/>
  <c r="J11" i="100"/>
  <c r="C11" i="100"/>
  <c r="K11" i="100"/>
  <c r="D11" i="100"/>
  <c r="L11" i="100"/>
  <c r="I11" i="100"/>
  <c r="E11" i="100"/>
  <c r="M11" i="100"/>
  <c r="K24" i="100" l="1"/>
  <c r="F1" i="101"/>
  <c r="F27" i="100"/>
  <c r="F28" i="100" s="1"/>
  <c r="N27" i="100"/>
  <c r="G24" i="100"/>
  <c r="F4" i="100"/>
  <c r="F3" i="100" s="1"/>
  <c r="M27" i="100"/>
  <c r="N30" i="100" s="1"/>
  <c r="L24" i="100"/>
  <c r="E3" i="100"/>
  <c r="J24" i="100"/>
  <c r="I27" i="100"/>
  <c r="L30" i="100" s="1"/>
  <c r="N28" i="100"/>
  <c r="H27" i="100"/>
  <c r="H24" i="100"/>
  <c r="K28" i="100"/>
  <c r="J28" i="100"/>
  <c r="L28" i="100"/>
  <c r="G28" i="100"/>
  <c r="G4" i="100" l="1"/>
  <c r="H4" i="100" s="1"/>
  <c r="G1" i="101"/>
  <c r="M28" i="100"/>
  <c r="I30" i="100"/>
  <c r="M30" i="100"/>
  <c r="J30" i="100"/>
  <c r="I28" i="100"/>
  <c r="H28" i="100"/>
  <c r="K30" i="100"/>
  <c r="G3" i="100" l="1"/>
  <c r="H1" i="101"/>
  <c r="H3" i="100"/>
  <c r="I4" i="100"/>
  <c r="I1" i="101" l="1"/>
  <c r="J4" i="100"/>
  <c r="I3" i="100"/>
  <c r="J1" i="101" l="1"/>
  <c r="K4" i="100"/>
  <c r="J3" i="100"/>
  <c r="K1" i="101" l="1"/>
  <c r="L4" i="100"/>
  <c r="K3" i="100"/>
  <c r="L1" i="101" l="1"/>
  <c r="M4" i="100"/>
  <c r="L3" i="100"/>
  <c r="M1" i="101" l="1"/>
  <c r="N4" i="100"/>
  <c r="M3" i="100"/>
  <c r="N1" i="101" l="1"/>
  <c r="N37" i="100"/>
  <c r="N3" i="100"/>
  <c r="O4" i="100"/>
  <c r="O3" i="100" l="1"/>
  <c r="P4" i="100"/>
  <c r="P3" i="100" l="1"/>
  <c r="Q4" i="100"/>
  <c r="R4" i="100" l="1"/>
  <c r="Q3" i="100"/>
  <c r="S4" i="100" l="1"/>
  <c r="R3" i="100"/>
  <c r="T4" i="100" l="1"/>
  <c r="S3" i="100"/>
  <c r="T3" i="100" l="1"/>
  <c r="U4" i="100"/>
  <c r="V4" i="100" l="1"/>
  <c r="U3" i="100"/>
  <c r="V3" i="100" l="1"/>
  <c r="W4" i="100"/>
  <c r="X4" i="100" l="1"/>
  <c r="W3" i="100"/>
  <c r="Y4" i="100" l="1"/>
  <c r="X3" i="100"/>
  <c r="Z4" i="100" l="1"/>
  <c r="Y3" i="100"/>
  <c r="AA4" i="100" l="1"/>
  <c r="Z3" i="100"/>
  <c r="AB4" i="100" l="1"/>
  <c r="AA3" i="100"/>
  <c r="AC4" i="100" l="1"/>
  <c r="AB3" i="100"/>
  <c r="AD4" i="100" l="1"/>
  <c r="AC3" i="100"/>
  <c r="AD3" i="100" l="1"/>
  <c r="AE4" i="100"/>
  <c r="AE3" i="100" l="1"/>
  <c r="AF4" i="100"/>
  <c r="AG4" i="100" l="1"/>
  <c r="AF3" i="100"/>
  <c r="AG3" i="100" l="1"/>
  <c r="AH4" i="100"/>
  <c r="AH3" i="100" l="1"/>
  <c r="B13" i="97" l="1"/>
</calcChain>
</file>

<file path=xl/sharedStrings.xml><?xml version="1.0" encoding="utf-8"?>
<sst xmlns="http://schemas.openxmlformats.org/spreadsheetml/2006/main" count="44" uniqueCount="40">
  <si>
    <t>Customer</t>
  </si>
  <si>
    <t>Deferred Revenue</t>
  </si>
  <si>
    <t>S&amp;M</t>
  </si>
  <si>
    <t>Accounts Receivable</t>
  </si>
  <si>
    <t>% YoY Growth</t>
  </si>
  <si>
    <t>Gross Profit</t>
  </si>
  <si>
    <t>GAAP Revenue</t>
  </si>
  <si>
    <t>R&amp;D</t>
  </si>
  <si>
    <t>G&amp;A</t>
  </si>
  <si>
    <t>Operating Expenses</t>
  </si>
  <si>
    <t>Operating Income</t>
  </si>
  <si>
    <t>Income Statement</t>
  </si>
  <si>
    <t>Balance Sheet</t>
  </si>
  <si>
    <t>Cash</t>
  </si>
  <si>
    <t>Net PP&amp;E</t>
  </si>
  <si>
    <t>Equity</t>
  </si>
  <si>
    <t>Total Assets</t>
  </si>
  <si>
    <t>Total Liabilities &amp; Equity</t>
  </si>
  <si>
    <t>Accounts Payable</t>
  </si>
  <si>
    <t>D&amp;A</t>
  </si>
  <si>
    <t>% Margin</t>
  </si>
  <si>
    <t>Deferred Commissions</t>
  </si>
  <si>
    <t>Prepaid Expenses</t>
  </si>
  <si>
    <t>Capitalized Software Costs</t>
  </si>
  <si>
    <t>LTM EBITDA</t>
  </si>
  <si>
    <t>EBITDA</t>
  </si>
  <si>
    <t>COGS</t>
  </si>
  <si>
    <t>GO, GO, GO!</t>
  </si>
  <si>
    <t>Practice really does make perfect!</t>
  </si>
  <si>
    <t>You got this!  :-)</t>
  </si>
  <si>
    <t>For more video courses and tutorials:</t>
  </si>
  <si>
    <t>All rights reserved. Growth Equity Interview Guide.</t>
  </si>
  <si>
    <t xml:space="preserve">This template is part of a comprehensive course for SaaS investing roles &amp; interviews. </t>
  </si>
  <si>
    <t>Gross Margin %</t>
  </si>
  <si>
    <t>Note:</t>
  </si>
  <si>
    <t>Prior Year Renewal ARR for Billing</t>
  </si>
  <si>
    <t>New Debt</t>
  </si>
  <si>
    <t>Goodwill</t>
  </si>
  <si>
    <t>Existing Debt</t>
  </si>
  <si>
    <t>$ in millions, except noted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</si>
</sst>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0.0%"/>
    <numFmt numFmtId="169" formatCode="[$-409]mmm\-yy;@"/>
    <numFmt numFmtId="171" formatCode="m/d/yy"/>
    <numFmt numFmtId="173" formatCode="&quot;$&quot;#,##0_);\(&quot;$&quot;#,##0\);\ &quot;-&quot;_)"/>
    <numFmt numFmtId="176" formatCode="0%_);\(0%\);&quot;-&quot;_)"/>
    <numFmt numFmtId="184" formatCode="&quot;$&quot;#,##0.0_);\(&quot;$&quot;#,##0.0\)"/>
    <numFmt numFmtId="185" formatCode="0.0%_);\(0.0%\);&quot;-&quot;_)"/>
    <numFmt numFmtId="192" formatCode="&quot;$&quot;#,##0.0_);\(&quot;$&quot;#,##0.0\);\ &quot;-&quot;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Garamond"/>
      <family val="1"/>
    </font>
    <font>
      <b/>
      <sz val="10"/>
      <color theme="0"/>
      <name val="Garamond"/>
      <family val="1"/>
    </font>
    <font>
      <sz val="10"/>
      <color rgb="FF0000FF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i/>
      <sz val="10"/>
      <color theme="1"/>
      <name val="Garamond"/>
      <family val="1"/>
    </font>
    <font>
      <i/>
      <sz val="10"/>
      <name val="Garamond"/>
      <family val="1"/>
    </font>
    <font>
      <i/>
      <sz val="10"/>
      <color rgb="FF0000FF"/>
      <name val="Garamond"/>
      <family val="1"/>
    </font>
    <font>
      <b/>
      <sz val="10"/>
      <color rgb="FF0000FF"/>
      <name val="Garamond"/>
      <family val="1"/>
    </font>
    <font>
      <b/>
      <sz val="10"/>
      <name val="Garamond"/>
      <family val="1"/>
    </font>
    <font>
      <sz val="10"/>
      <color rgb="FF00B050"/>
      <name val="Garamond"/>
      <family val="1"/>
    </font>
    <font>
      <b/>
      <u/>
      <sz val="10"/>
      <color theme="1"/>
      <name val="Garamond"/>
      <family val="1"/>
    </font>
    <font>
      <sz val="10"/>
      <color rgb="FF000000"/>
      <name val="Calibri"/>
      <family val="2"/>
      <scheme val="minor"/>
    </font>
    <font>
      <sz val="8"/>
      <name val="Verdan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8"/>
      <color indexed="12"/>
      <name val="Verdana"/>
      <family val="2"/>
    </font>
    <font>
      <b/>
      <sz val="10"/>
      <color rgb="FFFF0000"/>
      <name val="Garamond"/>
      <family val="1"/>
    </font>
    <font>
      <sz val="10"/>
      <color theme="0"/>
      <name val="Garamond"/>
      <family val="1"/>
    </font>
    <font>
      <sz val="10"/>
      <name val="Arial"/>
      <family val="2"/>
    </font>
    <font>
      <sz val="11"/>
      <color theme="1"/>
      <name val="Inter"/>
    </font>
    <font>
      <b/>
      <sz val="10"/>
      <color theme="7" tint="0.39997558519241921"/>
      <name val="Inter"/>
    </font>
    <font>
      <sz val="22"/>
      <color theme="0"/>
      <name val="Inter"/>
    </font>
    <font>
      <i/>
      <sz val="11"/>
      <color theme="7" tint="0.39997558519241921"/>
      <name val="Inter"/>
    </font>
    <font>
      <sz val="11"/>
      <color theme="0"/>
      <name val="Inter"/>
    </font>
    <font>
      <u/>
      <sz val="11"/>
      <color theme="10"/>
      <name val="Calibri"/>
      <family val="2"/>
      <scheme val="minor"/>
    </font>
    <font>
      <i/>
      <u/>
      <sz val="11"/>
      <color rgb="FF00B0F0"/>
      <name val="Inter"/>
    </font>
    <font>
      <u/>
      <sz val="30"/>
      <color theme="7" tint="0.39997558519241921"/>
      <name val="Inter"/>
    </font>
    <font>
      <i/>
      <sz val="9"/>
      <color theme="0"/>
      <name val="Inter"/>
    </font>
    <font>
      <sz val="8"/>
      <name val="Garamond"/>
      <family val="1"/>
    </font>
    <font>
      <b/>
      <sz val="11"/>
      <name val="Garamond"/>
      <family val="1"/>
    </font>
    <font>
      <i/>
      <sz val="10"/>
      <color theme="0"/>
      <name val="Garamond"/>
      <family val="1"/>
    </font>
    <font>
      <u/>
      <sz val="10"/>
      <color theme="1"/>
      <name val="Garamond"/>
      <family val="1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5" fillId="0" borderId="0"/>
    <xf numFmtId="0" fontId="16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29" fillId="0" borderId="0" applyNumberFormat="0" applyFill="0" applyBorder="0" applyAlignment="0" applyProtection="0"/>
  </cellStyleXfs>
  <cellXfs count="109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3" fillId="3" borderId="0" xfId="0" applyFont="1" applyFill="1"/>
    <xf numFmtId="0" fontId="8" fillId="0" borderId="0" xfId="0" applyFont="1" applyAlignment="1">
      <alignment horizontal="left" indent="1"/>
    </xf>
    <xf numFmtId="0" fontId="8" fillId="0" borderId="0" xfId="0" applyFont="1"/>
    <xf numFmtId="0" fontId="7" fillId="0" borderId="1" xfId="0" applyFont="1" applyBorder="1"/>
    <xf numFmtId="0" fontId="14" fillId="0" borderId="0" xfId="0" applyFont="1"/>
    <xf numFmtId="5" fontId="3" fillId="0" borderId="0" xfId="0" applyNumberFormat="1" applyFont="1"/>
    <xf numFmtId="169" fontId="3" fillId="3" borderId="0" xfId="0" applyNumberFormat="1" applyFont="1" applyFill="1" applyAlignment="1">
      <alignment horizontal="right"/>
    </xf>
    <xf numFmtId="5" fontId="12" fillId="0" borderId="1" xfId="0" applyNumberFormat="1" applyFont="1" applyBorder="1"/>
    <xf numFmtId="169" fontId="3" fillId="0" borderId="0" xfId="0" applyNumberFormat="1" applyFont="1" applyAlignment="1">
      <alignment horizontal="left"/>
    </xf>
    <xf numFmtId="171" fontId="6" fillId="2" borderId="0" xfId="0" applyNumberFormat="1" applyFont="1" applyFill="1"/>
    <xf numFmtId="0" fontId="17" fillId="4" borderId="0" xfId="4" applyFont="1" applyFill="1"/>
    <xf numFmtId="0" fontId="18" fillId="4" borderId="0" xfId="4" applyFont="1" applyFill="1"/>
    <xf numFmtId="0" fontId="1" fillId="4" borderId="0" xfId="4" applyFont="1" applyFill="1"/>
    <xf numFmtId="176" fontId="9" fillId="0" borderId="0" xfId="1" applyNumberFormat="1" applyFont="1" applyBorder="1"/>
    <xf numFmtId="173" fontId="6" fillId="0" borderId="0" xfId="0" applyNumberFormat="1" applyFont="1"/>
    <xf numFmtId="5" fontId="12" fillId="0" borderId="0" xfId="0" applyNumberFormat="1" applyFont="1"/>
    <xf numFmtId="5" fontId="6" fillId="0" borderId="0" xfId="0" applyNumberFormat="1" applyFont="1"/>
    <xf numFmtId="169" fontId="7" fillId="0" borderId="1" xfId="0" applyNumberFormat="1" applyFont="1" applyBorder="1" applyAlignment="1">
      <alignment horizontal="left"/>
    </xf>
    <xf numFmtId="169" fontId="7" fillId="0" borderId="0" xfId="0" applyNumberFormat="1" applyFont="1" applyAlignment="1">
      <alignment horizontal="left"/>
    </xf>
    <xf numFmtId="5" fontId="13" fillId="0" borderId="0" xfId="0" applyNumberFormat="1" applyFont="1"/>
    <xf numFmtId="176" fontId="9" fillId="0" borderId="0" xfId="1" applyNumberFormat="1" applyFont="1" applyFill="1" applyBorder="1"/>
    <xf numFmtId="5" fontId="5" fillId="0" borderId="0" xfId="0" applyNumberFormat="1" applyFont="1"/>
    <xf numFmtId="0" fontId="3" fillId="0" borderId="5" xfId="0" applyFont="1" applyBorder="1"/>
    <xf numFmtId="0" fontId="8" fillId="0" borderId="7" xfId="0" applyFont="1" applyBorder="1"/>
    <xf numFmtId="171" fontId="6" fillId="2" borderId="5" xfId="0" applyNumberFormat="1" applyFont="1" applyFill="1" applyBorder="1"/>
    <xf numFmtId="171" fontId="6" fillId="2" borderId="7" xfId="0" applyNumberFormat="1" applyFont="1" applyFill="1" applyBorder="1"/>
    <xf numFmtId="169" fontId="3" fillId="3" borderId="5" xfId="0" applyNumberFormat="1" applyFont="1" applyFill="1" applyBorder="1" applyAlignment="1">
      <alignment horizontal="right"/>
    </xf>
    <xf numFmtId="0" fontId="3" fillId="0" borderId="7" xfId="0" applyFont="1" applyBorder="1"/>
    <xf numFmtId="169" fontId="6" fillId="3" borderId="0" xfId="0" applyNumberFormat="1" applyFont="1" applyFill="1" applyAlignment="1">
      <alignment horizontal="right"/>
    </xf>
    <xf numFmtId="169" fontId="6" fillId="3" borderId="7" xfId="0" applyNumberFormat="1" applyFont="1" applyFill="1" applyBorder="1" applyAlignment="1">
      <alignment horizontal="right"/>
    </xf>
    <xf numFmtId="169" fontId="3" fillId="0" borderId="0" xfId="0" applyNumberFormat="1" applyFont="1" applyAlignment="1">
      <alignment horizontal="right"/>
    </xf>
    <xf numFmtId="1" fontId="6" fillId="3" borderId="0" xfId="0" applyNumberFormat="1" applyFont="1" applyFill="1" applyAlignment="1">
      <alignment horizontal="right"/>
    </xf>
    <xf numFmtId="5" fontId="5" fillId="0" borderId="2" xfId="0" applyNumberFormat="1" applyFont="1" applyBorder="1"/>
    <xf numFmtId="171" fontId="6" fillId="0" borderId="0" xfId="0" applyNumberFormat="1" applyFont="1"/>
    <xf numFmtId="1" fontId="6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0" fontId="7" fillId="5" borderId="6" xfId="4" applyFont="1" applyFill="1" applyBorder="1" applyAlignment="1">
      <alignment horizontal="right"/>
    </xf>
    <xf numFmtId="0" fontId="3" fillId="4" borderId="0" xfId="4" applyFont="1" applyFill="1" applyAlignment="1">
      <alignment horizontal="right" vertical="top" wrapText="1"/>
    </xf>
    <xf numFmtId="0" fontId="6" fillId="4" borderId="0" xfId="4" applyFont="1" applyFill="1" applyAlignment="1">
      <alignment horizontal="right"/>
    </xf>
    <xf numFmtId="1" fontId="6" fillId="6" borderId="0" xfId="0" applyNumberFormat="1" applyFont="1" applyFill="1" applyAlignment="1">
      <alignment horizontal="right"/>
    </xf>
    <xf numFmtId="169" fontId="3" fillId="6" borderId="0" xfId="0" applyNumberFormat="1" applyFont="1" applyFill="1" applyAlignment="1">
      <alignment horizontal="right"/>
    </xf>
    <xf numFmtId="1" fontId="6" fillId="6" borderId="7" xfId="0" applyNumberFormat="1" applyFont="1" applyFill="1" applyBorder="1" applyAlignment="1">
      <alignment horizontal="right"/>
    </xf>
    <xf numFmtId="169" fontId="3" fillId="6" borderId="7" xfId="0" applyNumberFormat="1" applyFont="1" applyFill="1" applyBorder="1" applyAlignment="1">
      <alignment horizontal="right"/>
    </xf>
    <xf numFmtId="0" fontId="22" fillId="4" borderId="0" xfId="0" applyFont="1" applyFill="1"/>
    <xf numFmtId="171" fontId="22" fillId="2" borderId="0" xfId="0" applyNumberFormat="1" applyFont="1" applyFill="1" applyAlignment="1">
      <alignment horizontal="right"/>
    </xf>
    <xf numFmtId="9" fontId="23" fillId="4" borderId="0" xfId="1" applyFont="1" applyFill="1"/>
    <xf numFmtId="9" fontId="23" fillId="0" borderId="0" xfId="1" applyFont="1" applyFill="1"/>
    <xf numFmtId="0" fontId="24" fillId="2" borderId="0" xfId="0" applyFont="1" applyFill="1"/>
    <xf numFmtId="0" fontId="0" fillId="2" borderId="0" xfId="0" applyFill="1"/>
    <xf numFmtId="0" fontId="25" fillId="2" borderId="0" xfId="0" applyFont="1" applyFill="1"/>
    <xf numFmtId="0" fontId="26" fillId="2" borderId="0" xfId="0" applyFont="1" applyFill="1"/>
    <xf numFmtId="0" fontId="27" fillId="2" borderId="0" xfId="0" applyFont="1" applyFill="1"/>
    <xf numFmtId="0" fontId="28" fillId="2" borderId="0" xfId="0" applyFont="1" applyFill="1"/>
    <xf numFmtId="0" fontId="30" fillId="2" borderId="0" xfId="9" applyFont="1" applyFill="1"/>
    <xf numFmtId="0" fontId="31" fillId="2" borderId="0" xfId="9" applyFont="1" applyFill="1"/>
    <xf numFmtId="0" fontId="32" fillId="2" borderId="0" xfId="0" applyFont="1" applyFill="1"/>
    <xf numFmtId="169" fontId="21" fillId="3" borderId="0" xfId="0" applyNumberFormat="1" applyFont="1" applyFill="1" applyAlignment="1">
      <alignment horizontal="right"/>
    </xf>
    <xf numFmtId="0" fontId="33" fillId="4" borderId="0" xfId="4" applyFont="1" applyFill="1"/>
    <xf numFmtId="169" fontId="34" fillId="4" borderId="0" xfId="4" applyNumberFormat="1" applyFont="1" applyFill="1"/>
    <xf numFmtId="6" fontId="6" fillId="0" borderId="0" xfId="0" applyNumberFormat="1" applyFont="1" applyAlignment="1">
      <alignment horizontal="right" wrapText="1"/>
    </xf>
    <xf numFmtId="169" fontId="34" fillId="0" borderId="0" xfId="4" applyNumberFormat="1" applyFont="1"/>
    <xf numFmtId="0" fontId="6" fillId="0" borderId="0" xfId="4" applyFont="1" applyAlignment="1">
      <alignment horizontal="right"/>
    </xf>
    <xf numFmtId="185" fontId="9" fillId="0" borderId="0" xfId="1" applyNumberFormat="1" applyFont="1" applyBorder="1"/>
    <xf numFmtId="185" fontId="9" fillId="0" borderId="7" xfId="1" applyNumberFormat="1" applyFont="1" applyFill="1" applyBorder="1"/>
    <xf numFmtId="185" fontId="9" fillId="0" borderId="0" xfId="1" applyNumberFormat="1" applyFont="1" applyFill="1" applyBorder="1"/>
    <xf numFmtId="185" fontId="9" fillId="0" borderId="5" xfId="1" applyNumberFormat="1" applyFont="1" applyBorder="1"/>
    <xf numFmtId="1" fontId="6" fillId="3" borderId="5" xfId="0" applyNumberFormat="1" applyFont="1" applyFill="1" applyBorder="1" applyAlignment="1">
      <alignment horizontal="right"/>
    </xf>
    <xf numFmtId="185" fontId="9" fillId="0" borderId="5" xfId="1" applyNumberFormat="1" applyFont="1" applyFill="1" applyBorder="1"/>
    <xf numFmtId="0" fontId="8" fillId="3" borderId="0" xfId="0" applyFont="1" applyFill="1"/>
    <xf numFmtId="171" fontId="35" fillId="2" borderId="0" xfId="0" applyNumberFormat="1" applyFont="1" applyFill="1" applyAlignment="1">
      <alignment horizontal="right"/>
    </xf>
    <xf numFmtId="184" fontId="6" fillId="0" borderId="7" xfId="0" applyNumberFormat="1" applyFont="1" applyBorder="1"/>
    <xf numFmtId="184" fontId="6" fillId="0" borderId="0" xfId="0" applyNumberFormat="1" applyFont="1"/>
    <xf numFmtId="184" fontId="12" fillId="0" borderId="1" xfId="0" applyNumberFormat="1" applyFont="1" applyBorder="1"/>
    <xf numFmtId="184" fontId="12" fillId="0" borderId="4" xfId="0" applyNumberFormat="1" applyFont="1" applyBorder="1"/>
    <xf numFmtId="184" fontId="5" fillId="0" borderId="0" xfId="0" applyNumberFormat="1" applyFont="1"/>
    <xf numFmtId="184" fontId="11" fillId="0" borderId="0" xfId="0" applyNumberFormat="1" applyFont="1"/>
    <xf numFmtId="192" fontId="5" fillId="0" borderId="0" xfId="0" applyNumberFormat="1" applyFont="1"/>
    <xf numFmtId="184" fontId="6" fillId="0" borderId="7" xfId="0" applyNumberFormat="1" applyFont="1" applyFill="1" applyBorder="1"/>
    <xf numFmtId="184" fontId="6" fillId="0" borderId="0" xfId="0" applyNumberFormat="1" applyFont="1" applyFill="1"/>
    <xf numFmtId="184" fontId="12" fillId="0" borderId="7" xfId="0" applyNumberFormat="1" applyFont="1" applyFill="1" applyBorder="1"/>
    <xf numFmtId="184" fontId="12" fillId="0" borderId="0" xfId="0" applyNumberFormat="1" applyFont="1" applyFill="1"/>
    <xf numFmtId="5" fontId="12" fillId="0" borderId="0" xfId="0" applyNumberFormat="1" applyFont="1" applyFill="1"/>
    <xf numFmtId="0" fontId="2" fillId="0" borderId="0" xfId="0" applyFont="1" applyFill="1"/>
    <xf numFmtId="0" fontId="3" fillId="0" borderId="7" xfId="0" applyFont="1" applyFill="1" applyBorder="1"/>
    <xf numFmtId="192" fontId="6" fillId="0" borderId="7" xfId="0" applyNumberFormat="1" applyFont="1" applyFill="1" applyBorder="1"/>
    <xf numFmtId="192" fontId="6" fillId="0" borderId="0" xfId="0" applyNumberFormat="1" applyFont="1" applyFill="1"/>
    <xf numFmtId="173" fontId="6" fillId="0" borderId="0" xfId="0" applyNumberFormat="1" applyFont="1" applyFill="1"/>
    <xf numFmtId="184" fontId="12" fillId="0" borderId="3" xfId="0" applyNumberFormat="1" applyFont="1" applyFill="1" applyBorder="1"/>
    <xf numFmtId="184" fontId="12" fillId="0" borderId="1" xfId="0" applyNumberFormat="1" applyFont="1" applyFill="1" applyBorder="1"/>
    <xf numFmtId="165" fontId="10" fillId="0" borderId="7" xfId="0" applyNumberFormat="1" applyFont="1" applyFill="1" applyBorder="1"/>
    <xf numFmtId="165" fontId="10" fillId="0" borderId="0" xfId="0" applyNumberFormat="1" applyFont="1" applyFill="1"/>
    <xf numFmtId="173" fontId="13" fillId="0" borderId="0" xfId="0" applyNumberFormat="1" applyFont="1" applyFill="1"/>
    <xf numFmtId="192" fontId="6" fillId="0" borderId="8" xfId="0" applyNumberFormat="1" applyFont="1" applyFill="1" applyBorder="1"/>
    <xf numFmtId="192" fontId="6" fillId="0" borderId="2" xfId="0" applyNumberFormat="1" applyFont="1" applyFill="1" applyBorder="1"/>
    <xf numFmtId="5" fontId="6" fillId="0" borderId="0" xfId="0" applyNumberFormat="1" applyFont="1" applyFill="1"/>
    <xf numFmtId="184" fontId="5" fillId="0" borderId="7" xfId="0" applyNumberFormat="1" applyFont="1" applyFill="1" applyBorder="1"/>
    <xf numFmtId="184" fontId="5" fillId="0" borderId="0" xfId="0" applyNumberFormat="1" applyFont="1" applyFill="1"/>
    <xf numFmtId="184" fontId="3" fillId="0" borderId="7" xfId="0" applyNumberFormat="1" applyFont="1" applyFill="1" applyBorder="1"/>
    <xf numFmtId="184" fontId="3" fillId="0" borderId="0" xfId="0" applyNumberFormat="1" applyFont="1" applyFill="1"/>
    <xf numFmtId="184" fontId="13" fillId="0" borderId="7" xfId="0" applyNumberFormat="1" applyFont="1" applyFill="1" applyBorder="1"/>
    <xf numFmtId="184" fontId="13" fillId="0" borderId="0" xfId="0" applyNumberFormat="1" applyFont="1" applyFill="1"/>
    <xf numFmtId="0" fontId="3" fillId="0" borderId="0" xfId="0" applyFont="1" applyFill="1"/>
    <xf numFmtId="184" fontId="3" fillId="0" borderId="8" xfId="0" applyNumberFormat="1" applyFont="1" applyFill="1" applyBorder="1"/>
    <xf numFmtId="184" fontId="3" fillId="0" borderId="2" xfId="0" applyNumberFormat="1" applyFont="1" applyFill="1" applyBorder="1"/>
    <xf numFmtId="169" fontId="36" fillId="0" borderId="0" xfId="0" applyNumberFormat="1" applyFont="1" applyAlignment="1">
      <alignment horizontal="left"/>
    </xf>
  </cellXfs>
  <cellStyles count="10">
    <cellStyle name="Comma 3" xfId="5" xr:uid="{7CDBA429-6087-4AF3-8976-7F423C9ED004}"/>
    <cellStyle name="Currency 2" xfId="6" xr:uid="{1CA0318B-91D4-48EC-B2A0-B8A6123BCAC5}"/>
    <cellStyle name="Hyperlink" xfId="9" builtinId="8"/>
    <cellStyle name="Hyperlink 2" xfId="7" xr:uid="{E9ADBCD8-CC82-4217-825D-699B90D9D76D}"/>
    <cellStyle name="Normal" xfId="0" builtinId="0"/>
    <cellStyle name="Normal 2" xfId="2" xr:uid="{FE34F453-BE46-4638-A718-6F04F1594BE6}"/>
    <cellStyle name="Normal 2 2" xfId="4" xr:uid="{2D6046CD-B46A-45DC-A207-46183422FDC3}"/>
    <cellStyle name="Normal 3" xfId="3" xr:uid="{C4C2660B-A95D-4D3F-80DF-AACE7148632D}"/>
    <cellStyle name="Normal 4" xfId="8" xr:uid="{3A510677-FB36-430B-9978-D756C309F239}"/>
    <cellStyle name="Percent" xfId="1" builtinId="5"/>
  </cellStyles>
  <dxfs count="0"/>
  <tableStyles count="0" defaultTableStyle="TableStyleMedium2" defaultPivotStyle="PivotStyleLight16"/>
  <colors>
    <mruColors>
      <color rgb="FF0000FF"/>
      <color rgb="FFFF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7A26-2D6E-4295-99F5-02276544AE94}">
  <sheetPr>
    <tabColor theme="7"/>
  </sheetPr>
  <dimension ref="A1:AJ269"/>
  <sheetViews>
    <sheetView tabSelected="1" workbookViewId="0"/>
  </sheetViews>
  <sheetFormatPr defaultRowHeight="14.25"/>
  <sheetData>
    <row r="1" spans="1:36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</row>
    <row r="2" spans="1:36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</row>
    <row r="3" spans="1:36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</row>
    <row r="4" spans="1:36" ht="13.15" customHeight="1">
      <c r="A4" s="51"/>
      <c r="B4" s="53" t="s">
        <v>27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</row>
    <row r="5" spans="1:36" ht="37.15" customHeight="1">
      <c r="A5" s="51"/>
      <c r="B5" s="54" t="s">
        <v>28</v>
      </c>
      <c r="C5" s="55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</row>
    <row r="6" spans="1:36" ht="27.4">
      <c r="A6" s="51"/>
      <c r="B6" s="54" t="s">
        <v>29</v>
      </c>
      <c r="C6" s="55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</row>
    <row r="7" spans="1:36">
      <c r="A7" s="51"/>
      <c r="B7" s="55"/>
      <c r="C7" s="55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</row>
    <row r="8" spans="1:36">
      <c r="A8" s="51"/>
      <c r="B8" s="56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</row>
    <row r="9" spans="1:36">
      <c r="A9" s="51"/>
      <c r="B9" s="56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</row>
    <row r="10" spans="1:36">
      <c r="A10" s="51"/>
      <c r="B10" s="56" t="s">
        <v>32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</row>
    <row r="11" spans="1:36">
      <c r="A11" s="51"/>
      <c r="B11" s="56" t="s">
        <v>30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</row>
    <row r="12" spans="1:36" ht="8.75" customHeight="1">
      <c r="A12" s="51"/>
      <c r="B12" s="56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</row>
    <row r="13" spans="1:36">
      <c r="A13" s="51"/>
      <c r="B13" s="57" t="str">
        <f>HYPERLINK("https://GrowthEquityInterviewGuide.com", "GrowthEquityInterviewGuide.com")</f>
        <v>GrowthEquityInterviewGuide.com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</row>
    <row r="14" spans="1:36" ht="4.9000000000000004" customHeight="1">
      <c r="A14" s="51"/>
      <c r="B14" s="58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</row>
    <row r="15" spans="1:36" ht="14.65" customHeight="1">
      <c r="A15" s="51"/>
      <c r="B15" s="59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</row>
    <row r="16" spans="1:36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</row>
    <row r="17" spans="1:36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</row>
    <row r="18" spans="1:36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</row>
    <row r="19" spans="1:36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</row>
    <row r="20" spans="1:36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</row>
    <row r="21" spans="1:36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</row>
    <row r="22" spans="1:36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</row>
    <row r="23" spans="1:36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</row>
    <row r="24" spans="1:36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</row>
    <row r="25" spans="1:36">
      <c r="A25" s="51"/>
      <c r="B25" s="59" t="s">
        <v>31</v>
      </c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</row>
    <row r="26" spans="1:36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</row>
    <row r="27" spans="1:36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</row>
    <row r="28" spans="1:36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</row>
    <row r="29" spans="1:36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</row>
    <row r="30" spans="1:36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</row>
    <row r="31" spans="1:36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</row>
    <row r="32" spans="1:36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spans="1:36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spans="1:36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spans="1:36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spans="1:36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spans="1:36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spans="1:36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spans="1:36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spans="1:36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spans="1:36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spans="1:36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spans="1:36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spans="1:36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spans="1:36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spans="1:36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spans="1:36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spans="1:36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spans="1:36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spans="1:36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spans="1:36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spans="1:36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spans="1:36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spans="1:36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spans="1:36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</row>
    <row r="56" spans="1:36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</row>
    <row r="57" spans="1:36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</row>
    <row r="58" spans="1:36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</row>
    <row r="59" spans="1:36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spans="1:36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</row>
    <row r="61" spans="1:36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</row>
    <row r="62" spans="1:36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</row>
    <row r="63" spans="1:36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</row>
    <row r="64" spans="1:36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</row>
    <row r="65" spans="1:36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</row>
    <row r="66" spans="1:36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</row>
    <row r="67" spans="1:36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</row>
    <row r="68" spans="1:36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</row>
    <row r="69" spans="1:36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</row>
    <row r="70" spans="1:36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</row>
    <row r="71" spans="1:36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</row>
    <row r="72" spans="1:36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</row>
    <row r="73" spans="1:36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</row>
    <row r="74" spans="1:36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</row>
    <row r="75" spans="1:36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</row>
    <row r="76" spans="1:36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</row>
    <row r="77" spans="1:36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</row>
    <row r="78" spans="1:36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</row>
    <row r="79" spans="1:36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</row>
    <row r="80" spans="1:36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</row>
    <row r="81" spans="1:36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</row>
    <row r="82" spans="1:36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</row>
    <row r="83" spans="1:36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</row>
    <row r="84" spans="1:36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</row>
    <row r="85" spans="1:36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</row>
    <row r="86" spans="1:36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</row>
    <row r="87" spans="1:36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</row>
    <row r="88" spans="1:36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</row>
    <row r="89" spans="1:36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</row>
    <row r="90" spans="1:36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</row>
    <row r="91" spans="1:36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</row>
    <row r="92" spans="1:36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</row>
    <row r="93" spans="1:36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</row>
    <row r="94" spans="1:36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</row>
    <row r="95" spans="1:36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</row>
    <row r="96" spans="1:3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</row>
    <row r="97" spans="1:36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</row>
    <row r="98" spans="1:36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</row>
    <row r="99" spans="1:36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</row>
    <row r="100" spans="1:36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</row>
    <row r="101" spans="1:36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</row>
    <row r="102" spans="1:36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</row>
    <row r="103" spans="1:36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</row>
    <row r="104" spans="1:36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</row>
    <row r="105" spans="1:36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</row>
    <row r="106" spans="1:3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</row>
    <row r="107" spans="1:36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</row>
    <row r="108" spans="1:36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</row>
    <row r="109" spans="1:36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</row>
    <row r="110" spans="1:36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</row>
    <row r="111" spans="1:36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</row>
    <row r="112" spans="1:36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</row>
    <row r="113" spans="1:36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</row>
    <row r="114" spans="1:36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</row>
    <row r="115" spans="1:36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</row>
    <row r="116" spans="1:3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</row>
    <row r="117" spans="1:36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</row>
    <row r="118" spans="1:36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</row>
    <row r="119" spans="1:36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</row>
    <row r="120" spans="1:36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</row>
    <row r="121" spans="1:36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</row>
    <row r="122" spans="1:36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</row>
    <row r="123" spans="1:36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</row>
    <row r="124" spans="1:36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</row>
    <row r="125" spans="1:36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</row>
    <row r="126" spans="1:3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</row>
    <row r="127" spans="1:36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</row>
    <row r="128" spans="1:36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</row>
    <row r="129" spans="1:36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</row>
    <row r="130" spans="1:36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</row>
    <row r="131" spans="1:36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</row>
    <row r="132" spans="1:36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</row>
    <row r="133" spans="1:36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</row>
    <row r="134" spans="1:36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</row>
    <row r="135" spans="1:36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</row>
    <row r="136" spans="1: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</row>
    <row r="137" spans="1:36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</row>
    <row r="138" spans="1:36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</row>
    <row r="139" spans="1:36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</row>
    <row r="140" spans="1:36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</row>
    <row r="141" spans="1:36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</row>
    <row r="142" spans="1:36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</row>
    <row r="143" spans="1:36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</row>
    <row r="144" spans="1:36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</row>
    <row r="145" spans="1:36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</row>
    <row r="146" spans="1:3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</row>
    <row r="147" spans="1:36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</row>
    <row r="148" spans="1:36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</row>
    <row r="149" spans="1:36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</row>
    <row r="150" spans="1:36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</row>
    <row r="151" spans="1:36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</row>
    <row r="152" spans="1:36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</row>
    <row r="153" spans="1:36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</row>
    <row r="154" spans="1:36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</row>
    <row r="155" spans="1:36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</row>
    <row r="156" spans="1:3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</row>
    <row r="157" spans="1:36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</row>
    <row r="158" spans="1:36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</row>
    <row r="159" spans="1:36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</row>
    <row r="160" spans="1:36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</row>
    <row r="161" spans="1:36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</row>
    <row r="162" spans="1:36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</row>
    <row r="163" spans="1:36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</row>
    <row r="164" spans="1:36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</row>
    <row r="165" spans="1:36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</row>
    <row r="166" spans="1:3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</row>
    <row r="167" spans="1:36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</row>
    <row r="168" spans="1:36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</row>
    <row r="169" spans="1:36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</row>
    <row r="170" spans="1:36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</row>
    <row r="171" spans="1:36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</row>
    <row r="172" spans="1:36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</row>
    <row r="173" spans="1:36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</row>
    <row r="174" spans="1:36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</row>
    <row r="175" spans="1:36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</row>
    <row r="176" spans="1:3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</row>
    <row r="177" spans="1:36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</row>
    <row r="178" spans="1:36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</row>
    <row r="179" spans="1:36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</row>
    <row r="180" spans="1:36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</row>
    <row r="181" spans="1:36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</row>
    <row r="182" spans="1:36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</row>
    <row r="183" spans="1:36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</row>
    <row r="184" spans="1:36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</row>
    <row r="185" spans="1:36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</row>
    <row r="186" spans="1:3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</row>
    <row r="187" spans="1:36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</row>
    <row r="188" spans="1:36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</row>
    <row r="189" spans="1:36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</row>
    <row r="190" spans="1:36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</row>
    <row r="191" spans="1:36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</row>
    <row r="192" spans="1:36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</row>
    <row r="193" spans="1:36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</row>
    <row r="194" spans="1:36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</row>
    <row r="195" spans="1:36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</row>
    <row r="196" spans="1:3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</row>
    <row r="197" spans="1:36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</row>
    <row r="198" spans="1:36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</row>
    <row r="199" spans="1:36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</row>
    <row r="200" spans="1:36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</row>
    <row r="201" spans="1:36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</row>
    <row r="202" spans="1:36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</row>
    <row r="203" spans="1:36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</row>
    <row r="204" spans="1:36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</row>
    <row r="205" spans="1:36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</row>
    <row r="206" spans="1:3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</row>
    <row r="207" spans="1:36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</row>
    <row r="208" spans="1:36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</row>
    <row r="209" spans="1:36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</row>
    <row r="210" spans="1:36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</row>
    <row r="211" spans="1:36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</row>
    <row r="212" spans="1:36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</row>
    <row r="213" spans="1:36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</row>
    <row r="214" spans="1:36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</row>
    <row r="215" spans="1:36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</row>
    <row r="216" spans="1:3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</row>
    <row r="217" spans="1:36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</row>
    <row r="218" spans="1:36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</row>
    <row r="219" spans="1:36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</row>
    <row r="220" spans="1:36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</row>
    <row r="221" spans="1:36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</row>
    <row r="222" spans="1:36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</row>
    <row r="223" spans="1:36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</row>
    <row r="224" spans="1:36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</row>
    <row r="225" spans="1:36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</row>
    <row r="226" spans="1:3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</row>
    <row r="227" spans="1:36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</row>
    <row r="228" spans="1:36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</row>
    <row r="229" spans="1:36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</row>
    <row r="230" spans="1:36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</row>
    <row r="231" spans="1:36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</row>
    <row r="232" spans="1:36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</row>
    <row r="233" spans="1:36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</row>
    <row r="234" spans="1:36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</row>
    <row r="235" spans="1:36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</row>
    <row r="236" spans="1: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</row>
    <row r="237" spans="1:36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</row>
    <row r="238" spans="1:36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</row>
    <row r="239" spans="1:36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</row>
    <row r="240" spans="1:36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</row>
    <row r="241" spans="1:36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</row>
    <row r="242" spans="1:36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</row>
    <row r="243" spans="1:36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</row>
    <row r="244" spans="1:36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</row>
    <row r="245" spans="1:36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</row>
    <row r="246" spans="1:3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</row>
    <row r="247" spans="1:36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</row>
    <row r="248" spans="1:36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</row>
    <row r="249" spans="1:36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</row>
    <row r="250" spans="1:36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</row>
    <row r="251" spans="1:36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</row>
    <row r="252" spans="1:36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</row>
    <row r="253" spans="1:36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</row>
    <row r="254" spans="1:36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</row>
    <row r="255" spans="1:36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</row>
    <row r="256" spans="1:3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</row>
    <row r="257" spans="1:36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</row>
    <row r="258" spans="1:36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</row>
    <row r="259" spans="1:36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</row>
    <row r="260" spans="1:36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</row>
    <row r="261" spans="1:36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</row>
    <row r="262" spans="1:36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</row>
    <row r="263" spans="1:36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</row>
    <row r="264" spans="1:36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</row>
    <row r="265" spans="1:36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</row>
    <row r="266" spans="1:3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</row>
    <row r="267" spans="1:36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52"/>
    </row>
    <row r="268" spans="1:36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</row>
    <row r="269" spans="1:36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71276-4168-40A1-A6D9-E5799C303DCA}">
  <dimension ref="A1:AN53"/>
  <sheetViews>
    <sheetView showGridLines="0" zoomScale="145" zoomScaleNormal="145" zoomScaleSheetLayoutView="130" workbookViewId="0"/>
  </sheetViews>
  <sheetFormatPr defaultColWidth="9.1328125" defaultRowHeight="13.15"/>
  <cols>
    <col min="1" max="1" width="3.59765625" style="1" customWidth="1"/>
    <col min="2" max="2" width="38.6640625" style="2" customWidth="1"/>
    <col min="3" max="13" width="7.796875" style="2" customWidth="1"/>
    <col min="14" max="14" width="7.9296875" style="26" customWidth="1"/>
    <col min="15" max="15" width="7.796875" style="31" customWidth="1"/>
    <col min="16" max="34" width="7.796875" style="1" customWidth="1"/>
    <col min="35" max="35" width="7.86328125" style="1" customWidth="1"/>
    <col min="36" max="16384" width="9.1328125" style="1"/>
  </cols>
  <sheetData>
    <row r="1" spans="2:40" s="2" customFormat="1">
      <c r="B1" s="6"/>
      <c r="N1" s="26"/>
      <c r="O1" s="27"/>
    </row>
    <row r="2" spans="2:40" s="2" customFormat="1">
      <c r="B2" s="3" t="s">
        <v>11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28"/>
      <c r="O2" s="29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73" t="s">
        <v>39</v>
      </c>
      <c r="AI2" s="37"/>
    </row>
    <row r="3" spans="2:40" s="2" customFormat="1">
      <c r="B3" s="4"/>
      <c r="C3" s="35">
        <f t="shared" ref="C3:AH3" si="0">YEAR(C4)</f>
        <v>2020</v>
      </c>
      <c r="D3" s="35">
        <f t="shared" si="0"/>
        <v>2020</v>
      </c>
      <c r="E3" s="35">
        <f t="shared" si="0"/>
        <v>2020</v>
      </c>
      <c r="F3" s="35">
        <f t="shared" si="0"/>
        <v>2020</v>
      </c>
      <c r="G3" s="35">
        <f t="shared" si="0"/>
        <v>2021</v>
      </c>
      <c r="H3" s="35">
        <f t="shared" si="0"/>
        <v>2021</v>
      </c>
      <c r="I3" s="35">
        <f t="shared" si="0"/>
        <v>2021</v>
      </c>
      <c r="J3" s="35">
        <f t="shared" si="0"/>
        <v>2021</v>
      </c>
      <c r="K3" s="35">
        <f t="shared" si="0"/>
        <v>2022</v>
      </c>
      <c r="L3" s="35">
        <f t="shared" si="0"/>
        <v>2022</v>
      </c>
      <c r="M3" s="35">
        <f t="shared" si="0"/>
        <v>2022</v>
      </c>
      <c r="N3" s="70">
        <f t="shared" si="0"/>
        <v>2022</v>
      </c>
      <c r="O3" s="45">
        <f t="shared" si="0"/>
        <v>2023</v>
      </c>
      <c r="P3" s="43">
        <f t="shared" si="0"/>
        <v>2023</v>
      </c>
      <c r="Q3" s="43">
        <f t="shared" si="0"/>
        <v>2023</v>
      </c>
      <c r="R3" s="43">
        <f t="shared" si="0"/>
        <v>2023</v>
      </c>
      <c r="S3" s="43">
        <f t="shared" si="0"/>
        <v>2024</v>
      </c>
      <c r="T3" s="43">
        <f t="shared" si="0"/>
        <v>2024</v>
      </c>
      <c r="U3" s="43">
        <f t="shared" si="0"/>
        <v>2024</v>
      </c>
      <c r="V3" s="43">
        <f t="shared" si="0"/>
        <v>2024</v>
      </c>
      <c r="W3" s="43">
        <f t="shared" si="0"/>
        <v>2025</v>
      </c>
      <c r="X3" s="43">
        <f t="shared" si="0"/>
        <v>2025</v>
      </c>
      <c r="Y3" s="43">
        <f t="shared" si="0"/>
        <v>2025</v>
      </c>
      <c r="Z3" s="43">
        <f t="shared" si="0"/>
        <v>2025</v>
      </c>
      <c r="AA3" s="43">
        <f t="shared" si="0"/>
        <v>2026</v>
      </c>
      <c r="AB3" s="43">
        <f t="shared" si="0"/>
        <v>2026</v>
      </c>
      <c r="AC3" s="43">
        <f t="shared" si="0"/>
        <v>2026</v>
      </c>
      <c r="AD3" s="43">
        <f t="shared" si="0"/>
        <v>2026</v>
      </c>
      <c r="AE3" s="43">
        <f t="shared" si="0"/>
        <v>2027</v>
      </c>
      <c r="AF3" s="43">
        <f t="shared" si="0"/>
        <v>2027</v>
      </c>
      <c r="AG3" s="43">
        <f t="shared" si="0"/>
        <v>2027</v>
      </c>
      <c r="AH3" s="43">
        <f t="shared" si="0"/>
        <v>2027</v>
      </c>
      <c r="AI3" s="38"/>
    </row>
    <row r="4" spans="2:40" s="2" customFormat="1">
      <c r="B4" s="72"/>
      <c r="C4" s="60">
        <v>43921</v>
      </c>
      <c r="D4" s="10">
        <f t="shared" ref="D4:AH4" si="1">EOMONTH(C4, 3)</f>
        <v>44012</v>
      </c>
      <c r="E4" s="10">
        <f t="shared" si="1"/>
        <v>44104</v>
      </c>
      <c r="F4" s="10">
        <f t="shared" si="1"/>
        <v>44196</v>
      </c>
      <c r="G4" s="10">
        <f t="shared" si="1"/>
        <v>44286</v>
      </c>
      <c r="H4" s="10">
        <f t="shared" si="1"/>
        <v>44377</v>
      </c>
      <c r="I4" s="10">
        <f t="shared" si="1"/>
        <v>44469</v>
      </c>
      <c r="J4" s="10">
        <f t="shared" si="1"/>
        <v>44561</v>
      </c>
      <c r="K4" s="10">
        <f t="shared" si="1"/>
        <v>44651</v>
      </c>
      <c r="L4" s="10">
        <f t="shared" si="1"/>
        <v>44742</v>
      </c>
      <c r="M4" s="10">
        <f t="shared" si="1"/>
        <v>44834</v>
      </c>
      <c r="N4" s="30">
        <f t="shared" si="1"/>
        <v>44926</v>
      </c>
      <c r="O4" s="46">
        <f t="shared" si="1"/>
        <v>45016</v>
      </c>
      <c r="P4" s="44">
        <f t="shared" si="1"/>
        <v>45107</v>
      </c>
      <c r="Q4" s="44">
        <f t="shared" si="1"/>
        <v>45199</v>
      </c>
      <c r="R4" s="44">
        <f t="shared" si="1"/>
        <v>45291</v>
      </c>
      <c r="S4" s="44">
        <f t="shared" si="1"/>
        <v>45382</v>
      </c>
      <c r="T4" s="44">
        <f t="shared" si="1"/>
        <v>45473</v>
      </c>
      <c r="U4" s="44">
        <f t="shared" si="1"/>
        <v>45565</v>
      </c>
      <c r="V4" s="44">
        <f t="shared" si="1"/>
        <v>45657</v>
      </c>
      <c r="W4" s="44">
        <f t="shared" si="1"/>
        <v>45747</v>
      </c>
      <c r="X4" s="44">
        <f t="shared" si="1"/>
        <v>45838</v>
      </c>
      <c r="Y4" s="44">
        <f t="shared" si="1"/>
        <v>45930</v>
      </c>
      <c r="Z4" s="44">
        <f t="shared" si="1"/>
        <v>46022</v>
      </c>
      <c r="AA4" s="44">
        <f t="shared" si="1"/>
        <v>46112</v>
      </c>
      <c r="AB4" s="44">
        <f t="shared" si="1"/>
        <v>46203</v>
      </c>
      <c r="AC4" s="44">
        <f t="shared" si="1"/>
        <v>46295</v>
      </c>
      <c r="AD4" s="44">
        <f t="shared" si="1"/>
        <v>46387</v>
      </c>
      <c r="AE4" s="44">
        <f t="shared" si="1"/>
        <v>46477</v>
      </c>
      <c r="AF4" s="44">
        <f t="shared" si="1"/>
        <v>46568</v>
      </c>
      <c r="AG4" s="44">
        <f t="shared" si="1"/>
        <v>46660</v>
      </c>
      <c r="AH4" s="44">
        <f t="shared" si="1"/>
        <v>46752</v>
      </c>
      <c r="AI4" s="34"/>
    </row>
    <row r="5" spans="2:40">
      <c r="B5" s="22" t="s">
        <v>6</v>
      </c>
      <c r="C5" s="79">
        <v>73.455053844684898</v>
      </c>
      <c r="D5" s="79">
        <v>73.869140879016499</v>
      </c>
      <c r="E5" s="79">
        <v>77.137926099395457</v>
      </c>
      <c r="F5" s="79">
        <v>78.148580493719123</v>
      </c>
      <c r="G5" s="79">
        <v>76.990109884376636</v>
      </c>
      <c r="H5" s="79">
        <v>76.949729383066966</v>
      </c>
      <c r="I5" s="79">
        <v>77.996212108047388</v>
      </c>
      <c r="J5" s="79">
        <v>78.018904072427461</v>
      </c>
      <c r="K5" s="79">
        <v>79.197922403970693</v>
      </c>
      <c r="L5" s="79">
        <v>80.146254643870947</v>
      </c>
      <c r="M5" s="79">
        <v>81.768686123607793</v>
      </c>
      <c r="N5" s="79">
        <v>82.397302688478547</v>
      </c>
      <c r="O5" s="83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5"/>
      <c r="AJ5" s="86"/>
      <c r="AK5" s="86"/>
      <c r="AL5" s="86"/>
      <c r="AM5" s="86"/>
      <c r="AN5" s="86"/>
    </row>
    <row r="6" spans="2:40">
      <c r="B6" s="5" t="s">
        <v>4</v>
      </c>
      <c r="C6" s="17"/>
      <c r="D6" s="17"/>
      <c r="E6" s="17"/>
      <c r="F6" s="17"/>
      <c r="G6" s="66">
        <f>G5/C5-1</f>
        <v>4.8125429833137723E-2</v>
      </c>
      <c r="H6" s="66">
        <f>H5/D5-1</f>
        <v>4.1703321135085014E-2</v>
      </c>
      <c r="I6" s="66">
        <f>I5/E5-1</f>
        <v>1.1126640967064505E-2</v>
      </c>
      <c r="J6" s="66">
        <f>J5/F5-1</f>
        <v>-1.6593573481745727E-3</v>
      </c>
      <c r="K6" s="66">
        <f>K5/G5-1</f>
        <v>2.8676573171667608E-2</v>
      </c>
      <c r="L6" s="66">
        <f>L5/H5-1</f>
        <v>4.1540435378157214E-2</v>
      </c>
      <c r="M6" s="66">
        <f>M5/I5-1</f>
        <v>4.8367400333934496E-2</v>
      </c>
      <c r="N6" s="69">
        <f>N5/J5-1</f>
        <v>5.6119714421859479E-2</v>
      </c>
      <c r="O6" s="67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24"/>
      <c r="AJ6" s="86"/>
      <c r="AK6" s="86"/>
      <c r="AL6" s="86"/>
      <c r="AM6" s="86"/>
      <c r="AN6" s="86"/>
    </row>
    <row r="7" spans="2:40">
      <c r="B7" s="5"/>
      <c r="C7" s="17"/>
      <c r="D7" s="17"/>
      <c r="E7" s="17"/>
      <c r="F7" s="17"/>
      <c r="G7" s="66"/>
      <c r="H7" s="66"/>
      <c r="I7" s="66"/>
      <c r="J7" s="66"/>
      <c r="K7" s="66"/>
      <c r="L7" s="66"/>
      <c r="M7" s="66"/>
      <c r="N7" s="69"/>
      <c r="O7" s="67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24"/>
      <c r="AJ7" s="86"/>
      <c r="AK7" s="86"/>
      <c r="AL7" s="86"/>
      <c r="AM7" s="86"/>
      <c r="AN7" s="86"/>
    </row>
    <row r="8" spans="2:40">
      <c r="B8" s="8" t="s">
        <v>5</v>
      </c>
      <c r="C8" s="80"/>
      <c r="O8" s="87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</row>
    <row r="9" spans="2:40">
      <c r="B9" s="2" t="s">
        <v>26</v>
      </c>
      <c r="C9" s="80">
        <v>16.8141840103441</v>
      </c>
      <c r="D9" s="80">
        <v>16.439783752897039</v>
      </c>
      <c r="E9" s="80">
        <v>17.243158901781904</v>
      </c>
      <c r="F9" s="80">
        <v>17.381202258279334</v>
      </c>
      <c r="G9" s="80">
        <v>17.181648832083482</v>
      </c>
      <c r="H9" s="80">
        <v>17.041216531252186</v>
      </c>
      <c r="I9" s="80">
        <v>17.760996158505755</v>
      </c>
      <c r="J9" s="80">
        <v>17.260386891231359</v>
      </c>
      <c r="K9" s="80">
        <v>18.194631954639643</v>
      </c>
      <c r="L9" s="80">
        <v>18.159883405173499</v>
      </c>
      <c r="M9" s="80">
        <v>18.430076587743311</v>
      </c>
      <c r="N9" s="80">
        <v>18.925570742178607</v>
      </c>
      <c r="O9" s="88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90"/>
      <c r="AJ9" s="86"/>
      <c r="AK9" s="86"/>
      <c r="AL9" s="86"/>
      <c r="AM9" s="86"/>
      <c r="AN9" s="86"/>
    </row>
    <row r="10" spans="2:40">
      <c r="B10" s="21" t="s">
        <v>5</v>
      </c>
      <c r="C10" s="76">
        <f>C5-C9</f>
        <v>56.640869834340798</v>
      </c>
      <c r="D10" s="76">
        <f>D5-D9</f>
        <v>57.429357126119456</v>
      </c>
      <c r="E10" s="76">
        <f>E5-E9</f>
        <v>59.894767197613554</v>
      </c>
      <c r="F10" s="76">
        <f>F5-F9</f>
        <v>60.767378235439793</v>
      </c>
      <c r="G10" s="76">
        <f>G5-G9</f>
        <v>59.808461052293154</v>
      </c>
      <c r="H10" s="76">
        <f>H5-H9</f>
        <v>59.908512851814777</v>
      </c>
      <c r="I10" s="76">
        <f>I5-I9</f>
        <v>60.235215949541633</v>
      </c>
      <c r="J10" s="76">
        <f>J5-J9</f>
        <v>60.758517181196098</v>
      </c>
      <c r="K10" s="76">
        <f>K5-K9</f>
        <v>61.003290449331047</v>
      </c>
      <c r="L10" s="76">
        <f>L5-L9</f>
        <v>61.986371238697444</v>
      </c>
      <c r="M10" s="76">
        <f>M5-M9</f>
        <v>63.338609535864478</v>
      </c>
      <c r="N10" s="77">
        <f>N5-N9</f>
        <v>63.47173194629994</v>
      </c>
      <c r="O10" s="91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85"/>
      <c r="AJ10" s="86"/>
      <c r="AK10" s="86"/>
      <c r="AL10" s="86"/>
      <c r="AM10" s="86"/>
      <c r="AN10" s="86"/>
    </row>
    <row r="11" spans="2:40">
      <c r="B11" s="5" t="s">
        <v>33</v>
      </c>
      <c r="C11" s="68">
        <f>C10/C5</f>
        <v>0.77109561384440062</v>
      </c>
      <c r="D11" s="68">
        <f>D10/D5</f>
        <v>0.77744720518921073</v>
      </c>
      <c r="E11" s="68">
        <f>E10/E5</f>
        <v>0.77646328111591478</v>
      </c>
      <c r="F11" s="68">
        <f>F10/F5</f>
        <v>0.77758774185698387</v>
      </c>
      <c r="G11" s="68">
        <f>G10/G5</f>
        <v>0.77683303923209357</v>
      </c>
      <c r="H11" s="68">
        <f>H10/H5</f>
        <v>0.77854091667537217</v>
      </c>
      <c r="I11" s="68">
        <f>I10/I5</f>
        <v>0.77228386253038006</v>
      </c>
      <c r="J11" s="68">
        <f>J10/J5</f>
        <v>0.77876660667768427</v>
      </c>
      <c r="K11" s="68">
        <f>K10/K5</f>
        <v>0.77026377204905772</v>
      </c>
      <c r="L11" s="68">
        <f>L10/L5</f>
        <v>0.77341569502072482</v>
      </c>
      <c r="M11" s="68">
        <f>M10/M5</f>
        <v>0.77460715756294529</v>
      </c>
      <c r="N11" s="71">
        <f>N10/N5</f>
        <v>0.77031322476985731</v>
      </c>
      <c r="O11" s="93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24"/>
      <c r="AJ11" s="86"/>
      <c r="AK11" s="86"/>
      <c r="AL11" s="86"/>
      <c r="AM11" s="86"/>
      <c r="AN11" s="86"/>
    </row>
    <row r="12" spans="2:40">
      <c r="O12" s="87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</row>
    <row r="13" spans="2:40">
      <c r="B13" s="8" t="s">
        <v>9</v>
      </c>
      <c r="O13" s="87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</row>
    <row r="14" spans="2:40">
      <c r="B14" s="2" t="s">
        <v>2</v>
      </c>
      <c r="C14" s="80">
        <v>14.003969528003877</v>
      </c>
      <c r="D14" s="80">
        <v>14.083162297273198</v>
      </c>
      <c r="E14" s="80">
        <v>14.056085090656572</v>
      </c>
      <c r="F14" s="80">
        <v>14.845196324956168</v>
      </c>
      <c r="G14" s="80">
        <v>13.968858753550391</v>
      </c>
      <c r="H14" s="80">
        <v>14.048706080988852</v>
      </c>
      <c r="I14" s="80">
        <v>14.759203826691357</v>
      </c>
      <c r="J14" s="80">
        <v>14.257531617198369</v>
      </c>
      <c r="K14" s="80">
        <v>14.673867768404181</v>
      </c>
      <c r="L14" s="80">
        <v>15.107327385645698</v>
      </c>
      <c r="M14" s="80">
        <v>15.409771901603062</v>
      </c>
      <c r="N14" s="80">
        <v>15.384977667426883</v>
      </c>
      <c r="O14" s="88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95"/>
      <c r="AJ14" s="86"/>
      <c r="AK14" s="86"/>
      <c r="AL14" s="86"/>
      <c r="AM14" s="86"/>
      <c r="AN14" s="86"/>
    </row>
    <row r="15" spans="2:40">
      <c r="B15" s="2" t="s">
        <v>7</v>
      </c>
      <c r="C15" s="80">
        <v>9.2062253932624767</v>
      </c>
      <c r="D15" s="80">
        <v>9.6841711421192791</v>
      </c>
      <c r="E15" s="80">
        <v>9.7135544029484571</v>
      </c>
      <c r="F15" s="80">
        <v>10.072549596790582</v>
      </c>
      <c r="G15" s="80">
        <v>9.3605583227883624</v>
      </c>
      <c r="H15" s="80">
        <v>9.9635406480411888</v>
      </c>
      <c r="I15" s="80">
        <v>9.5611794225788422</v>
      </c>
      <c r="J15" s="80">
        <v>9.4684992289746042</v>
      </c>
      <c r="K15" s="80">
        <v>10.008531316998704</v>
      </c>
      <c r="L15" s="80">
        <v>9.9327403469094335</v>
      </c>
      <c r="M15" s="80">
        <v>10.530411783815669</v>
      </c>
      <c r="N15" s="80">
        <v>10.727016837040445</v>
      </c>
      <c r="O15" s="88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95"/>
      <c r="AJ15" s="86"/>
      <c r="AK15" s="86"/>
      <c r="AL15" s="86"/>
      <c r="AM15" s="86"/>
      <c r="AN15" s="86"/>
    </row>
    <row r="16" spans="2:40">
      <c r="B16" s="2" t="s">
        <v>8</v>
      </c>
      <c r="C16" s="80">
        <v>7.8364503170334032</v>
      </c>
      <c r="D16" s="80">
        <v>7.740883543589856</v>
      </c>
      <c r="E16" s="80">
        <v>8.5227341422157235</v>
      </c>
      <c r="F16" s="80">
        <v>8.2979269582350899</v>
      </c>
      <c r="G16" s="80">
        <v>7.7674467455211564</v>
      </c>
      <c r="H16" s="80">
        <v>8.4813745806414111</v>
      </c>
      <c r="I16" s="80">
        <v>8.1831799063775481</v>
      </c>
      <c r="J16" s="80">
        <v>8.5208100679706842</v>
      </c>
      <c r="K16" s="80">
        <v>8.1719339181247133</v>
      </c>
      <c r="L16" s="80">
        <v>8.6967456456881784</v>
      </c>
      <c r="M16" s="80">
        <v>8.4261176355644203</v>
      </c>
      <c r="N16" s="80">
        <v>9.0984911667239086</v>
      </c>
      <c r="O16" s="88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95"/>
      <c r="AJ16" s="86"/>
      <c r="AK16" s="86"/>
      <c r="AL16" s="86"/>
      <c r="AM16" s="86"/>
      <c r="AN16" s="86"/>
    </row>
    <row r="17" spans="2:40">
      <c r="B17" s="21" t="s">
        <v>9</v>
      </c>
      <c r="C17" s="76">
        <f t="shared" ref="C17:N17" si="2">SUM(C14:C16)</f>
        <v>31.046645238299757</v>
      </c>
      <c r="D17" s="76">
        <f t="shared" si="2"/>
        <v>31.508216982982333</v>
      </c>
      <c r="E17" s="76">
        <f t="shared" si="2"/>
        <v>32.292373635820752</v>
      </c>
      <c r="F17" s="76">
        <f t="shared" si="2"/>
        <v>33.215672879981838</v>
      </c>
      <c r="G17" s="76">
        <f t="shared" si="2"/>
        <v>31.096863821859909</v>
      </c>
      <c r="H17" s="76">
        <f t="shared" si="2"/>
        <v>32.493621309671454</v>
      </c>
      <c r="I17" s="76">
        <f t="shared" si="2"/>
        <v>32.503563155647747</v>
      </c>
      <c r="J17" s="76">
        <f t="shared" si="2"/>
        <v>32.246840914143661</v>
      </c>
      <c r="K17" s="76">
        <f t="shared" si="2"/>
        <v>32.8543330035276</v>
      </c>
      <c r="L17" s="76">
        <f t="shared" si="2"/>
        <v>33.736813378243312</v>
      </c>
      <c r="M17" s="76">
        <f t="shared" si="2"/>
        <v>34.366301320983155</v>
      </c>
      <c r="N17" s="77">
        <f t="shared" si="2"/>
        <v>35.210485671191236</v>
      </c>
      <c r="O17" s="91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85"/>
      <c r="AJ17" s="86"/>
      <c r="AK17" s="86"/>
      <c r="AL17" s="86"/>
      <c r="AM17" s="86"/>
      <c r="AN17" s="86"/>
    </row>
    <row r="18" spans="2:40">
      <c r="B18" s="5" t="str">
        <f>B14&amp;" as % of Revenue"</f>
        <v>S&amp;M as % of Revenue</v>
      </c>
      <c r="C18" s="68">
        <f t="shared" ref="C18:N21" si="3">+C14/C$5</f>
        <v>0.19064678051443815</v>
      </c>
      <c r="D18" s="68">
        <f t="shared" si="3"/>
        <v>0.19065014334387237</v>
      </c>
      <c r="E18" s="68">
        <f t="shared" si="3"/>
        <v>0.18222015811709424</v>
      </c>
      <c r="F18" s="68">
        <f t="shared" si="3"/>
        <v>0.1899611769166977</v>
      </c>
      <c r="G18" s="68">
        <f t="shared" si="3"/>
        <v>0.18143705437657842</v>
      </c>
      <c r="H18" s="68">
        <f t="shared" si="3"/>
        <v>0.18256992186486254</v>
      </c>
      <c r="I18" s="68">
        <f t="shared" si="3"/>
        <v>0.18922975139158779</v>
      </c>
      <c r="J18" s="68">
        <f t="shared" si="3"/>
        <v>0.18274457692923554</v>
      </c>
      <c r="K18" s="68">
        <f t="shared" si="3"/>
        <v>0.18528096852788764</v>
      </c>
      <c r="L18" s="68">
        <f t="shared" si="3"/>
        <v>0.18849698532732378</v>
      </c>
      <c r="M18" s="68">
        <f t="shared" si="3"/>
        <v>0.18845566233397065</v>
      </c>
      <c r="N18" s="71">
        <f t="shared" si="3"/>
        <v>0.18671700608444958</v>
      </c>
      <c r="O18" s="93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24"/>
      <c r="AJ18" s="86"/>
      <c r="AK18" s="86"/>
      <c r="AL18" s="86"/>
      <c r="AM18" s="86"/>
      <c r="AN18" s="86"/>
    </row>
    <row r="19" spans="2:40">
      <c r="B19" s="5" t="str">
        <f>B15&amp;" as % of Revenue"</f>
        <v>R&amp;D as % of Revenue</v>
      </c>
      <c r="C19" s="68">
        <f t="shared" si="3"/>
        <v>0.1253314089555817</v>
      </c>
      <c r="D19" s="68">
        <f t="shared" si="3"/>
        <v>0.1310990086913302</v>
      </c>
      <c r="E19" s="68">
        <f t="shared" si="3"/>
        <v>0.12592449517546186</v>
      </c>
      <c r="F19" s="68">
        <f t="shared" si="3"/>
        <v>0.12888973200991313</v>
      </c>
      <c r="G19" s="68">
        <f t="shared" si="3"/>
        <v>0.12158130877908867</v>
      </c>
      <c r="H19" s="68">
        <f t="shared" si="3"/>
        <v>0.12948116553394531</v>
      </c>
      <c r="I19" s="68">
        <f t="shared" si="3"/>
        <v>0.12258517643566888</v>
      </c>
      <c r="J19" s="68">
        <f t="shared" si="3"/>
        <v>0.12136160256986808</v>
      </c>
      <c r="K19" s="68">
        <f t="shared" si="3"/>
        <v>0.1263736599799607</v>
      </c>
      <c r="L19" s="68">
        <f t="shared" si="3"/>
        <v>0.12393268270670242</v>
      </c>
      <c r="M19" s="68">
        <f t="shared" si="3"/>
        <v>0.12878293981509126</v>
      </c>
      <c r="N19" s="71">
        <f t="shared" si="3"/>
        <v>0.13018650474028665</v>
      </c>
      <c r="O19" s="93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24"/>
      <c r="AJ19" s="86"/>
      <c r="AK19" s="86"/>
      <c r="AL19" s="86"/>
      <c r="AM19" s="86"/>
      <c r="AN19" s="86"/>
    </row>
    <row r="20" spans="2:40">
      <c r="B20" s="5" t="str">
        <f>B16&amp;" as % of Revenue"</f>
        <v>G&amp;A as % of Revenue</v>
      </c>
      <c r="C20" s="68">
        <f t="shared" si="3"/>
        <v>0.10668361000187923</v>
      </c>
      <c r="D20" s="68">
        <f t="shared" si="3"/>
        <v>0.1047918447605603</v>
      </c>
      <c r="E20" s="68">
        <f t="shared" si="3"/>
        <v>0.11048694945770025</v>
      </c>
      <c r="F20" s="68">
        <f t="shared" si="3"/>
        <v>0.10618141629459286</v>
      </c>
      <c r="G20" s="68">
        <f t="shared" si="3"/>
        <v>0.10088889023780158</v>
      </c>
      <c r="H20" s="68">
        <f t="shared" si="3"/>
        <v>0.11021968041524736</v>
      </c>
      <c r="I20" s="68">
        <f t="shared" si="3"/>
        <v>0.10491765798884527</v>
      </c>
      <c r="J20" s="68">
        <f t="shared" si="3"/>
        <v>0.10921468545700849</v>
      </c>
      <c r="K20" s="68">
        <f t="shared" si="3"/>
        <v>0.10318369055745587</v>
      </c>
      <c r="L20" s="68">
        <f t="shared" si="3"/>
        <v>0.10851094270508432</v>
      </c>
      <c r="M20" s="68">
        <f t="shared" si="3"/>
        <v>0.10304822096354657</v>
      </c>
      <c r="N20" s="71">
        <f t="shared" si="3"/>
        <v>0.11042219672072023</v>
      </c>
      <c r="O20" s="93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24"/>
      <c r="AJ20" s="86"/>
      <c r="AK20" s="86"/>
      <c r="AL20" s="86"/>
      <c r="AM20" s="86"/>
      <c r="AN20" s="86"/>
    </row>
    <row r="21" spans="2:40">
      <c r="B21" s="5" t="str">
        <f>B17&amp;" as % of Revenue"</f>
        <v>Operating Expenses as % of Revenue</v>
      </c>
      <c r="C21" s="68">
        <f t="shared" si="3"/>
        <v>0.42266179947189908</v>
      </c>
      <c r="D21" s="68">
        <f t="shared" si="3"/>
        <v>0.42654099679576285</v>
      </c>
      <c r="E21" s="68">
        <f t="shared" si="3"/>
        <v>0.41863160275025635</v>
      </c>
      <c r="F21" s="68">
        <f t="shared" si="3"/>
        <v>0.42503232522120366</v>
      </c>
      <c r="G21" s="68">
        <f t="shared" si="3"/>
        <v>0.40390725339346867</v>
      </c>
      <c r="H21" s="68">
        <f t="shared" si="3"/>
        <v>0.4222707678140552</v>
      </c>
      <c r="I21" s="68">
        <f t="shared" si="3"/>
        <v>0.41673258581610195</v>
      </c>
      <c r="J21" s="68">
        <f t="shared" si="3"/>
        <v>0.4133208649561122</v>
      </c>
      <c r="K21" s="68">
        <f t="shared" si="3"/>
        <v>0.41483831906530422</v>
      </c>
      <c r="L21" s="68">
        <f t="shared" si="3"/>
        <v>0.42094061073911054</v>
      </c>
      <c r="M21" s="68">
        <f t="shared" si="3"/>
        <v>0.42028682311260851</v>
      </c>
      <c r="N21" s="71">
        <f t="shared" si="3"/>
        <v>0.42732570754545646</v>
      </c>
      <c r="O21" s="67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24"/>
      <c r="AJ21" s="86"/>
      <c r="AK21" s="86"/>
      <c r="AL21" s="86"/>
      <c r="AM21" s="86"/>
      <c r="AN21" s="86"/>
    </row>
    <row r="22" spans="2:40">
      <c r="O22" s="87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</row>
    <row r="23" spans="2:40">
      <c r="B23" s="21" t="s">
        <v>10</v>
      </c>
      <c r="C23" s="76">
        <f t="shared" ref="C23:N23" si="4">+C10-C17</f>
        <v>25.594224596041041</v>
      </c>
      <c r="D23" s="76">
        <f t="shared" si="4"/>
        <v>25.921140143137123</v>
      </c>
      <c r="E23" s="76">
        <f t="shared" si="4"/>
        <v>27.602393561792802</v>
      </c>
      <c r="F23" s="76">
        <f t="shared" si="4"/>
        <v>27.551705355457955</v>
      </c>
      <c r="G23" s="76">
        <f t="shared" si="4"/>
        <v>28.711597230433245</v>
      </c>
      <c r="H23" s="76">
        <f t="shared" si="4"/>
        <v>27.414891542143323</v>
      </c>
      <c r="I23" s="76">
        <f t="shared" si="4"/>
        <v>27.731652793893886</v>
      </c>
      <c r="J23" s="76">
        <f t="shared" si="4"/>
        <v>28.511676267052437</v>
      </c>
      <c r="K23" s="76">
        <f t="shared" si="4"/>
        <v>28.148957445803447</v>
      </c>
      <c r="L23" s="76">
        <f t="shared" si="4"/>
        <v>28.249557860454132</v>
      </c>
      <c r="M23" s="76">
        <f t="shared" si="4"/>
        <v>28.972308214881323</v>
      </c>
      <c r="N23" s="77">
        <f t="shared" si="4"/>
        <v>28.261246275108704</v>
      </c>
      <c r="O23" s="91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85"/>
      <c r="AJ23" s="86"/>
      <c r="AK23" s="86"/>
      <c r="AL23" s="86"/>
      <c r="AM23" s="86"/>
      <c r="AN23" s="86"/>
    </row>
    <row r="24" spans="2:40">
      <c r="B24" s="5" t="s">
        <v>20</v>
      </c>
      <c r="C24" s="24">
        <f>+C23/C5</f>
        <v>0.34843381437250154</v>
      </c>
      <c r="D24" s="24">
        <f>+D23/D5</f>
        <v>0.35090620839344788</v>
      </c>
      <c r="E24" s="24">
        <f>+E23/E5</f>
        <v>0.35783167836565838</v>
      </c>
      <c r="F24" s="68">
        <f>+F23/F5</f>
        <v>0.35255541663578027</v>
      </c>
      <c r="G24" s="68">
        <f>+G23/G5</f>
        <v>0.37292578583862496</v>
      </c>
      <c r="H24" s="68">
        <f>+H23/H5</f>
        <v>0.35627014886131697</v>
      </c>
      <c r="I24" s="68">
        <f>+I23/I5</f>
        <v>0.35555127671427811</v>
      </c>
      <c r="J24" s="68">
        <f>+J23/J5</f>
        <v>0.36544574172157213</v>
      </c>
      <c r="K24" s="68">
        <f>+K23/K5</f>
        <v>0.35542545298375355</v>
      </c>
      <c r="L24" s="68">
        <f>+L23/L5</f>
        <v>0.35247508428161428</v>
      </c>
      <c r="M24" s="68">
        <f>+M23/M5</f>
        <v>0.35432033445033678</v>
      </c>
      <c r="N24" s="71">
        <f>+N23/N5</f>
        <v>0.3429875172244008</v>
      </c>
      <c r="O24" s="67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24"/>
      <c r="AJ24" s="86"/>
      <c r="AK24" s="86"/>
      <c r="AL24" s="86"/>
      <c r="AM24" s="86"/>
      <c r="AN24" s="86"/>
    </row>
    <row r="25" spans="2:40">
      <c r="O25" s="87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</row>
    <row r="26" spans="2:40">
      <c r="B26" s="12" t="s">
        <v>19</v>
      </c>
      <c r="C26" s="36"/>
      <c r="D26" s="36"/>
      <c r="E26" s="36"/>
      <c r="F26" s="80">
        <v>7.6474564875053659</v>
      </c>
      <c r="G26" s="80">
        <v>7.8761646365755036</v>
      </c>
      <c r="H26" s="80">
        <v>7.8292758591196794</v>
      </c>
      <c r="I26" s="80">
        <v>7.9909183383824516</v>
      </c>
      <c r="J26" s="80">
        <v>7.7891752762431841</v>
      </c>
      <c r="K26" s="80">
        <v>7.8819780050899544</v>
      </c>
      <c r="L26" s="80">
        <v>8.1080011456450443</v>
      </c>
      <c r="M26" s="80">
        <v>8.0909789747983734</v>
      </c>
      <c r="N26" s="80">
        <v>8.3755638963256622</v>
      </c>
      <c r="O26" s="96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8"/>
      <c r="AJ26" s="86"/>
      <c r="AK26" s="86"/>
      <c r="AL26" s="86"/>
      <c r="AM26" s="86"/>
      <c r="AN26" s="86"/>
    </row>
    <row r="27" spans="2:40">
      <c r="B27" s="21" t="s">
        <v>25</v>
      </c>
      <c r="C27" s="11"/>
      <c r="D27" s="11"/>
      <c r="E27" s="11"/>
      <c r="F27" s="76">
        <f t="shared" ref="F27:N27" si="5">+F23+F26</f>
        <v>35.199161842963321</v>
      </c>
      <c r="G27" s="76">
        <f t="shared" si="5"/>
        <v>36.587761867008751</v>
      </c>
      <c r="H27" s="76">
        <f t="shared" si="5"/>
        <v>35.244167401262999</v>
      </c>
      <c r="I27" s="76">
        <f t="shared" si="5"/>
        <v>35.722571132276336</v>
      </c>
      <c r="J27" s="76">
        <f t="shared" si="5"/>
        <v>36.300851543295622</v>
      </c>
      <c r="K27" s="76">
        <f t="shared" si="5"/>
        <v>36.030935450893402</v>
      </c>
      <c r="L27" s="76">
        <f t="shared" si="5"/>
        <v>36.35755900609918</v>
      </c>
      <c r="M27" s="76">
        <f t="shared" si="5"/>
        <v>37.063287189679698</v>
      </c>
      <c r="N27" s="77">
        <f t="shared" si="5"/>
        <v>36.636810171434362</v>
      </c>
      <c r="O27" s="91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85"/>
      <c r="AJ27" s="86"/>
      <c r="AK27" s="86"/>
      <c r="AL27" s="86"/>
      <c r="AM27" s="86"/>
      <c r="AN27" s="86"/>
    </row>
    <row r="28" spans="2:40">
      <c r="B28" s="5" t="s">
        <v>20</v>
      </c>
      <c r="C28" s="24"/>
      <c r="D28" s="24"/>
      <c r="E28" s="24"/>
      <c r="F28" s="68">
        <f>+F27/F5</f>
        <v>0.45041332319263699</v>
      </c>
      <c r="G28" s="68">
        <f>+G27/G5</f>
        <v>0.47522677811417685</v>
      </c>
      <c r="H28" s="68">
        <f>+H27/H5</f>
        <v>0.45801548210536774</v>
      </c>
      <c r="I28" s="68">
        <f>+I27/I5</f>
        <v>0.45800392309808852</v>
      </c>
      <c r="J28" s="68">
        <f>+J27/J5</f>
        <v>0.46528276672018326</v>
      </c>
      <c r="K28" s="68">
        <f>+K27/K5</f>
        <v>0.45494798799276259</v>
      </c>
      <c r="L28" s="68">
        <f>+L27/L5</f>
        <v>0.45364015034331445</v>
      </c>
      <c r="M28" s="68">
        <f>+M27/M5</f>
        <v>0.45326993677814514</v>
      </c>
      <c r="N28" s="71">
        <f>+N27/N5</f>
        <v>0.44463603754054942</v>
      </c>
      <c r="O28" s="67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24"/>
      <c r="AJ28" s="86"/>
      <c r="AK28" s="86"/>
      <c r="AL28" s="86"/>
      <c r="AM28" s="86"/>
      <c r="AN28" s="86"/>
    </row>
    <row r="29" spans="2:40">
      <c r="B29" s="5"/>
      <c r="C29" s="24"/>
      <c r="D29" s="24"/>
      <c r="E29" s="24"/>
      <c r="F29" s="68"/>
      <c r="G29" s="68"/>
      <c r="H29" s="68"/>
      <c r="I29" s="68"/>
      <c r="J29" s="68"/>
      <c r="K29" s="68"/>
      <c r="L29" s="68"/>
      <c r="M29" s="68"/>
      <c r="N29" s="71"/>
      <c r="O29" s="67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24"/>
      <c r="AJ29" s="86"/>
      <c r="AK29" s="86"/>
      <c r="AL29" s="86"/>
      <c r="AM29" s="86"/>
      <c r="AN29" s="86"/>
    </row>
    <row r="30" spans="2:40">
      <c r="B30" s="21" t="s">
        <v>24</v>
      </c>
      <c r="C30" s="11"/>
      <c r="D30" s="11"/>
      <c r="E30" s="11"/>
      <c r="F30" s="11"/>
      <c r="G30" s="11"/>
      <c r="H30" s="11"/>
      <c r="I30" s="76">
        <f>SUM(F27:I27)</f>
        <v>142.7536622435114</v>
      </c>
      <c r="J30" s="76">
        <f t="shared" ref="J30:N30" si="6">SUM(G27:J27)</f>
        <v>143.85535194384369</v>
      </c>
      <c r="K30" s="76">
        <f t="shared" si="6"/>
        <v>143.29852552772837</v>
      </c>
      <c r="L30" s="76">
        <f t="shared" si="6"/>
        <v>144.41191713256455</v>
      </c>
      <c r="M30" s="76">
        <f t="shared" si="6"/>
        <v>145.75263318996792</v>
      </c>
      <c r="N30" s="77">
        <f t="shared" si="6"/>
        <v>146.08859181810664</v>
      </c>
      <c r="O30" s="91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85"/>
      <c r="AJ30" s="86"/>
      <c r="AK30" s="86"/>
      <c r="AL30" s="86"/>
      <c r="AM30" s="86"/>
      <c r="AN30" s="86"/>
    </row>
    <row r="31" spans="2:40">
      <c r="B31" s="5"/>
      <c r="C31" s="24"/>
      <c r="D31" s="24"/>
      <c r="E31" s="24"/>
      <c r="F31" s="68"/>
      <c r="G31" s="68"/>
      <c r="H31" s="68"/>
      <c r="I31" s="68"/>
      <c r="J31" s="68"/>
      <c r="K31" s="68"/>
      <c r="L31" s="68"/>
      <c r="M31" s="68"/>
      <c r="N31" s="68"/>
      <c r="O31" s="67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24"/>
      <c r="AJ31" s="86"/>
      <c r="AK31" s="86"/>
      <c r="AL31" s="86"/>
      <c r="AM31" s="86"/>
      <c r="AN31" s="86"/>
    </row>
    <row r="32" spans="2:40">
      <c r="B32" s="108" t="s">
        <v>34</v>
      </c>
      <c r="C32" s="24"/>
      <c r="D32" s="24"/>
      <c r="E32" s="24"/>
      <c r="F32" s="68"/>
      <c r="G32" s="68"/>
      <c r="H32" s="68"/>
      <c r="I32" s="68"/>
      <c r="J32" s="68"/>
      <c r="K32" s="68"/>
      <c r="L32" s="68"/>
      <c r="M32" s="68"/>
      <c r="N32" s="68"/>
      <c r="O32" s="67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24"/>
      <c r="AJ32" s="86"/>
      <c r="AK32" s="86"/>
      <c r="AL32" s="86"/>
      <c r="AM32" s="86"/>
      <c r="AN32" s="86"/>
    </row>
    <row r="33" spans="1:40">
      <c r="B33" s="12" t="s">
        <v>35</v>
      </c>
      <c r="I33" s="18"/>
      <c r="J33" s="18"/>
      <c r="K33" s="80">
        <v>72.741228049692552</v>
      </c>
      <c r="L33" s="80">
        <v>73.966443537031893</v>
      </c>
      <c r="M33" s="80">
        <v>74.663908815496995</v>
      </c>
      <c r="N33" s="80">
        <v>75.736754507628305</v>
      </c>
      <c r="O33" s="87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</row>
    <row r="34" spans="1:40">
      <c r="B34" s="12"/>
      <c r="I34" s="18"/>
      <c r="J34" s="18"/>
      <c r="K34" s="80"/>
      <c r="L34" s="80"/>
      <c r="M34" s="80"/>
      <c r="N34" s="80"/>
      <c r="O34" s="87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</row>
    <row r="36" spans="1:40" s="2" customFormat="1">
      <c r="B36" s="3" t="s">
        <v>12</v>
      </c>
      <c r="C36" s="13"/>
      <c r="D36" s="13"/>
      <c r="E36" s="13"/>
      <c r="F36" s="13"/>
      <c r="G36" s="13"/>
      <c r="H36" s="13"/>
      <c r="I36" s="13"/>
      <c r="J36" s="13"/>
      <c r="K36" s="13"/>
      <c r="L36" s="48"/>
      <c r="M36" s="48"/>
      <c r="N36" s="48"/>
      <c r="O36" s="29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73" t="s">
        <v>39</v>
      </c>
      <c r="AI36" s="37"/>
    </row>
    <row r="37" spans="1:40" s="2" customFormat="1">
      <c r="A37" s="47"/>
      <c r="B37" s="4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>
        <f>N4</f>
        <v>44926</v>
      </c>
      <c r="O37" s="33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9"/>
    </row>
    <row r="38" spans="1:40">
      <c r="A38" s="49"/>
      <c r="B38" s="2" t="s">
        <v>13</v>
      </c>
      <c r="C38" s="20"/>
      <c r="D38" s="20"/>
      <c r="E38" s="20"/>
      <c r="F38" s="20"/>
      <c r="G38" s="20"/>
      <c r="H38" s="20"/>
      <c r="I38" s="20"/>
      <c r="J38" s="20"/>
      <c r="K38" s="78"/>
      <c r="L38" s="1"/>
      <c r="M38" s="1"/>
      <c r="N38" s="78">
        <f>(55601.141636816-990)/1000</f>
        <v>54.611141636816001</v>
      </c>
      <c r="O38" s="101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9"/>
    </row>
    <row r="39" spans="1:40">
      <c r="A39" s="50"/>
      <c r="B39" s="2" t="s">
        <v>3</v>
      </c>
      <c r="C39" s="20"/>
      <c r="D39" s="20"/>
      <c r="E39" s="20"/>
      <c r="F39" s="20"/>
      <c r="G39" s="20"/>
      <c r="H39" s="20"/>
      <c r="I39" s="20"/>
      <c r="J39" s="20"/>
      <c r="K39" s="20"/>
      <c r="L39" s="1"/>
      <c r="M39" s="1"/>
      <c r="N39" s="78">
        <v>12.312162718084101</v>
      </c>
      <c r="O39" s="81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23"/>
    </row>
    <row r="40" spans="1:40">
      <c r="A40" s="50"/>
      <c r="B40" s="2" t="s">
        <v>14</v>
      </c>
      <c r="C40" s="20"/>
      <c r="D40" s="20"/>
      <c r="E40" s="20"/>
      <c r="F40" s="20"/>
      <c r="G40" s="20"/>
      <c r="H40" s="20"/>
      <c r="I40" s="20"/>
      <c r="J40" s="20"/>
      <c r="K40" s="20"/>
      <c r="L40" s="1"/>
      <c r="M40" s="1"/>
      <c r="N40" s="78">
        <v>35.699125050049275</v>
      </c>
      <c r="O40" s="101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9"/>
    </row>
    <row r="41" spans="1:40">
      <c r="A41" s="50"/>
      <c r="B41" s="2" t="s">
        <v>22</v>
      </c>
      <c r="C41" s="20"/>
      <c r="D41" s="20"/>
      <c r="E41" s="20"/>
      <c r="F41" s="20"/>
      <c r="G41" s="20"/>
      <c r="H41" s="20"/>
      <c r="I41" s="20"/>
      <c r="J41" s="20"/>
      <c r="K41" s="20"/>
      <c r="L41" s="1"/>
      <c r="M41" s="1"/>
      <c r="N41" s="78">
        <v>13.122154681520209</v>
      </c>
      <c r="O41" s="81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20"/>
    </row>
    <row r="42" spans="1:40">
      <c r="A42" s="50"/>
      <c r="B42" s="2" t="s">
        <v>21</v>
      </c>
      <c r="C42" s="20"/>
      <c r="D42" s="20"/>
      <c r="E42" s="20"/>
      <c r="F42" s="20"/>
      <c r="G42" s="20"/>
      <c r="H42" s="20"/>
      <c r="I42" s="20"/>
      <c r="J42" s="20"/>
      <c r="K42" s="20"/>
      <c r="L42" s="1"/>
      <c r="M42" s="1"/>
      <c r="N42" s="78">
        <v>14.2204</v>
      </c>
      <c r="O42" s="103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23"/>
    </row>
    <row r="43" spans="1:40">
      <c r="A43" s="50"/>
      <c r="B43" s="2" t="s">
        <v>23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78">
        <v>5.9109173558477197</v>
      </c>
      <c r="O43" s="103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23"/>
    </row>
    <row r="44" spans="1:40">
      <c r="A44" s="50"/>
      <c r="B44" s="2" t="s">
        <v>37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78">
        <v>0</v>
      </c>
      <c r="O44" s="99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23"/>
    </row>
    <row r="45" spans="1:40">
      <c r="A45" s="49"/>
      <c r="B45" s="7" t="s">
        <v>16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76">
        <f>SUM(N38:N44)</f>
        <v>135.87590144231731</v>
      </c>
      <c r="O45" s="91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19"/>
    </row>
    <row r="46" spans="1:40">
      <c r="A46" s="49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87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2"/>
    </row>
    <row r="47" spans="1:40">
      <c r="A47" s="49"/>
      <c r="B47" s="2" t="s">
        <v>18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78">
        <v>14.671147137165701</v>
      </c>
      <c r="O47" s="81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20"/>
    </row>
    <row r="48" spans="1:40">
      <c r="A48" s="50"/>
      <c r="B48" s="2" t="s">
        <v>1</v>
      </c>
      <c r="C48" s="20"/>
      <c r="D48" s="20"/>
      <c r="E48" s="20"/>
      <c r="F48" s="20"/>
      <c r="G48" s="20"/>
      <c r="H48" s="20"/>
      <c r="I48" s="20"/>
      <c r="J48" s="20"/>
      <c r="K48" s="25"/>
      <c r="L48" s="25"/>
      <c r="M48" s="25"/>
      <c r="N48" s="78">
        <v>17.993601153711637</v>
      </c>
      <c r="O48" s="81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23"/>
    </row>
    <row r="49" spans="1:35">
      <c r="A49" s="49"/>
      <c r="B49" s="2" t="s">
        <v>38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78">
        <v>12.201000000000001</v>
      </c>
      <c r="O49" s="99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25"/>
    </row>
    <row r="50" spans="1:35">
      <c r="A50" s="49"/>
      <c r="B50" s="2" t="s">
        <v>36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78">
        <v>0</v>
      </c>
      <c r="O50" s="81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25"/>
    </row>
    <row r="51" spans="1:35">
      <c r="A51" s="49"/>
      <c r="B51" s="2" t="s">
        <v>15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78">
        <v>91.010153151439994</v>
      </c>
      <c r="O51" s="106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9"/>
    </row>
    <row r="52" spans="1:35">
      <c r="A52" s="49"/>
      <c r="B52" s="7" t="s">
        <v>17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76">
        <f>SUM(N47:N51)</f>
        <v>135.87590144231734</v>
      </c>
      <c r="O52" s="91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19"/>
    </row>
    <row r="53" spans="1:35">
      <c r="A53" s="49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74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20"/>
    </row>
  </sheetData>
  <pageMargins left="0.7" right="0.7" top="0.75" bottom="0.75" header="0.3" footer="0.3"/>
  <pageSetup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C989E-07B1-4578-AB48-98EDD91043CF}">
  <sheetPr>
    <pageSetUpPr fitToPage="1"/>
  </sheetPr>
  <dimension ref="A1:P197"/>
  <sheetViews>
    <sheetView zoomScale="120" zoomScaleNormal="120" workbookViewId="0">
      <pane ySplit="1" topLeftCell="A2" activePane="bottomLeft" state="frozen"/>
      <selection pane="bottomLeft" activeCell="A2" sqref="A2"/>
    </sheetView>
  </sheetViews>
  <sheetFormatPr defaultColWidth="9.1328125" defaultRowHeight="13.15"/>
  <cols>
    <col min="1" max="1" width="10.796875" style="42" customWidth="1"/>
    <col min="2" max="2" width="10.796875" style="65" customWidth="1"/>
    <col min="3" max="3" width="11.6640625" style="61" customWidth="1"/>
    <col min="4" max="6" width="12" style="61" customWidth="1"/>
    <col min="7" max="7" width="11.6640625" style="61" customWidth="1"/>
    <col min="8" max="8" width="11.46484375" style="61" customWidth="1"/>
    <col min="9" max="10" width="11.6640625" style="61" customWidth="1"/>
    <col min="11" max="11" width="12" style="61" customWidth="1"/>
    <col min="12" max="12" width="11.6640625" style="61" customWidth="1"/>
    <col min="13" max="13" width="11.46484375" style="61" customWidth="1"/>
    <col min="14" max="14" width="11.6640625" style="61" customWidth="1"/>
    <col min="15" max="16384" width="9.1328125" style="14"/>
  </cols>
  <sheetData>
    <row r="1" spans="1:16" s="16" customFormat="1" ht="14.25">
      <c r="A1" s="40" t="s">
        <v>0</v>
      </c>
      <c r="B1" s="64">
        <f>EOMONTH(C1, -3)</f>
        <v>43830</v>
      </c>
      <c r="C1" s="62">
        <v>43921</v>
      </c>
      <c r="D1" s="62">
        <f t="shared" ref="D1:N1" si="0">EOMONTH(C1,3)</f>
        <v>44012</v>
      </c>
      <c r="E1" s="62">
        <f t="shared" si="0"/>
        <v>44104</v>
      </c>
      <c r="F1" s="62">
        <f t="shared" si="0"/>
        <v>44196</v>
      </c>
      <c r="G1" s="62">
        <f t="shared" si="0"/>
        <v>44286</v>
      </c>
      <c r="H1" s="62">
        <f t="shared" si="0"/>
        <v>44377</v>
      </c>
      <c r="I1" s="62">
        <f t="shared" si="0"/>
        <v>44469</v>
      </c>
      <c r="J1" s="62">
        <f t="shared" si="0"/>
        <v>44561</v>
      </c>
      <c r="K1" s="62">
        <f t="shared" si="0"/>
        <v>44651</v>
      </c>
      <c r="L1" s="62">
        <f t="shared" si="0"/>
        <v>44742</v>
      </c>
      <c r="M1" s="62">
        <f t="shared" si="0"/>
        <v>44834</v>
      </c>
      <c r="N1" s="62">
        <f t="shared" si="0"/>
        <v>44926</v>
      </c>
    </row>
    <row r="2" spans="1:16" s="16" customFormat="1" ht="16.5" customHeight="1">
      <c r="A2" s="41">
        <v>1</v>
      </c>
      <c r="B2" s="63">
        <v>0</v>
      </c>
      <c r="C2" s="63">
        <v>0</v>
      </c>
      <c r="D2" s="63">
        <v>0</v>
      </c>
      <c r="E2" s="63">
        <v>0</v>
      </c>
      <c r="F2" s="63">
        <v>0</v>
      </c>
      <c r="G2" s="63">
        <v>0</v>
      </c>
      <c r="H2" s="63">
        <v>0</v>
      </c>
      <c r="I2" s="63">
        <v>1152000</v>
      </c>
      <c r="J2" s="63">
        <v>1152000</v>
      </c>
      <c r="K2" s="63">
        <v>1152000</v>
      </c>
      <c r="L2" s="63">
        <v>1152000</v>
      </c>
      <c r="M2" s="63">
        <v>975056</v>
      </c>
      <c r="N2" s="63">
        <v>975056</v>
      </c>
    </row>
    <row r="3" spans="1:16" s="16" customFormat="1" ht="14.25">
      <c r="A3" s="41">
        <f>+A2+1</f>
        <v>2</v>
      </c>
      <c r="B3" s="63">
        <v>0</v>
      </c>
      <c r="C3" s="63">
        <v>0</v>
      </c>
      <c r="D3" s="63">
        <v>0</v>
      </c>
      <c r="E3" s="63">
        <v>0</v>
      </c>
      <c r="F3" s="63">
        <v>0</v>
      </c>
      <c r="G3" s="63">
        <v>0</v>
      </c>
      <c r="H3" s="63">
        <v>0</v>
      </c>
      <c r="I3" s="63">
        <v>2304000</v>
      </c>
      <c r="J3" s="63">
        <v>1950104</v>
      </c>
      <c r="K3" s="63">
        <v>1950104</v>
      </c>
      <c r="L3" s="63">
        <v>1950104</v>
      </c>
      <c r="M3" s="63">
        <v>1950104</v>
      </c>
      <c r="N3" s="63">
        <v>1950104</v>
      </c>
    </row>
    <row r="4" spans="1:16" s="16" customFormat="1" ht="14.25">
      <c r="A4" s="41">
        <f>+A3+1</f>
        <v>3</v>
      </c>
      <c r="B4" s="63">
        <v>0</v>
      </c>
      <c r="C4" s="63">
        <v>0</v>
      </c>
      <c r="D4" s="63">
        <v>0</v>
      </c>
      <c r="E4" s="63">
        <v>0</v>
      </c>
      <c r="F4" s="63">
        <v>0</v>
      </c>
      <c r="G4" s="63">
        <v>0</v>
      </c>
      <c r="H4" s="63">
        <v>0</v>
      </c>
      <c r="I4" s="63">
        <v>2304000</v>
      </c>
      <c r="J4" s="63">
        <v>2304000</v>
      </c>
      <c r="K4" s="63">
        <v>2119680</v>
      </c>
      <c r="L4" s="63">
        <v>2119680</v>
      </c>
      <c r="M4" s="63">
        <v>2119680</v>
      </c>
      <c r="N4" s="63">
        <v>2119680</v>
      </c>
      <c r="O4" s="15"/>
      <c r="P4" s="15"/>
    </row>
    <row r="5" spans="1:16" s="16" customFormat="1" ht="14.25">
      <c r="A5" s="41">
        <f>+A4+1</f>
        <v>4</v>
      </c>
      <c r="B5" s="63">
        <v>0</v>
      </c>
      <c r="C5" s="63">
        <v>0</v>
      </c>
      <c r="D5" s="63">
        <v>0</v>
      </c>
      <c r="E5" s="63">
        <v>0</v>
      </c>
      <c r="F5" s="63">
        <v>0</v>
      </c>
      <c r="G5" s="63">
        <v>0</v>
      </c>
      <c r="H5" s="63">
        <v>0</v>
      </c>
      <c r="I5" s="63">
        <v>2304000</v>
      </c>
      <c r="J5" s="63">
        <v>2304000</v>
      </c>
      <c r="K5" s="63">
        <v>2304000</v>
      </c>
      <c r="L5" s="63">
        <v>2304000</v>
      </c>
      <c r="M5" s="63">
        <v>2304000</v>
      </c>
      <c r="N5" s="63">
        <v>2304000</v>
      </c>
      <c r="O5" s="15"/>
      <c r="P5" s="15"/>
    </row>
    <row r="6" spans="1:16" s="16" customFormat="1" ht="14.25">
      <c r="A6" s="41">
        <f>+A5+1</f>
        <v>5</v>
      </c>
      <c r="B6" s="63">
        <v>0</v>
      </c>
      <c r="C6" s="63">
        <v>0</v>
      </c>
      <c r="D6" s="63">
        <v>0</v>
      </c>
      <c r="E6" s="63">
        <v>0</v>
      </c>
      <c r="F6" s="63">
        <v>0</v>
      </c>
      <c r="G6" s="63">
        <v>0</v>
      </c>
      <c r="H6" s="63">
        <v>0</v>
      </c>
      <c r="I6" s="63">
        <v>3456000</v>
      </c>
      <c r="J6" s="63">
        <v>3456000</v>
      </c>
      <c r="K6" s="63">
        <v>3456000</v>
      </c>
      <c r="L6" s="63">
        <v>3456000</v>
      </c>
      <c r="M6" s="63">
        <v>3456000</v>
      </c>
      <c r="N6" s="63">
        <v>3456000</v>
      </c>
      <c r="O6" s="15"/>
      <c r="P6" s="15"/>
    </row>
    <row r="7" spans="1:16" s="16" customFormat="1" ht="14.25">
      <c r="A7" s="41">
        <f t="shared" ref="A7:A70" si="1">+A6+1</f>
        <v>6</v>
      </c>
      <c r="B7" s="63">
        <v>1445072</v>
      </c>
      <c r="C7" s="63">
        <v>0</v>
      </c>
      <c r="D7" s="63">
        <v>0</v>
      </c>
      <c r="E7" s="63">
        <v>0</v>
      </c>
      <c r="F7" s="63">
        <v>0</v>
      </c>
      <c r="G7" s="63">
        <v>0</v>
      </c>
      <c r="H7" s="63">
        <v>0</v>
      </c>
      <c r="I7" s="63">
        <v>0</v>
      </c>
      <c r="J7" s="63">
        <v>0</v>
      </c>
      <c r="K7" s="63">
        <v>0</v>
      </c>
      <c r="L7" s="63">
        <v>0</v>
      </c>
      <c r="M7" s="63">
        <v>0</v>
      </c>
      <c r="N7" s="63">
        <v>0</v>
      </c>
    </row>
    <row r="8" spans="1:16" s="16" customFormat="1" ht="14.25">
      <c r="A8" s="41">
        <f t="shared" si="1"/>
        <v>7</v>
      </c>
      <c r="B8" s="63">
        <v>2119680</v>
      </c>
      <c r="C8" s="63">
        <v>0</v>
      </c>
      <c r="D8" s="63">
        <v>0</v>
      </c>
      <c r="E8" s="63">
        <v>0</v>
      </c>
      <c r="F8" s="63">
        <v>0</v>
      </c>
      <c r="G8" s="63">
        <v>0</v>
      </c>
      <c r="H8" s="63">
        <v>0</v>
      </c>
      <c r="I8" s="63">
        <v>0</v>
      </c>
      <c r="J8" s="63">
        <v>0</v>
      </c>
      <c r="K8" s="63">
        <v>0</v>
      </c>
      <c r="L8" s="63">
        <v>0</v>
      </c>
      <c r="M8" s="63">
        <v>0</v>
      </c>
      <c r="N8" s="63">
        <v>0</v>
      </c>
    </row>
    <row r="9" spans="1:16" s="16" customFormat="1" ht="14.25">
      <c r="A9" s="41">
        <f t="shared" si="1"/>
        <v>8</v>
      </c>
      <c r="B9" s="63">
        <v>975056</v>
      </c>
      <c r="C9" s="63">
        <v>0</v>
      </c>
      <c r="D9" s="63">
        <v>0</v>
      </c>
      <c r="E9" s="63">
        <v>0</v>
      </c>
      <c r="F9" s="63">
        <v>0</v>
      </c>
      <c r="G9" s="63">
        <v>0</v>
      </c>
      <c r="H9" s="63">
        <v>0</v>
      </c>
      <c r="I9" s="63">
        <v>0</v>
      </c>
      <c r="J9" s="63">
        <v>0</v>
      </c>
      <c r="K9" s="63">
        <v>0</v>
      </c>
      <c r="L9" s="63">
        <v>0</v>
      </c>
      <c r="M9" s="63">
        <v>0</v>
      </c>
      <c r="N9" s="63">
        <v>0</v>
      </c>
      <c r="O9" s="14"/>
      <c r="P9" s="14"/>
    </row>
    <row r="10" spans="1:16" s="16" customFormat="1" ht="14.25">
      <c r="A10" s="41">
        <f t="shared" si="1"/>
        <v>9</v>
      </c>
      <c r="B10" s="63">
        <v>2739760</v>
      </c>
      <c r="C10" s="63">
        <v>0</v>
      </c>
      <c r="D10" s="63">
        <v>0</v>
      </c>
      <c r="E10" s="63">
        <v>0</v>
      </c>
      <c r="F10" s="63">
        <v>0</v>
      </c>
      <c r="G10" s="63">
        <v>0</v>
      </c>
      <c r="H10" s="63">
        <v>0</v>
      </c>
      <c r="I10" s="63">
        <v>0</v>
      </c>
      <c r="J10" s="63">
        <v>0</v>
      </c>
      <c r="K10" s="63">
        <v>0</v>
      </c>
      <c r="L10" s="63">
        <v>0</v>
      </c>
      <c r="M10" s="63">
        <v>0</v>
      </c>
      <c r="N10" s="63">
        <v>0</v>
      </c>
      <c r="O10" s="14"/>
      <c r="P10" s="14"/>
    </row>
    <row r="11" spans="1:16" s="16" customFormat="1" ht="14.25">
      <c r="A11" s="41">
        <f t="shared" si="1"/>
        <v>10</v>
      </c>
      <c r="B11" s="63">
        <v>0</v>
      </c>
      <c r="C11" s="63">
        <v>0</v>
      </c>
      <c r="D11" s="63">
        <v>0</v>
      </c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3456000</v>
      </c>
      <c r="O11" s="14"/>
      <c r="P11" s="14"/>
    </row>
    <row r="12" spans="1:16" s="16" customFormat="1" ht="14.25">
      <c r="A12" s="41">
        <f t="shared" si="1"/>
        <v>11</v>
      </c>
      <c r="B12" s="63">
        <v>0</v>
      </c>
      <c r="C12" s="63">
        <v>0</v>
      </c>
      <c r="D12" s="63">
        <v>0</v>
      </c>
      <c r="E12" s="63">
        <v>0</v>
      </c>
      <c r="F12" s="63">
        <v>0</v>
      </c>
      <c r="G12" s="63">
        <v>0</v>
      </c>
      <c r="H12" s="63">
        <v>0</v>
      </c>
      <c r="I12" s="63">
        <v>0</v>
      </c>
      <c r="J12" s="63">
        <v>0</v>
      </c>
      <c r="K12" s="63">
        <v>0</v>
      </c>
      <c r="L12" s="63">
        <v>0</v>
      </c>
      <c r="M12" s="63">
        <v>0</v>
      </c>
      <c r="N12" s="63">
        <v>2304000</v>
      </c>
      <c r="O12" s="14"/>
      <c r="P12" s="14"/>
    </row>
    <row r="13" spans="1:16" s="16" customFormat="1" ht="14.25">
      <c r="A13" s="41">
        <f t="shared" si="1"/>
        <v>12</v>
      </c>
      <c r="B13" s="63">
        <v>0</v>
      </c>
      <c r="C13" s="63">
        <v>0</v>
      </c>
      <c r="D13" s="63">
        <v>0</v>
      </c>
      <c r="E13" s="63">
        <v>0</v>
      </c>
      <c r="F13" s="63">
        <v>0</v>
      </c>
      <c r="G13" s="63">
        <v>0</v>
      </c>
      <c r="H13" s="63">
        <v>0</v>
      </c>
      <c r="I13" s="63">
        <v>0</v>
      </c>
      <c r="J13" s="63">
        <v>0</v>
      </c>
      <c r="K13" s="63">
        <v>0</v>
      </c>
      <c r="L13" s="63">
        <v>0</v>
      </c>
      <c r="M13" s="63">
        <v>0</v>
      </c>
      <c r="N13" s="63">
        <v>2580480</v>
      </c>
      <c r="O13" s="14"/>
      <c r="P13" s="14"/>
    </row>
    <row r="14" spans="1:16" s="16" customFormat="1" ht="14.25">
      <c r="A14" s="41">
        <f t="shared" si="1"/>
        <v>13</v>
      </c>
      <c r="B14" s="63">
        <v>0</v>
      </c>
      <c r="C14" s="63">
        <v>0</v>
      </c>
      <c r="D14" s="63">
        <v>0</v>
      </c>
      <c r="E14" s="63">
        <v>0</v>
      </c>
      <c r="F14" s="63">
        <v>0</v>
      </c>
      <c r="G14" s="63">
        <v>0</v>
      </c>
      <c r="H14" s="63">
        <v>0</v>
      </c>
      <c r="I14" s="63">
        <v>0</v>
      </c>
      <c r="J14" s="63">
        <v>0</v>
      </c>
      <c r="K14" s="63">
        <v>0</v>
      </c>
      <c r="L14" s="63">
        <v>0</v>
      </c>
      <c r="M14" s="63">
        <v>0</v>
      </c>
      <c r="N14" s="63">
        <v>2304000</v>
      </c>
      <c r="O14" s="14"/>
      <c r="P14" s="14"/>
    </row>
    <row r="15" spans="1:16" s="16" customFormat="1" ht="14.25">
      <c r="A15" s="41">
        <f t="shared" si="1"/>
        <v>14</v>
      </c>
      <c r="B15" s="63">
        <v>0</v>
      </c>
      <c r="C15" s="63">
        <v>0</v>
      </c>
      <c r="D15" s="63">
        <v>0</v>
      </c>
      <c r="E15" s="63">
        <v>0</v>
      </c>
      <c r="F15" s="63">
        <v>0</v>
      </c>
      <c r="G15" s="63">
        <v>0</v>
      </c>
      <c r="H15" s="63">
        <v>0</v>
      </c>
      <c r="I15" s="63">
        <v>0</v>
      </c>
      <c r="J15" s="63">
        <v>0</v>
      </c>
      <c r="K15" s="63">
        <v>0</v>
      </c>
      <c r="L15" s="63">
        <v>0</v>
      </c>
      <c r="M15" s="63">
        <v>0</v>
      </c>
      <c r="N15" s="63">
        <v>1152000</v>
      </c>
      <c r="O15" s="14"/>
      <c r="P15" s="14"/>
    </row>
    <row r="16" spans="1:16" s="16" customFormat="1" ht="14.25">
      <c r="A16" s="41">
        <f t="shared" si="1"/>
        <v>15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2304000</v>
      </c>
      <c r="O16" s="14"/>
      <c r="P16" s="14"/>
    </row>
    <row r="17" spans="1:16" s="16" customFormat="1" ht="14.25">
      <c r="A17" s="41">
        <f t="shared" si="1"/>
        <v>16</v>
      </c>
      <c r="B17" s="63">
        <v>0</v>
      </c>
      <c r="C17" s="63">
        <v>0</v>
      </c>
      <c r="D17" s="63">
        <v>0</v>
      </c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2580480</v>
      </c>
      <c r="O17" s="14"/>
      <c r="P17" s="14"/>
    </row>
    <row r="18" spans="1:16" s="15" customFormat="1" ht="14.25">
      <c r="A18" s="41">
        <f t="shared" si="1"/>
        <v>17</v>
      </c>
      <c r="B18" s="63">
        <v>0</v>
      </c>
      <c r="C18" s="63">
        <v>0</v>
      </c>
      <c r="D18" s="63">
        <v>0</v>
      </c>
      <c r="E18" s="63">
        <v>0</v>
      </c>
      <c r="F18" s="63">
        <v>0</v>
      </c>
      <c r="G18" s="63">
        <v>0</v>
      </c>
      <c r="H18" s="63">
        <v>0</v>
      </c>
      <c r="I18" s="63">
        <v>0</v>
      </c>
      <c r="J18" s="63">
        <v>0</v>
      </c>
      <c r="K18" s="63">
        <v>0</v>
      </c>
      <c r="L18" s="63">
        <v>0</v>
      </c>
      <c r="M18" s="63">
        <v>0</v>
      </c>
      <c r="N18" s="63">
        <v>2304000</v>
      </c>
      <c r="O18" s="14"/>
      <c r="P18" s="14"/>
    </row>
    <row r="19" spans="1:16" s="15" customFormat="1" ht="14.25">
      <c r="A19" s="41">
        <f t="shared" si="1"/>
        <v>18</v>
      </c>
      <c r="B19" s="63">
        <v>0</v>
      </c>
      <c r="C19" s="63">
        <v>0</v>
      </c>
      <c r="D19" s="63">
        <v>0</v>
      </c>
      <c r="E19" s="63">
        <v>0</v>
      </c>
      <c r="F19" s="63">
        <v>0</v>
      </c>
      <c r="G19" s="63">
        <v>0</v>
      </c>
      <c r="H19" s="63">
        <v>0</v>
      </c>
      <c r="I19" s="63">
        <v>0</v>
      </c>
      <c r="J19" s="63">
        <v>0</v>
      </c>
      <c r="K19" s="63">
        <v>0</v>
      </c>
      <c r="L19" s="63">
        <v>0</v>
      </c>
      <c r="M19" s="63">
        <v>1152000</v>
      </c>
      <c r="N19" s="63">
        <v>0</v>
      </c>
      <c r="O19" s="16"/>
      <c r="P19" s="16"/>
    </row>
    <row r="20" spans="1:16" s="15" customFormat="1" ht="14.25">
      <c r="A20" s="41">
        <f t="shared" si="1"/>
        <v>19</v>
      </c>
      <c r="B20" s="63">
        <v>0</v>
      </c>
      <c r="C20" s="63">
        <v>0</v>
      </c>
      <c r="D20" s="63">
        <v>0</v>
      </c>
      <c r="E20" s="63">
        <v>0</v>
      </c>
      <c r="F20" s="63">
        <v>0</v>
      </c>
      <c r="G20" s="63">
        <v>0</v>
      </c>
      <c r="H20" s="63">
        <v>0</v>
      </c>
      <c r="I20" s="63">
        <v>0</v>
      </c>
      <c r="J20" s="63">
        <v>0</v>
      </c>
      <c r="K20" s="63">
        <v>0</v>
      </c>
      <c r="L20" s="63">
        <v>0</v>
      </c>
      <c r="M20" s="63">
        <v>1152000</v>
      </c>
      <c r="N20" s="63">
        <v>1290240</v>
      </c>
    </row>
    <row r="21" spans="1:16" s="15" customFormat="1" ht="14.25">
      <c r="A21" s="41">
        <f t="shared" si="1"/>
        <v>20</v>
      </c>
      <c r="B21" s="63">
        <v>0</v>
      </c>
      <c r="C21" s="63">
        <v>0</v>
      </c>
      <c r="D21" s="63">
        <v>0</v>
      </c>
      <c r="E21" s="63">
        <v>0</v>
      </c>
      <c r="F21" s="63">
        <v>0</v>
      </c>
      <c r="G21" s="63">
        <v>0</v>
      </c>
      <c r="H21" s="63">
        <v>0</v>
      </c>
      <c r="I21" s="63">
        <v>0</v>
      </c>
      <c r="J21" s="63">
        <v>0</v>
      </c>
      <c r="K21" s="63">
        <v>0</v>
      </c>
      <c r="L21" s="63">
        <v>0</v>
      </c>
      <c r="M21" s="63">
        <v>2304000</v>
      </c>
      <c r="N21" s="63">
        <v>2580480</v>
      </c>
      <c r="O21" s="14"/>
      <c r="P21" s="14"/>
    </row>
    <row r="22" spans="1:16" s="15" customFormat="1" ht="14.25">
      <c r="A22" s="41">
        <f t="shared" si="1"/>
        <v>21</v>
      </c>
      <c r="B22" s="63">
        <v>0</v>
      </c>
      <c r="C22" s="63">
        <v>0</v>
      </c>
      <c r="D22" s="63">
        <v>0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63">
        <v>0</v>
      </c>
      <c r="L22" s="63">
        <v>0</v>
      </c>
      <c r="M22" s="63">
        <v>2304000</v>
      </c>
      <c r="N22" s="63">
        <v>2304000</v>
      </c>
      <c r="O22" s="14"/>
      <c r="P22" s="14"/>
    </row>
    <row r="23" spans="1:16" s="15" customFormat="1" ht="14.25">
      <c r="A23" s="41">
        <f t="shared" si="1"/>
        <v>22</v>
      </c>
      <c r="B23" s="63">
        <v>0</v>
      </c>
      <c r="C23" s="63">
        <v>0</v>
      </c>
      <c r="D23" s="63">
        <v>0</v>
      </c>
      <c r="E23" s="63">
        <v>0</v>
      </c>
      <c r="F23" s="63">
        <v>0</v>
      </c>
      <c r="G23" s="63">
        <v>0</v>
      </c>
      <c r="H23" s="63">
        <v>0</v>
      </c>
      <c r="I23" s="63">
        <v>0</v>
      </c>
      <c r="J23" s="63">
        <v>0</v>
      </c>
      <c r="K23" s="63">
        <v>0</v>
      </c>
      <c r="L23" s="63">
        <v>0</v>
      </c>
      <c r="M23" s="63">
        <v>1152000</v>
      </c>
      <c r="N23" s="63">
        <v>1152000</v>
      </c>
      <c r="O23" s="14"/>
      <c r="P23" s="14"/>
    </row>
    <row r="24" spans="1:16" s="15" customFormat="1" ht="14.25">
      <c r="A24" s="41">
        <f t="shared" si="1"/>
        <v>23</v>
      </c>
      <c r="B24" s="63">
        <v>0</v>
      </c>
      <c r="C24" s="63">
        <v>0</v>
      </c>
      <c r="D24" s="63">
        <v>0</v>
      </c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63">
        <v>0</v>
      </c>
      <c r="M24" s="63">
        <v>1152000</v>
      </c>
      <c r="N24" s="63">
        <v>1152000</v>
      </c>
      <c r="O24" s="14"/>
      <c r="P24" s="14"/>
    </row>
    <row r="25" spans="1:16" s="15" customFormat="1" ht="14.25">
      <c r="A25" s="41">
        <f t="shared" si="1"/>
        <v>24</v>
      </c>
      <c r="B25" s="63">
        <v>0</v>
      </c>
      <c r="C25" s="63">
        <v>0</v>
      </c>
      <c r="D25" s="63">
        <v>0</v>
      </c>
      <c r="E25" s="63">
        <v>0</v>
      </c>
      <c r="F25" s="63">
        <v>0</v>
      </c>
      <c r="G25" s="63">
        <v>0</v>
      </c>
      <c r="H25" s="63">
        <v>0</v>
      </c>
      <c r="I25" s="63">
        <v>0</v>
      </c>
      <c r="J25" s="63">
        <v>0</v>
      </c>
      <c r="K25" s="63">
        <v>0</v>
      </c>
      <c r="L25" s="63">
        <v>0</v>
      </c>
      <c r="M25" s="63">
        <v>3456000</v>
      </c>
      <c r="N25" s="63">
        <v>3456000</v>
      </c>
      <c r="O25" s="14"/>
      <c r="P25" s="14"/>
    </row>
    <row r="26" spans="1:16" s="15" customFormat="1" ht="14.25">
      <c r="A26" s="41">
        <f t="shared" si="1"/>
        <v>25</v>
      </c>
      <c r="B26" s="63">
        <v>0</v>
      </c>
      <c r="C26" s="63">
        <v>0</v>
      </c>
      <c r="D26" s="63">
        <v>0</v>
      </c>
      <c r="E26" s="63">
        <v>0</v>
      </c>
      <c r="F26" s="63">
        <v>0</v>
      </c>
      <c r="G26" s="63">
        <v>0</v>
      </c>
      <c r="H26" s="63">
        <v>0</v>
      </c>
      <c r="I26" s="63">
        <v>0</v>
      </c>
      <c r="J26" s="63">
        <v>0</v>
      </c>
      <c r="K26" s="63">
        <v>0</v>
      </c>
      <c r="L26" s="63">
        <v>0</v>
      </c>
      <c r="M26" s="63">
        <v>2304000</v>
      </c>
      <c r="N26" s="63">
        <v>2304000</v>
      </c>
      <c r="O26" s="14"/>
      <c r="P26" s="14"/>
    </row>
    <row r="27" spans="1:16" s="15" customFormat="1" ht="14.25">
      <c r="A27" s="41">
        <f t="shared" si="1"/>
        <v>26</v>
      </c>
      <c r="B27" s="63">
        <v>0</v>
      </c>
      <c r="C27" s="63">
        <v>0</v>
      </c>
      <c r="D27" s="63">
        <v>0</v>
      </c>
      <c r="E27" s="63">
        <v>0</v>
      </c>
      <c r="F27" s="63">
        <v>0</v>
      </c>
      <c r="G27" s="63">
        <v>0</v>
      </c>
      <c r="H27" s="63">
        <v>0</v>
      </c>
      <c r="I27" s="63">
        <v>0</v>
      </c>
      <c r="J27" s="63">
        <v>0</v>
      </c>
      <c r="K27" s="63">
        <v>0</v>
      </c>
      <c r="L27" s="63">
        <v>0</v>
      </c>
      <c r="M27" s="63">
        <v>2304000</v>
      </c>
      <c r="N27" s="63">
        <v>2374040</v>
      </c>
      <c r="O27" s="14"/>
      <c r="P27" s="14"/>
    </row>
    <row r="28" spans="1:16" s="15" customFormat="1" ht="14.25">
      <c r="A28" s="41">
        <f t="shared" si="1"/>
        <v>27</v>
      </c>
      <c r="B28" s="63">
        <v>0</v>
      </c>
      <c r="C28" s="63">
        <v>0</v>
      </c>
      <c r="D28" s="63">
        <v>0</v>
      </c>
      <c r="E28" s="63">
        <v>0</v>
      </c>
      <c r="F28" s="63">
        <v>0</v>
      </c>
      <c r="G28" s="63">
        <v>0</v>
      </c>
      <c r="H28" s="63">
        <v>0</v>
      </c>
      <c r="I28" s="63">
        <v>0</v>
      </c>
      <c r="J28" s="63">
        <v>0</v>
      </c>
      <c r="K28" s="63">
        <v>0</v>
      </c>
      <c r="L28" s="63">
        <v>0</v>
      </c>
      <c r="M28" s="63">
        <v>1152000</v>
      </c>
      <c r="N28" s="63">
        <v>1152000</v>
      </c>
      <c r="O28" s="14"/>
      <c r="P28" s="14"/>
    </row>
    <row r="29" spans="1:16" s="15" customFormat="1" ht="14.25">
      <c r="A29" s="41">
        <f t="shared" si="1"/>
        <v>28</v>
      </c>
      <c r="B29" s="63">
        <v>0</v>
      </c>
      <c r="C29" s="63">
        <v>0</v>
      </c>
      <c r="D29" s="63">
        <v>0</v>
      </c>
      <c r="E29" s="63">
        <v>0</v>
      </c>
      <c r="F29" s="63">
        <v>0</v>
      </c>
      <c r="G29" s="63">
        <v>0</v>
      </c>
      <c r="H29" s="63">
        <v>0</v>
      </c>
      <c r="I29" s="63">
        <v>0</v>
      </c>
      <c r="J29" s="63">
        <v>0</v>
      </c>
      <c r="K29" s="63">
        <v>0</v>
      </c>
      <c r="L29" s="63">
        <v>2304000</v>
      </c>
      <c r="M29" s="63">
        <v>2304000</v>
      </c>
      <c r="N29" s="63">
        <v>2304000</v>
      </c>
    </row>
    <row r="30" spans="1:16" s="15" customFormat="1" ht="14.25">
      <c r="A30" s="41">
        <f t="shared" si="1"/>
        <v>29</v>
      </c>
      <c r="B30" s="63">
        <v>0</v>
      </c>
      <c r="C30" s="63">
        <v>0</v>
      </c>
      <c r="D30" s="63">
        <v>0</v>
      </c>
      <c r="E30" s="63">
        <v>0</v>
      </c>
      <c r="F30" s="63">
        <v>0</v>
      </c>
      <c r="G30" s="63">
        <v>0</v>
      </c>
      <c r="H30" s="63">
        <v>0</v>
      </c>
      <c r="I30" s="63">
        <v>0</v>
      </c>
      <c r="J30" s="63">
        <v>0</v>
      </c>
      <c r="K30" s="63">
        <v>0</v>
      </c>
      <c r="L30" s="63">
        <v>3456000</v>
      </c>
      <c r="M30" s="63">
        <v>3456000</v>
      </c>
      <c r="N30" s="63">
        <v>3456000</v>
      </c>
    </row>
    <row r="31" spans="1:16" s="15" customFormat="1" ht="14.25">
      <c r="A31" s="41">
        <f t="shared" si="1"/>
        <v>30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2304000</v>
      </c>
      <c r="M31" s="63">
        <v>2304000</v>
      </c>
      <c r="N31" s="63">
        <v>2304000</v>
      </c>
      <c r="O31" s="14"/>
      <c r="P31" s="14"/>
    </row>
    <row r="32" spans="1:16" s="15" customFormat="1" ht="14.25">
      <c r="A32" s="41">
        <f t="shared" si="1"/>
        <v>31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63">
        <v>2304000</v>
      </c>
      <c r="M32" s="63">
        <v>2304000</v>
      </c>
      <c r="N32" s="63">
        <v>2304000</v>
      </c>
      <c r="O32" s="14"/>
      <c r="P32" s="14"/>
    </row>
    <row r="33" spans="1:16" s="15" customFormat="1" ht="14.25">
      <c r="A33" s="41">
        <f t="shared" si="1"/>
        <v>32</v>
      </c>
      <c r="B33" s="63">
        <v>0</v>
      </c>
      <c r="C33" s="63">
        <v>0</v>
      </c>
      <c r="D33" s="63">
        <v>0</v>
      </c>
      <c r="E33" s="63">
        <v>0</v>
      </c>
      <c r="F33" s="63">
        <v>0</v>
      </c>
      <c r="G33" s="63">
        <v>0</v>
      </c>
      <c r="H33" s="63">
        <v>0</v>
      </c>
      <c r="I33" s="63">
        <v>0</v>
      </c>
      <c r="J33" s="63">
        <v>0</v>
      </c>
      <c r="K33" s="63">
        <v>0</v>
      </c>
      <c r="L33" s="63">
        <v>1152000</v>
      </c>
      <c r="M33" s="63">
        <v>1152000</v>
      </c>
      <c r="N33" s="63">
        <v>1152000</v>
      </c>
      <c r="O33" s="14"/>
      <c r="P33" s="14"/>
    </row>
    <row r="34" spans="1:16" s="15" customFormat="1" ht="14.25">
      <c r="A34" s="41">
        <f t="shared" si="1"/>
        <v>33</v>
      </c>
      <c r="B34" s="63">
        <v>0</v>
      </c>
      <c r="C34" s="63">
        <v>0</v>
      </c>
      <c r="D34" s="63">
        <v>0</v>
      </c>
      <c r="E34" s="63">
        <v>0</v>
      </c>
      <c r="F34" s="63">
        <v>0</v>
      </c>
      <c r="G34" s="63">
        <v>0</v>
      </c>
      <c r="H34" s="63">
        <v>0</v>
      </c>
      <c r="I34" s="63">
        <v>0</v>
      </c>
      <c r="J34" s="63">
        <v>0</v>
      </c>
      <c r="K34" s="63">
        <v>0</v>
      </c>
      <c r="L34" s="63">
        <v>1152000</v>
      </c>
      <c r="M34" s="63">
        <v>1152000</v>
      </c>
      <c r="N34" s="63">
        <v>1152000</v>
      </c>
      <c r="O34" s="14"/>
      <c r="P34" s="14"/>
    </row>
    <row r="35" spans="1:16" s="15" customFormat="1" ht="14.25">
      <c r="A35" s="41">
        <f t="shared" si="1"/>
        <v>34</v>
      </c>
      <c r="B35" s="63">
        <v>0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1152000</v>
      </c>
      <c r="L35" s="63">
        <v>1059840</v>
      </c>
      <c r="M35" s="63">
        <v>1059840</v>
      </c>
      <c r="N35" s="63">
        <v>1059840</v>
      </c>
      <c r="O35" s="16"/>
      <c r="P35" s="16"/>
    </row>
    <row r="36" spans="1:16" s="15" customFormat="1" ht="14.25">
      <c r="A36" s="41">
        <f t="shared" si="1"/>
        <v>35</v>
      </c>
      <c r="B36" s="63">
        <v>0</v>
      </c>
      <c r="C36" s="63">
        <v>0</v>
      </c>
      <c r="D36" s="63">
        <v>0</v>
      </c>
      <c r="E36" s="63">
        <v>0</v>
      </c>
      <c r="F36" s="63">
        <v>0</v>
      </c>
      <c r="G36" s="63">
        <v>0</v>
      </c>
      <c r="H36" s="63">
        <v>0</v>
      </c>
      <c r="I36" s="63">
        <v>0</v>
      </c>
      <c r="J36" s="63">
        <v>0</v>
      </c>
      <c r="K36" s="63">
        <v>2304000</v>
      </c>
      <c r="L36" s="63">
        <v>2304000</v>
      </c>
      <c r="M36" s="63">
        <v>2304000</v>
      </c>
      <c r="N36" s="63">
        <v>2119680</v>
      </c>
    </row>
    <row r="37" spans="1:16" s="15" customFormat="1" ht="14.25">
      <c r="A37" s="41">
        <f t="shared" si="1"/>
        <v>36</v>
      </c>
      <c r="B37" s="63">
        <v>0</v>
      </c>
      <c r="C37" s="63">
        <v>0</v>
      </c>
      <c r="D37" s="63">
        <v>0</v>
      </c>
      <c r="E37" s="63">
        <v>0</v>
      </c>
      <c r="F37" s="63">
        <v>0</v>
      </c>
      <c r="G37" s="63">
        <v>0</v>
      </c>
      <c r="H37" s="63">
        <v>0</v>
      </c>
      <c r="I37" s="63">
        <v>0</v>
      </c>
      <c r="J37" s="63">
        <v>0</v>
      </c>
      <c r="K37" s="63">
        <v>1152000</v>
      </c>
      <c r="L37" s="63">
        <v>1152000</v>
      </c>
      <c r="M37" s="63">
        <v>1152000</v>
      </c>
      <c r="N37" s="63">
        <v>1152000</v>
      </c>
      <c r="O37" s="14"/>
      <c r="P37" s="14"/>
    </row>
    <row r="38" spans="1:16" s="15" customFormat="1" ht="14.25">
      <c r="A38" s="41">
        <f t="shared" si="1"/>
        <v>37</v>
      </c>
      <c r="B38" s="63">
        <v>0</v>
      </c>
      <c r="C38" s="63">
        <v>0</v>
      </c>
      <c r="D38" s="63">
        <v>0</v>
      </c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2580480</v>
      </c>
      <c r="L38" s="63">
        <v>2580480</v>
      </c>
      <c r="M38" s="63">
        <v>2658928</v>
      </c>
      <c r="N38" s="63">
        <v>2658928</v>
      </c>
      <c r="O38" s="14"/>
      <c r="P38" s="14"/>
    </row>
    <row r="39" spans="1:16">
      <c r="A39" s="41">
        <f t="shared" si="1"/>
        <v>38</v>
      </c>
      <c r="B39" s="63">
        <v>0</v>
      </c>
      <c r="C39" s="63">
        <v>0</v>
      </c>
      <c r="D39" s="63">
        <v>0</v>
      </c>
      <c r="E39" s="63">
        <v>0</v>
      </c>
      <c r="F39" s="63">
        <v>0</v>
      </c>
      <c r="G39" s="63">
        <v>0</v>
      </c>
      <c r="H39" s="63">
        <v>0</v>
      </c>
      <c r="I39" s="63">
        <v>0</v>
      </c>
      <c r="J39" s="63">
        <v>0</v>
      </c>
      <c r="K39" s="63">
        <v>3456000</v>
      </c>
      <c r="L39" s="63">
        <v>3456000</v>
      </c>
      <c r="M39" s="63">
        <v>3456000</v>
      </c>
      <c r="N39" s="63">
        <v>3456000</v>
      </c>
    </row>
    <row r="40" spans="1:16">
      <c r="A40" s="41">
        <f t="shared" si="1"/>
        <v>39</v>
      </c>
      <c r="B40" s="63">
        <v>0</v>
      </c>
      <c r="C40" s="63">
        <v>0</v>
      </c>
      <c r="D40" s="63">
        <v>0</v>
      </c>
      <c r="E40" s="63">
        <v>0</v>
      </c>
      <c r="F40" s="63">
        <v>0</v>
      </c>
      <c r="G40" s="63">
        <v>0</v>
      </c>
      <c r="H40" s="63">
        <v>0</v>
      </c>
      <c r="I40" s="63">
        <v>0</v>
      </c>
      <c r="J40" s="63">
        <v>0</v>
      </c>
      <c r="K40" s="63">
        <v>2580480</v>
      </c>
      <c r="L40" s="63">
        <v>2374040</v>
      </c>
      <c r="M40" s="63">
        <v>2374040</v>
      </c>
      <c r="N40" s="63">
        <v>2374040</v>
      </c>
    </row>
    <row r="41" spans="1:16">
      <c r="A41" s="41">
        <f t="shared" si="1"/>
        <v>40</v>
      </c>
      <c r="B41" s="63">
        <v>0</v>
      </c>
      <c r="C41" s="63">
        <v>0</v>
      </c>
      <c r="D41" s="63">
        <v>0</v>
      </c>
      <c r="E41" s="63">
        <v>0</v>
      </c>
      <c r="F41" s="63">
        <v>0</v>
      </c>
      <c r="G41" s="63">
        <v>0</v>
      </c>
      <c r="H41" s="63">
        <v>0</v>
      </c>
      <c r="I41" s="63">
        <v>0</v>
      </c>
      <c r="J41" s="63">
        <v>0</v>
      </c>
      <c r="K41" s="63">
        <v>2119680</v>
      </c>
      <c r="L41" s="63">
        <v>2119680</v>
      </c>
      <c r="M41" s="63">
        <v>2374040</v>
      </c>
      <c r="N41" s="63">
        <v>2374040</v>
      </c>
    </row>
    <row r="42" spans="1:16" ht="14.25">
      <c r="A42" s="41">
        <f t="shared" si="1"/>
        <v>41</v>
      </c>
      <c r="B42" s="63">
        <v>0</v>
      </c>
      <c r="C42" s="63">
        <v>0</v>
      </c>
      <c r="D42" s="63">
        <v>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3456000</v>
      </c>
      <c r="K42" s="63">
        <v>3179520</v>
      </c>
      <c r="L42" s="63">
        <v>3179520</v>
      </c>
      <c r="M42" s="63">
        <v>3179520</v>
      </c>
      <c r="N42" s="63">
        <v>3179520</v>
      </c>
      <c r="O42" s="16"/>
      <c r="P42" s="16"/>
    </row>
    <row r="43" spans="1:16">
      <c r="A43" s="41">
        <f t="shared" si="1"/>
        <v>42</v>
      </c>
      <c r="B43" s="63">
        <v>0</v>
      </c>
      <c r="C43" s="63">
        <v>0</v>
      </c>
      <c r="D43" s="63">
        <v>0</v>
      </c>
      <c r="E43" s="63">
        <v>0</v>
      </c>
      <c r="F43" s="63">
        <v>0</v>
      </c>
      <c r="G43" s="63">
        <v>0</v>
      </c>
      <c r="H43" s="63">
        <v>0</v>
      </c>
      <c r="I43" s="63">
        <v>0</v>
      </c>
      <c r="J43" s="63">
        <v>2119680</v>
      </c>
      <c r="K43" s="63">
        <v>2119680</v>
      </c>
      <c r="L43" s="63">
        <v>2119680</v>
      </c>
      <c r="M43" s="63">
        <v>2119680</v>
      </c>
      <c r="N43" s="63">
        <v>2374040</v>
      </c>
    </row>
    <row r="44" spans="1:16">
      <c r="A44" s="41">
        <f t="shared" si="1"/>
        <v>43</v>
      </c>
      <c r="B44" s="63">
        <v>0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2304000</v>
      </c>
      <c r="K44" s="63">
        <v>2304000</v>
      </c>
      <c r="L44" s="63">
        <v>2304000</v>
      </c>
      <c r="M44" s="63">
        <v>2580480</v>
      </c>
      <c r="N44" s="63">
        <v>2580480</v>
      </c>
    </row>
    <row r="45" spans="1:16">
      <c r="A45" s="41">
        <f t="shared" si="1"/>
        <v>44</v>
      </c>
      <c r="B45" s="63">
        <v>0</v>
      </c>
      <c r="C45" s="63">
        <v>0</v>
      </c>
      <c r="D45" s="63">
        <v>0</v>
      </c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2304000</v>
      </c>
      <c r="K45" s="63">
        <v>2580480</v>
      </c>
      <c r="L45" s="63">
        <v>2580480</v>
      </c>
      <c r="M45" s="63">
        <v>2580480</v>
      </c>
      <c r="N45" s="63">
        <v>2580480</v>
      </c>
    </row>
    <row r="46" spans="1:16">
      <c r="A46" s="41">
        <f t="shared" si="1"/>
        <v>45</v>
      </c>
      <c r="B46" s="63">
        <v>0</v>
      </c>
      <c r="C46" s="6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2304000</v>
      </c>
      <c r="K46" s="63">
        <v>2304000</v>
      </c>
      <c r="L46" s="63">
        <v>2304000</v>
      </c>
      <c r="M46" s="63">
        <v>2119680</v>
      </c>
      <c r="N46" s="63">
        <v>2119680</v>
      </c>
    </row>
    <row r="47" spans="1:16">
      <c r="A47" s="41">
        <f t="shared" si="1"/>
        <v>46</v>
      </c>
      <c r="B47" s="63">
        <v>0</v>
      </c>
      <c r="C47" s="63">
        <v>0</v>
      </c>
      <c r="D47" s="63">
        <v>0</v>
      </c>
      <c r="E47" s="63">
        <v>0</v>
      </c>
      <c r="F47" s="63">
        <v>0</v>
      </c>
      <c r="G47" s="63">
        <v>0</v>
      </c>
      <c r="H47" s="63">
        <v>2119680</v>
      </c>
      <c r="I47" s="63">
        <v>2119680</v>
      </c>
      <c r="J47" s="63">
        <v>2374040</v>
      </c>
      <c r="K47" s="63">
        <v>2374040</v>
      </c>
      <c r="L47" s="63">
        <v>2374040</v>
      </c>
      <c r="M47" s="63">
        <v>2184120</v>
      </c>
      <c r="N47" s="63">
        <v>2184120</v>
      </c>
    </row>
    <row r="48" spans="1:16">
      <c r="A48" s="41">
        <f t="shared" si="1"/>
        <v>47</v>
      </c>
      <c r="B48" s="63">
        <v>0</v>
      </c>
      <c r="C48" s="63">
        <v>0</v>
      </c>
      <c r="D48" s="63">
        <v>0</v>
      </c>
      <c r="E48" s="63">
        <v>0</v>
      </c>
      <c r="F48" s="63">
        <v>0</v>
      </c>
      <c r="G48" s="63">
        <v>0</v>
      </c>
      <c r="H48" s="63">
        <v>2304000</v>
      </c>
      <c r="I48" s="63">
        <v>2119680</v>
      </c>
      <c r="J48" s="63">
        <v>2119680</v>
      </c>
      <c r="K48" s="63">
        <v>2119680</v>
      </c>
      <c r="L48" s="63">
        <v>1950104</v>
      </c>
      <c r="M48" s="63">
        <v>1950104</v>
      </c>
      <c r="N48" s="63">
        <v>1950104</v>
      </c>
    </row>
    <row r="49" spans="1:16">
      <c r="A49" s="41">
        <f t="shared" si="1"/>
        <v>48</v>
      </c>
      <c r="B49" s="63">
        <v>0</v>
      </c>
      <c r="C49" s="63">
        <v>0</v>
      </c>
      <c r="D49" s="63">
        <v>0</v>
      </c>
      <c r="E49" s="63">
        <v>0</v>
      </c>
      <c r="F49" s="63">
        <v>0</v>
      </c>
      <c r="G49" s="63">
        <v>0</v>
      </c>
      <c r="H49" s="63">
        <v>1152000</v>
      </c>
      <c r="I49" s="63">
        <v>1152000</v>
      </c>
      <c r="J49" s="63">
        <v>1290240</v>
      </c>
      <c r="K49" s="63">
        <v>1290240</v>
      </c>
      <c r="L49" s="63">
        <v>1290240</v>
      </c>
      <c r="M49" s="63">
        <v>1290240</v>
      </c>
      <c r="N49" s="63">
        <v>1290240</v>
      </c>
    </row>
    <row r="50" spans="1:16">
      <c r="A50" s="41">
        <f t="shared" si="1"/>
        <v>49</v>
      </c>
      <c r="B50" s="63">
        <v>0</v>
      </c>
      <c r="C50" s="63">
        <v>0</v>
      </c>
      <c r="D50" s="63">
        <v>0</v>
      </c>
      <c r="E50" s="63">
        <v>0</v>
      </c>
      <c r="F50" s="63">
        <v>0</v>
      </c>
      <c r="G50" s="63">
        <v>0</v>
      </c>
      <c r="H50" s="63">
        <v>2304000</v>
      </c>
      <c r="I50" s="63">
        <v>2374040</v>
      </c>
      <c r="J50" s="63">
        <v>2658928</v>
      </c>
      <c r="K50" s="63">
        <v>2658928</v>
      </c>
      <c r="L50" s="63">
        <v>2658928</v>
      </c>
      <c r="M50" s="63">
        <v>2446216</v>
      </c>
      <c r="N50" s="63">
        <v>2739760</v>
      </c>
    </row>
    <row r="51" spans="1:16" ht="14.25">
      <c r="A51" s="41">
        <f t="shared" si="1"/>
        <v>50</v>
      </c>
      <c r="B51" s="63">
        <v>0</v>
      </c>
      <c r="C51" s="63">
        <v>0</v>
      </c>
      <c r="D51" s="63">
        <v>0</v>
      </c>
      <c r="E51" s="63">
        <v>0</v>
      </c>
      <c r="F51" s="63">
        <v>0</v>
      </c>
      <c r="G51" s="63">
        <v>3456000</v>
      </c>
      <c r="H51" s="63">
        <v>3456000</v>
      </c>
      <c r="I51" s="63">
        <v>3870720</v>
      </c>
      <c r="J51" s="63">
        <v>4855432</v>
      </c>
      <c r="K51" s="63">
        <v>5003040</v>
      </c>
      <c r="L51" s="63">
        <v>6275808</v>
      </c>
      <c r="M51" s="63">
        <v>6275808</v>
      </c>
      <c r="N51" s="63">
        <v>6275808</v>
      </c>
      <c r="O51" s="16"/>
      <c r="P51" s="16"/>
    </row>
    <row r="52" spans="1:16" ht="14.25">
      <c r="A52" s="41">
        <f t="shared" si="1"/>
        <v>51</v>
      </c>
      <c r="B52" s="63">
        <v>0</v>
      </c>
      <c r="C52" s="63">
        <v>0</v>
      </c>
      <c r="D52" s="63">
        <v>0</v>
      </c>
      <c r="E52" s="63">
        <v>0</v>
      </c>
      <c r="F52" s="63">
        <v>0</v>
      </c>
      <c r="G52" s="63">
        <v>1152000</v>
      </c>
      <c r="H52" s="63">
        <v>1152000</v>
      </c>
      <c r="I52" s="63">
        <v>1152000</v>
      </c>
      <c r="J52" s="63">
        <v>1059840</v>
      </c>
      <c r="K52" s="63">
        <v>1187024</v>
      </c>
      <c r="L52" s="63">
        <v>1092056</v>
      </c>
      <c r="M52" s="63">
        <v>1223104</v>
      </c>
      <c r="N52" s="63">
        <v>1223104</v>
      </c>
      <c r="O52" s="15"/>
      <c r="P52" s="15"/>
    </row>
    <row r="53" spans="1:16" ht="14.25">
      <c r="A53" s="41">
        <f t="shared" si="1"/>
        <v>52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1152000</v>
      </c>
      <c r="H53" s="63">
        <v>1152000</v>
      </c>
      <c r="I53" s="63">
        <v>1152000</v>
      </c>
      <c r="J53" s="63">
        <v>1152000</v>
      </c>
      <c r="K53" s="63">
        <v>1152000</v>
      </c>
      <c r="L53" s="63">
        <v>1152000</v>
      </c>
      <c r="M53" s="63">
        <v>1059840</v>
      </c>
      <c r="N53" s="63">
        <v>0</v>
      </c>
      <c r="O53" s="15"/>
      <c r="P53" s="15"/>
    </row>
    <row r="54" spans="1:16">
      <c r="A54" s="41">
        <f t="shared" si="1"/>
        <v>53</v>
      </c>
      <c r="B54" s="63">
        <v>0</v>
      </c>
      <c r="C54" s="63">
        <v>0</v>
      </c>
      <c r="D54" s="63">
        <v>0</v>
      </c>
      <c r="E54" s="63">
        <v>0</v>
      </c>
      <c r="F54" s="63">
        <v>0</v>
      </c>
      <c r="G54" s="63">
        <v>1152000</v>
      </c>
      <c r="H54" s="63">
        <v>1152000</v>
      </c>
      <c r="I54" s="63">
        <v>1152000</v>
      </c>
      <c r="J54" s="63">
        <v>1152000</v>
      </c>
      <c r="K54" s="63">
        <v>1152000</v>
      </c>
      <c r="L54" s="63">
        <v>1152000</v>
      </c>
      <c r="M54" s="63">
        <v>1152000</v>
      </c>
      <c r="N54" s="63">
        <v>1152000</v>
      </c>
    </row>
    <row r="55" spans="1:16" ht="14.25">
      <c r="A55" s="41">
        <f t="shared" si="1"/>
        <v>54</v>
      </c>
      <c r="B55" s="63">
        <v>0</v>
      </c>
      <c r="C55" s="63">
        <v>0</v>
      </c>
      <c r="D55" s="63">
        <v>0</v>
      </c>
      <c r="E55" s="63">
        <v>0</v>
      </c>
      <c r="F55" s="63">
        <v>2304000</v>
      </c>
      <c r="G55" s="63">
        <v>2580480</v>
      </c>
      <c r="H55" s="63">
        <v>2890136</v>
      </c>
      <c r="I55" s="63">
        <v>2890136</v>
      </c>
      <c r="J55" s="63">
        <v>3236952</v>
      </c>
      <c r="K55" s="63">
        <v>3236952</v>
      </c>
      <c r="L55" s="63">
        <v>3236952</v>
      </c>
      <c r="M55" s="63">
        <v>3236952</v>
      </c>
      <c r="N55" s="63">
        <v>3236952</v>
      </c>
      <c r="O55" s="16"/>
      <c r="P55" s="16"/>
    </row>
    <row r="56" spans="1:16" ht="14.25">
      <c r="A56" s="41">
        <f t="shared" si="1"/>
        <v>55</v>
      </c>
      <c r="B56" s="63">
        <v>0</v>
      </c>
      <c r="C56" s="63">
        <v>0</v>
      </c>
      <c r="D56" s="63">
        <v>0</v>
      </c>
      <c r="E56" s="63">
        <v>0</v>
      </c>
      <c r="F56" s="63">
        <v>3179520</v>
      </c>
      <c r="G56" s="63">
        <v>2925160</v>
      </c>
      <c r="H56" s="63">
        <v>2925160</v>
      </c>
      <c r="I56" s="63">
        <v>2925160</v>
      </c>
      <c r="J56" s="63">
        <v>2925160</v>
      </c>
      <c r="K56" s="63">
        <v>2691144</v>
      </c>
      <c r="L56" s="63">
        <v>2691144</v>
      </c>
      <c r="M56" s="63">
        <v>2691144</v>
      </c>
      <c r="N56" s="63">
        <v>2772960</v>
      </c>
      <c r="O56" s="15"/>
      <c r="P56" s="15"/>
    </row>
    <row r="57" spans="1:16">
      <c r="A57" s="41">
        <f t="shared" si="1"/>
        <v>56</v>
      </c>
      <c r="B57" s="63">
        <v>0</v>
      </c>
      <c r="C57" s="63">
        <v>0</v>
      </c>
      <c r="D57" s="63">
        <v>0</v>
      </c>
      <c r="E57" s="63">
        <v>0</v>
      </c>
      <c r="F57" s="63">
        <v>975056</v>
      </c>
      <c r="G57" s="63">
        <v>975056</v>
      </c>
      <c r="H57" s="63">
        <v>975056</v>
      </c>
      <c r="I57" s="63">
        <v>897048</v>
      </c>
      <c r="J57" s="63">
        <v>897048</v>
      </c>
      <c r="K57" s="63">
        <v>897048</v>
      </c>
      <c r="L57" s="63">
        <v>825288</v>
      </c>
      <c r="M57" s="63">
        <v>825288</v>
      </c>
      <c r="N57" s="63">
        <v>825288</v>
      </c>
    </row>
    <row r="58" spans="1:16">
      <c r="A58" s="41">
        <f t="shared" si="1"/>
        <v>57</v>
      </c>
      <c r="B58" s="63">
        <v>0</v>
      </c>
      <c r="C58" s="63">
        <v>0</v>
      </c>
      <c r="D58" s="63">
        <v>0</v>
      </c>
      <c r="E58" s="63">
        <v>0</v>
      </c>
      <c r="F58" s="63">
        <v>2119680</v>
      </c>
      <c r="G58" s="63">
        <v>1950104</v>
      </c>
      <c r="H58" s="63">
        <v>1950104</v>
      </c>
      <c r="I58" s="63">
        <v>1950104</v>
      </c>
      <c r="J58" s="63">
        <v>1794096</v>
      </c>
      <c r="K58" s="63">
        <v>1794096</v>
      </c>
      <c r="L58" s="63">
        <v>1794096</v>
      </c>
      <c r="M58" s="63">
        <v>1848640</v>
      </c>
      <c r="N58" s="63">
        <v>1848640</v>
      </c>
    </row>
    <row r="59" spans="1:16">
      <c r="A59" s="41">
        <f t="shared" si="1"/>
        <v>58</v>
      </c>
      <c r="B59" s="63">
        <v>0</v>
      </c>
      <c r="C59" s="63">
        <v>0</v>
      </c>
      <c r="D59" s="63">
        <v>0</v>
      </c>
      <c r="E59" s="63">
        <v>0</v>
      </c>
      <c r="F59" s="63">
        <v>3456000</v>
      </c>
      <c r="G59" s="63">
        <v>3456000</v>
      </c>
      <c r="H59" s="63">
        <v>3456000</v>
      </c>
      <c r="I59" s="63">
        <v>3870720</v>
      </c>
      <c r="J59" s="63">
        <v>3870720</v>
      </c>
      <c r="K59" s="63">
        <v>3561064</v>
      </c>
      <c r="L59" s="63">
        <v>3561064</v>
      </c>
      <c r="M59" s="63">
        <v>3561064</v>
      </c>
      <c r="N59" s="63">
        <v>3561064</v>
      </c>
    </row>
    <row r="60" spans="1:16" ht="14.25">
      <c r="A60" s="41">
        <f t="shared" si="1"/>
        <v>59</v>
      </c>
      <c r="B60" s="63">
        <v>0</v>
      </c>
      <c r="C60" s="63">
        <v>0</v>
      </c>
      <c r="D60" s="63">
        <v>0</v>
      </c>
      <c r="E60" s="63">
        <v>3870720</v>
      </c>
      <c r="F60" s="63">
        <v>3870720</v>
      </c>
      <c r="G60" s="63">
        <v>3870720</v>
      </c>
      <c r="H60" s="63">
        <v>3870720</v>
      </c>
      <c r="I60" s="63">
        <v>3870720</v>
      </c>
      <c r="J60" s="63">
        <v>3276176</v>
      </c>
      <c r="K60" s="63">
        <v>3276176</v>
      </c>
      <c r="L60" s="63">
        <v>3276176</v>
      </c>
      <c r="M60" s="63">
        <v>3276176</v>
      </c>
      <c r="N60" s="63">
        <v>3276176</v>
      </c>
      <c r="O60" s="16"/>
      <c r="P60" s="16"/>
    </row>
    <row r="61" spans="1:16" ht="14.25">
      <c r="A61" s="41">
        <f t="shared" si="1"/>
        <v>60</v>
      </c>
      <c r="B61" s="63">
        <v>0</v>
      </c>
      <c r="C61" s="63">
        <v>0</v>
      </c>
      <c r="D61" s="63">
        <v>0</v>
      </c>
      <c r="E61" s="63">
        <v>1152000</v>
      </c>
      <c r="F61" s="63">
        <v>1152000</v>
      </c>
      <c r="G61" s="63">
        <v>1152000</v>
      </c>
      <c r="H61" s="63">
        <v>1152000</v>
      </c>
      <c r="I61" s="63">
        <v>1152000</v>
      </c>
      <c r="J61" s="63">
        <v>1059840</v>
      </c>
      <c r="K61" s="63">
        <v>1059840</v>
      </c>
      <c r="L61" s="63">
        <v>1059840</v>
      </c>
      <c r="M61" s="63">
        <v>975056</v>
      </c>
      <c r="N61" s="63">
        <v>975056</v>
      </c>
      <c r="O61" s="16"/>
      <c r="P61" s="16"/>
    </row>
    <row r="62" spans="1:16">
      <c r="A62" s="41">
        <f t="shared" si="1"/>
        <v>61</v>
      </c>
      <c r="B62" s="63">
        <v>0</v>
      </c>
      <c r="C62" s="63">
        <v>0</v>
      </c>
      <c r="D62" s="63">
        <v>0</v>
      </c>
      <c r="E62" s="63">
        <v>1152000</v>
      </c>
      <c r="F62" s="63">
        <v>1290240</v>
      </c>
      <c r="G62" s="63">
        <v>1290240</v>
      </c>
      <c r="H62" s="63">
        <v>1290240</v>
      </c>
      <c r="I62" s="63">
        <v>1445072</v>
      </c>
      <c r="J62" s="63">
        <v>1445072</v>
      </c>
      <c r="K62" s="63">
        <v>1445072</v>
      </c>
      <c r="L62" s="63">
        <v>1445072</v>
      </c>
      <c r="M62" s="63">
        <v>1445072</v>
      </c>
      <c r="N62" s="63">
        <v>1618480</v>
      </c>
    </row>
    <row r="63" spans="1:16">
      <c r="A63" s="41">
        <f t="shared" si="1"/>
        <v>62</v>
      </c>
      <c r="B63" s="63">
        <v>0</v>
      </c>
      <c r="C63" s="63">
        <v>0</v>
      </c>
      <c r="D63" s="63">
        <v>0</v>
      </c>
      <c r="E63" s="63">
        <v>1152000</v>
      </c>
      <c r="F63" s="63">
        <v>1152000</v>
      </c>
      <c r="G63" s="63">
        <v>1152000</v>
      </c>
      <c r="H63" s="63">
        <v>1152000</v>
      </c>
      <c r="I63" s="63">
        <v>1152000</v>
      </c>
      <c r="J63" s="63">
        <v>1152000</v>
      </c>
      <c r="K63" s="63">
        <v>1152000</v>
      </c>
      <c r="L63" s="63">
        <v>1290240</v>
      </c>
      <c r="M63" s="63">
        <v>1290240</v>
      </c>
      <c r="N63" s="63">
        <v>1290240</v>
      </c>
    </row>
    <row r="64" spans="1:16">
      <c r="A64" s="41">
        <f t="shared" si="1"/>
        <v>63</v>
      </c>
      <c r="B64" s="63">
        <v>0</v>
      </c>
      <c r="C64" s="63">
        <v>0</v>
      </c>
      <c r="D64" s="63">
        <v>0</v>
      </c>
      <c r="E64" s="63">
        <v>2304000</v>
      </c>
      <c r="F64" s="63">
        <v>2304000</v>
      </c>
      <c r="G64" s="63">
        <v>2304000</v>
      </c>
      <c r="H64" s="63">
        <v>2119680</v>
      </c>
      <c r="I64" s="63">
        <v>2119680</v>
      </c>
      <c r="J64" s="63">
        <v>2119680</v>
      </c>
      <c r="K64" s="63">
        <v>2119680</v>
      </c>
      <c r="L64" s="63">
        <v>2119680</v>
      </c>
      <c r="M64" s="63">
        <v>2374040</v>
      </c>
      <c r="N64" s="63">
        <v>0</v>
      </c>
    </row>
    <row r="65" spans="1:16">
      <c r="A65" s="41">
        <f t="shared" si="1"/>
        <v>64</v>
      </c>
      <c r="B65" s="63">
        <v>0</v>
      </c>
      <c r="C65" s="63">
        <v>0</v>
      </c>
      <c r="D65" s="63">
        <v>0</v>
      </c>
      <c r="E65" s="63">
        <v>1152000</v>
      </c>
      <c r="F65" s="63">
        <v>1152000</v>
      </c>
      <c r="G65" s="63">
        <v>1152000</v>
      </c>
      <c r="H65" s="63">
        <v>1152000</v>
      </c>
      <c r="I65" s="63">
        <v>1152000</v>
      </c>
      <c r="J65" s="63">
        <v>1290240</v>
      </c>
      <c r="K65" s="63">
        <v>1290240</v>
      </c>
      <c r="L65" s="63">
        <v>1187024</v>
      </c>
      <c r="M65" s="63">
        <v>1092056</v>
      </c>
      <c r="N65" s="63">
        <v>1092056</v>
      </c>
    </row>
    <row r="66" spans="1:16" ht="14.25">
      <c r="A66" s="41">
        <f t="shared" si="1"/>
        <v>65</v>
      </c>
      <c r="B66" s="63">
        <v>0</v>
      </c>
      <c r="C66" s="63">
        <v>0</v>
      </c>
      <c r="D66" s="63">
        <v>2304000</v>
      </c>
      <c r="E66" s="63">
        <v>2304000</v>
      </c>
      <c r="F66" s="63">
        <v>2304000</v>
      </c>
      <c r="G66" s="63">
        <v>1950104</v>
      </c>
      <c r="H66" s="63">
        <v>1794096</v>
      </c>
      <c r="I66" s="63">
        <v>1794096</v>
      </c>
      <c r="J66" s="63">
        <v>1794096</v>
      </c>
      <c r="K66" s="63">
        <v>1650568</v>
      </c>
      <c r="L66" s="63">
        <v>0</v>
      </c>
      <c r="M66" s="63">
        <v>0</v>
      </c>
      <c r="N66" s="63">
        <v>0</v>
      </c>
      <c r="O66" s="16"/>
      <c r="P66" s="16"/>
    </row>
    <row r="67" spans="1:16" ht="14.25">
      <c r="A67" s="41">
        <f t="shared" si="1"/>
        <v>66</v>
      </c>
      <c r="B67" s="63">
        <v>0</v>
      </c>
      <c r="C67" s="63">
        <v>0</v>
      </c>
      <c r="D67" s="63">
        <v>1152000</v>
      </c>
      <c r="E67" s="63">
        <v>1152000</v>
      </c>
      <c r="F67" s="63">
        <v>1059840</v>
      </c>
      <c r="G67" s="63">
        <v>975056</v>
      </c>
      <c r="H67" s="63">
        <v>975056</v>
      </c>
      <c r="I67" s="63">
        <v>975056</v>
      </c>
      <c r="J67" s="63">
        <v>897048</v>
      </c>
      <c r="K67" s="63">
        <v>897048</v>
      </c>
      <c r="L67" s="63">
        <v>825288</v>
      </c>
      <c r="M67" s="63">
        <v>825288</v>
      </c>
      <c r="N67" s="63">
        <v>759264</v>
      </c>
      <c r="O67" s="16"/>
      <c r="P67" s="16"/>
    </row>
    <row r="68" spans="1:16">
      <c r="A68" s="41">
        <f t="shared" si="1"/>
        <v>67</v>
      </c>
      <c r="B68" s="63">
        <v>0</v>
      </c>
      <c r="C68" s="63">
        <v>0</v>
      </c>
      <c r="D68" s="63">
        <v>3456000</v>
      </c>
      <c r="E68" s="63">
        <v>3179520</v>
      </c>
      <c r="F68" s="63">
        <v>3179520</v>
      </c>
      <c r="G68" s="63">
        <v>3561064</v>
      </c>
      <c r="H68" s="63">
        <v>3561064</v>
      </c>
      <c r="I68" s="63">
        <v>3276176</v>
      </c>
      <c r="J68" s="63">
        <v>3276176</v>
      </c>
      <c r="K68" s="63">
        <v>3276176</v>
      </c>
      <c r="L68" s="63">
        <v>3276176</v>
      </c>
      <c r="M68" s="63">
        <v>3014080</v>
      </c>
      <c r="N68" s="63">
        <v>3014080</v>
      </c>
    </row>
    <row r="69" spans="1:16">
      <c r="A69" s="41">
        <f t="shared" si="1"/>
        <v>68</v>
      </c>
      <c r="B69" s="63">
        <v>0</v>
      </c>
      <c r="C69" s="63">
        <v>0</v>
      </c>
      <c r="D69" s="63">
        <v>1152000</v>
      </c>
      <c r="E69" s="63">
        <v>1290240</v>
      </c>
      <c r="F69" s="63">
        <v>1092056</v>
      </c>
      <c r="G69" s="63">
        <v>1092056</v>
      </c>
      <c r="H69" s="63">
        <v>1004696</v>
      </c>
      <c r="I69" s="63">
        <v>1004696</v>
      </c>
      <c r="J69" s="63">
        <v>1004696</v>
      </c>
      <c r="K69" s="63">
        <v>1004696</v>
      </c>
      <c r="L69" s="63">
        <v>1004696</v>
      </c>
      <c r="M69" s="63">
        <v>1004696</v>
      </c>
      <c r="N69" s="63">
        <v>1004696</v>
      </c>
    </row>
    <row r="70" spans="1:16">
      <c r="A70" s="41">
        <f t="shared" si="1"/>
        <v>69</v>
      </c>
      <c r="B70" s="63">
        <v>0</v>
      </c>
      <c r="C70" s="63">
        <v>0</v>
      </c>
      <c r="D70" s="63">
        <v>2304000</v>
      </c>
      <c r="E70" s="63">
        <v>2304000</v>
      </c>
      <c r="F70" s="63">
        <v>2304000</v>
      </c>
      <c r="G70" s="63">
        <v>2304000</v>
      </c>
      <c r="H70" s="63">
        <v>2119680</v>
      </c>
      <c r="I70" s="63">
        <v>1950104</v>
      </c>
      <c r="J70" s="63">
        <v>1794096</v>
      </c>
      <c r="K70" s="63">
        <v>1794096</v>
      </c>
      <c r="L70" s="63">
        <v>1794096</v>
      </c>
      <c r="M70" s="63">
        <v>1794096</v>
      </c>
      <c r="N70" s="63">
        <v>1650568</v>
      </c>
    </row>
    <row r="71" spans="1:16">
      <c r="A71" s="41">
        <f t="shared" ref="A71:A134" si="2">+A70+1</f>
        <v>70</v>
      </c>
      <c r="B71" s="63">
        <v>0</v>
      </c>
      <c r="C71" s="63">
        <v>0</v>
      </c>
      <c r="D71" s="63">
        <v>2304000</v>
      </c>
      <c r="E71" s="63">
        <v>2304000</v>
      </c>
      <c r="F71" s="63">
        <v>2304000</v>
      </c>
      <c r="G71" s="63">
        <v>2304000</v>
      </c>
      <c r="H71" s="63">
        <v>2119680</v>
      </c>
      <c r="I71" s="63">
        <v>2119680</v>
      </c>
      <c r="J71" s="63">
        <v>2119680</v>
      </c>
      <c r="K71" s="63">
        <v>2119680</v>
      </c>
      <c r="L71" s="63">
        <v>2119680</v>
      </c>
      <c r="M71" s="63">
        <v>2119680</v>
      </c>
      <c r="N71" s="63">
        <v>2119680</v>
      </c>
    </row>
    <row r="72" spans="1:16" ht="14.25">
      <c r="A72" s="41">
        <f t="shared" si="2"/>
        <v>71</v>
      </c>
      <c r="B72" s="63">
        <v>2119680</v>
      </c>
      <c r="C72" s="63">
        <v>2119680</v>
      </c>
      <c r="D72" s="63">
        <v>2119680</v>
      </c>
      <c r="E72" s="63">
        <v>2119680</v>
      </c>
      <c r="F72" s="63">
        <v>2374040</v>
      </c>
      <c r="G72" s="63">
        <v>2184120</v>
      </c>
      <c r="H72" s="63">
        <v>2184120</v>
      </c>
      <c r="I72" s="63">
        <v>2184120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16"/>
      <c r="P72" s="16"/>
    </row>
    <row r="73" spans="1:16" ht="14.25">
      <c r="A73" s="41">
        <f t="shared" si="2"/>
        <v>72</v>
      </c>
      <c r="B73" s="63">
        <v>2890136</v>
      </c>
      <c r="C73" s="63">
        <v>2890136</v>
      </c>
      <c r="D73" s="63">
        <v>2890136</v>
      </c>
      <c r="E73" s="63">
        <v>2890136</v>
      </c>
      <c r="F73" s="63">
        <v>2890136</v>
      </c>
      <c r="G73" s="63">
        <v>3236952</v>
      </c>
      <c r="H73" s="63">
        <v>3236952</v>
      </c>
      <c r="I73" s="63">
        <v>3236952</v>
      </c>
      <c r="J73" s="63">
        <v>3236952</v>
      </c>
      <c r="K73" s="63">
        <v>3236952</v>
      </c>
      <c r="L73" s="63">
        <v>3236952</v>
      </c>
      <c r="M73" s="63">
        <v>3236952</v>
      </c>
      <c r="N73" s="63">
        <v>3625392</v>
      </c>
      <c r="O73" s="16"/>
      <c r="P73" s="16"/>
    </row>
    <row r="74" spans="1:16" ht="14.25">
      <c r="A74" s="41">
        <f t="shared" si="2"/>
        <v>73</v>
      </c>
      <c r="B74" s="63">
        <v>3478400</v>
      </c>
      <c r="C74" s="63">
        <v>3478400</v>
      </c>
      <c r="D74" s="63">
        <v>3478400</v>
      </c>
      <c r="E74" s="63">
        <v>3200128</v>
      </c>
      <c r="F74" s="63">
        <v>3200128</v>
      </c>
      <c r="G74" s="63">
        <v>0</v>
      </c>
      <c r="H74" s="63">
        <v>0</v>
      </c>
      <c r="I74" s="63">
        <v>0</v>
      </c>
      <c r="J74" s="63">
        <v>0</v>
      </c>
      <c r="K74" s="63">
        <v>0</v>
      </c>
      <c r="L74" s="63">
        <v>0</v>
      </c>
      <c r="M74" s="63">
        <v>0</v>
      </c>
      <c r="N74" s="63">
        <v>0</v>
      </c>
      <c r="O74" s="16"/>
      <c r="P74" s="16"/>
    </row>
    <row r="75" spans="1:16" ht="14.25">
      <c r="A75" s="41">
        <f t="shared" si="2"/>
        <v>74</v>
      </c>
      <c r="B75" s="63">
        <v>1059840</v>
      </c>
      <c r="C75" s="63">
        <v>1187024</v>
      </c>
      <c r="D75" s="63">
        <v>1187024</v>
      </c>
      <c r="E75" s="63">
        <v>1187024</v>
      </c>
      <c r="F75" s="63">
        <v>1092056</v>
      </c>
      <c r="G75" s="63">
        <v>1092056</v>
      </c>
      <c r="H75" s="63">
        <v>1092056</v>
      </c>
      <c r="I75" s="63">
        <v>1092056</v>
      </c>
      <c r="J75" s="63">
        <v>1092056</v>
      </c>
      <c r="K75" s="63">
        <v>1092056</v>
      </c>
      <c r="L75" s="63">
        <v>0</v>
      </c>
      <c r="M75" s="63">
        <v>0</v>
      </c>
      <c r="N75" s="63">
        <v>0</v>
      </c>
      <c r="O75" s="16"/>
      <c r="P75" s="16"/>
    </row>
    <row r="76" spans="1:16" ht="14.25">
      <c r="A76" s="41">
        <f t="shared" si="2"/>
        <v>75</v>
      </c>
      <c r="B76" s="63">
        <v>2925160</v>
      </c>
      <c r="C76" s="63">
        <v>2925160</v>
      </c>
      <c r="D76" s="63">
        <v>2691144</v>
      </c>
      <c r="E76" s="63">
        <v>2691144</v>
      </c>
      <c r="F76" s="63">
        <v>2691144</v>
      </c>
      <c r="G76" s="63">
        <v>2691144</v>
      </c>
      <c r="H76" s="63">
        <v>2475856</v>
      </c>
      <c r="I76" s="63">
        <v>2277784</v>
      </c>
      <c r="J76" s="63">
        <v>2095560</v>
      </c>
      <c r="K76" s="63">
        <v>2095560</v>
      </c>
      <c r="L76" s="63">
        <v>2095560</v>
      </c>
      <c r="M76" s="63">
        <v>2095560</v>
      </c>
      <c r="N76" s="63">
        <v>2095560</v>
      </c>
      <c r="O76" s="16"/>
      <c r="P76" s="16"/>
    </row>
    <row r="77" spans="1:16" ht="14.25">
      <c r="A77" s="41">
        <f t="shared" si="2"/>
        <v>76</v>
      </c>
      <c r="B77" s="63">
        <v>0</v>
      </c>
      <c r="C77" s="63">
        <v>2304000</v>
      </c>
      <c r="D77" s="63">
        <v>2304000</v>
      </c>
      <c r="E77" s="63">
        <v>2304000</v>
      </c>
      <c r="F77" s="63">
        <v>2304000</v>
      </c>
      <c r="G77" s="63">
        <v>2119680</v>
      </c>
      <c r="H77" s="63">
        <v>2374040</v>
      </c>
      <c r="I77" s="63">
        <v>2374040</v>
      </c>
      <c r="J77" s="63">
        <v>2374040</v>
      </c>
      <c r="K77" s="63">
        <v>2184120</v>
      </c>
      <c r="L77" s="63">
        <v>2184120</v>
      </c>
      <c r="M77" s="63">
        <v>2184120</v>
      </c>
      <c r="N77" s="63">
        <v>2009392</v>
      </c>
      <c r="O77" s="16"/>
      <c r="P77" s="16"/>
    </row>
    <row r="78" spans="1:16" ht="14.25">
      <c r="A78" s="41">
        <f t="shared" si="2"/>
        <v>77</v>
      </c>
      <c r="B78" s="63">
        <v>2374040</v>
      </c>
      <c r="C78" s="63">
        <v>2446216</v>
      </c>
      <c r="D78" s="63">
        <v>2250512</v>
      </c>
      <c r="E78" s="63">
        <v>2318928</v>
      </c>
      <c r="F78" s="63">
        <v>2597200</v>
      </c>
      <c r="G78" s="63">
        <v>2597200</v>
      </c>
      <c r="H78" s="63">
        <v>2597200</v>
      </c>
      <c r="I78" s="63">
        <v>2389424</v>
      </c>
      <c r="J78" s="63">
        <v>2389424</v>
      </c>
      <c r="K78" s="63">
        <v>2389424</v>
      </c>
      <c r="L78" s="63">
        <v>2389424</v>
      </c>
      <c r="M78" s="63">
        <v>2389424</v>
      </c>
      <c r="N78" s="63">
        <v>2389424</v>
      </c>
      <c r="O78" s="16"/>
      <c r="P78" s="16"/>
    </row>
    <row r="79" spans="1:16" ht="14.25">
      <c r="A79" s="41">
        <f t="shared" si="2"/>
        <v>78</v>
      </c>
      <c r="B79" s="63">
        <v>3870720</v>
      </c>
      <c r="C79" s="63">
        <v>3561064</v>
      </c>
      <c r="D79" s="63">
        <v>3561064</v>
      </c>
      <c r="E79" s="63">
        <v>3561064</v>
      </c>
      <c r="F79" s="63">
        <v>3669320</v>
      </c>
      <c r="G79" s="63">
        <v>3669320</v>
      </c>
      <c r="H79" s="63">
        <v>3669320</v>
      </c>
      <c r="I79" s="63">
        <v>3375776</v>
      </c>
      <c r="J79" s="63">
        <v>3105712</v>
      </c>
      <c r="K79" s="63">
        <v>3105712</v>
      </c>
      <c r="L79" s="63">
        <v>2857256</v>
      </c>
      <c r="M79" s="63">
        <v>3200128</v>
      </c>
      <c r="N79" s="63">
        <v>3200128</v>
      </c>
      <c r="O79" s="16"/>
      <c r="P79" s="16"/>
    </row>
    <row r="80" spans="1:16" ht="14.25">
      <c r="A80" s="41">
        <f t="shared" si="2"/>
        <v>79</v>
      </c>
      <c r="B80" s="63">
        <v>2890136</v>
      </c>
      <c r="C80" s="63">
        <v>3236952</v>
      </c>
      <c r="D80" s="63">
        <v>3236952</v>
      </c>
      <c r="E80" s="63">
        <v>3625392</v>
      </c>
      <c r="F80" s="63">
        <v>3335360</v>
      </c>
      <c r="G80" s="63">
        <v>3335360</v>
      </c>
      <c r="H80" s="63">
        <v>3068528</v>
      </c>
      <c r="I80" s="63">
        <v>3068528</v>
      </c>
      <c r="J80" s="63">
        <v>3068528</v>
      </c>
      <c r="K80" s="63">
        <v>3068528</v>
      </c>
      <c r="L80" s="63">
        <v>3068528</v>
      </c>
      <c r="M80" s="63">
        <v>3068528</v>
      </c>
      <c r="N80" s="63">
        <v>3068528</v>
      </c>
      <c r="O80" s="16"/>
      <c r="P80" s="16"/>
    </row>
    <row r="81" spans="1:16" ht="14.25">
      <c r="A81" s="41">
        <f t="shared" si="2"/>
        <v>80</v>
      </c>
      <c r="B81" s="63">
        <v>1152000</v>
      </c>
      <c r="C81" s="63">
        <v>1152000</v>
      </c>
      <c r="D81" s="63">
        <v>1152000</v>
      </c>
      <c r="E81" s="63">
        <v>1290240</v>
      </c>
      <c r="F81" s="63">
        <v>1445072</v>
      </c>
      <c r="G81" s="63">
        <v>1445072</v>
      </c>
      <c r="H81" s="63">
        <v>1445072</v>
      </c>
      <c r="I81" s="63">
        <v>1445072</v>
      </c>
      <c r="J81" s="63">
        <v>1445072</v>
      </c>
      <c r="K81" s="63">
        <v>1618480</v>
      </c>
      <c r="L81" s="63">
        <v>1618480</v>
      </c>
      <c r="M81" s="63">
        <v>1812696</v>
      </c>
      <c r="N81" s="63">
        <v>1812696</v>
      </c>
      <c r="O81" s="16"/>
      <c r="P81" s="16"/>
    </row>
    <row r="82" spans="1:16" ht="14.25">
      <c r="A82" s="41">
        <f t="shared" si="2"/>
        <v>81</v>
      </c>
      <c r="B82" s="63">
        <v>1187024</v>
      </c>
      <c r="C82" s="63">
        <v>1187024</v>
      </c>
      <c r="D82" s="63">
        <v>1187024</v>
      </c>
      <c r="E82" s="63">
        <v>1187024</v>
      </c>
      <c r="F82" s="63">
        <v>1187024</v>
      </c>
      <c r="G82" s="63">
        <v>1187024</v>
      </c>
      <c r="H82" s="63">
        <v>1187024</v>
      </c>
      <c r="I82" s="63">
        <v>1187024</v>
      </c>
      <c r="J82" s="63">
        <v>1329464</v>
      </c>
      <c r="K82" s="63">
        <v>1329464</v>
      </c>
      <c r="L82" s="63">
        <v>1223104</v>
      </c>
      <c r="M82" s="63">
        <v>1223104</v>
      </c>
      <c r="N82" s="63">
        <v>1223104</v>
      </c>
      <c r="O82" s="16"/>
      <c r="P82" s="16"/>
    </row>
    <row r="83" spans="1:16" ht="14.25">
      <c r="A83" s="41">
        <f t="shared" si="2"/>
        <v>82</v>
      </c>
      <c r="B83" s="63">
        <v>2890136</v>
      </c>
      <c r="C83" s="63">
        <v>2890136</v>
      </c>
      <c r="D83" s="63">
        <v>2890136</v>
      </c>
      <c r="E83" s="63">
        <v>2890136</v>
      </c>
      <c r="F83" s="63">
        <v>2890136</v>
      </c>
      <c r="G83" s="63">
        <v>2890136</v>
      </c>
      <c r="H83" s="63">
        <v>2890136</v>
      </c>
      <c r="I83" s="63">
        <v>3236952</v>
      </c>
      <c r="J83" s="63">
        <v>3236952</v>
      </c>
      <c r="K83" s="63">
        <v>3236952</v>
      </c>
      <c r="L83" s="63">
        <v>3236952</v>
      </c>
      <c r="M83" s="63">
        <v>3236952</v>
      </c>
      <c r="N83" s="63">
        <v>3236952</v>
      </c>
      <c r="O83" s="16"/>
      <c r="P83" s="16"/>
    </row>
    <row r="84" spans="1:16" ht="14.25">
      <c r="A84" s="41">
        <f t="shared" si="2"/>
        <v>83</v>
      </c>
      <c r="B84" s="63">
        <v>6090656</v>
      </c>
      <c r="C84" s="63">
        <v>6090656</v>
      </c>
      <c r="D84" s="63">
        <v>6090656</v>
      </c>
      <c r="E84" s="63">
        <v>6090656</v>
      </c>
      <c r="F84" s="63">
        <v>6090656</v>
      </c>
      <c r="G84" s="63">
        <v>6090656</v>
      </c>
      <c r="H84" s="63">
        <v>5603400</v>
      </c>
      <c r="I84" s="63">
        <v>0</v>
      </c>
      <c r="J84" s="63">
        <v>0</v>
      </c>
      <c r="K84" s="63">
        <v>0</v>
      </c>
      <c r="L84" s="63">
        <v>0</v>
      </c>
      <c r="M84" s="63">
        <v>0</v>
      </c>
      <c r="N84" s="63">
        <v>0</v>
      </c>
      <c r="O84" s="16"/>
      <c r="P84" s="16"/>
    </row>
    <row r="85" spans="1:16" ht="14.25">
      <c r="A85" s="41">
        <f t="shared" si="2"/>
        <v>84</v>
      </c>
      <c r="B85" s="63">
        <v>1187024</v>
      </c>
      <c r="C85" s="63">
        <v>1187024</v>
      </c>
      <c r="D85" s="63">
        <v>1187024</v>
      </c>
      <c r="E85" s="63">
        <v>1329464</v>
      </c>
      <c r="F85" s="63">
        <v>1223104</v>
      </c>
      <c r="G85" s="63">
        <v>1223104</v>
      </c>
      <c r="H85" s="63">
        <v>1223104</v>
      </c>
      <c r="I85" s="63">
        <v>1223104</v>
      </c>
      <c r="J85" s="63">
        <v>1223104</v>
      </c>
      <c r="K85" s="63">
        <v>0</v>
      </c>
      <c r="L85" s="63">
        <v>0</v>
      </c>
      <c r="M85" s="63">
        <v>0</v>
      </c>
      <c r="N85" s="63">
        <v>0</v>
      </c>
      <c r="O85" s="16"/>
      <c r="P85" s="16"/>
    </row>
    <row r="86" spans="1:16" ht="14.25">
      <c r="A86" s="41">
        <f t="shared" si="2"/>
        <v>85</v>
      </c>
      <c r="B86" s="63">
        <v>2304000</v>
      </c>
      <c r="C86" s="63">
        <v>2304000</v>
      </c>
      <c r="D86" s="63">
        <v>2304000</v>
      </c>
      <c r="E86" s="63">
        <v>2119680</v>
      </c>
      <c r="F86" s="63">
        <v>2119680</v>
      </c>
      <c r="G86" s="63">
        <v>2119680</v>
      </c>
      <c r="H86" s="63">
        <v>2374040</v>
      </c>
      <c r="I86" s="63">
        <v>2184120</v>
      </c>
      <c r="J86" s="63">
        <v>2184120</v>
      </c>
      <c r="K86" s="63">
        <v>0</v>
      </c>
      <c r="L86" s="63">
        <v>0</v>
      </c>
      <c r="M86" s="63">
        <v>0</v>
      </c>
      <c r="N86" s="63">
        <v>0</v>
      </c>
      <c r="O86" s="16"/>
      <c r="P86" s="16"/>
    </row>
    <row r="87" spans="1:16" ht="14.25">
      <c r="A87" s="41">
        <f t="shared" si="2"/>
        <v>86</v>
      </c>
      <c r="B87" s="63">
        <v>2304000</v>
      </c>
      <c r="C87" s="63">
        <v>2304000</v>
      </c>
      <c r="D87" s="63">
        <v>2304000</v>
      </c>
      <c r="E87" s="63">
        <v>2304000</v>
      </c>
      <c r="F87" s="63">
        <v>2304000</v>
      </c>
      <c r="G87" s="63">
        <v>2304000</v>
      </c>
      <c r="H87" s="63">
        <v>2304000</v>
      </c>
      <c r="I87" s="63">
        <v>2304000</v>
      </c>
      <c r="J87" s="63">
        <v>2580480</v>
      </c>
      <c r="K87" s="63">
        <v>2580480</v>
      </c>
      <c r="L87" s="63">
        <v>2580480</v>
      </c>
      <c r="M87" s="63">
        <v>2580480</v>
      </c>
      <c r="N87" s="63">
        <v>2580480</v>
      </c>
      <c r="O87" s="16"/>
      <c r="P87" s="16"/>
    </row>
    <row r="88" spans="1:16" ht="14.25">
      <c r="A88" s="41">
        <f t="shared" si="2"/>
        <v>87</v>
      </c>
      <c r="B88" s="63">
        <v>2030216</v>
      </c>
      <c r="C88" s="63">
        <v>2030216</v>
      </c>
      <c r="D88" s="63">
        <v>1867800</v>
      </c>
      <c r="E88" s="63">
        <v>1867800</v>
      </c>
      <c r="F88" s="63">
        <v>2342968</v>
      </c>
      <c r="G88" s="63">
        <v>2342968</v>
      </c>
      <c r="H88" s="63">
        <v>2342968</v>
      </c>
      <c r="I88" s="63">
        <v>2155528</v>
      </c>
      <c r="J88" s="63">
        <v>2155528</v>
      </c>
      <c r="K88" s="63">
        <v>2414192</v>
      </c>
      <c r="L88" s="63">
        <v>0</v>
      </c>
      <c r="M88" s="63">
        <v>0</v>
      </c>
      <c r="N88" s="63">
        <v>0</v>
      </c>
      <c r="O88" s="16"/>
      <c r="P88" s="16"/>
    </row>
    <row r="89" spans="1:16" ht="14.25">
      <c r="A89" s="41">
        <f t="shared" si="2"/>
        <v>88</v>
      </c>
      <c r="B89" s="63">
        <v>2374040</v>
      </c>
      <c r="C89" s="63">
        <v>2374040</v>
      </c>
      <c r="D89" s="63">
        <v>2658928</v>
      </c>
      <c r="E89" s="63">
        <v>2658928</v>
      </c>
      <c r="F89" s="63">
        <v>2658928</v>
      </c>
      <c r="G89" s="63">
        <v>2978000</v>
      </c>
      <c r="H89" s="63">
        <v>3335360</v>
      </c>
      <c r="I89" s="63">
        <v>3068528</v>
      </c>
      <c r="J89" s="63">
        <v>3068528</v>
      </c>
      <c r="K89" s="63">
        <v>3068528</v>
      </c>
      <c r="L89" s="63">
        <v>2823048</v>
      </c>
      <c r="M89" s="63">
        <v>0</v>
      </c>
      <c r="N89" s="63">
        <v>0</v>
      </c>
      <c r="O89" s="16"/>
      <c r="P89" s="16"/>
    </row>
    <row r="90" spans="1:16" ht="14.25">
      <c r="A90" s="41">
        <f t="shared" si="2"/>
        <v>89</v>
      </c>
      <c r="B90" s="63">
        <v>2580480</v>
      </c>
      <c r="C90" s="63">
        <v>2580480</v>
      </c>
      <c r="D90" s="63">
        <v>2374040</v>
      </c>
      <c r="E90" s="63">
        <v>2374040</v>
      </c>
      <c r="F90" s="63">
        <v>2184120</v>
      </c>
      <c r="G90" s="63">
        <v>2184120</v>
      </c>
      <c r="H90" s="63">
        <v>2184120</v>
      </c>
      <c r="I90" s="63">
        <v>2184120</v>
      </c>
      <c r="J90" s="63">
        <v>2184120</v>
      </c>
      <c r="K90" s="63">
        <v>2184120</v>
      </c>
      <c r="L90" s="63">
        <v>2184120</v>
      </c>
      <c r="M90" s="63">
        <v>2184120</v>
      </c>
      <c r="N90" s="63">
        <v>2184120</v>
      </c>
      <c r="O90" s="15"/>
      <c r="P90" s="15"/>
    </row>
    <row r="91" spans="1:16" ht="14.25">
      <c r="A91" s="41">
        <f t="shared" si="2"/>
        <v>90</v>
      </c>
      <c r="B91" s="63">
        <v>1092056</v>
      </c>
      <c r="C91" s="63">
        <v>1092056</v>
      </c>
      <c r="D91" s="63">
        <v>1223104</v>
      </c>
      <c r="E91" s="63">
        <v>1223104</v>
      </c>
      <c r="F91" s="63">
        <v>1223104</v>
      </c>
      <c r="G91" s="63">
        <v>1223104</v>
      </c>
      <c r="H91" s="63">
        <v>1125256</v>
      </c>
      <c r="I91" s="63">
        <v>1125256</v>
      </c>
      <c r="J91" s="63">
        <v>0</v>
      </c>
      <c r="K91" s="63">
        <v>0</v>
      </c>
      <c r="L91" s="63">
        <v>0</v>
      </c>
      <c r="M91" s="63">
        <v>0</v>
      </c>
      <c r="N91" s="63">
        <v>0</v>
      </c>
      <c r="O91" s="15"/>
      <c r="P91" s="15"/>
    </row>
    <row r="92" spans="1:16" ht="14.25">
      <c r="A92" s="41">
        <f t="shared" si="2"/>
        <v>91</v>
      </c>
      <c r="B92" s="63">
        <v>2304000</v>
      </c>
      <c r="C92" s="63">
        <v>2119680</v>
      </c>
      <c r="D92" s="63">
        <v>2119680</v>
      </c>
      <c r="E92" s="63">
        <v>2119680</v>
      </c>
      <c r="F92" s="63">
        <v>2119680</v>
      </c>
      <c r="G92" s="63">
        <v>2119680</v>
      </c>
      <c r="H92" s="63">
        <v>2119680</v>
      </c>
      <c r="I92" s="63">
        <v>2119680</v>
      </c>
      <c r="J92" s="63">
        <v>2119680</v>
      </c>
      <c r="K92" s="63">
        <v>2119680</v>
      </c>
      <c r="L92" s="63">
        <v>2119680</v>
      </c>
      <c r="M92" s="63">
        <v>2119680</v>
      </c>
      <c r="N92" s="63">
        <v>2119680</v>
      </c>
      <c r="O92" s="15"/>
      <c r="P92" s="15"/>
    </row>
    <row r="93" spans="1:16" ht="14.25">
      <c r="A93" s="41">
        <f t="shared" si="2"/>
        <v>92</v>
      </c>
      <c r="B93" s="63">
        <v>2580480</v>
      </c>
      <c r="C93" s="63">
        <v>2580480</v>
      </c>
      <c r="D93" s="63">
        <v>2374040</v>
      </c>
      <c r="E93" s="63">
        <v>2184120</v>
      </c>
      <c r="F93" s="63">
        <v>2184120</v>
      </c>
      <c r="G93" s="63">
        <v>2184120</v>
      </c>
      <c r="H93" s="63">
        <v>2184120</v>
      </c>
      <c r="I93" s="63">
        <v>2184120</v>
      </c>
      <c r="J93" s="63">
        <v>2184120</v>
      </c>
      <c r="K93" s="63">
        <v>2009392</v>
      </c>
      <c r="L93" s="63">
        <v>2009392</v>
      </c>
      <c r="M93" s="63">
        <v>2250512</v>
      </c>
      <c r="N93" s="63">
        <v>2250512</v>
      </c>
      <c r="O93" s="15"/>
      <c r="P93" s="15"/>
    </row>
    <row r="94" spans="1:16" ht="14.25">
      <c r="A94" s="41">
        <f t="shared" si="2"/>
        <v>93</v>
      </c>
      <c r="B94" s="63">
        <v>0</v>
      </c>
      <c r="C94" s="63">
        <v>2304000</v>
      </c>
      <c r="D94" s="63">
        <v>2304000</v>
      </c>
      <c r="E94" s="63">
        <v>2304000</v>
      </c>
      <c r="F94" s="63">
        <v>2119680</v>
      </c>
      <c r="G94" s="63">
        <v>2119680</v>
      </c>
      <c r="H94" s="63">
        <v>2374040</v>
      </c>
      <c r="I94" s="63">
        <v>2658928</v>
      </c>
      <c r="J94" s="63">
        <v>2658928</v>
      </c>
      <c r="K94" s="63">
        <v>2978000</v>
      </c>
      <c r="L94" s="63">
        <v>2978000</v>
      </c>
      <c r="M94" s="63">
        <v>2739760</v>
      </c>
      <c r="N94" s="63">
        <v>2739760</v>
      </c>
      <c r="O94" s="15"/>
      <c r="P94" s="15"/>
    </row>
    <row r="95" spans="1:16" ht="14.25">
      <c r="A95" s="41">
        <f t="shared" si="2"/>
        <v>94</v>
      </c>
      <c r="B95" s="63">
        <v>3456000</v>
      </c>
      <c r="C95" s="63">
        <v>3456000</v>
      </c>
      <c r="D95" s="63">
        <v>3456000</v>
      </c>
      <c r="E95" s="63">
        <v>3456000</v>
      </c>
      <c r="F95" s="63">
        <v>3179520</v>
      </c>
      <c r="G95" s="63">
        <v>3179520</v>
      </c>
      <c r="H95" s="63">
        <v>2925160</v>
      </c>
      <c r="I95" s="63">
        <v>2925160</v>
      </c>
      <c r="J95" s="63">
        <v>2925160</v>
      </c>
      <c r="K95" s="63">
        <v>2925160</v>
      </c>
      <c r="L95" s="63">
        <v>2925160</v>
      </c>
      <c r="M95" s="63">
        <v>2925160</v>
      </c>
      <c r="N95" s="63">
        <v>2925160</v>
      </c>
      <c r="O95" s="15"/>
      <c r="P95" s="15"/>
    </row>
    <row r="96" spans="1:16" ht="14.25">
      <c r="A96" s="41">
        <f t="shared" si="2"/>
        <v>95</v>
      </c>
      <c r="B96" s="63">
        <v>2580480</v>
      </c>
      <c r="C96" s="63">
        <v>2580480</v>
      </c>
      <c r="D96" s="63">
        <v>2890136</v>
      </c>
      <c r="E96" s="63">
        <v>2890136</v>
      </c>
      <c r="F96" s="63">
        <v>2890136</v>
      </c>
      <c r="G96" s="63">
        <v>2890136</v>
      </c>
      <c r="H96" s="63">
        <v>2890136</v>
      </c>
      <c r="I96" s="63">
        <v>2890136</v>
      </c>
      <c r="J96" s="63">
        <v>3236952</v>
      </c>
      <c r="K96" s="63">
        <v>3236952</v>
      </c>
      <c r="L96" s="63">
        <v>3236952</v>
      </c>
      <c r="M96" s="63">
        <v>3236952</v>
      </c>
      <c r="N96" s="63">
        <v>2978000</v>
      </c>
      <c r="O96" s="15"/>
      <c r="P96" s="15"/>
    </row>
    <row r="97" spans="1:16" ht="14.25">
      <c r="A97" s="41">
        <f t="shared" si="2"/>
        <v>96</v>
      </c>
      <c r="B97" s="63">
        <v>3870720</v>
      </c>
      <c r="C97" s="63">
        <v>3870720</v>
      </c>
      <c r="D97" s="63">
        <v>4335208</v>
      </c>
      <c r="E97" s="63">
        <v>4335208</v>
      </c>
      <c r="F97" s="63">
        <v>4335208</v>
      </c>
      <c r="G97" s="63">
        <v>4335208</v>
      </c>
      <c r="H97" s="63">
        <v>4335208</v>
      </c>
      <c r="I97" s="63">
        <v>4335208</v>
      </c>
      <c r="J97" s="63">
        <v>4335208</v>
      </c>
      <c r="K97" s="63">
        <v>4335208</v>
      </c>
      <c r="L97" s="63">
        <v>4335208</v>
      </c>
      <c r="M97" s="63">
        <v>4335208</v>
      </c>
      <c r="N97" s="63">
        <v>4335208</v>
      </c>
      <c r="O97" s="15"/>
      <c r="P97" s="15"/>
    </row>
    <row r="98" spans="1:16" ht="14.25">
      <c r="A98" s="41">
        <f t="shared" si="2"/>
        <v>97</v>
      </c>
      <c r="B98" s="63">
        <v>1152000</v>
      </c>
      <c r="C98" s="63">
        <v>1152000</v>
      </c>
      <c r="D98" s="63">
        <v>1152000</v>
      </c>
      <c r="E98" s="63">
        <v>1290240</v>
      </c>
      <c r="F98" s="63">
        <v>1445072</v>
      </c>
      <c r="G98" s="63">
        <v>1329464</v>
      </c>
      <c r="H98" s="63">
        <v>1329464</v>
      </c>
      <c r="I98" s="63">
        <v>1667680</v>
      </c>
      <c r="J98" s="63">
        <v>1867800</v>
      </c>
      <c r="K98" s="63">
        <v>1718376</v>
      </c>
      <c r="L98" s="63">
        <v>1718376</v>
      </c>
      <c r="M98" s="63">
        <v>1924584</v>
      </c>
      <c r="N98" s="63">
        <v>1924584</v>
      </c>
      <c r="O98" s="15"/>
      <c r="P98" s="15"/>
    </row>
    <row r="99" spans="1:16" ht="14.25">
      <c r="A99" s="41">
        <f t="shared" si="2"/>
        <v>98</v>
      </c>
      <c r="B99" s="63">
        <v>2304000</v>
      </c>
      <c r="C99" s="63">
        <v>2304000</v>
      </c>
      <c r="D99" s="63">
        <v>2304000</v>
      </c>
      <c r="E99" s="63">
        <v>2119680</v>
      </c>
      <c r="F99" s="63">
        <v>2119680</v>
      </c>
      <c r="G99" s="63">
        <v>2374040</v>
      </c>
      <c r="H99" s="63">
        <v>2374040</v>
      </c>
      <c r="I99" s="63">
        <v>2184120</v>
      </c>
      <c r="J99" s="63">
        <v>2184120</v>
      </c>
      <c r="K99" s="63">
        <v>2184120</v>
      </c>
      <c r="L99" s="63">
        <v>2184120</v>
      </c>
      <c r="M99" s="63">
        <v>2184120</v>
      </c>
      <c r="N99" s="63">
        <v>2446216</v>
      </c>
      <c r="O99" s="15"/>
      <c r="P99" s="15"/>
    </row>
    <row r="100" spans="1:16" ht="14.25">
      <c r="A100" s="41">
        <f t="shared" si="2"/>
        <v>99</v>
      </c>
      <c r="B100" s="63">
        <v>2374040</v>
      </c>
      <c r="C100" s="63">
        <v>2658928</v>
      </c>
      <c r="D100" s="63">
        <v>2446216</v>
      </c>
      <c r="E100" s="63">
        <v>2446216</v>
      </c>
      <c r="F100" s="63">
        <v>2446216</v>
      </c>
      <c r="G100" s="63">
        <v>0</v>
      </c>
      <c r="H100" s="63">
        <v>0</v>
      </c>
      <c r="I100" s="63">
        <v>0</v>
      </c>
      <c r="J100" s="63">
        <v>0</v>
      </c>
      <c r="K100" s="63">
        <v>0</v>
      </c>
      <c r="L100" s="63">
        <v>0</v>
      </c>
      <c r="M100" s="63">
        <v>0</v>
      </c>
      <c r="N100" s="63">
        <v>0</v>
      </c>
      <c r="O100" s="15"/>
      <c r="P100" s="15"/>
    </row>
    <row r="101" spans="1:16">
      <c r="A101" s="41">
        <f t="shared" si="2"/>
        <v>100</v>
      </c>
      <c r="B101" s="63">
        <v>2304000</v>
      </c>
      <c r="C101" s="63">
        <v>2304000</v>
      </c>
      <c r="D101" s="63">
        <v>1950104</v>
      </c>
      <c r="E101" s="63">
        <v>1950104</v>
      </c>
      <c r="F101" s="63">
        <v>1794096</v>
      </c>
      <c r="G101" s="63">
        <v>1794096</v>
      </c>
      <c r="H101" s="63">
        <v>1794096</v>
      </c>
      <c r="I101" s="63">
        <v>1794096</v>
      </c>
      <c r="J101" s="63">
        <v>1794096</v>
      </c>
      <c r="K101" s="63">
        <v>1794096</v>
      </c>
      <c r="L101" s="63">
        <v>1794096</v>
      </c>
      <c r="M101" s="63">
        <v>1794096</v>
      </c>
      <c r="N101" s="63">
        <v>2009392</v>
      </c>
    </row>
    <row r="102" spans="1:16">
      <c r="A102" s="41">
        <f t="shared" si="2"/>
        <v>101</v>
      </c>
      <c r="B102" s="63">
        <v>1187024</v>
      </c>
      <c r="C102" s="63">
        <v>1187024</v>
      </c>
      <c r="D102" s="63">
        <v>1092056</v>
      </c>
      <c r="E102" s="63">
        <v>1223104</v>
      </c>
      <c r="F102" s="63">
        <v>1369880</v>
      </c>
      <c r="G102" s="63">
        <v>1534264</v>
      </c>
      <c r="H102" s="63">
        <v>1411520</v>
      </c>
      <c r="I102" s="63">
        <v>1411520</v>
      </c>
      <c r="J102" s="63">
        <v>1411520</v>
      </c>
      <c r="K102" s="63">
        <v>1411520</v>
      </c>
      <c r="L102" s="63">
        <v>1411520</v>
      </c>
      <c r="M102" s="63">
        <v>1411520</v>
      </c>
      <c r="N102" s="63">
        <v>1298600</v>
      </c>
    </row>
    <row r="103" spans="1:16">
      <c r="A103" s="41">
        <f t="shared" si="2"/>
        <v>102</v>
      </c>
      <c r="B103" s="63">
        <v>1950104</v>
      </c>
      <c r="C103" s="63">
        <v>2184120</v>
      </c>
      <c r="D103" s="63">
        <v>2184120</v>
      </c>
      <c r="E103" s="63">
        <v>2184120</v>
      </c>
      <c r="F103" s="63">
        <v>2184120</v>
      </c>
      <c r="G103" s="63">
        <v>2009392</v>
      </c>
      <c r="H103" s="63">
        <v>2009392</v>
      </c>
      <c r="I103" s="63">
        <v>2009392</v>
      </c>
      <c r="J103" s="63">
        <v>1848640</v>
      </c>
      <c r="K103" s="63">
        <v>1848640</v>
      </c>
      <c r="L103" s="63">
        <v>1848640</v>
      </c>
      <c r="M103" s="63">
        <v>0</v>
      </c>
      <c r="N103" s="63">
        <v>0</v>
      </c>
    </row>
    <row r="104" spans="1:16">
      <c r="A104" s="41">
        <f t="shared" si="2"/>
        <v>103</v>
      </c>
      <c r="B104" s="63">
        <v>1618480</v>
      </c>
      <c r="C104" s="63">
        <v>1618480</v>
      </c>
      <c r="D104" s="63">
        <v>1489000</v>
      </c>
      <c r="E104" s="63">
        <v>1489000</v>
      </c>
      <c r="F104" s="63">
        <v>1489000</v>
      </c>
      <c r="G104" s="63">
        <v>1667680</v>
      </c>
      <c r="H104" s="63">
        <v>1667680</v>
      </c>
      <c r="I104" s="63">
        <v>1667680</v>
      </c>
      <c r="J104" s="63">
        <v>1667680</v>
      </c>
      <c r="K104" s="63">
        <v>1867800</v>
      </c>
      <c r="L104" s="63">
        <v>2091936</v>
      </c>
      <c r="M104" s="63">
        <v>2091936</v>
      </c>
      <c r="N104" s="63">
        <v>2091936</v>
      </c>
    </row>
    <row r="105" spans="1:16">
      <c r="A105" s="41">
        <f t="shared" si="2"/>
        <v>104</v>
      </c>
      <c r="B105" s="63">
        <v>2580480</v>
      </c>
      <c r="C105" s="63">
        <v>2890136</v>
      </c>
      <c r="D105" s="63">
        <v>2890136</v>
      </c>
      <c r="E105" s="63">
        <v>3236952</v>
      </c>
      <c r="F105" s="63">
        <v>2978000</v>
      </c>
      <c r="G105" s="63">
        <v>2978000</v>
      </c>
      <c r="H105" s="63">
        <v>3335360</v>
      </c>
      <c r="I105" s="63">
        <v>0</v>
      </c>
      <c r="J105" s="63">
        <v>0</v>
      </c>
      <c r="K105" s="63">
        <v>0</v>
      </c>
      <c r="L105" s="63">
        <v>0</v>
      </c>
      <c r="M105" s="63">
        <v>0</v>
      </c>
      <c r="N105" s="63">
        <v>0</v>
      </c>
    </row>
    <row r="106" spans="1:16">
      <c r="A106" s="41">
        <f t="shared" si="2"/>
        <v>105</v>
      </c>
      <c r="B106" s="63">
        <v>1329464</v>
      </c>
      <c r="C106" s="63">
        <v>1329464</v>
      </c>
      <c r="D106" s="63">
        <v>1329464</v>
      </c>
      <c r="E106" s="63">
        <v>1329464</v>
      </c>
      <c r="F106" s="63">
        <v>1329464</v>
      </c>
      <c r="G106" s="63">
        <v>1489000</v>
      </c>
      <c r="H106" s="63">
        <v>1489000</v>
      </c>
      <c r="I106" s="63">
        <v>1369880</v>
      </c>
      <c r="J106" s="63">
        <v>1411520</v>
      </c>
      <c r="K106" s="63">
        <v>1411520</v>
      </c>
      <c r="L106" s="63">
        <v>1580904</v>
      </c>
      <c r="M106" s="63">
        <v>1580904</v>
      </c>
      <c r="N106" s="63">
        <v>1770616</v>
      </c>
    </row>
    <row r="107" spans="1:16">
      <c r="A107" s="41">
        <f t="shared" si="2"/>
        <v>106</v>
      </c>
      <c r="B107" s="63">
        <v>1152000</v>
      </c>
      <c r="C107" s="63">
        <v>1152000</v>
      </c>
      <c r="D107" s="63">
        <v>1152000</v>
      </c>
      <c r="E107" s="63">
        <v>1152000</v>
      </c>
      <c r="F107" s="63">
        <v>1152000</v>
      </c>
      <c r="G107" s="63">
        <v>1152000</v>
      </c>
      <c r="H107" s="63">
        <v>1152000</v>
      </c>
      <c r="I107" s="63">
        <v>1152000</v>
      </c>
      <c r="J107" s="63">
        <v>1059840</v>
      </c>
      <c r="K107" s="63">
        <v>1059840</v>
      </c>
      <c r="L107" s="63">
        <v>1059840</v>
      </c>
      <c r="M107" s="63">
        <v>1187024</v>
      </c>
      <c r="N107" s="63">
        <v>1187024</v>
      </c>
    </row>
    <row r="108" spans="1:16">
      <c r="A108" s="41">
        <f t="shared" si="2"/>
        <v>107</v>
      </c>
      <c r="B108" s="63">
        <v>1059840</v>
      </c>
      <c r="C108" s="63">
        <v>1059840</v>
      </c>
      <c r="D108" s="63">
        <v>1059840</v>
      </c>
      <c r="E108" s="63">
        <v>975056</v>
      </c>
      <c r="F108" s="63">
        <v>1092056</v>
      </c>
      <c r="G108" s="63">
        <v>0</v>
      </c>
      <c r="H108" s="63">
        <v>0</v>
      </c>
      <c r="I108" s="63">
        <v>0</v>
      </c>
      <c r="J108" s="63">
        <v>0</v>
      </c>
      <c r="K108" s="63">
        <v>0</v>
      </c>
      <c r="L108" s="63">
        <v>0</v>
      </c>
      <c r="M108" s="63">
        <v>0</v>
      </c>
      <c r="N108" s="63">
        <v>0</v>
      </c>
    </row>
    <row r="109" spans="1:16">
      <c r="A109" s="41">
        <f t="shared" si="2"/>
        <v>108</v>
      </c>
      <c r="B109" s="63">
        <v>3561064</v>
      </c>
      <c r="C109" s="63">
        <v>3276176</v>
      </c>
      <c r="D109" s="63">
        <v>3669320</v>
      </c>
      <c r="E109" s="63">
        <v>3669320</v>
      </c>
      <c r="F109" s="63">
        <v>3780864</v>
      </c>
      <c r="G109" s="63">
        <v>3780864</v>
      </c>
      <c r="H109" s="63">
        <v>4234568</v>
      </c>
      <c r="I109" s="63">
        <v>4234568</v>
      </c>
      <c r="J109" s="63">
        <v>4234568</v>
      </c>
      <c r="K109" s="63">
        <v>4234568</v>
      </c>
      <c r="L109" s="63">
        <v>4234568</v>
      </c>
      <c r="M109" s="63">
        <v>4234568</v>
      </c>
      <c r="N109" s="63">
        <v>4234568</v>
      </c>
    </row>
    <row r="110" spans="1:16">
      <c r="A110" s="41">
        <f t="shared" si="2"/>
        <v>109</v>
      </c>
      <c r="B110" s="63">
        <v>3625392</v>
      </c>
      <c r="C110" s="63">
        <v>3625392</v>
      </c>
      <c r="D110" s="63">
        <v>3625392</v>
      </c>
      <c r="E110" s="63">
        <v>0</v>
      </c>
      <c r="F110" s="63">
        <v>0</v>
      </c>
      <c r="G110" s="63">
        <v>0</v>
      </c>
      <c r="H110" s="63">
        <v>0</v>
      </c>
      <c r="I110" s="63">
        <v>0</v>
      </c>
      <c r="J110" s="63">
        <v>0</v>
      </c>
      <c r="K110" s="63">
        <v>0</v>
      </c>
      <c r="L110" s="63">
        <v>0</v>
      </c>
      <c r="M110" s="63">
        <v>0</v>
      </c>
      <c r="N110" s="63">
        <v>0</v>
      </c>
    </row>
    <row r="111" spans="1:16">
      <c r="A111" s="41">
        <f t="shared" si="2"/>
        <v>110</v>
      </c>
      <c r="B111" s="63">
        <v>2890136</v>
      </c>
      <c r="C111" s="63">
        <v>3236952</v>
      </c>
      <c r="D111" s="63">
        <v>3236952</v>
      </c>
      <c r="E111" s="63">
        <v>3236952</v>
      </c>
      <c r="F111" s="63">
        <v>3236952</v>
      </c>
      <c r="G111" s="63">
        <v>2978000</v>
      </c>
      <c r="H111" s="63">
        <v>2978000</v>
      </c>
      <c r="I111" s="63">
        <v>2978000</v>
      </c>
      <c r="J111" s="63">
        <v>2978000</v>
      </c>
      <c r="K111" s="63">
        <v>2978000</v>
      </c>
      <c r="L111" s="63">
        <v>2978000</v>
      </c>
      <c r="M111" s="63">
        <v>0</v>
      </c>
      <c r="N111" s="63">
        <v>0</v>
      </c>
    </row>
    <row r="112" spans="1:16">
      <c r="A112" s="41">
        <f t="shared" si="2"/>
        <v>111</v>
      </c>
      <c r="B112" s="63">
        <v>2304000</v>
      </c>
      <c r="C112" s="63">
        <v>2304000</v>
      </c>
      <c r="D112" s="63">
        <v>2304000</v>
      </c>
      <c r="E112" s="63">
        <v>2304000</v>
      </c>
      <c r="F112" s="63">
        <v>1950104</v>
      </c>
      <c r="G112" s="63">
        <v>1950104</v>
      </c>
      <c r="H112" s="63">
        <v>1950104</v>
      </c>
      <c r="I112" s="63">
        <v>1794096</v>
      </c>
      <c r="J112" s="63">
        <v>2009392</v>
      </c>
      <c r="K112" s="63">
        <v>2009392</v>
      </c>
      <c r="L112" s="63">
        <v>1848640</v>
      </c>
      <c r="M112" s="63">
        <v>2070472</v>
      </c>
      <c r="N112" s="63">
        <v>0</v>
      </c>
    </row>
    <row r="113" spans="1:14">
      <c r="A113" s="41">
        <f t="shared" si="2"/>
        <v>112</v>
      </c>
      <c r="B113" s="63">
        <v>2304000</v>
      </c>
      <c r="C113" s="63">
        <v>2119680</v>
      </c>
      <c r="D113" s="63">
        <v>0</v>
      </c>
      <c r="E113" s="63">
        <v>0</v>
      </c>
      <c r="F113" s="63">
        <v>0</v>
      </c>
      <c r="G113" s="63">
        <v>0</v>
      </c>
      <c r="H113" s="63">
        <v>0</v>
      </c>
      <c r="I113" s="63">
        <v>0</v>
      </c>
      <c r="J113" s="63">
        <v>0</v>
      </c>
      <c r="K113" s="63">
        <v>0</v>
      </c>
      <c r="L113" s="63">
        <v>0</v>
      </c>
      <c r="M113" s="63">
        <v>0</v>
      </c>
      <c r="N113" s="63">
        <v>0</v>
      </c>
    </row>
    <row r="114" spans="1:14">
      <c r="A114" s="41">
        <f t="shared" si="2"/>
        <v>113</v>
      </c>
      <c r="B114" s="63">
        <v>3375776</v>
      </c>
      <c r="C114" s="63">
        <v>3105712</v>
      </c>
      <c r="D114" s="63">
        <v>3105712</v>
      </c>
      <c r="E114" s="63">
        <v>3105712</v>
      </c>
      <c r="F114" s="63">
        <v>3105712</v>
      </c>
      <c r="G114" s="63">
        <v>3105712</v>
      </c>
      <c r="H114" s="63">
        <v>3105712</v>
      </c>
      <c r="I114" s="63">
        <v>3105712</v>
      </c>
      <c r="J114" s="63">
        <v>3105712</v>
      </c>
      <c r="K114" s="63">
        <v>3105712</v>
      </c>
      <c r="L114" s="63">
        <v>3105712</v>
      </c>
      <c r="M114" s="63">
        <v>3105712</v>
      </c>
      <c r="N114" s="63">
        <v>3478400</v>
      </c>
    </row>
    <row r="115" spans="1:14">
      <c r="A115" s="41">
        <f t="shared" si="2"/>
        <v>114</v>
      </c>
      <c r="B115" s="63">
        <v>2184120</v>
      </c>
      <c r="C115" s="63">
        <v>2184120</v>
      </c>
      <c r="D115" s="63">
        <v>0</v>
      </c>
      <c r="E115" s="63">
        <v>0</v>
      </c>
      <c r="F115" s="63">
        <v>0</v>
      </c>
      <c r="G115" s="63">
        <v>0</v>
      </c>
      <c r="H115" s="63">
        <v>0</v>
      </c>
      <c r="I115" s="63">
        <v>0</v>
      </c>
      <c r="J115" s="63">
        <v>0</v>
      </c>
      <c r="K115" s="63">
        <v>0</v>
      </c>
      <c r="L115" s="63">
        <v>0</v>
      </c>
      <c r="M115" s="63">
        <v>0</v>
      </c>
      <c r="N115" s="63">
        <v>0</v>
      </c>
    </row>
    <row r="116" spans="1:14">
      <c r="A116" s="41">
        <f t="shared" si="2"/>
        <v>115</v>
      </c>
      <c r="B116" s="63">
        <v>3669320</v>
      </c>
      <c r="C116" s="63">
        <v>3669320</v>
      </c>
      <c r="D116" s="63">
        <v>4109640</v>
      </c>
      <c r="E116" s="63">
        <v>3780864</v>
      </c>
      <c r="F116" s="63">
        <v>3780864</v>
      </c>
      <c r="G116" s="63">
        <v>3780864</v>
      </c>
      <c r="H116" s="63">
        <v>3478400</v>
      </c>
      <c r="I116" s="63">
        <v>3478400</v>
      </c>
      <c r="J116" s="63">
        <v>3478400</v>
      </c>
      <c r="K116" s="63">
        <v>3478400</v>
      </c>
      <c r="L116" s="63">
        <v>3584136</v>
      </c>
      <c r="M116" s="63">
        <v>3584136</v>
      </c>
      <c r="N116" s="63">
        <v>3584136</v>
      </c>
    </row>
    <row r="117" spans="1:14">
      <c r="A117" s="41">
        <f t="shared" si="2"/>
        <v>116</v>
      </c>
      <c r="B117" s="63">
        <v>3179520</v>
      </c>
      <c r="C117" s="63">
        <v>3561064</v>
      </c>
      <c r="D117" s="63">
        <v>3561064</v>
      </c>
      <c r="E117" s="63">
        <v>3561064</v>
      </c>
      <c r="F117" s="63">
        <v>3561064</v>
      </c>
      <c r="G117" s="63">
        <v>3276176</v>
      </c>
      <c r="H117" s="63">
        <v>3276176</v>
      </c>
      <c r="I117" s="63">
        <v>3276176</v>
      </c>
      <c r="J117" s="63">
        <v>3669320</v>
      </c>
      <c r="K117" s="63">
        <v>3375776</v>
      </c>
      <c r="L117" s="63">
        <v>3375776</v>
      </c>
      <c r="M117" s="63">
        <v>3375776</v>
      </c>
      <c r="N117" s="63">
        <v>4234568</v>
      </c>
    </row>
    <row r="118" spans="1:14">
      <c r="A118" s="41">
        <f t="shared" si="2"/>
        <v>117</v>
      </c>
      <c r="B118" s="63">
        <v>3456000</v>
      </c>
      <c r="C118" s="63">
        <v>3456000</v>
      </c>
      <c r="D118" s="63">
        <v>3456000</v>
      </c>
      <c r="E118" s="63">
        <v>3456000</v>
      </c>
      <c r="F118" s="63">
        <v>3456000</v>
      </c>
      <c r="G118" s="63">
        <v>3456000</v>
      </c>
      <c r="H118" s="63">
        <v>3456000</v>
      </c>
      <c r="I118" s="63">
        <v>3456000</v>
      </c>
      <c r="J118" s="63">
        <v>3561064</v>
      </c>
      <c r="K118" s="63">
        <v>3276176</v>
      </c>
      <c r="L118" s="63">
        <v>3276176</v>
      </c>
      <c r="M118" s="63">
        <v>3276176</v>
      </c>
      <c r="N118" s="63">
        <v>3276176</v>
      </c>
    </row>
    <row r="119" spans="1:14">
      <c r="A119" s="41">
        <f t="shared" si="2"/>
        <v>118</v>
      </c>
      <c r="B119" s="63">
        <v>3870720</v>
      </c>
      <c r="C119" s="63">
        <v>3870720</v>
      </c>
      <c r="D119" s="63">
        <v>3870720</v>
      </c>
      <c r="E119" s="63">
        <v>4855432</v>
      </c>
      <c r="F119" s="63">
        <v>4855432</v>
      </c>
      <c r="G119" s="63">
        <v>4855432</v>
      </c>
      <c r="H119" s="63">
        <v>4855432</v>
      </c>
      <c r="I119" s="63">
        <v>4855432</v>
      </c>
      <c r="J119" s="63">
        <v>4855432</v>
      </c>
      <c r="K119" s="63">
        <v>4855432</v>
      </c>
      <c r="L119" s="63">
        <v>4855432</v>
      </c>
      <c r="M119" s="63">
        <v>4855432</v>
      </c>
      <c r="N119" s="63">
        <v>0</v>
      </c>
    </row>
    <row r="120" spans="1:14">
      <c r="A120" s="41">
        <f t="shared" si="2"/>
        <v>119</v>
      </c>
      <c r="B120" s="63">
        <v>2658928</v>
      </c>
      <c r="C120" s="63">
        <v>2658928</v>
      </c>
      <c r="D120" s="63">
        <v>2658928</v>
      </c>
      <c r="E120" s="63">
        <v>2446216</v>
      </c>
      <c r="F120" s="63">
        <v>2446216</v>
      </c>
      <c r="G120" s="63">
        <v>2446216</v>
      </c>
      <c r="H120" s="63">
        <v>2739760</v>
      </c>
      <c r="I120" s="63">
        <v>3068528</v>
      </c>
      <c r="J120" s="63">
        <v>3068528</v>
      </c>
      <c r="K120" s="63">
        <v>2823048</v>
      </c>
      <c r="L120" s="63">
        <v>2823048</v>
      </c>
      <c r="M120" s="63">
        <v>3161816</v>
      </c>
      <c r="N120" s="63">
        <v>2908864</v>
      </c>
    </row>
    <row r="121" spans="1:14">
      <c r="A121" s="41">
        <f t="shared" si="2"/>
        <v>120</v>
      </c>
      <c r="B121" s="63">
        <v>1152000</v>
      </c>
      <c r="C121" s="63">
        <v>1059840</v>
      </c>
      <c r="D121" s="63">
        <v>1059840</v>
      </c>
      <c r="E121" s="63">
        <v>1059840</v>
      </c>
      <c r="F121" s="63">
        <v>1059840</v>
      </c>
      <c r="G121" s="63">
        <v>1059840</v>
      </c>
      <c r="H121" s="63">
        <v>975056</v>
      </c>
      <c r="I121" s="63">
        <v>975056</v>
      </c>
      <c r="J121" s="63">
        <v>1092056</v>
      </c>
      <c r="K121" s="63">
        <v>1092056</v>
      </c>
      <c r="L121" s="63">
        <v>1092056</v>
      </c>
      <c r="M121" s="63">
        <v>1092056</v>
      </c>
      <c r="N121" s="63">
        <v>1092056</v>
      </c>
    </row>
    <row r="122" spans="1:14">
      <c r="A122" s="41">
        <f t="shared" si="2"/>
        <v>121</v>
      </c>
      <c r="B122" s="63">
        <v>2580480</v>
      </c>
      <c r="C122" s="63">
        <v>2374040</v>
      </c>
      <c r="D122" s="63">
        <v>2658928</v>
      </c>
      <c r="E122" s="63">
        <v>0</v>
      </c>
      <c r="F122" s="63">
        <v>0</v>
      </c>
      <c r="G122" s="63">
        <v>0</v>
      </c>
      <c r="H122" s="63">
        <v>0</v>
      </c>
      <c r="I122" s="63">
        <v>0</v>
      </c>
      <c r="J122" s="63">
        <v>0</v>
      </c>
      <c r="K122" s="63">
        <v>0</v>
      </c>
      <c r="L122" s="63">
        <v>0</v>
      </c>
      <c r="M122" s="63">
        <v>0</v>
      </c>
      <c r="N122" s="63">
        <v>0</v>
      </c>
    </row>
    <row r="123" spans="1:14">
      <c r="A123" s="41">
        <f t="shared" si="2"/>
        <v>122</v>
      </c>
      <c r="B123" s="63">
        <v>0</v>
      </c>
      <c r="C123" s="63">
        <v>2304000</v>
      </c>
      <c r="D123" s="63">
        <v>2304000</v>
      </c>
      <c r="E123" s="63">
        <v>2304000</v>
      </c>
      <c r="F123" s="63">
        <v>2304000</v>
      </c>
      <c r="G123" s="63">
        <v>2304000</v>
      </c>
      <c r="H123" s="63">
        <v>2304000</v>
      </c>
      <c r="I123" s="63">
        <v>2304000</v>
      </c>
      <c r="J123" s="63">
        <v>2304000</v>
      </c>
      <c r="K123" s="63">
        <v>2304000</v>
      </c>
      <c r="L123" s="63">
        <v>2304000</v>
      </c>
      <c r="M123" s="63">
        <v>2119680</v>
      </c>
      <c r="N123" s="63">
        <v>2119680</v>
      </c>
    </row>
    <row r="124" spans="1:14">
      <c r="A124" s="41">
        <f t="shared" si="2"/>
        <v>123</v>
      </c>
      <c r="B124" s="63">
        <v>2890136</v>
      </c>
      <c r="C124" s="63">
        <v>2890136</v>
      </c>
      <c r="D124" s="63">
        <v>2890136</v>
      </c>
      <c r="E124" s="63">
        <v>2890136</v>
      </c>
      <c r="F124" s="63">
        <v>2890136</v>
      </c>
      <c r="G124" s="63">
        <v>2890136</v>
      </c>
      <c r="H124" s="63">
        <v>2890136</v>
      </c>
      <c r="I124" s="63">
        <v>3236952</v>
      </c>
      <c r="J124" s="63">
        <v>3236952</v>
      </c>
      <c r="K124" s="63">
        <v>3236952</v>
      </c>
      <c r="L124" s="63">
        <v>3236952</v>
      </c>
      <c r="M124" s="63">
        <v>2978000</v>
      </c>
      <c r="N124" s="63">
        <v>2978000</v>
      </c>
    </row>
    <row r="125" spans="1:14">
      <c r="A125" s="41">
        <f t="shared" si="2"/>
        <v>124</v>
      </c>
      <c r="B125" s="63">
        <v>1950104</v>
      </c>
      <c r="C125" s="63">
        <v>1950104</v>
      </c>
      <c r="D125" s="63">
        <v>1950104</v>
      </c>
      <c r="E125" s="63">
        <v>1950104</v>
      </c>
      <c r="F125" s="63">
        <v>1794096</v>
      </c>
      <c r="G125" s="63">
        <v>1794096</v>
      </c>
      <c r="H125" s="63">
        <v>1794096</v>
      </c>
      <c r="I125" s="63">
        <v>1650568</v>
      </c>
      <c r="J125" s="63">
        <v>0</v>
      </c>
      <c r="K125" s="63">
        <v>0</v>
      </c>
      <c r="L125" s="63">
        <v>0</v>
      </c>
      <c r="M125" s="63">
        <v>0</v>
      </c>
      <c r="N125" s="63">
        <v>0</v>
      </c>
    </row>
    <row r="126" spans="1:14">
      <c r="A126" s="41">
        <f t="shared" si="2"/>
        <v>125</v>
      </c>
      <c r="B126" s="63">
        <v>2304000</v>
      </c>
      <c r="C126" s="63">
        <v>1950104</v>
      </c>
      <c r="D126" s="63">
        <v>1950104</v>
      </c>
      <c r="E126" s="63">
        <v>1950104</v>
      </c>
      <c r="F126" s="63">
        <v>1794096</v>
      </c>
      <c r="G126" s="63">
        <v>0</v>
      </c>
      <c r="H126" s="63">
        <v>0</v>
      </c>
      <c r="I126" s="63">
        <v>0</v>
      </c>
      <c r="J126" s="63">
        <v>0</v>
      </c>
      <c r="K126" s="63">
        <v>0</v>
      </c>
      <c r="L126" s="63">
        <v>0</v>
      </c>
      <c r="M126" s="63">
        <v>0</v>
      </c>
      <c r="N126" s="63">
        <v>0</v>
      </c>
    </row>
    <row r="127" spans="1:14">
      <c r="A127" s="41">
        <f t="shared" si="2"/>
        <v>126</v>
      </c>
      <c r="B127" s="63">
        <v>2925160</v>
      </c>
      <c r="C127" s="63">
        <v>2925160</v>
      </c>
      <c r="D127" s="63">
        <v>2691144</v>
      </c>
      <c r="E127" s="63">
        <v>2691144</v>
      </c>
      <c r="F127" s="63">
        <v>3014080</v>
      </c>
      <c r="G127" s="63">
        <v>3014080</v>
      </c>
      <c r="H127" s="63">
        <v>0</v>
      </c>
      <c r="I127" s="63">
        <v>0</v>
      </c>
      <c r="J127" s="63">
        <v>0</v>
      </c>
      <c r="K127" s="63">
        <v>0</v>
      </c>
      <c r="L127" s="63">
        <v>0</v>
      </c>
      <c r="M127" s="63">
        <v>0</v>
      </c>
      <c r="N127" s="63">
        <v>0</v>
      </c>
    </row>
    <row r="128" spans="1:14">
      <c r="A128" s="41">
        <f t="shared" si="2"/>
        <v>127</v>
      </c>
      <c r="B128" s="63">
        <v>897048</v>
      </c>
      <c r="C128" s="63">
        <v>825288</v>
      </c>
      <c r="D128" s="63">
        <v>825288</v>
      </c>
      <c r="E128" s="63">
        <v>825288</v>
      </c>
      <c r="F128" s="63">
        <v>0</v>
      </c>
      <c r="G128" s="63">
        <v>0</v>
      </c>
      <c r="H128" s="63">
        <v>0</v>
      </c>
      <c r="I128" s="63">
        <v>0</v>
      </c>
      <c r="J128" s="63">
        <v>0</v>
      </c>
      <c r="K128" s="63">
        <v>0</v>
      </c>
      <c r="L128" s="63">
        <v>0</v>
      </c>
      <c r="M128" s="63">
        <v>0</v>
      </c>
      <c r="N128" s="63">
        <v>0</v>
      </c>
    </row>
    <row r="129" spans="1:14">
      <c r="A129" s="41">
        <f t="shared" si="2"/>
        <v>128</v>
      </c>
      <c r="B129" s="63">
        <v>3988392</v>
      </c>
      <c r="C129" s="63">
        <v>3669320</v>
      </c>
      <c r="D129" s="63">
        <v>3669320</v>
      </c>
      <c r="E129" s="63">
        <v>3375776</v>
      </c>
      <c r="F129" s="63">
        <v>3375776</v>
      </c>
      <c r="G129" s="63">
        <v>3105712</v>
      </c>
      <c r="H129" s="63">
        <v>3478400</v>
      </c>
      <c r="I129" s="63">
        <v>3895808</v>
      </c>
      <c r="J129" s="63">
        <v>3895808</v>
      </c>
      <c r="K129" s="63">
        <v>3895808</v>
      </c>
      <c r="L129" s="63">
        <v>3895808</v>
      </c>
      <c r="M129" s="63">
        <v>3895808</v>
      </c>
      <c r="N129" s="63">
        <v>3895808</v>
      </c>
    </row>
    <row r="130" spans="1:14">
      <c r="A130" s="41">
        <f t="shared" si="2"/>
        <v>129</v>
      </c>
      <c r="B130" s="63">
        <v>3456000</v>
      </c>
      <c r="C130" s="63">
        <v>3456000</v>
      </c>
      <c r="D130" s="63">
        <v>3179520</v>
      </c>
      <c r="E130" s="63">
        <v>3179520</v>
      </c>
      <c r="F130" s="63">
        <v>3179520</v>
      </c>
      <c r="G130" s="63">
        <v>3179520</v>
      </c>
      <c r="H130" s="63">
        <v>3179520</v>
      </c>
      <c r="I130" s="63">
        <v>3179520</v>
      </c>
      <c r="J130" s="63">
        <v>2925160</v>
      </c>
      <c r="K130" s="63">
        <v>2691144</v>
      </c>
      <c r="L130" s="63">
        <v>2691144</v>
      </c>
      <c r="M130" s="63">
        <v>2691144</v>
      </c>
      <c r="N130" s="63">
        <v>2691144</v>
      </c>
    </row>
    <row r="131" spans="1:14">
      <c r="A131" s="41">
        <f t="shared" si="2"/>
        <v>130</v>
      </c>
      <c r="B131" s="63">
        <v>1187024</v>
      </c>
      <c r="C131" s="63">
        <v>1187024</v>
      </c>
      <c r="D131" s="63">
        <v>1489000</v>
      </c>
      <c r="E131" s="63">
        <v>1489000</v>
      </c>
      <c r="F131" s="63">
        <v>1489000</v>
      </c>
      <c r="G131" s="63">
        <v>1667680</v>
      </c>
      <c r="H131" s="63">
        <v>1667680</v>
      </c>
      <c r="I131" s="63">
        <v>1667680</v>
      </c>
      <c r="J131" s="63">
        <v>1667680</v>
      </c>
      <c r="K131" s="63">
        <v>1667680</v>
      </c>
      <c r="L131" s="63">
        <v>1867800</v>
      </c>
      <c r="M131" s="63">
        <v>1867800</v>
      </c>
      <c r="N131" s="63">
        <v>1867800</v>
      </c>
    </row>
    <row r="132" spans="1:14">
      <c r="A132" s="41">
        <f t="shared" si="2"/>
        <v>131</v>
      </c>
      <c r="B132" s="63">
        <v>2119680</v>
      </c>
      <c r="C132" s="63">
        <v>2119680</v>
      </c>
      <c r="D132" s="63">
        <v>2119680</v>
      </c>
      <c r="E132" s="63">
        <v>2119680</v>
      </c>
      <c r="F132" s="63">
        <v>2374040</v>
      </c>
      <c r="G132" s="63">
        <v>2184120</v>
      </c>
      <c r="H132" s="63">
        <v>2184120</v>
      </c>
      <c r="I132" s="63">
        <v>2184120</v>
      </c>
      <c r="J132" s="63">
        <v>2446216</v>
      </c>
      <c r="K132" s="63">
        <v>2446216</v>
      </c>
      <c r="L132" s="63">
        <v>2446216</v>
      </c>
      <c r="M132" s="63">
        <v>2446216</v>
      </c>
      <c r="N132" s="63">
        <v>2446216</v>
      </c>
    </row>
    <row r="133" spans="1:14">
      <c r="A133" s="41">
        <f t="shared" si="2"/>
        <v>132</v>
      </c>
      <c r="B133" s="63">
        <v>2184120</v>
      </c>
      <c r="C133" s="63">
        <v>2184120</v>
      </c>
      <c r="D133" s="63">
        <v>2184120</v>
      </c>
      <c r="E133" s="63">
        <v>2184120</v>
      </c>
      <c r="F133" s="63">
        <v>2184120</v>
      </c>
      <c r="G133" s="63">
        <v>2184120</v>
      </c>
      <c r="H133" s="63">
        <v>2184120</v>
      </c>
      <c r="I133" s="63">
        <v>2184120</v>
      </c>
      <c r="J133" s="63">
        <v>2184120</v>
      </c>
      <c r="K133" s="63">
        <v>2184120</v>
      </c>
      <c r="L133" s="63">
        <v>2184120</v>
      </c>
      <c r="M133" s="63">
        <v>2446216</v>
      </c>
      <c r="N133" s="63">
        <v>2739760</v>
      </c>
    </row>
    <row r="134" spans="1:14">
      <c r="A134" s="41">
        <f t="shared" si="2"/>
        <v>133</v>
      </c>
      <c r="B134" s="63">
        <v>1534264</v>
      </c>
      <c r="C134" s="63">
        <v>1718376</v>
      </c>
      <c r="D134" s="63">
        <v>1718376</v>
      </c>
      <c r="E134" s="63">
        <v>1924584</v>
      </c>
      <c r="F134" s="63">
        <v>1924584</v>
      </c>
      <c r="G134" s="63">
        <v>1924584</v>
      </c>
      <c r="H134" s="63">
        <v>1924584</v>
      </c>
      <c r="I134" s="63">
        <v>1924584</v>
      </c>
      <c r="J134" s="63">
        <v>1924584</v>
      </c>
      <c r="K134" s="63">
        <v>1924584</v>
      </c>
      <c r="L134" s="63">
        <v>1924584</v>
      </c>
      <c r="M134" s="63">
        <v>1824440</v>
      </c>
      <c r="N134" s="63">
        <v>1824440</v>
      </c>
    </row>
    <row r="135" spans="1:14">
      <c r="A135" s="41">
        <f t="shared" ref="A135:A197" si="3">+A134+1</f>
        <v>134</v>
      </c>
      <c r="B135" s="63">
        <v>1004696</v>
      </c>
      <c r="C135" s="63">
        <v>1004696</v>
      </c>
      <c r="D135" s="63">
        <v>1004696</v>
      </c>
      <c r="E135" s="63">
        <v>0</v>
      </c>
      <c r="F135" s="63">
        <v>0</v>
      </c>
      <c r="G135" s="63">
        <v>0</v>
      </c>
      <c r="H135" s="63">
        <v>0</v>
      </c>
      <c r="I135" s="63">
        <v>0</v>
      </c>
      <c r="J135" s="63">
        <v>0</v>
      </c>
      <c r="K135" s="63">
        <v>0</v>
      </c>
      <c r="L135" s="63">
        <v>0</v>
      </c>
      <c r="M135" s="63">
        <v>0</v>
      </c>
      <c r="N135" s="63">
        <v>0</v>
      </c>
    </row>
    <row r="136" spans="1:14">
      <c r="A136" s="41">
        <f t="shared" si="3"/>
        <v>135</v>
      </c>
      <c r="B136" s="63">
        <v>0</v>
      </c>
      <c r="C136" s="63">
        <v>3456000</v>
      </c>
      <c r="D136" s="63">
        <v>3456000</v>
      </c>
      <c r="E136" s="63">
        <v>3870720</v>
      </c>
      <c r="F136" s="63">
        <v>3870720</v>
      </c>
      <c r="G136" s="63">
        <v>3870720</v>
      </c>
      <c r="H136" s="63">
        <v>3870720</v>
      </c>
      <c r="I136" s="63">
        <v>3870720</v>
      </c>
      <c r="J136" s="63">
        <v>3870720</v>
      </c>
      <c r="K136" s="63">
        <v>4335208</v>
      </c>
      <c r="L136" s="63">
        <v>4335208</v>
      </c>
      <c r="M136" s="63">
        <v>4335208</v>
      </c>
      <c r="N136" s="63">
        <v>4335208</v>
      </c>
    </row>
    <row r="137" spans="1:14">
      <c r="A137" s="41">
        <f t="shared" si="3"/>
        <v>136</v>
      </c>
      <c r="B137" s="63">
        <v>3456000</v>
      </c>
      <c r="C137" s="63">
        <v>3179520</v>
      </c>
      <c r="D137" s="63">
        <v>3179520</v>
      </c>
      <c r="E137" s="63">
        <v>2925160</v>
      </c>
      <c r="F137" s="63">
        <v>2925160</v>
      </c>
      <c r="G137" s="63">
        <v>2925160</v>
      </c>
      <c r="H137" s="63">
        <v>2925160</v>
      </c>
      <c r="I137" s="63">
        <v>2925160</v>
      </c>
      <c r="J137" s="63">
        <v>2925160</v>
      </c>
      <c r="K137" s="63">
        <v>3276176</v>
      </c>
      <c r="L137" s="63">
        <v>3276176</v>
      </c>
      <c r="M137" s="63">
        <v>3014080</v>
      </c>
      <c r="N137" s="63">
        <v>3014080</v>
      </c>
    </row>
    <row r="138" spans="1:14">
      <c r="A138" s="41">
        <f t="shared" si="3"/>
        <v>137</v>
      </c>
      <c r="B138" s="63">
        <v>1369880</v>
      </c>
      <c r="C138" s="63">
        <v>1369880</v>
      </c>
      <c r="D138" s="63">
        <v>1369880</v>
      </c>
      <c r="E138" s="63">
        <v>1534264</v>
      </c>
      <c r="F138" s="63">
        <v>1534264</v>
      </c>
      <c r="G138" s="63">
        <v>1718376</v>
      </c>
      <c r="H138" s="63">
        <v>1718376</v>
      </c>
      <c r="I138" s="63">
        <v>1718376</v>
      </c>
      <c r="J138" s="63">
        <v>1718376</v>
      </c>
      <c r="K138" s="63">
        <v>1718376</v>
      </c>
      <c r="L138" s="63">
        <v>1718376</v>
      </c>
      <c r="M138" s="63">
        <v>1718376</v>
      </c>
      <c r="N138" s="63">
        <v>1718376</v>
      </c>
    </row>
    <row r="139" spans="1:14">
      <c r="A139" s="41">
        <f t="shared" si="3"/>
        <v>138</v>
      </c>
      <c r="B139" s="63">
        <v>1369880</v>
      </c>
      <c r="C139" s="63">
        <v>1369880</v>
      </c>
      <c r="D139" s="63">
        <v>0</v>
      </c>
      <c r="E139" s="63">
        <v>0</v>
      </c>
      <c r="F139" s="63">
        <v>0</v>
      </c>
      <c r="G139" s="63">
        <v>0</v>
      </c>
      <c r="H139" s="63">
        <v>0</v>
      </c>
      <c r="I139" s="63">
        <v>0</v>
      </c>
      <c r="J139" s="63">
        <v>0</v>
      </c>
      <c r="K139" s="63">
        <v>0</v>
      </c>
      <c r="L139" s="63">
        <v>0</v>
      </c>
      <c r="M139" s="63">
        <v>0</v>
      </c>
      <c r="N139" s="63">
        <v>0</v>
      </c>
    </row>
    <row r="140" spans="1:14">
      <c r="A140" s="41">
        <f t="shared" si="3"/>
        <v>139</v>
      </c>
      <c r="B140" s="63">
        <v>2304000</v>
      </c>
      <c r="C140" s="63">
        <v>2304000</v>
      </c>
      <c r="D140" s="63">
        <v>2119680</v>
      </c>
      <c r="E140" s="63">
        <v>1950104</v>
      </c>
      <c r="F140" s="63">
        <v>2184120</v>
      </c>
      <c r="G140" s="63">
        <v>2184120</v>
      </c>
      <c r="H140" s="63">
        <v>0</v>
      </c>
      <c r="I140" s="63">
        <v>0</v>
      </c>
      <c r="J140" s="63">
        <v>0</v>
      </c>
      <c r="K140" s="63">
        <v>0</v>
      </c>
      <c r="L140" s="63">
        <v>0</v>
      </c>
      <c r="M140" s="63">
        <v>0</v>
      </c>
      <c r="N140" s="63">
        <v>0</v>
      </c>
    </row>
    <row r="141" spans="1:14">
      <c r="A141" s="41">
        <f t="shared" si="3"/>
        <v>140</v>
      </c>
      <c r="B141" s="63">
        <v>1059840</v>
      </c>
      <c r="C141" s="63">
        <v>1187024</v>
      </c>
      <c r="D141" s="63">
        <v>1187024</v>
      </c>
      <c r="E141" s="63">
        <v>1187024</v>
      </c>
      <c r="F141" s="63">
        <v>1187024</v>
      </c>
      <c r="G141" s="63">
        <v>1329464</v>
      </c>
      <c r="H141" s="63">
        <v>1329464</v>
      </c>
      <c r="I141" s="63">
        <v>1223104</v>
      </c>
      <c r="J141" s="63">
        <v>1369880</v>
      </c>
      <c r="K141" s="63">
        <v>1369880</v>
      </c>
      <c r="L141" s="63">
        <v>1534264</v>
      </c>
      <c r="M141" s="63">
        <v>1534264</v>
      </c>
      <c r="N141" s="63">
        <v>1534264</v>
      </c>
    </row>
    <row r="142" spans="1:14">
      <c r="A142" s="41">
        <f t="shared" si="3"/>
        <v>141</v>
      </c>
      <c r="B142" s="63">
        <v>3456000</v>
      </c>
      <c r="C142" s="63">
        <v>3870720</v>
      </c>
      <c r="D142" s="63">
        <v>3870720</v>
      </c>
      <c r="E142" s="63">
        <v>3870720</v>
      </c>
      <c r="F142" s="63">
        <v>3276176</v>
      </c>
      <c r="G142" s="63">
        <v>3276176</v>
      </c>
      <c r="H142" s="63">
        <v>4109640</v>
      </c>
      <c r="I142" s="63">
        <v>4109640</v>
      </c>
      <c r="J142" s="63">
        <v>4109640</v>
      </c>
      <c r="K142" s="63">
        <v>4109640</v>
      </c>
      <c r="L142" s="63">
        <v>4109640</v>
      </c>
      <c r="M142" s="63">
        <v>3780864</v>
      </c>
      <c r="N142" s="63">
        <v>3780864</v>
      </c>
    </row>
    <row r="143" spans="1:14">
      <c r="A143" s="41">
        <f t="shared" si="3"/>
        <v>142</v>
      </c>
      <c r="B143" s="63">
        <v>2304000</v>
      </c>
      <c r="C143" s="63">
        <v>1950104</v>
      </c>
      <c r="D143" s="63">
        <v>1950104</v>
      </c>
      <c r="E143" s="63">
        <v>1950104</v>
      </c>
      <c r="F143" s="63">
        <v>1950104</v>
      </c>
      <c r="G143" s="63">
        <v>2184120</v>
      </c>
      <c r="H143" s="63">
        <v>2184120</v>
      </c>
      <c r="I143" s="63">
        <v>2184120</v>
      </c>
      <c r="J143" s="63">
        <v>2184120</v>
      </c>
      <c r="K143" s="63">
        <v>2184120</v>
      </c>
      <c r="L143" s="63">
        <v>2184120</v>
      </c>
      <c r="M143" s="63">
        <v>2184120</v>
      </c>
      <c r="N143" s="63">
        <v>2184120</v>
      </c>
    </row>
    <row r="144" spans="1:14">
      <c r="A144" s="41">
        <f t="shared" si="3"/>
        <v>143</v>
      </c>
      <c r="B144" s="63">
        <v>2304000</v>
      </c>
      <c r="C144" s="63">
        <v>2374040</v>
      </c>
      <c r="D144" s="63">
        <v>2374040</v>
      </c>
      <c r="E144" s="63">
        <v>2374040</v>
      </c>
      <c r="F144" s="63">
        <v>2374040</v>
      </c>
      <c r="G144" s="63">
        <v>2658928</v>
      </c>
      <c r="H144" s="63">
        <v>2658928</v>
      </c>
      <c r="I144" s="63">
        <v>2978000</v>
      </c>
      <c r="J144" s="63">
        <v>2978000</v>
      </c>
      <c r="K144" s="63">
        <v>2978000</v>
      </c>
      <c r="L144" s="63">
        <v>2978000</v>
      </c>
      <c r="M144" s="63">
        <v>2978000</v>
      </c>
      <c r="N144" s="63">
        <v>3068528</v>
      </c>
    </row>
    <row r="145" spans="1:14">
      <c r="A145" s="41">
        <f t="shared" si="3"/>
        <v>144</v>
      </c>
      <c r="B145" s="63">
        <v>1152000</v>
      </c>
      <c r="C145" s="63">
        <v>1152000</v>
      </c>
      <c r="D145" s="63">
        <v>1152000</v>
      </c>
      <c r="E145" s="63">
        <v>1152000</v>
      </c>
      <c r="F145" s="63">
        <v>1059840</v>
      </c>
      <c r="G145" s="63">
        <v>1059840</v>
      </c>
      <c r="H145" s="63">
        <v>1329464</v>
      </c>
      <c r="I145" s="63">
        <v>1329464</v>
      </c>
      <c r="J145" s="63">
        <v>0</v>
      </c>
      <c r="K145" s="63">
        <v>0</v>
      </c>
      <c r="L145" s="63">
        <v>0</v>
      </c>
      <c r="M145" s="63">
        <v>0</v>
      </c>
      <c r="N145" s="63">
        <v>0</v>
      </c>
    </row>
    <row r="146" spans="1:14">
      <c r="A146" s="41">
        <f t="shared" si="3"/>
        <v>145</v>
      </c>
      <c r="B146" s="63">
        <v>3276176</v>
      </c>
      <c r="C146" s="63">
        <v>3669320</v>
      </c>
      <c r="D146" s="63">
        <v>3669320</v>
      </c>
      <c r="E146" s="63">
        <v>3669320</v>
      </c>
      <c r="F146" s="63">
        <v>4109640</v>
      </c>
      <c r="G146" s="63">
        <v>4109640</v>
      </c>
      <c r="H146" s="63">
        <v>3780864</v>
      </c>
      <c r="I146" s="63">
        <v>4234568</v>
      </c>
      <c r="J146" s="63">
        <v>4234568</v>
      </c>
      <c r="K146" s="63">
        <v>4234568</v>
      </c>
      <c r="L146" s="63">
        <v>4234568</v>
      </c>
      <c r="M146" s="63">
        <v>3895808</v>
      </c>
      <c r="N146" s="63">
        <v>3895808</v>
      </c>
    </row>
    <row r="147" spans="1:14">
      <c r="A147" s="41">
        <f t="shared" si="3"/>
        <v>146</v>
      </c>
      <c r="B147" s="63">
        <v>924320</v>
      </c>
      <c r="C147" s="63">
        <v>924320</v>
      </c>
      <c r="D147" s="63">
        <v>924320</v>
      </c>
      <c r="E147" s="63">
        <v>924320</v>
      </c>
      <c r="F147" s="63">
        <v>850376</v>
      </c>
      <c r="G147" s="63">
        <v>850376</v>
      </c>
      <c r="H147" s="63">
        <v>850376</v>
      </c>
      <c r="I147" s="63">
        <v>850376</v>
      </c>
      <c r="J147" s="63">
        <v>952416</v>
      </c>
      <c r="K147" s="63">
        <v>952416</v>
      </c>
      <c r="L147" s="63">
        <v>952416</v>
      </c>
      <c r="M147" s="63">
        <v>952416</v>
      </c>
      <c r="N147" s="63">
        <v>952416</v>
      </c>
    </row>
    <row r="148" spans="1:14">
      <c r="A148" s="41">
        <f t="shared" si="3"/>
        <v>147</v>
      </c>
      <c r="B148" s="63">
        <v>1618480</v>
      </c>
      <c r="C148" s="63">
        <v>1618480</v>
      </c>
      <c r="D148" s="63">
        <v>1618480</v>
      </c>
      <c r="E148" s="63">
        <v>1618480</v>
      </c>
      <c r="F148" s="63">
        <v>1618480</v>
      </c>
      <c r="G148" s="63">
        <v>1618480</v>
      </c>
      <c r="H148" s="63">
        <v>1489000</v>
      </c>
      <c r="I148" s="63">
        <v>1489000</v>
      </c>
      <c r="J148" s="63">
        <v>1489000</v>
      </c>
      <c r="K148" s="63">
        <v>1489000</v>
      </c>
      <c r="L148" s="63">
        <v>0</v>
      </c>
      <c r="M148" s="63">
        <v>0</v>
      </c>
      <c r="N148" s="63">
        <v>0</v>
      </c>
    </row>
    <row r="149" spans="1:14">
      <c r="A149" s="41">
        <f t="shared" si="3"/>
        <v>148</v>
      </c>
      <c r="B149" s="63">
        <v>3561064</v>
      </c>
      <c r="C149" s="63">
        <v>3988392</v>
      </c>
      <c r="D149" s="63">
        <v>3988392</v>
      </c>
      <c r="E149" s="63">
        <v>3988392</v>
      </c>
      <c r="F149" s="63">
        <v>4467000</v>
      </c>
      <c r="G149" s="63">
        <v>4109640</v>
      </c>
      <c r="H149" s="63">
        <v>0</v>
      </c>
      <c r="I149" s="63">
        <v>0</v>
      </c>
      <c r="J149" s="63">
        <v>0</v>
      </c>
      <c r="K149" s="63">
        <v>0</v>
      </c>
      <c r="L149" s="63">
        <v>0</v>
      </c>
      <c r="M149" s="63">
        <v>0</v>
      </c>
      <c r="N149" s="63">
        <v>0</v>
      </c>
    </row>
    <row r="150" spans="1:14">
      <c r="A150" s="41">
        <f t="shared" si="3"/>
        <v>149</v>
      </c>
      <c r="B150" s="63">
        <v>1125256</v>
      </c>
      <c r="C150" s="63">
        <v>1125256</v>
      </c>
      <c r="D150" s="63">
        <v>1125256</v>
      </c>
      <c r="E150" s="63">
        <v>1125256</v>
      </c>
      <c r="F150" s="63">
        <v>1125256</v>
      </c>
      <c r="G150" s="63">
        <v>1125256</v>
      </c>
      <c r="H150" s="63">
        <v>1125256</v>
      </c>
      <c r="I150" s="63">
        <v>1035240</v>
      </c>
      <c r="J150" s="63">
        <v>1159464</v>
      </c>
      <c r="K150" s="63">
        <v>1159464</v>
      </c>
      <c r="L150" s="63">
        <v>1159464</v>
      </c>
      <c r="M150" s="63">
        <v>1159464</v>
      </c>
      <c r="N150" s="63">
        <v>1159464</v>
      </c>
    </row>
    <row r="151" spans="1:14">
      <c r="A151" s="41">
        <f t="shared" si="3"/>
        <v>150</v>
      </c>
      <c r="B151" s="63">
        <v>3456000</v>
      </c>
      <c r="C151" s="63">
        <v>3456000</v>
      </c>
      <c r="D151" s="63">
        <v>3456000</v>
      </c>
      <c r="E151" s="63">
        <v>3456000</v>
      </c>
      <c r="F151" s="63">
        <v>0</v>
      </c>
      <c r="G151" s="63">
        <v>0</v>
      </c>
      <c r="H151" s="63">
        <v>0</v>
      </c>
      <c r="I151" s="63">
        <v>0</v>
      </c>
      <c r="J151" s="63">
        <v>0</v>
      </c>
      <c r="K151" s="63">
        <v>0</v>
      </c>
      <c r="L151" s="63">
        <v>0</v>
      </c>
      <c r="M151" s="63">
        <v>0</v>
      </c>
      <c r="N151" s="63">
        <v>0</v>
      </c>
    </row>
    <row r="152" spans="1:14">
      <c r="A152" s="41">
        <f t="shared" si="3"/>
        <v>151</v>
      </c>
      <c r="B152" s="63">
        <v>2304000</v>
      </c>
      <c r="C152" s="63">
        <v>2304000</v>
      </c>
      <c r="D152" s="63">
        <v>2304000</v>
      </c>
      <c r="E152" s="63">
        <v>2580480</v>
      </c>
      <c r="F152" s="63">
        <v>2580480</v>
      </c>
      <c r="G152" s="63">
        <v>2580480</v>
      </c>
      <c r="H152" s="63">
        <v>2374040</v>
      </c>
      <c r="I152" s="63">
        <v>2658928</v>
      </c>
      <c r="J152" s="63">
        <v>2658928</v>
      </c>
      <c r="K152" s="63">
        <v>2658928</v>
      </c>
      <c r="L152" s="63">
        <v>0</v>
      </c>
      <c r="M152" s="63">
        <v>0</v>
      </c>
      <c r="N152" s="63">
        <v>0</v>
      </c>
    </row>
    <row r="153" spans="1:14">
      <c r="A153" s="41">
        <f t="shared" si="3"/>
        <v>152</v>
      </c>
      <c r="B153" s="63">
        <v>2857256</v>
      </c>
      <c r="C153" s="63">
        <v>3200128</v>
      </c>
      <c r="D153" s="63">
        <v>0</v>
      </c>
      <c r="E153" s="63">
        <v>0</v>
      </c>
      <c r="F153" s="63">
        <v>0</v>
      </c>
      <c r="G153" s="63">
        <v>0</v>
      </c>
      <c r="H153" s="63">
        <v>0</v>
      </c>
      <c r="I153" s="63">
        <v>0</v>
      </c>
      <c r="J153" s="63">
        <v>0</v>
      </c>
      <c r="K153" s="63">
        <v>0</v>
      </c>
      <c r="L153" s="63">
        <v>0</v>
      </c>
      <c r="M153" s="63">
        <v>0</v>
      </c>
      <c r="N153" s="63">
        <v>0</v>
      </c>
    </row>
    <row r="154" spans="1:14">
      <c r="A154" s="41">
        <f t="shared" si="3"/>
        <v>153</v>
      </c>
      <c r="B154" s="63">
        <v>2119680</v>
      </c>
      <c r="C154" s="63">
        <v>2119680</v>
      </c>
      <c r="D154" s="63">
        <v>2374040</v>
      </c>
      <c r="E154" s="63">
        <v>2374040</v>
      </c>
      <c r="F154" s="63">
        <v>2374040</v>
      </c>
      <c r="G154" s="63">
        <v>2374040</v>
      </c>
      <c r="H154" s="63">
        <v>2374040</v>
      </c>
      <c r="I154" s="63">
        <v>2184120</v>
      </c>
      <c r="J154" s="63">
        <v>2184120</v>
      </c>
      <c r="K154" s="63">
        <v>2184120</v>
      </c>
      <c r="L154" s="63">
        <v>2184120</v>
      </c>
      <c r="M154" s="63">
        <v>2184120</v>
      </c>
      <c r="N154" s="63">
        <v>2184120</v>
      </c>
    </row>
    <row r="155" spans="1:14">
      <c r="A155" s="41">
        <f t="shared" si="3"/>
        <v>154</v>
      </c>
      <c r="B155" s="63">
        <v>1223104</v>
      </c>
      <c r="C155" s="63">
        <v>1223104</v>
      </c>
      <c r="D155" s="63">
        <v>1223104</v>
      </c>
      <c r="E155" s="63">
        <v>1223104</v>
      </c>
      <c r="F155" s="63">
        <v>1223104</v>
      </c>
      <c r="G155" s="63">
        <v>1223104</v>
      </c>
      <c r="H155" s="63">
        <v>1223104</v>
      </c>
      <c r="I155" s="63">
        <v>1223104</v>
      </c>
      <c r="J155" s="63">
        <v>1223104</v>
      </c>
      <c r="K155" s="63">
        <v>1223104</v>
      </c>
      <c r="L155" s="63">
        <v>1125256</v>
      </c>
      <c r="M155" s="63">
        <v>1125256</v>
      </c>
      <c r="N155" s="63">
        <v>1125256</v>
      </c>
    </row>
    <row r="156" spans="1:14">
      <c r="A156" s="41">
        <f t="shared" si="3"/>
        <v>155</v>
      </c>
      <c r="B156" s="63">
        <v>3179520</v>
      </c>
      <c r="C156" s="63">
        <v>3179520</v>
      </c>
      <c r="D156" s="63">
        <v>3179520</v>
      </c>
      <c r="E156" s="63">
        <v>3179520</v>
      </c>
      <c r="F156" s="63">
        <v>3179520</v>
      </c>
      <c r="G156" s="63">
        <v>3179520</v>
      </c>
      <c r="H156" s="63">
        <v>3561064</v>
      </c>
      <c r="I156" s="63">
        <v>3561064</v>
      </c>
      <c r="J156" s="63">
        <v>3561064</v>
      </c>
      <c r="K156" s="63">
        <v>0</v>
      </c>
      <c r="L156" s="63">
        <v>0</v>
      </c>
      <c r="M156" s="63">
        <v>0</v>
      </c>
      <c r="N156" s="63">
        <v>0</v>
      </c>
    </row>
    <row r="157" spans="1:14">
      <c r="A157" s="41">
        <f t="shared" si="3"/>
        <v>156</v>
      </c>
      <c r="B157" s="63">
        <v>975056</v>
      </c>
      <c r="C157" s="63">
        <v>975056</v>
      </c>
      <c r="D157" s="63">
        <v>975056</v>
      </c>
      <c r="E157" s="63">
        <v>975056</v>
      </c>
      <c r="F157" s="63">
        <v>975056</v>
      </c>
      <c r="G157" s="63">
        <v>897048</v>
      </c>
      <c r="H157" s="63">
        <v>897048</v>
      </c>
      <c r="I157" s="63">
        <v>897048</v>
      </c>
      <c r="J157" s="63">
        <v>897048</v>
      </c>
      <c r="K157" s="63">
        <v>897048</v>
      </c>
      <c r="L157" s="63">
        <v>897048</v>
      </c>
      <c r="M157" s="63">
        <v>1004696</v>
      </c>
      <c r="N157" s="63">
        <v>1125256</v>
      </c>
    </row>
    <row r="158" spans="1:14">
      <c r="A158" s="41">
        <f t="shared" si="3"/>
        <v>157</v>
      </c>
      <c r="B158" s="63">
        <v>2580480</v>
      </c>
      <c r="C158" s="63">
        <v>2890136</v>
      </c>
      <c r="D158" s="63">
        <v>2890136</v>
      </c>
      <c r="E158" s="63">
        <v>2890136</v>
      </c>
      <c r="F158" s="63">
        <v>2890136</v>
      </c>
      <c r="G158" s="63">
        <v>3236952</v>
      </c>
      <c r="H158" s="63">
        <v>3236952</v>
      </c>
      <c r="I158" s="63">
        <v>3236952</v>
      </c>
      <c r="J158" s="63">
        <v>2978000</v>
      </c>
      <c r="K158" s="63">
        <v>2978000</v>
      </c>
      <c r="L158" s="63">
        <v>2978000</v>
      </c>
      <c r="M158" s="63">
        <v>2978000</v>
      </c>
      <c r="N158" s="63">
        <v>2978000</v>
      </c>
    </row>
    <row r="159" spans="1:14">
      <c r="A159" s="41">
        <f t="shared" si="3"/>
        <v>158</v>
      </c>
      <c r="B159" s="63">
        <v>1004696</v>
      </c>
      <c r="C159" s="63">
        <v>1125256</v>
      </c>
      <c r="D159" s="63">
        <v>1125256</v>
      </c>
      <c r="E159" s="63">
        <v>1125256</v>
      </c>
      <c r="F159" s="63">
        <v>1125256</v>
      </c>
      <c r="G159" s="63">
        <v>1035240</v>
      </c>
      <c r="H159" s="63">
        <v>1035240</v>
      </c>
      <c r="I159" s="63">
        <v>1035240</v>
      </c>
      <c r="J159" s="63">
        <v>1035240</v>
      </c>
      <c r="K159" s="63">
        <v>1035240</v>
      </c>
      <c r="L159" s="63">
        <v>1035240</v>
      </c>
      <c r="M159" s="63">
        <v>952416</v>
      </c>
      <c r="N159" s="63">
        <v>876224</v>
      </c>
    </row>
    <row r="160" spans="1:14">
      <c r="A160" s="41">
        <f t="shared" si="3"/>
        <v>159</v>
      </c>
      <c r="B160" s="63">
        <v>2304000</v>
      </c>
      <c r="C160" s="63">
        <v>2580480</v>
      </c>
      <c r="D160" s="63">
        <v>2580480</v>
      </c>
      <c r="E160" s="63">
        <v>2580480</v>
      </c>
      <c r="F160" s="63">
        <v>3236952</v>
      </c>
      <c r="G160" s="63">
        <v>3236952</v>
      </c>
      <c r="H160" s="63">
        <v>3236952</v>
      </c>
      <c r="I160" s="63">
        <v>2978000</v>
      </c>
      <c r="J160" s="63">
        <v>2978000</v>
      </c>
      <c r="K160" s="63">
        <v>2739760</v>
      </c>
      <c r="L160" s="63">
        <v>2739760</v>
      </c>
      <c r="M160" s="63">
        <v>2520576</v>
      </c>
      <c r="N160" s="63">
        <v>2520576</v>
      </c>
    </row>
    <row r="161" spans="1:14">
      <c r="A161" s="41">
        <f t="shared" si="3"/>
        <v>160</v>
      </c>
      <c r="B161" s="63">
        <v>3276176</v>
      </c>
      <c r="C161" s="63">
        <v>3276176</v>
      </c>
      <c r="D161" s="63">
        <v>3669320</v>
      </c>
      <c r="E161" s="63">
        <v>3375776</v>
      </c>
      <c r="F161" s="63">
        <v>3375776</v>
      </c>
      <c r="G161" s="63">
        <v>3375776</v>
      </c>
      <c r="H161" s="63">
        <v>3375776</v>
      </c>
      <c r="I161" s="63">
        <v>3375776</v>
      </c>
      <c r="J161" s="63">
        <v>3375776</v>
      </c>
      <c r="K161" s="63">
        <v>3375776</v>
      </c>
      <c r="L161" s="63">
        <v>3780864</v>
      </c>
      <c r="M161" s="63">
        <v>0</v>
      </c>
      <c r="N161" s="63">
        <v>0</v>
      </c>
    </row>
    <row r="162" spans="1:14">
      <c r="A162" s="41">
        <f t="shared" si="3"/>
        <v>161</v>
      </c>
      <c r="B162" s="63">
        <v>2580480</v>
      </c>
      <c r="C162" s="63">
        <v>2580480</v>
      </c>
      <c r="D162" s="63">
        <v>2580480</v>
      </c>
      <c r="E162" s="63">
        <v>2580480</v>
      </c>
      <c r="F162" s="63">
        <v>2580480</v>
      </c>
      <c r="G162" s="63">
        <v>2580480</v>
      </c>
      <c r="H162" s="63">
        <v>2580480</v>
      </c>
      <c r="I162" s="63">
        <v>2580480</v>
      </c>
      <c r="J162" s="63">
        <v>2890136</v>
      </c>
      <c r="K162" s="63">
        <v>2890136</v>
      </c>
      <c r="L162" s="63">
        <v>2890136</v>
      </c>
      <c r="M162" s="63">
        <v>2890136</v>
      </c>
      <c r="N162" s="63">
        <v>2890136</v>
      </c>
    </row>
    <row r="163" spans="1:14">
      <c r="A163" s="41">
        <f t="shared" si="3"/>
        <v>162</v>
      </c>
      <c r="B163" s="63">
        <v>3456000</v>
      </c>
      <c r="C163" s="63">
        <v>3870720</v>
      </c>
      <c r="D163" s="63">
        <v>3870720</v>
      </c>
      <c r="E163" s="63">
        <v>3870720</v>
      </c>
      <c r="F163" s="63">
        <v>0</v>
      </c>
      <c r="G163" s="63">
        <v>0</v>
      </c>
      <c r="H163" s="63">
        <v>0</v>
      </c>
      <c r="I163" s="63">
        <v>0</v>
      </c>
      <c r="J163" s="63">
        <v>0</v>
      </c>
      <c r="K163" s="63">
        <v>0</v>
      </c>
      <c r="L163" s="63">
        <v>0</v>
      </c>
      <c r="M163" s="63">
        <v>0</v>
      </c>
      <c r="N163" s="63">
        <v>0</v>
      </c>
    </row>
    <row r="164" spans="1:14">
      <c r="A164" s="41">
        <f t="shared" si="3"/>
        <v>163</v>
      </c>
      <c r="B164" s="63">
        <v>2304000</v>
      </c>
      <c r="C164" s="63">
        <v>2580480</v>
      </c>
      <c r="D164" s="63">
        <v>2580480</v>
      </c>
      <c r="E164" s="63">
        <v>2580480</v>
      </c>
      <c r="F164" s="63">
        <v>2580480</v>
      </c>
      <c r="G164" s="63">
        <v>2374040</v>
      </c>
      <c r="H164" s="63">
        <v>2374040</v>
      </c>
      <c r="I164" s="63">
        <v>2184120</v>
      </c>
      <c r="J164" s="63">
        <v>2184120</v>
      </c>
      <c r="K164" s="63">
        <v>0</v>
      </c>
      <c r="L164" s="63">
        <v>0</v>
      </c>
      <c r="M164" s="63">
        <v>0</v>
      </c>
      <c r="N164" s="63">
        <v>0</v>
      </c>
    </row>
    <row r="165" spans="1:14">
      <c r="A165" s="41">
        <f t="shared" si="3"/>
        <v>164</v>
      </c>
      <c r="B165" s="63">
        <v>1059840</v>
      </c>
      <c r="C165" s="63">
        <v>1329464</v>
      </c>
      <c r="D165" s="63">
        <v>1329464</v>
      </c>
      <c r="E165" s="63">
        <v>1223104</v>
      </c>
      <c r="F165" s="63">
        <v>1223104</v>
      </c>
      <c r="G165" s="63">
        <v>1223104</v>
      </c>
      <c r="H165" s="63">
        <v>1223104</v>
      </c>
      <c r="I165" s="63">
        <v>1125256</v>
      </c>
      <c r="J165" s="63">
        <v>0</v>
      </c>
      <c r="K165" s="63">
        <v>0</v>
      </c>
      <c r="L165" s="63">
        <v>0</v>
      </c>
      <c r="M165" s="63">
        <v>0</v>
      </c>
      <c r="N165" s="63">
        <v>0</v>
      </c>
    </row>
    <row r="166" spans="1:14">
      <c r="A166" s="41">
        <f t="shared" si="3"/>
        <v>165</v>
      </c>
      <c r="B166" s="63">
        <v>2119680</v>
      </c>
      <c r="C166" s="63">
        <v>2119680</v>
      </c>
      <c r="D166" s="63">
        <v>2119680</v>
      </c>
      <c r="E166" s="63">
        <v>2119680</v>
      </c>
      <c r="F166" s="63">
        <v>2374040</v>
      </c>
      <c r="G166" s="63">
        <v>2374040</v>
      </c>
      <c r="H166" s="63">
        <v>2184120</v>
      </c>
      <c r="I166" s="63">
        <v>2184120</v>
      </c>
      <c r="J166" s="63">
        <v>2446216</v>
      </c>
      <c r="K166" s="63">
        <v>2446216</v>
      </c>
      <c r="L166" s="63">
        <v>3068528</v>
      </c>
      <c r="M166" s="63">
        <v>2823048</v>
      </c>
      <c r="N166" s="63">
        <v>2823048</v>
      </c>
    </row>
    <row r="167" spans="1:14">
      <c r="A167" s="41">
        <f t="shared" si="3"/>
        <v>166</v>
      </c>
      <c r="B167" s="63">
        <v>1290240</v>
      </c>
      <c r="C167" s="63">
        <v>1290240</v>
      </c>
      <c r="D167" s="63">
        <v>1290240</v>
      </c>
      <c r="E167" s="63">
        <v>1445072</v>
      </c>
      <c r="F167" s="63">
        <v>1618480</v>
      </c>
      <c r="G167" s="63">
        <v>1812696</v>
      </c>
      <c r="H167" s="63">
        <v>1812696</v>
      </c>
      <c r="I167" s="63">
        <v>2030216</v>
      </c>
      <c r="J167" s="63">
        <v>2030216</v>
      </c>
      <c r="K167" s="63">
        <v>2030216</v>
      </c>
      <c r="L167" s="63">
        <v>2030216</v>
      </c>
      <c r="M167" s="63">
        <v>2030216</v>
      </c>
      <c r="N167" s="63">
        <v>2030216</v>
      </c>
    </row>
    <row r="168" spans="1:14">
      <c r="A168" s="41">
        <f t="shared" si="3"/>
        <v>167</v>
      </c>
      <c r="B168" s="63">
        <v>1152000</v>
      </c>
      <c r="C168" s="63">
        <v>1059840</v>
      </c>
      <c r="D168" s="63">
        <v>1059840</v>
      </c>
      <c r="E168" s="63">
        <v>1092056</v>
      </c>
      <c r="F168" s="63">
        <v>1092056</v>
      </c>
      <c r="G168" s="63">
        <v>1092056</v>
      </c>
      <c r="H168" s="63">
        <v>1092056</v>
      </c>
      <c r="I168" s="63">
        <v>0</v>
      </c>
      <c r="J168" s="63">
        <v>0</v>
      </c>
      <c r="K168" s="63">
        <v>0</v>
      </c>
      <c r="L168" s="63">
        <v>0</v>
      </c>
      <c r="M168" s="63">
        <v>0</v>
      </c>
      <c r="N168" s="63">
        <v>0</v>
      </c>
    </row>
    <row r="169" spans="1:14">
      <c r="A169" s="41">
        <f t="shared" si="3"/>
        <v>168</v>
      </c>
      <c r="B169" s="63">
        <v>975056</v>
      </c>
      <c r="C169" s="63">
        <v>975056</v>
      </c>
      <c r="D169" s="63">
        <v>897048</v>
      </c>
      <c r="E169" s="63">
        <v>897048</v>
      </c>
      <c r="F169" s="63">
        <v>897048</v>
      </c>
      <c r="G169" s="63">
        <v>1004696</v>
      </c>
      <c r="H169" s="63">
        <v>1125256</v>
      </c>
      <c r="I169" s="63">
        <v>1125256</v>
      </c>
      <c r="J169" s="63">
        <v>1035240</v>
      </c>
      <c r="K169" s="63">
        <v>1035240</v>
      </c>
      <c r="L169" s="63">
        <v>1035240</v>
      </c>
      <c r="M169" s="63">
        <v>1035240</v>
      </c>
      <c r="N169" s="63">
        <v>1035240</v>
      </c>
    </row>
    <row r="170" spans="1:14">
      <c r="A170" s="41">
        <f t="shared" si="3"/>
        <v>169</v>
      </c>
      <c r="B170" s="63">
        <v>2184120</v>
      </c>
      <c r="C170" s="63">
        <v>2184120</v>
      </c>
      <c r="D170" s="63">
        <v>2184120</v>
      </c>
      <c r="E170" s="63">
        <v>2446216</v>
      </c>
      <c r="F170" s="63">
        <v>2446216</v>
      </c>
      <c r="G170" s="63">
        <v>2446216</v>
      </c>
      <c r="H170" s="63">
        <v>2739760</v>
      </c>
      <c r="I170" s="63">
        <v>2520576</v>
      </c>
      <c r="J170" s="63">
        <v>2520576</v>
      </c>
      <c r="K170" s="63">
        <v>2823048</v>
      </c>
      <c r="L170" s="63">
        <v>3161816</v>
      </c>
      <c r="M170" s="63">
        <v>3161816</v>
      </c>
      <c r="N170" s="63">
        <v>3161816</v>
      </c>
    </row>
    <row r="171" spans="1:14">
      <c r="A171" s="41">
        <f t="shared" si="3"/>
        <v>170</v>
      </c>
      <c r="B171" s="63">
        <v>3276176</v>
      </c>
      <c r="C171" s="63">
        <v>3276176</v>
      </c>
      <c r="D171" s="63">
        <v>3669320</v>
      </c>
      <c r="E171" s="63">
        <v>3669320</v>
      </c>
      <c r="F171" s="63">
        <v>3669320</v>
      </c>
      <c r="G171" s="63">
        <v>0</v>
      </c>
      <c r="H171" s="63">
        <v>0</v>
      </c>
      <c r="I171" s="63">
        <v>0</v>
      </c>
      <c r="J171" s="63">
        <v>0</v>
      </c>
      <c r="K171" s="63">
        <v>0</v>
      </c>
      <c r="L171" s="63">
        <v>0</v>
      </c>
      <c r="M171" s="63">
        <v>0</v>
      </c>
      <c r="N171" s="63">
        <v>0</v>
      </c>
    </row>
    <row r="172" spans="1:14">
      <c r="A172" s="41">
        <f t="shared" si="3"/>
        <v>171</v>
      </c>
      <c r="B172" s="63">
        <v>1290240</v>
      </c>
      <c r="C172" s="63">
        <v>1290240</v>
      </c>
      <c r="D172" s="63">
        <v>1445072</v>
      </c>
      <c r="E172" s="63">
        <v>1329464</v>
      </c>
      <c r="F172" s="63">
        <v>1329464</v>
      </c>
      <c r="G172" s="63">
        <v>1329464</v>
      </c>
      <c r="H172" s="63">
        <v>1329464</v>
      </c>
      <c r="I172" s="63">
        <v>1329464</v>
      </c>
      <c r="J172" s="63">
        <v>1329464</v>
      </c>
      <c r="K172" s="63">
        <v>1329464</v>
      </c>
      <c r="L172" s="63">
        <v>1489000</v>
      </c>
      <c r="M172" s="63">
        <v>1489000</v>
      </c>
      <c r="N172" s="63">
        <v>1667680</v>
      </c>
    </row>
    <row r="173" spans="1:14">
      <c r="A173" s="41">
        <f t="shared" si="3"/>
        <v>172</v>
      </c>
      <c r="B173" s="63">
        <v>3456000</v>
      </c>
      <c r="C173" s="63">
        <v>3456000</v>
      </c>
      <c r="D173" s="63">
        <v>3179520</v>
      </c>
      <c r="E173" s="63">
        <v>3179520</v>
      </c>
      <c r="F173" s="63">
        <v>2925160</v>
      </c>
      <c r="G173" s="63">
        <v>3276176</v>
      </c>
      <c r="H173" s="63">
        <v>3375776</v>
      </c>
      <c r="I173" s="63">
        <v>3780864</v>
      </c>
      <c r="J173" s="63">
        <v>3780864</v>
      </c>
      <c r="K173" s="63">
        <v>3780864</v>
      </c>
      <c r="L173" s="63">
        <v>3780864</v>
      </c>
      <c r="M173" s="63">
        <v>3780864</v>
      </c>
      <c r="N173" s="63">
        <v>3780864</v>
      </c>
    </row>
    <row r="174" spans="1:14">
      <c r="A174" s="41">
        <f t="shared" si="3"/>
        <v>173</v>
      </c>
      <c r="B174" s="63">
        <v>2250512</v>
      </c>
      <c r="C174" s="63">
        <v>2250512</v>
      </c>
      <c r="D174" s="63">
        <v>2250512</v>
      </c>
      <c r="E174" s="63">
        <v>2250512</v>
      </c>
      <c r="F174" s="63">
        <v>2250512</v>
      </c>
      <c r="G174" s="63">
        <v>2250512</v>
      </c>
      <c r="H174" s="63">
        <v>2250512</v>
      </c>
      <c r="I174" s="63">
        <v>2250512</v>
      </c>
      <c r="J174" s="63">
        <v>2070472</v>
      </c>
      <c r="K174" s="63">
        <v>2318928</v>
      </c>
      <c r="L174" s="63">
        <v>2318928</v>
      </c>
      <c r="M174" s="63">
        <v>2318928</v>
      </c>
      <c r="N174" s="63">
        <v>2318928</v>
      </c>
    </row>
    <row r="175" spans="1:14">
      <c r="A175" s="41">
        <f t="shared" si="3"/>
        <v>174</v>
      </c>
      <c r="B175" s="63">
        <v>3870720</v>
      </c>
      <c r="C175" s="63">
        <v>3870720</v>
      </c>
      <c r="D175" s="63">
        <v>3870720</v>
      </c>
      <c r="E175" s="63">
        <v>3870720</v>
      </c>
      <c r="F175" s="63">
        <v>4335208</v>
      </c>
      <c r="G175" s="63">
        <v>4335208</v>
      </c>
      <c r="H175" s="63">
        <v>3988392</v>
      </c>
      <c r="I175" s="63">
        <v>4467000</v>
      </c>
      <c r="J175" s="63">
        <v>4467000</v>
      </c>
      <c r="K175" s="63">
        <v>4467000</v>
      </c>
      <c r="L175" s="63">
        <v>4467000</v>
      </c>
      <c r="M175" s="63">
        <v>4467000</v>
      </c>
      <c r="N175" s="63">
        <v>4467000</v>
      </c>
    </row>
    <row r="176" spans="1:14">
      <c r="A176" s="41">
        <f t="shared" si="3"/>
        <v>175</v>
      </c>
      <c r="B176" s="63">
        <v>1329464</v>
      </c>
      <c r="C176" s="63">
        <v>1329464</v>
      </c>
      <c r="D176" s="63">
        <v>1329464</v>
      </c>
      <c r="E176" s="63">
        <v>1329464</v>
      </c>
      <c r="F176" s="63">
        <v>1329464</v>
      </c>
      <c r="G176" s="63">
        <v>1329464</v>
      </c>
      <c r="H176" s="63">
        <v>1329464</v>
      </c>
      <c r="I176" s="63">
        <v>1329464</v>
      </c>
      <c r="J176" s="63">
        <v>1489000</v>
      </c>
      <c r="K176" s="63">
        <v>1489000</v>
      </c>
      <c r="L176" s="63">
        <v>1489000</v>
      </c>
      <c r="M176" s="63">
        <v>1489000</v>
      </c>
      <c r="N176" s="63">
        <v>1489000</v>
      </c>
    </row>
    <row r="177" spans="1:14">
      <c r="A177" s="41">
        <f t="shared" si="3"/>
        <v>176</v>
      </c>
      <c r="B177" s="63">
        <v>3456000</v>
      </c>
      <c r="C177" s="63">
        <v>3179520</v>
      </c>
      <c r="D177" s="63">
        <v>3179520</v>
      </c>
      <c r="E177" s="63">
        <v>3179520</v>
      </c>
      <c r="F177" s="63">
        <v>3561064</v>
      </c>
      <c r="G177" s="63">
        <v>3988392</v>
      </c>
      <c r="H177" s="63">
        <v>3988392</v>
      </c>
      <c r="I177" s="63">
        <v>3988392</v>
      </c>
      <c r="J177" s="63">
        <v>4467000</v>
      </c>
      <c r="K177" s="63">
        <v>0</v>
      </c>
      <c r="L177" s="63">
        <v>0</v>
      </c>
      <c r="M177" s="63">
        <v>0</v>
      </c>
      <c r="N177" s="63">
        <v>0</v>
      </c>
    </row>
    <row r="178" spans="1:14">
      <c r="A178" s="41">
        <f t="shared" si="3"/>
        <v>177</v>
      </c>
      <c r="B178" s="63">
        <v>2374040</v>
      </c>
      <c r="C178" s="63">
        <v>2374040</v>
      </c>
      <c r="D178" s="63">
        <v>2374040</v>
      </c>
      <c r="E178" s="63">
        <v>2374040</v>
      </c>
      <c r="F178" s="63">
        <v>2374040</v>
      </c>
      <c r="G178" s="63">
        <v>2374040</v>
      </c>
      <c r="H178" s="63">
        <v>2658928</v>
      </c>
      <c r="I178" s="63">
        <v>2978000</v>
      </c>
      <c r="J178" s="63">
        <v>2978000</v>
      </c>
      <c r="K178" s="63">
        <v>2978000</v>
      </c>
      <c r="L178" s="63">
        <v>2978000</v>
      </c>
      <c r="M178" s="63">
        <v>2978000</v>
      </c>
      <c r="N178" s="63">
        <v>2978000</v>
      </c>
    </row>
    <row r="179" spans="1:14">
      <c r="A179" s="41">
        <f t="shared" si="3"/>
        <v>178</v>
      </c>
      <c r="B179" s="63">
        <v>2890136</v>
      </c>
      <c r="C179" s="63">
        <v>2890136</v>
      </c>
      <c r="D179" s="63">
        <v>2890136</v>
      </c>
      <c r="E179" s="63">
        <v>2890136</v>
      </c>
      <c r="F179" s="63">
        <v>2890136</v>
      </c>
      <c r="G179" s="63">
        <v>2890136</v>
      </c>
      <c r="H179" s="63">
        <v>2658928</v>
      </c>
      <c r="I179" s="63">
        <v>2658928</v>
      </c>
      <c r="J179" s="63">
        <v>2658928</v>
      </c>
      <c r="K179" s="63">
        <v>2658928</v>
      </c>
      <c r="L179" s="63">
        <v>2658928</v>
      </c>
      <c r="M179" s="63">
        <v>2658928</v>
      </c>
      <c r="N179" s="63">
        <v>2658928</v>
      </c>
    </row>
    <row r="180" spans="1:14">
      <c r="A180" s="41">
        <f t="shared" si="3"/>
        <v>179</v>
      </c>
      <c r="B180" s="63">
        <v>2374040</v>
      </c>
      <c r="C180" s="63">
        <v>2374040</v>
      </c>
      <c r="D180" s="63">
        <v>2184120</v>
      </c>
      <c r="E180" s="63">
        <v>2184120</v>
      </c>
      <c r="F180" s="63">
        <v>2009392</v>
      </c>
      <c r="G180" s="63">
        <v>2009392</v>
      </c>
      <c r="H180" s="63">
        <v>2009392</v>
      </c>
      <c r="I180" s="63">
        <v>2009392</v>
      </c>
      <c r="J180" s="63">
        <v>1848640</v>
      </c>
      <c r="K180" s="63">
        <v>1848640</v>
      </c>
      <c r="L180" s="63">
        <v>1848640</v>
      </c>
      <c r="M180" s="63">
        <v>1848640</v>
      </c>
      <c r="N180" s="63">
        <v>1848640</v>
      </c>
    </row>
    <row r="181" spans="1:14">
      <c r="A181" s="41">
        <f t="shared" si="3"/>
        <v>180</v>
      </c>
      <c r="B181" s="63">
        <v>2374040</v>
      </c>
      <c r="C181" s="63">
        <v>2374040</v>
      </c>
      <c r="D181" s="63">
        <v>2374040</v>
      </c>
      <c r="E181" s="63">
        <v>2374040</v>
      </c>
      <c r="F181" s="63">
        <v>2374040</v>
      </c>
      <c r="G181" s="63">
        <v>2658928</v>
      </c>
      <c r="H181" s="63">
        <v>2978000</v>
      </c>
      <c r="I181" s="63">
        <v>2978000</v>
      </c>
      <c r="J181" s="63">
        <v>2978000</v>
      </c>
      <c r="K181" s="63">
        <v>2978000</v>
      </c>
      <c r="L181" s="63">
        <v>0</v>
      </c>
      <c r="M181" s="63">
        <v>0</v>
      </c>
      <c r="N181" s="63">
        <v>0</v>
      </c>
    </row>
    <row r="182" spans="1:14">
      <c r="A182" s="41">
        <f t="shared" si="3"/>
        <v>181</v>
      </c>
      <c r="B182" s="63">
        <v>1152000</v>
      </c>
      <c r="C182" s="63">
        <v>1152000</v>
      </c>
      <c r="D182" s="63">
        <v>1152000</v>
      </c>
      <c r="E182" s="63">
        <v>1152000</v>
      </c>
      <c r="F182" s="63">
        <v>1152000</v>
      </c>
      <c r="G182" s="63">
        <v>1152000</v>
      </c>
      <c r="H182" s="63">
        <v>1152000</v>
      </c>
      <c r="I182" s="63">
        <v>1059840</v>
      </c>
      <c r="J182" s="63">
        <v>1187024</v>
      </c>
      <c r="K182" s="63">
        <v>1187024</v>
      </c>
      <c r="L182" s="63">
        <v>1329464</v>
      </c>
      <c r="M182" s="63">
        <v>1223104</v>
      </c>
      <c r="N182" s="63">
        <v>1223104</v>
      </c>
    </row>
    <row r="183" spans="1:14">
      <c r="A183" s="41">
        <f t="shared" si="3"/>
        <v>182</v>
      </c>
      <c r="B183" s="63">
        <v>3335360</v>
      </c>
      <c r="C183" s="63">
        <v>3735600</v>
      </c>
      <c r="D183" s="63">
        <v>3161816</v>
      </c>
      <c r="E183" s="63">
        <v>2908864</v>
      </c>
      <c r="F183" s="63">
        <v>2676160</v>
      </c>
      <c r="G183" s="63">
        <v>2676160</v>
      </c>
      <c r="H183" s="63">
        <v>2997296</v>
      </c>
      <c r="I183" s="63">
        <v>2997296</v>
      </c>
      <c r="J183" s="63">
        <v>3356976</v>
      </c>
      <c r="K183" s="63">
        <v>3759808</v>
      </c>
      <c r="L183" s="63">
        <v>3759808</v>
      </c>
      <c r="M183" s="63">
        <v>3759808</v>
      </c>
      <c r="N183" s="63">
        <v>3759808</v>
      </c>
    </row>
    <row r="184" spans="1:14">
      <c r="A184" s="41">
        <f t="shared" si="3"/>
        <v>183</v>
      </c>
      <c r="B184" s="63">
        <v>2925160</v>
      </c>
      <c r="C184" s="63">
        <v>2925160</v>
      </c>
      <c r="D184" s="63">
        <v>2925160</v>
      </c>
      <c r="E184" s="63">
        <v>2925160</v>
      </c>
      <c r="F184" s="63">
        <v>2925160</v>
      </c>
      <c r="G184" s="63">
        <v>2925160</v>
      </c>
      <c r="H184" s="63">
        <v>2925160</v>
      </c>
      <c r="I184" s="63">
        <v>2475856</v>
      </c>
      <c r="J184" s="63">
        <v>2475856</v>
      </c>
      <c r="K184" s="63">
        <v>2475856</v>
      </c>
      <c r="L184" s="63">
        <v>2475856</v>
      </c>
      <c r="M184" s="63">
        <v>2475856</v>
      </c>
      <c r="N184" s="63">
        <v>2475856</v>
      </c>
    </row>
    <row r="185" spans="1:14">
      <c r="A185" s="41">
        <f t="shared" si="3"/>
        <v>184</v>
      </c>
      <c r="B185" s="63">
        <v>4335208</v>
      </c>
      <c r="C185" s="63">
        <v>4335208</v>
      </c>
      <c r="D185" s="63">
        <v>4855432</v>
      </c>
      <c r="E185" s="63">
        <v>4467000</v>
      </c>
      <c r="F185" s="63">
        <v>4467000</v>
      </c>
      <c r="G185" s="63">
        <v>4467000</v>
      </c>
      <c r="H185" s="63">
        <v>4467000</v>
      </c>
      <c r="I185" s="63">
        <v>4467000</v>
      </c>
      <c r="J185" s="63">
        <v>0</v>
      </c>
      <c r="K185" s="63">
        <v>0</v>
      </c>
      <c r="L185" s="63">
        <v>0</v>
      </c>
      <c r="M185" s="63">
        <v>0</v>
      </c>
      <c r="N185" s="63">
        <v>0</v>
      </c>
    </row>
    <row r="186" spans="1:14">
      <c r="A186" s="41">
        <f t="shared" si="3"/>
        <v>185</v>
      </c>
      <c r="B186" s="63">
        <v>1223104</v>
      </c>
      <c r="C186" s="63">
        <v>1369880</v>
      </c>
      <c r="D186" s="63">
        <v>1369880</v>
      </c>
      <c r="E186" s="63">
        <v>1369880</v>
      </c>
      <c r="F186" s="63">
        <v>1369880</v>
      </c>
      <c r="G186" s="63">
        <v>1369880</v>
      </c>
      <c r="H186" s="63">
        <v>1369880</v>
      </c>
      <c r="I186" s="63">
        <v>1534264</v>
      </c>
      <c r="J186" s="63">
        <v>1770616</v>
      </c>
      <c r="K186" s="63">
        <v>1628968</v>
      </c>
      <c r="L186" s="63">
        <v>1628968</v>
      </c>
      <c r="M186" s="63">
        <v>1628968</v>
      </c>
      <c r="N186" s="63">
        <v>1498648</v>
      </c>
    </row>
    <row r="187" spans="1:14">
      <c r="A187" s="41">
        <f t="shared" si="3"/>
        <v>186</v>
      </c>
      <c r="B187" s="63">
        <v>0</v>
      </c>
      <c r="C187" s="63">
        <v>2304000</v>
      </c>
      <c r="D187" s="63">
        <v>2304000</v>
      </c>
      <c r="E187" s="63">
        <v>2304000</v>
      </c>
      <c r="F187" s="63">
        <v>2304000</v>
      </c>
      <c r="G187" s="63">
        <v>2304000</v>
      </c>
      <c r="H187" s="63">
        <v>2119680</v>
      </c>
      <c r="I187" s="63">
        <v>2119680</v>
      </c>
      <c r="J187" s="63">
        <v>1950104</v>
      </c>
      <c r="K187" s="63">
        <v>2184120</v>
      </c>
      <c r="L187" s="63">
        <v>2009392</v>
      </c>
      <c r="M187" s="63">
        <v>2009392</v>
      </c>
      <c r="N187" s="63">
        <v>2009392</v>
      </c>
    </row>
    <row r="188" spans="1:14">
      <c r="A188" s="41">
        <f t="shared" si="3"/>
        <v>187</v>
      </c>
      <c r="B188" s="63">
        <v>2304000</v>
      </c>
      <c r="C188" s="63">
        <v>2304000</v>
      </c>
      <c r="D188" s="63">
        <v>2119680</v>
      </c>
      <c r="E188" s="63">
        <v>2119680</v>
      </c>
      <c r="F188" s="63">
        <v>2119680</v>
      </c>
      <c r="G188" s="63">
        <v>2374040</v>
      </c>
      <c r="H188" s="63">
        <v>2374040</v>
      </c>
      <c r="I188" s="63">
        <v>2374040</v>
      </c>
      <c r="J188" s="63">
        <v>2374040</v>
      </c>
      <c r="K188" s="63">
        <v>2658928</v>
      </c>
      <c r="L188" s="63">
        <v>2978000</v>
      </c>
      <c r="M188" s="63">
        <v>2978000</v>
      </c>
      <c r="N188" s="63">
        <v>2978000</v>
      </c>
    </row>
    <row r="189" spans="1:14">
      <c r="A189" s="41">
        <f t="shared" si="3"/>
        <v>188</v>
      </c>
      <c r="B189" s="63">
        <v>2374040</v>
      </c>
      <c r="C189" s="63">
        <v>2184120</v>
      </c>
      <c r="D189" s="63">
        <v>2184120</v>
      </c>
      <c r="E189" s="63">
        <v>2184120</v>
      </c>
      <c r="F189" s="63">
        <v>2184120</v>
      </c>
      <c r="G189" s="63">
        <v>2184120</v>
      </c>
      <c r="H189" s="63">
        <v>2446216</v>
      </c>
      <c r="I189" s="63">
        <v>2446216</v>
      </c>
      <c r="J189" s="63">
        <v>2446216</v>
      </c>
      <c r="K189" s="63">
        <v>2446216</v>
      </c>
      <c r="L189" s="63">
        <v>2446216</v>
      </c>
      <c r="M189" s="63">
        <v>2446216</v>
      </c>
      <c r="N189" s="63">
        <v>2739760</v>
      </c>
    </row>
    <row r="190" spans="1:14">
      <c r="A190" s="41">
        <f t="shared" si="3"/>
        <v>189</v>
      </c>
      <c r="B190" s="63">
        <v>3561064</v>
      </c>
      <c r="C190" s="63">
        <v>3561064</v>
      </c>
      <c r="D190" s="63">
        <v>3276176</v>
      </c>
      <c r="E190" s="63">
        <v>3276176</v>
      </c>
      <c r="F190" s="63">
        <v>3276176</v>
      </c>
      <c r="G190" s="63">
        <v>3276176</v>
      </c>
      <c r="H190" s="63">
        <v>3669320</v>
      </c>
      <c r="I190" s="63">
        <v>3669320</v>
      </c>
      <c r="J190" s="63">
        <v>3669320</v>
      </c>
      <c r="K190" s="63">
        <v>3375776</v>
      </c>
      <c r="L190" s="63">
        <v>3375776</v>
      </c>
      <c r="M190" s="63">
        <v>3375776</v>
      </c>
      <c r="N190" s="63">
        <v>3105712</v>
      </c>
    </row>
    <row r="191" spans="1:14">
      <c r="A191" s="41">
        <f t="shared" si="3"/>
        <v>190</v>
      </c>
      <c r="B191" s="63">
        <v>1290240</v>
      </c>
      <c r="C191" s="63">
        <v>1290240</v>
      </c>
      <c r="D191" s="63">
        <v>0</v>
      </c>
      <c r="E191" s="63">
        <v>0</v>
      </c>
      <c r="F191" s="63">
        <v>0</v>
      </c>
      <c r="G191" s="63">
        <v>0</v>
      </c>
      <c r="H191" s="63">
        <v>0</v>
      </c>
      <c r="I191" s="63">
        <v>0</v>
      </c>
      <c r="J191" s="63">
        <v>0</v>
      </c>
      <c r="K191" s="63">
        <v>0</v>
      </c>
      <c r="L191" s="63">
        <v>0</v>
      </c>
      <c r="M191" s="63">
        <v>0</v>
      </c>
      <c r="N191" s="63">
        <v>0</v>
      </c>
    </row>
    <row r="192" spans="1:14">
      <c r="A192" s="41">
        <f t="shared" si="3"/>
        <v>191</v>
      </c>
      <c r="B192" s="63">
        <v>2009392</v>
      </c>
      <c r="C192" s="63">
        <v>2009392</v>
      </c>
      <c r="D192" s="63">
        <v>2009392</v>
      </c>
      <c r="E192" s="63">
        <v>2009392</v>
      </c>
      <c r="F192" s="63">
        <v>2009392</v>
      </c>
      <c r="G192" s="63">
        <v>1848640</v>
      </c>
      <c r="H192" s="63">
        <v>1848640</v>
      </c>
      <c r="I192" s="63">
        <v>1848640</v>
      </c>
      <c r="J192" s="63">
        <v>1848640</v>
      </c>
      <c r="K192" s="63">
        <v>2070472</v>
      </c>
      <c r="L192" s="63">
        <v>2070472</v>
      </c>
      <c r="M192" s="63">
        <v>1904840</v>
      </c>
      <c r="N192" s="63">
        <v>1904840</v>
      </c>
    </row>
    <row r="193" spans="1:14">
      <c r="A193" s="41">
        <f t="shared" si="3"/>
        <v>192</v>
      </c>
      <c r="B193" s="63">
        <v>1059840</v>
      </c>
      <c r="C193" s="63">
        <v>975056</v>
      </c>
      <c r="D193" s="63">
        <v>1092056</v>
      </c>
      <c r="E193" s="63">
        <v>1092056</v>
      </c>
      <c r="F193" s="63">
        <v>1223104</v>
      </c>
      <c r="G193" s="63">
        <v>1125256</v>
      </c>
      <c r="H193" s="63">
        <v>1035240</v>
      </c>
      <c r="I193" s="63">
        <v>1035240</v>
      </c>
      <c r="J193" s="63">
        <v>952416</v>
      </c>
      <c r="K193" s="63">
        <v>876224</v>
      </c>
      <c r="L193" s="63">
        <v>981368</v>
      </c>
      <c r="M193" s="63">
        <v>981368</v>
      </c>
      <c r="N193" s="63">
        <v>981368</v>
      </c>
    </row>
    <row r="194" spans="1:14">
      <c r="A194" s="41">
        <f t="shared" si="3"/>
        <v>193</v>
      </c>
      <c r="B194" s="63">
        <v>3456000</v>
      </c>
      <c r="C194" s="63">
        <v>3456000</v>
      </c>
      <c r="D194" s="63">
        <v>3870720</v>
      </c>
      <c r="E194" s="63">
        <v>3870720</v>
      </c>
      <c r="F194" s="63">
        <v>3870720</v>
      </c>
      <c r="G194" s="63">
        <v>3870720</v>
      </c>
      <c r="H194" s="63">
        <v>3870720</v>
      </c>
      <c r="I194" s="63">
        <v>3870720</v>
      </c>
      <c r="J194" s="63">
        <v>3870720</v>
      </c>
      <c r="K194" s="63">
        <v>3870720</v>
      </c>
      <c r="L194" s="63">
        <v>3870720</v>
      </c>
      <c r="M194" s="63">
        <v>3870720</v>
      </c>
      <c r="N194" s="63">
        <v>3870720</v>
      </c>
    </row>
    <row r="195" spans="1:14">
      <c r="A195" s="41">
        <f t="shared" si="3"/>
        <v>194</v>
      </c>
      <c r="B195" s="63">
        <v>0</v>
      </c>
      <c r="C195" s="63">
        <v>3870720</v>
      </c>
      <c r="D195" s="63">
        <v>3870720</v>
      </c>
      <c r="E195" s="63">
        <v>3870720</v>
      </c>
      <c r="F195" s="63">
        <v>3870720</v>
      </c>
      <c r="G195" s="63">
        <v>3870720</v>
      </c>
      <c r="H195" s="63">
        <v>3870720</v>
      </c>
      <c r="I195" s="63">
        <v>3870720</v>
      </c>
      <c r="J195" s="63">
        <v>3561064</v>
      </c>
      <c r="K195" s="63">
        <v>3561064</v>
      </c>
      <c r="L195" s="63">
        <v>3988392</v>
      </c>
      <c r="M195" s="63">
        <v>3988392</v>
      </c>
      <c r="N195" s="63">
        <v>3669320</v>
      </c>
    </row>
    <row r="196" spans="1:14">
      <c r="A196" s="41">
        <f t="shared" si="3"/>
        <v>195</v>
      </c>
      <c r="B196" s="63">
        <v>2925160</v>
      </c>
      <c r="C196" s="63">
        <v>2925160</v>
      </c>
      <c r="D196" s="63">
        <v>2925160</v>
      </c>
      <c r="E196" s="63">
        <v>2925160</v>
      </c>
      <c r="F196" s="63">
        <v>2691144</v>
      </c>
      <c r="G196" s="63">
        <v>3014080</v>
      </c>
      <c r="H196" s="63">
        <v>3014080</v>
      </c>
      <c r="I196" s="63">
        <v>3014080</v>
      </c>
      <c r="J196" s="63">
        <v>3014080</v>
      </c>
      <c r="K196" s="63">
        <v>3375776</v>
      </c>
      <c r="L196" s="63">
        <v>3375776</v>
      </c>
      <c r="M196" s="63">
        <v>3105712</v>
      </c>
      <c r="N196" s="63">
        <v>3105712</v>
      </c>
    </row>
    <row r="197" spans="1:14">
      <c r="A197" s="41">
        <f t="shared" si="3"/>
        <v>196</v>
      </c>
      <c r="B197" s="63">
        <v>1489000</v>
      </c>
      <c r="C197" s="63">
        <v>1489000</v>
      </c>
      <c r="D197" s="63">
        <v>1489000</v>
      </c>
      <c r="E197" s="63">
        <v>1489000</v>
      </c>
      <c r="F197" s="63">
        <v>1489000</v>
      </c>
      <c r="G197" s="63">
        <v>1489000</v>
      </c>
      <c r="H197" s="63">
        <v>0</v>
      </c>
      <c r="I197" s="63">
        <v>0</v>
      </c>
      <c r="J197" s="63">
        <v>0</v>
      </c>
      <c r="K197" s="63">
        <v>0</v>
      </c>
      <c r="L197" s="63">
        <v>0</v>
      </c>
      <c r="M197" s="63">
        <v>0</v>
      </c>
      <c r="N197" s="63">
        <v>0</v>
      </c>
    </row>
  </sheetData>
  <pageMargins left="0.25" right="0.25" top="0.5" bottom="0.25" header="0.3" footer="0.3"/>
  <pageSetup scale="10" orientation="landscape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Resources</vt:lpstr>
      <vt:lpstr>Model</vt:lpstr>
      <vt:lpstr>Raw Customer ARR</vt:lpstr>
      <vt:lpstr>Model!Print_Area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mhinckley</dc:creator>
  <cp:lastModifiedBy>Mike Hinckley</cp:lastModifiedBy>
  <dcterms:created xsi:type="dcterms:W3CDTF">2021-01-06T16:29:03Z</dcterms:created>
  <dcterms:modified xsi:type="dcterms:W3CDTF">2023-12-05T21:54:08Z</dcterms:modified>
</cp:coreProperties>
</file>