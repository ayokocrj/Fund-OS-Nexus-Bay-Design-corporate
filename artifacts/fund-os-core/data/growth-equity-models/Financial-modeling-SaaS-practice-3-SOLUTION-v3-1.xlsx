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sktop\Growth equity files\SaaS course\"/>
    </mc:Choice>
  </mc:AlternateContent>
  <xr:revisionPtr revIDLastSave="0" documentId="8_{7CB3B1F1-B9CE-47DE-AFFD-64940EE1AD2E}" xr6:coauthVersionLast="47" xr6:coauthVersionMax="47" xr10:uidLastSave="{00000000-0000-0000-0000-000000000000}"/>
  <bookViews>
    <workbookView xWindow="-98" yWindow="277" windowWidth="38596" windowHeight="21420" tabRatio="923" xr2:uid="{149DA278-98FA-47F8-A916-DD05CF127C47}"/>
  </bookViews>
  <sheets>
    <sheet name="Resources" sheetId="97" r:id="rId1"/>
    <sheet name="Start -&gt;" sheetId="78" r:id="rId2"/>
    <sheet name="Model (Start)" sheetId="100" r:id="rId3"/>
    <sheet name="Raw Customer ARR (Start)" sheetId="101" r:id="rId4"/>
    <sheet name="End -&gt;" sheetId="96" r:id="rId5"/>
    <sheet name="Transaction" sheetId="93" r:id="rId6"/>
    <sheet name="Model" sheetId="86" r:id="rId7"/>
    <sheet name="Billing Waterfall" sheetId="94" r:id="rId8"/>
    <sheet name="Capitalizations" sheetId="95" r:id="rId9"/>
    <sheet name="SaaS Metrics" sheetId="90" r:id="rId10"/>
    <sheet name="Cohorts" sheetId="92" r:id="rId11"/>
    <sheet name="ARR Waterfall" sheetId="89" r:id="rId12"/>
    <sheet name="Raw Customer ARR" sheetId="85" r:id="rId13"/>
  </sheets>
  <definedNames>
    <definedName name="different">#REF!</definedName>
    <definedName name="mike">'ARR Waterfall'!$A$8</definedName>
    <definedName name="_xlnm.Print_Area" localSheetId="11">'ARR Waterfall'!$A$1:$H$4</definedName>
    <definedName name="_xlnm.Print_Area" localSheetId="7">'Billing Waterfall'!$B$1:$B$68</definedName>
    <definedName name="_xlnm.Print_Area" localSheetId="8">Capitalizations!$B$1:$B$79</definedName>
    <definedName name="_xlnm.Print_Area" localSheetId="10">Cohorts!$A$1:$I$73</definedName>
    <definedName name="_xlnm.Print_Area" localSheetId="6">Model!$B$1:$H$4</definedName>
    <definedName name="_xlnm.Print_Area" localSheetId="2">'Model (Start)'!$B$1:$H$4</definedName>
    <definedName name="_xlnm.Print_Area" localSheetId="9">'SaaS Metrics'!$B$1:$H$4</definedName>
    <definedName name="_xlnm.Print_Area" localSheetId="5">Transaction!$B$1:$I$3</definedName>
    <definedName name="unit" localSheetId="11">'ARR Waterfall'!$A$1</definedName>
    <definedName name="unit" localSheetId="7">'Billing Waterfall'!#REF!</definedName>
    <definedName name="unit" localSheetId="8">Capitalizations!#REF!</definedName>
    <definedName name="unit" localSheetId="10">Cohorts!$A$1</definedName>
    <definedName name="unit" localSheetId="6">Model!#REF!</definedName>
    <definedName name="unit" localSheetId="2">'Model (Start)'!#REF!</definedName>
    <definedName name="unit" localSheetId="9">'SaaS Metrics'!#REF!</definedName>
    <definedName name="unit" localSheetId="5">Transaction!#REF!</definedName>
    <definedName name="unit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01" l="1"/>
  <c r="A4" i="101" s="1"/>
  <c r="A5" i="101" s="1"/>
  <c r="A6" i="101" s="1"/>
  <c r="A7" i="101" s="1"/>
  <c r="A8" i="101" s="1"/>
  <c r="A9" i="101" s="1"/>
  <c r="A10" i="101" s="1"/>
  <c r="A11" i="101" s="1"/>
  <c r="A12" i="101" s="1"/>
  <c r="A13" i="101" s="1"/>
  <c r="A14" i="101" s="1"/>
  <c r="A15" i="101" s="1"/>
  <c r="A16" i="101" s="1"/>
  <c r="A17" i="101" s="1"/>
  <c r="A18" i="101" s="1"/>
  <c r="A19" i="101" s="1"/>
  <c r="A20" i="101" s="1"/>
  <c r="A21" i="101" s="1"/>
  <c r="A22" i="101" s="1"/>
  <c r="A23" i="101" s="1"/>
  <c r="A24" i="101" s="1"/>
  <c r="A25" i="101" s="1"/>
  <c r="A26" i="101" s="1"/>
  <c r="A27" i="101" s="1"/>
  <c r="A28" i="101" s="1"/>
  <c r="A29" i="101" s="1"/>
  <c r="A30" i="101" s="1"/>
  <c r="A31" i="101" s="1"/>
  <c r="A32" i="101" s="1"/>
  <c r="A33" i="101" s="1"/>
  <c r="A34" i="101" s="1"/>
  <c r="A35" i="101" s="1"/>
  <c r="A36" i="101" s="1"/>
  <c r="A37" i="101" s="1"/>
  <c r="A38" i="101" s="1"/>
  <c r="A39" i="101" s="1"/>
  <c r="A40" i="101" s="1"/>
  <c r="A41" i="101" s="1"/>
  <c r="A42" i="101" s="1"/>
  <c r="A43" i="101" s="1"/>
  <c r="A44" i="101" s="1"/>
  <c r="A45" i="101" s="1"/>
  <c r="A46" i="101" s="1"/>
  <c r="A47" i="101" s="1"/>
  <c r="A48" i="101" s="1"/>
  <c r="A49" i="101" s="1"/>
  <c r="A50" i="101" s="1"/>
  <c r="A51" i="101" s="1"/>
  <c r="A52" i="101" s="1"/>
  <c r="A53" i="101" s="1"/>
  <c r="A54" i="101" s="1"/>
  <c r="A55" i="101" s="1"/>
  <c r="A56" i="101" s="1"/>
  <c r="A57" i="101" s="1"/>
  <c r="A58" i="101" s="1"/>
  <c r="A59" i="101" s="1"/>
  <c r="A60" i="101" s="1"/>
  <c r="A61" i="101" s="1"/>
  <c r="A62" i="101" s="1"/>
  <c r="A63" i="101" s="1"/>
  <c r="A64" i="101" s="1"/>
  <c r="A65" i="101" s="1"/>
  <c r="A66" i="101" s="1"/>
  <c r="A67" i="101" s="1"/>
  <c r="A68" i="101" s="1"/>
  <c r="A69" i="101" s="1"/>
  <c r="A70" i="101" s="1"/>
  <c r="A71" i="101" s="1"/>
  <c r="A72" i="101" s="1"/>
  <c r="A73" i="101" s="1"/>
  <c r="A74" i="101" s="1"/>
  <c r="A75" i="101" s="1"/>
  <c r="A76" i="101" s="1"/>
  <c r="A77" i="101" s="1"/>
  <c r="A78" i="101" s="1"/>
  <c r="A79" i="101" s="1"/>
  <c r="A80" i="101" s="1"/>
  <c r="A81" i="101" s="1"/>
  <c r="A82" i="101" s="1"/>
  <c r="A83" i="101" s="1"/>
  <c r="A84" i="101" s="1"/>
  <c r="A85" i="101" s="1"/>
  <c r="A86" i="101" s="1"/>
  <c r="A87" i="101" s="1"/>
  <c r="A88" i="101" s="1"/>
  <c r="A89" i="101" s="1"/>
  <c r="A90" i="101" s="1"/>
  <c r="A91" i="101" s="1"/>
  <c r="A92" i="101" s="1"/>
  <c r="A93" i="101" s="1"/>
  <c r="A94" i="101" s="1"/>
  <c r="A95" i="101" s="1"/>
  <c r="A96" i="101" s="1"/>
  <c r="A97" i="101" s="1"/>
  <c r="A98" i="101" s="1"/>
  <c r="A99" i="101" s="1"/>
  <c r="A100" i="101" s="1"/>
  <c r="A101" i="101" s="1"/>
  <c r="A102" i="101" s="1"/>
  <c r="A103" i="101" s="1"/>
  <c r="A104" i="101" s="1"/>
  <c r="A105" i="101" s="1"/>
  <c r="A106" i="101" s="1"/>
  <c r="A107" i="101" s="1"/>
  <c r="A108" i="101" s="1"/>
  <c r="A109" i="101" s="1"/>
  <c r="A110" i="101" s="1"/>
  <c r="A111" i="101" s="1"/>
  <c r="A112" i="101" s="1"/>
  <c r="A113" i="101" s="1"/>
  <c r="A114" i="101" s="1"/>
  <c r="A115" i="101" s="1"/>
  <c r="A116" i="101" s="1"/>
  <c r="A117" i="101" s="1"/>
  <c r="A118" i="101" s="1"/>
  <c r="A119" i="101" s="1"/>
  <c r="A120" i="101" s="1"/>
  <c r="A121" i="101" s="1"/>
  <c r="A122" i="101" s="1"/>
  <c r="A123" i="101" s="1"/>
  <c r="A124" i="101" s="1"/>
  <c r="A125" i="101" s="1"/>
  <c r="A126" i="101" s="1"/>
  <c r="A127" i="101" s="1"/>
  <c r="A128" i="101" s="1"/>
  <c r="A129" i="101" s="1"/>
  <c r="A130" i="101" s="1"/>
  <c r="A131" i="101" s="1"/>
  <c r="A132" i="101" s="1"/>
  <c r="A133" i="101" s="1"/>
  <c r="A134" i="101" s="1"/>
  <c r="A135" i="101" s="1"/>
  <c r="A136" i="101" s="1"/>
  <c r="A137" i="101" s="1"/>
  <c r="A138" i="101" s="1"/>
  <c r="A139" i="101" s="1"/>
  <c r="A140" i="101" s="1"/>
  <c r="A141" i="101" s="1"/>
  <c r="A142" i="101" s="1"/>
  <c r="A143" i="101" s="1"/>
  <c r="A144" i="101" s="1"/>
  <c r="A145" i="101" s="1"/>
  <c r="A146" i="101" s="1"/>
  <c r="A147" i="101" s="1"/>
  <c r="A148" i="101" s="1"/>
  <c r="A149" i="101" s="1"/>
  <c r="A150" i="101" s="1"/>
  <c r="A151" i="101" s="1"/>
  <c r="A152" i="101" s="1"/>
  <c r="A153" i="101" s="1"/>
  <c r="A154" i="101" s="1"/>
  <c r="A155" i="101" s="1"/>
  <c r="A156" i="101" s="1"/>
  <c r="A157" i="101" s="1"/>
  <c r="A158" i="101" s="1"/>
  <c r="A159" i="101" s="1"/>
  <c r="A160" i="101" s="1"/>
  <c r="A161" i="101" s="1"/>
  <c r="A162" i="101" s="1"/>
  <c r="A163" i="101" s="1"/>
  <c r="A164" i="101" s="1"/>
  <c r="A165" i="101" s="1"/>
  <c r="A166" i="101" s="1"/>
  <c r="A167" i="101" s="1"/>
  <c r="A168" i="101" s="1"/>
  <c r="A169" i="101" s="1"/>
  <c r="A170" i="101" s="1"/>
  <c r="A171" i="101" s="1"/>
  <c r="A172" i="101" s="1"/>
  <c r="A173" i="101" s="1"/>
  <c r="A174" i="101" s="1"/>
  <c r="A175" i="101" s="1"/>
  <c r="A176" i="101" s="1"/>
  <c r="A177" i="101" s="1"/>
  <c r="A178" i="101" s="1"/>
  <c r="A179" i="101" s="1"/>
  <c r="A180" i="101" s="1"/>
  <c r="A181" i="101" s="1"/>
  <c r="A182" i="101" s="1"/>
  <c r="A183" i="101" s="1"/>
  <c r="A184" i="101" s="1"/>
  <c r="A185" i="101" s="1"/>
  <c r="A186" i="101" s="1"/>
  <c r="A187" i="101" s="1"/>
  <c r="A188" i="101" s="1"/>
  <c r="A189" i="101" s="1"/>
  <c r="A190" i="101" s="1"/>
  <c r="A191" i="101" s="1"/>
  <c r="A192" i="101" s="1"/>
  <c r="A193" i="101" s="1"/>
  <c r="A194" i="101" s="1"/>
  <c r="A195" i="101" s="1"/>
  <c r="A196" i="101" s="1"/>
  <c r="A197" i="101" s="1"/>
  <c r="D1" i="101"/>
  <c r="B1" i="101"/>
  <c r="N52" i="100"/>
  <c r="N38" i="100"/>
  <c r="N45" i="100" s="1"/>
  <c r="B21" i="100"/>
  <c r="N20" i="100"/>
  <c r="M20" i="100"/>
  <c r="L20" i="100"/>
  <c r="K20" i="100"/>
  <c r="J20" i="100"/>
  <c r="I20" i="100"/>
  <c r="H20" i="100"/>
  <c r="G20" i="100"/>
  <c r="F20" i="100"/>
  <c r="E20" i="100"/>
  <c r="D20" i="100"/>
  <c r="C20" i="100"/>
  <c r="B20" i="100"/>
  <c r="N19" i="100"/>
  <c r="M19" i="100"/>
  <c r="L19" i="100"/>
  <c r="K19" i="100"/>
  <c r="J19" i="100"/>
  <c r="I19" i="100"/>
  <c r="H19" i="100"/>
  <c r="G19" i="100"/>
  <c r="F19" i="100"/>
  <c r="E19" i="100"/>
  <c r="D19" i="100"/>
  <c r="C19" i="100"/>
  <c r="B19" i="100"/>
  <c r="N18" i="100"/>
  <c r="M18" i="100"/>
  <c r="L18" i="100"/>
  <c r="K18" i="100"/>
  <c r="J18" i="100"/>
  <c r="I18" i="100"/>
  <c r="H18" i="100"/>
  <c r="G18" i="100"/>
  <c r="F18" i="100"/>
  <c r="E18" i="100"/>
  <c r="D18" i="100"/>
  <c r="C18" i="100"/>
  <c r="B18" i="100"/>
  <c r="N17" i="100"/>
  <c r="N21" i="100" s="1"/>
  <c r="M17" i="100"/>
  <c r="M21" i="100" s="1"/>
  <c r="L17" i="100"/>
  <c r="L21" i="100" s="1"/>
  <c r="K17" i="100"/>
  <c r="K21" i="100" s="1"/>
  <c r="J17" i="100"/>
  <c r="J21" i="100" s="1"/>
  <c r="I17" i="100"/>
  <c r="I21" i="100" s="1"/>
  <c r="H17" i="100"/>
  <c r="H21" i="100" s="1"/>
  <c r="G17" i="100"/>
  <c r="G21" i="100" s="1"/>
  <c r="F17" i="100"/>
  <c r="F21" i="100" s="1"/>
  <c r="E17" i="100"/>
  <c r="E21" i="100" s="1"/>
  <c r="D17" i="100"/>
  <c r="D21" i="100" s="1"/>
  <c r="C17" i="100"/>
  <c r="C21" i="100" s="1"/>
  <c r="N10" i="100"/>
  <c r="M10" i="100"/>
  <c r="L10" i="100"/>
  <c r="K10" i="100"/>
  <c r="J10" i="100"/>
  <c r="I10" i="100"/>
  <c r="H10" i="100"/>
  <c r="H11" i="100" s="1"/>
  <c r="G10" i="100"/>
  <c r="F10" i="100"/>
  <c r="E10" i="100"/>
  <c r="D10" i="100"/>
  <c r="C10" i="100"/>
  <c r="N6" i="100"/>
  <c r="M6" i="100"/>
  <c r="L6" i="100"/>
  <c r="K6" i="100"/>
  <c r="J6" i="100"/>
  <c r="I6" i="100"/>
  <c r="H6" i="100"/>
  <c r="G6" i="100"/>
  <c r="D4" i="100"/>
  <c r="C3" i="100"/>
  <c r="AH134" i="86"/>
  <c r="AG134" i="86"/>
  <c r="AF134" i="86"/>
  <c r="AE134" i="86"/>
  <c r="AD134" i="86"/>
  <c r="AC134" i="86"/>
  <c r="AB134" i="86"/>
  <c r="AA134" i="86"/>
  <c r="Z134" i="86"/>
  <c r="Y134" i="86"/>
  <c r="X134" i="86"/>
  <c r="W134" i="86"/>
  <c r="V134" i="86"/>
  <c r="U134" i="86"/>
  <c r="T134" i="86"/>
  <c r="S134" i="86"/>
  <c r="R134" i="86"/>
  <c r="Q134" i="86"/>
  <c r="P134" i="86"/>
  <c r="O134" i="86"/>
  <c r="AH125" i="86"/>
  <c r="AG125" i="86"/>
  <c r="AF125" i="86"/>
  <c r="AE125" i="86"/>
  <c r="AD125" i="86"/>
  <c r="AC125" i="86"/>
  <c r="AB125" i="86"/>
  <c r="AA125" i="86"/>
  <c r="Z125" i="86"/>
  <c r="Y125" i="86"/>
  <c r="X125" i="86"/>
  <c r="W125" i="86"/>
  <c r="V125" i="86"/>
  <c r="U125" i="86"/>
  <c r="T125" i="86"/>
  <c r="S125" i="86"/>
  <c r="R125" i="86"/>
  <c r="Q125" i="86"/>
  <c r="P125" i="86"/>
  <c r="O125" i="86"/>
  <c r="AH116" i="86"/>
  <c r="AG116" i="86"/>
  <c r="AF116" i="86"/>
  <c r="AE116" i="86"/>
  <c r="AD116" i="86"/>
  <c r="AC116" i="86"/>
  <c r="AB116" i="86"/>
  <c r="AA116" i="86"/>
  <c r="Z116" i="86"/>
  <c r="Y116" i="86"/>
  <c r="X116" i="86"/>
  <c r="W116" i="86"/>
  <c r="V116" i="86"/>
  <c r="U116" i="86"/>
  <c r="T116" i="86"/>
  <c r="S116" i="86"/>
  <c r="R116" i="86"/>
  <c r="Q116" i="86"/>
  <c r="P116" i="86"/>
  <c r="O116" i="86"/>
  <c r="L50" i="86"/>
  <c r="C6" i="89"/>
  <c r="M61" i="86"/>
  <c r="C21" i="93"/>
  <c r="E1" i="101" l="1"/>
  <c r="C23" i="100"/>
  <c r="C24" i="100" s="1"/>
  <c r="K23" i="100"/>
  <c r="K27" i="100" s="1"/>
  <c r="D23" i="100"/>
  <c r="D24" i="100" s="1"/>
  <c r="E23" i="100"/>
  <c r="E24" i="100" s="1"/>
  <c r="F23" i="100"/>
  <c r="F24" i="100" s="1"/>
  <c r="N23" i="100"/>
  <c r="N24" i="100" s="1"/>
  <c r="D3" i="100"/>
  <c r="L23" i="100"/>
  <c r="L27" i="100" s="1"/>
  <c r="M23" i="100"/>
  <c r="M24" i="100" s="1"/>
  <c r="G23" i="100"/>
  <c r="G27" i="100" s="1"/>
  <c r="E4" i="100"/>
  <c r="I23" i="100"/>
  <c r="I24" i="100" s="1"/>
  <c r="J23" i="100"/>
  <c r="J27" i="100" s="1"/>
  <c r="G11" i="100"/>
  <c r="H23" i="100"/>
  <c r="N11" i="100"/>
  <c r="F11" i="100"/>
  <c r="J11" i="100"/>
  <c r="C11" i="100"/>
  <c r="K11" i="100"/>
  <c r="D11" i="100"/>
  <c r="L11" i="100"/>
  <c r="I11" i="100"/>
  <c r="E11" i="100"/>
  <c r="M11" i="100"/>
  <c r="K24" i="100" l="1"/>
  <c r="F1" i="101"/>
  <c r="F27" i="100"/>
  <c r="F28" i="100" s="1"/>
  <c r="N27" i="100"/>
  <c r="G24" i="100"/>
  <c r="F4" i="100"/>
  <c r="F3" i="100" s="1"/>
  <c r="M27" i="100"/>
  <c r="N30" i="100" s="1"/>
  <c r="L24" i="100"/>
  <c r="E3" i="100"/>
  <c r="J24" i="100"/>
  <c r="I27" i="100"/>
  <c r="L30" i="100" s="1"/>
  <c r="N28" i="100"/>
  <c r="H27" i="100"/>
  <c r="H24" i="100"/>
  <c r="K28" i="100"/>
  <c r="J28" i="100"/>
  <c r="L28" i="100"/>
  <c r="G28" i="100"/>
  <c r="G4" i="100" l="1"/>
  <c r="H4" i="100" s="1"/>
  <c r="G1" i="101"/>
  <c r="M28" i="100"/>
  <c r="I30" i="100"/>
  <c r="M30" i="100"/>
  <c r="J30" i="100"/>
  <c r="I28" i="100"/>
  <c r="H28" i="100"/>
  <c r="K30" i="100"/>
  <c r="G3" i="100" l="1"/>
  <c r="H1" i="101"/>
  <c r="H3" i="100"/>
  <c r="I4" i="100"/>
  <c r="I1" i="101" l="1"/>
  <c r="J4" i="100"/>
  <c r="I3" i="100"/>
  <c r="J1" i="101" l="1"/>
  <c r="K4" i="100"/>
  <c r="J3" i="100"/>
  <c r="K1" i="101" l="1"/>
  <c r="L4" i="100"/>
  <c r="K3" i="100"/>
  <c r="L1" i="101" l="1"/>
  <c r="M4" i="100"/>
  <c r="L3" i="100"/>
  <c r="M1" i="101" l="1"/>
  <c r="N4" i="100"/>
  <c r="M3" i="100"/>
  <c r="N1" i="101" l="1"/>
  <c r="N37" i="100"/>
  <c r="N3" i="100"/>
  <c r="O4" i="100"/>
  <c r="O3" i="100" l="1"/>
  <c r="P4" i="100"/>
  <c r="P3" i="100" l="1"/>
  <c r="Q4" i="100"/>
  <c r="R4" i="100" l="1"/>
  <c r="Q3" i="100"/>
  <c r="S4" i="100" l="1"/>
  <c r="R3" i="100"/>
  <c r="T4" i="100" l="1"/>
  <c r="S3" i="100"/>
  <c r="T3" i="100" l="1"/>
  <c r="U4" i="100"/>
  <c r="V4" i="100" l="1"/>
  <c r="U3" i="100"/>
  <c r="V3" i="100" l="1"/>
  <c r="W4" i="100"/>
  <c r="X4" i="100" l="1"/>
  <c r="W3" i="100"/>
  <c r="Y4" i="100" l="1"/>
  <c r="X3" i="100"/>
  <c r="Z4" i="100" l="1"/>
  <c r="Y3" i="100"/>
  <c r="AA4" i="100" l="1"/>
  <c r="Z3" i="100"/>
  <c r="AB4" i="100" l="1"/>
  <c r="AA3" i="100"/>
  <c r="AC4" i="100" l="1"/>
  <c r="AB3" i="100"/>
  <c r="AD4" i="100" l="1"/>
  <c r="AC3" i="100"/>
  <c r="AD3" i="100" l="1"/>
  <c r="AE4" i="100"/>
  <c r="AE3" i="100" l="1"/>
  <c r="AF4" i="100"/>
  <c r="AG4" i="100" l="1"/>
  <c r="AF3" i="100"/>
  <c r="AG3" i="100" l="1"/>
  <c r="AH4" i="100"/>
  <c r="AH3" i="100" l="1"/>
  <c r="C13" i="93" l="1"/>
  <c r="L10" i="89" a="1"/>
  <c r="L10" i="89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A58" i="85" s="1"/>
  <c r="A59" i="85" s="1"/>
  <c r="A60" i="85" s="1"/>
  <c r="A61" i="85" s="1"/>
  <c r="A62" i="85" s="1"/>
  <c r="A63" i="85" s="1"/>
  <c r="A64" i="85" s="1"/>
  <c r="A65" i="85" s="1"/>
  <c r="A66" i="85" s="1"/>
  <c r="A67" i="85" s="1"/>
  <c r="A68" i="85" s="1"/>
  <c r="A69" i="85" s="1"/>
  <c r="A70" i="85" s="1"/>
  <c r="A71" i="85" s="1"/>
  <c r="A72" i="85" s="1"/>
  <c r="A73" i="85" s="1"/>
  <c r="A74" i="85" s="1"/>
  <c r="A75" i="85" s="1"/>
  <c r="A76" i="85" s="1"/>
  <c r="A77" i="85" s="1"/>
  <c r="A78" i="85" s="1"/>
  <c r="A79" i="85" s="1"/>
  <c r="A80" i="85" s="1"/>
  <c r="A81" i="85" s="1"/>
  <c r="A82" i="85" s="1"/>
  <c r="A83" i="85" s="1"/>
  <c r="A84" i="85" s="1"/>
  <c r="A85" i="85" s="1"/>
  <c r="A86" i="85" s="1"/>
  <c r="A87" i="85" s="1"/>
  <c r="A88" i="85" s="1"/>
  <c r="A89" i="85" s="1"/>
  <c r="A90" i="85" s="1"/>
  <c r="A91" i="85" s="1"/>
  <c r="A92" i="85" s="1"/>
  <c r="A93" i="85" s="1"/>
  <c r="A94" i="85" s="1"/>
  <c r="A95" i="85" s="1"/>
  <c r="A96" i="85" s="1"/>
  <c r="A97" i="85" s="1"/>
  <c r="A98" i="85" s="1"/>
  <c r="A99" i="85" s="1"/>
  <c r="A100" i="85" s="1"/>
  <c r="A101" i="85" s="1"/>
  <c r="A102" i="85" s="1"/>
  <c r="A103" i="85" s="1"/>
  <c r="A104" i="85" s="1"/>
  <c r="A105" i="85" s="1"/>
  <c r="A106" i="85" s="1"/>
  <c r="A107" i="85" s="1"/>
  <c r="A108" i="85" s="1"/>
  <c r="A109" i="85" s="1"/>
  <c r="A110" i="85" s="1"/>
  <c r="A111" i="85" s="1"/>
  <c r="A112" i="85" s="1"/>
  <c r="A113" i="85" s="1"/>
  <c r="A114" i="85" s="1"/>
  <c r="A115" i="85" s="1"/>
  <c r="A116" i="85" s="1"/>
  <c r="A117" i="85" s="1"/>
  <c r="A118" i="85" s="1"/>
  <c r="A119" i="85" s="1"/>
  <c r="A120" i="85" s="1"/>
  <c r="A121" i="85" s="1"/>
  <c r="A122" i="85" s="1"/>
  <c r="A123" i="85" s="1"/>
  <c r="A124" i="85" s="1"/>
  <c r="A125" i="85" s="1"/>
  <c r="A126" i="85" s="1"/>
  <c r="A127" i="85" s="1"/>
  <c r="A128" i="85" s="1"/>
  <c r="A129" i="85" s="1"/>
  <c r="A130" i="85" s="1"/>
  <c r="A131" i="85" s="1"/>
  <c r="A132" i="85" s="1"/>
  <c r="A133" i="85" s="1"/>
  <c r="A134" i="85" s="1"/>
  <c r="A135" i="85" s="1"/>
  <c r="A136" i="85" s="1"/>
  <c r="A137" i="85" s="1"/>
  <c r="A138" i="85" s="1"/>
  <c r="A139" i="85" s="1"/>
  <c r="A140" i="85" s="1"/>
  <c r="A141" i="85" s="1"/>
  <c r="A142" i="85" s="1"/>
  <c r="A143" i="85" s="1"/>
  <c r="A144" i="85" s="1"/>
  <c r="A145" i="85" s="1"/>
  <c r="A146" i="85" s="1"/>
  <c r="A147" i="85" s="1"/>
  <c r="A148" i="85" s="1"/>
  <c r="A149" i="85" s="1"/>
  <c r="A150" i="85" s="1"/>
  <c r="A151" i="85" s="1"/>
  <c r="A152" i="85" s="1"/>
  <c r="A153" i="85" s="1"/>
  <c r="A154" i="85" s="1"/>
  <c r="A155" i="85" s="1"/>
  <c r="A156" i="85" s="1"/>
  <c r="A157" i="85" s="1"/>
  <c r="A158" i="85" s="1"/>
  <c r="A159" i="85" s="1"/>
  <c r="A160" i="85" s="1"/>
  <c r="A161" i="85" s="1"/>
  <c r="A162" i="85" s="1"/>
  <c r="A163" i="85" s="1"/>
  <c r="A164" i="85" s="1"/>
  <c r="A165" i="85" s="1"/>
  <c r="A166" i="85" s="1"/>
  <c r="A167" i="85" s="1"/>
  <c r="A168" i="85" s="1"/>
  <c r="A169" i="85" s="1"/>
  <c r="A170" i="85" s="1"/>
  <c r="A171" i="85" s="1"/>
  <c r="A172" i="85" s="1"/>
  <c r="A173" i="85" s="1"/>
  <c r="A174" i="85" s="1"/>
  <c r="A175" i="85" s="1"/>
  <c r="A176" i="85" s="1"/>
  <c r="A177" i="85" s="1"/>
  <c r="A178" i="85" s="1"/>
  <c r="A179" i="85" s="1"/>
  <c r="A180" i="85" s="1"/>
  <c r="A181" i="85" s="1"/>
  <c r="A182" i="85" s="1"/>
  <c r="A183" i="85" s="1"/>
  <c r="A184" i="85" s="1"/>
  <c r="A185" i="85" s="1"/>
  <c r="A186" i="85" s="1"/>
  <c r="A187" i="85" s="1"/>
  <c r="A188" i="85" s="1"/>
  <c r="A189" i="85" s="1"/>
  <c r="A190" i="85" s="1"/>
  <c r="A191" i="85" s="1"/>
  <c r="A192" i="85" s="1"/>
  <c r="A193" i="85" s="1"/>
  <c r="A194" i="85" s="1"/>
  <c r="A195" i="85" s="1"/>
  <c r="A196" i="85" s="1"/>
  <c r="A197" i="85" s="1"/>
  <c r="B195" i="85" a="1"/>
  <c r="B195" i="85" s="1"/>
  <c r="B187" i="85" a="1"/>
  <c r="B187" i="85" s="1"/>
  <c r="B136" i="85" a="1"/>
  <c r="B136" i="85" s="1"/>
  <c r="B123" i="85" a="1"/>
  <c r="B123" i="85" s="1"/>
  <c r="B94" i="85" a="1"/>
  <c r="B94" i="85" s="1"/>
  <c r="B77" i="85" a="1"/>
  <c r="B77" i="85" s="1"/>
  <c r="L72" i="86"/>
  <c r="M50" i="86" l="1"/>
  <c r="L57" i="86"/>
  <c r="AH70" i="90"/>
  <c r="AG70" i="90"/>
  <c r="AF70" i="90"/>
  <c r="AE70" i="90"/>
  <c r="AD70" i="90"/>
  <c r="AC70" i="90"/>
  <c r="AB70" i="90"/>
  <c r="AA70" i="90"/>
  <c r="Z70" i="90"/>
  <c r="Y70" i="90"/>
  <c r="X70" i="90"/>
  <c r="W70" i="90"/>
  <c r="V70" i="90"/>
  <c r="U70" i="90"/>
  <c r="T70" i="90"/>
  <c r="S70" i="90"/>
  <c r="R70" i="90"/>
  <c r="Q70" i="90"/>
  <c r="P70" i="90"/>
  <c r="O70" i="90"/>
  <c r="I16" i="86" l="1"/>
  <c r="I17" i="86" s="1"/>
  <c r="I70" i="90" s="1"/>
  <c r="G16" i="86"/>
  <c r="G17" i="86" s="1"/>
  <c r="G70" i="90" s="1"/>
  <c r="C60" i="92" a="1"/>
  <c r="C60" i="92" s="1"/>
  <c r="N69" i="86"/>
  <c r="N16" i="86"/>
  <c r="N17" i="86" s="1"/>
  <c r="N70" i="90" s="1"/>
  <c r="C6" i="90"/>
  <c r="C4" i="90"/>
  <c r="C21" i="89"/>
  <c r="C14" i="90" s="1"/>
  <c r="N10" i="89" a="1"/>
  <c r="N10" i="89" s="1"/>
  <c r="M10" i="89" a="1"/>
  <c r="M10" i="89" s="1"/>
  <c r="K10" i="89" a="1"/>
  <c r="K10" i="89" s="1"/>
  <c r="J10" i="89" a="1"/>
  <c r="J10" i="89" s="1"/>
  <c r="I10" i="89" a="1"/>
  <c r="I10" i="89" s="1"/>
  <c r="H10" i="89" a="1"/>
  <c r="H10" i="89" s="1"/>
  <c r="G10" i="89" a="1"/>
  <c r="G10" i="89" s="1"/>
  <c r="F10" i="89" a="1"/>
  <c r="F10" i="89" s="1"/>
  <c r="E10" i="89" a="1"/>
  <c r="E10" i="89" s="1"/>
  <c r="D10" i="89" a="1"/>
  <c r="D10" i="89" s="1"/>
  <c r="N9" i="89" a="1"/>
  <c r="N9" i="89" s="1"/>
  <c r="M9" i="89" a="1"/>
  <c r="M9" i="89" s="1"/>
  <c r="L9" i="89" a="1"/>
  <c r="L9" i="89" s="1"/>
  <c r="K9" i="89" a="1"/>
  <c r="K9" i="89" s="1"/>
  <c r="J9" i="89" a="1"/>
  <c r="J9" i="89" s="1"/>
  <c r="I9" i="89" a="1"/>
  <c r="I9" i="89" s="1"/>
  <c r="H9" i="89" a="1"/>
  <c r="H9" i="89" s="1"/>
  <c r="G9" i="89" a="1"/>
  <c r="G9" i="89" s="1"/>
  <c r="F9" i="89" a="1"/>
  <c r="F9" i="89" s="1"/>
  <c r="E9" i="89" a="1"/>
  <c r="E9" i="89" s="1"/>
  <c r="D9" i="89" a="1"/>
  <c r="D9" i="89" s="1"/>
  <c r="N8" i="89" a="1"/>
  <c r="N8" i="89" s="1"/>
  <c r="M8" i="89" a="1"/>
  <c r="M8" i="89" s="1"/>
  <c r="L8" i="89" a="1"/>
  <c r="L8" i="89" s="1"/>
  <c r="K8" i="89" a="1"/>
  <c r="K8" i="89" s="1"/>
  <c r="J8" i="89" a="1"/>
  <c r="J8" i="89" s="1"/>
  <c r="I8" i="89" a="1"/>
  <c r="I8" i="89" s="1"/>
  <c r="H8" i="89" a="1"/>
  <c r="H8" i="89" s="1"/>
  <c r="G8" i="89" a="1"/>
  <c r="G8" i="89" s="1"/>
  <c r="F8" i="89" a="1"/>
  <c r="F8" i="89" s="1"/>
  <c r="E8" i="89" a="1"/>
  <c r="E8" i="89" s="1"/>
  <c r="D8" i="89" a="1"/>
  <c r="D8" i="89" s="1"/>
  <c r="N7" i="89" a="1"/>
  <c r="N7" i="89" s="1"/>
  <c r="M7" i="89" a="1"/>
  <c r="M7" i="89" s="1"/>
  <c r="L7" i="89" a="1"/>
  <c r="L7" i="89" s="1"/>
  <c r="K7" i="89" a="1"/>
  <c r="K7" i="89" s="1"/>
  <c r="J7" i="89" a="1"/>
  <c r="J7" i="89" s="1"/>
  <c r="I7" i="89" a="1"/>
  <c r="I7" i="89" s="1"/>
  <c r="H7" i="89" a="1"/>
  <c r="H7" i="89" s="1"/>
  <c r="G7" i="89" a="1"/>
  <c r="G7" i="89" s="1"/>
  <c r="F7" i="89" a="1"/>
  <c r="F7" i="89" s="1"/>
  <c r="E7" i="89" a="1"/>
  <c r="E7" i="89" s="1"/>
  <c r="D7" i="89" a="1"/>
  <c r="D7" i="89" s="1"/>
  <c r="D4" i="89"/>
  <c r="C23" i="89"/>
  <c r="C22" i="89"/>
  <c r="C10" i="89" a="1"/>
  <c r="C10" i="89" s="1"/>
  <c r="C9" i="89" a="1"/>
  <c r="C9" i="89" s="1"/>
  <c r="C9" i="90" s="1"/>
  <c r="C8" i="89" a="1"/>
  <c r="C8" i="89" s="1"/>
  <c r="C8" i="90" s="1"/>
  <c r="C7" i="89" a="1"/>
  <c r="C7" i="89" s="1"/>
  <c r="C7" i="90" s="1"/>
  <c r="C1" i="85"/>
  <c r="D5" i="92"/>
  <c r="E1" i="85"/>
  <c r="B13" i="97"/>
  <c r="F1" i="85" l="1"/>
  <c r="B66" i="85" a="1"/>
  <c r="B66" i="85" s="1"/>
  <c r="B69" i="85" a="1"/>
  <c r="B69" i="85" s="1"/>
  <c r="B68" i="85" a="1"/>
  <c r="B68" i="85" s="1"/>
  <c r="B67" i="85" a="1"/>
  <c r="B67" i="85" s="1"/>
  <c r="B71" i="85" a="1"/>
  <c r="B71" i="85" s="1"/>
  <c r="B70" i="85" a="1"/>
  <c r="B70" i="85" s="1"/>
  <c r="B197" i="85" a="1"/>
  <c r="B197" i="85" s="1"/>
  <c r="B190" i="85" a="1"/>
  <c r="B190" i="85" s="1"/>
  <c r="B182" i="85" a="1"/>
  <c r="B182" i="85" s="1"/>
  <c r="B175" i="85" a="1"/>
  <c r="B175" i="85" s="1"/>
  <c r="B167" i="85" a="1"/>
  <c r="B167" i="85" s="1"/>
  <c r="B159" i="85" a="1"/>
  <c r="B159" i="85" s="1"/>
  <c r="B152" i="85" a="1"/>
  <c r="B152" i="85" s="1"/>
  <c r="B144" i="85" a="1"/>
  <c r="B144" i="85" s="1"/>
  <c r="B138" i="85" a="1"/>
  <c r="B138" i="85" s="1"/>
  <c r="B130" i="85" a="1"/>
  <c r="B130" i="85" s="1"/>
  <c r="B116" i="85" a="1"/>
  <c r="B116" i="85" s="1"/>
  <c r="B109" i="85" a="1"/>
  <c r="B109" i="85" s="1"/>
  <c r="B102" i="85" a="1"/>
  <c r="B102" i="85" s="1"/>
  <c r="B95" i="85" a="1"/>
  <c r="B95" i="85" s="1"/>
  <c r="B88" i="85" a="1"/>
  <c r="B88" i="85" s="1"/>
  <c r="B80" i="85" a="1"/>
  <c r="B80" i="85" s="1"/>
  <c r="B74" i="85" a="1"/>
  <c r="B74" i="85" s="1"/>
  <c r="B10" i="85" a="1"/>
  <c r="B10" i="85" s="1"/>
  <c r="B8" i="85" a="1"/>
  <c r="B8" i="85" s="1"/>
  <c r="B194" i="85" a="1"/>
  <c r="B194" i="85" s="1"/>
  <c r="B164" i="85" a="1"/>
  <c r="B164" i="85" s="1"/>
  <c r="B142" i="85" a="1"/>
  <c r="B142" i="85" s="1"/>
  <c r="B113" i="85" a="1"/>
  <c r="B113" i="85" s="1"/>
  <c r="B85" i="85" a="1"/>
  <c r="B85" i="85" s="1"/>
  <c r="B105" i="85" a="1"/>
  <c r="B105" i="85" s="1"/>
  <c r="B184" i="85" a="1"/>
  <c r="B184" i="85" s="1"/>
  <c r="B154" i="85" a="1"/>
  <c r="B154" i="85" s="1"/>
  <c r="B125" i="85" a="1"/>
  <c r="B125" i="85" s="1"/>
  <c r="B96" i="85" a="1"/>
  <c r="B96" i="85" s="1"/>
  <c r="B168" i="85" a="1"/>
  <c r="B168" i="85" s="1"/>
  <c r="B131" i="85" a="1"/>
  <c r="B131" i="85" s="1"/>
  <c r="B110" i="85" a="1"/>
  <c r="B110" i="85" s="1"/>
  <c r="B89" i="85" a="1"/>
  <c r="B89" i="85" s="1"/>
  <c r="B81" i="85" a="1"/>
  <c r="B81" i="85" s="1"/>
  <c r="B196" i="85" a="1"/>
  <c r="B196" i="85" s="1"/>
  <c r="B189" i="85" a="1"/>
  <c r="B189" i="85" s="1"/>
  <c r="B181" i="85" a="1"/>
  <c r="B181" i="85" s="1"/>
  <c r="B174" i="85" a="1"/>
  <c r="B174" i="85" s="1"/>
  <c r="B166" i="85" a="1"/>
  <c r="B166" i="85" s="1"/>
  <c r="B158" i="85" a="1"/>
  <c r="B158" i="85" s="1"/>
  <c r="B151" i="85" a="1"/>
  <c r="B151" i="85" s="1"/>
  <c r="B137" i="85" a="1"/>
  <c r="B137" i="85" s="1"/>
  <c r="B129" i="85" a="1"/>
  <c r="B129" i="85" s="1"/>
  <c r="B115" i="85" a="1"/>
  <c r="B115" i="85" s="1"/>
  <c r="B108" i="85" a="1"/>
  <c r="B108" i="85" s="1"/>
  <c r="B101" i="85" a="1"/>
  <c r="B101" i="85" s="1"/>
  <c r="B87" i="85" a="1"/>
  <c r="B87" i="85" s="1"/>
  <c r="B73" i="85" a="1"/>
  <c r="B73" i="85" s="1"/>
  <c r="B9" i="85" a="1"/>
  <c r="B9" i="85" s="1"/>
  <c r="B7" i="85" a="1"/>
  <c r="B7" i="85" s="1"/>
  <c r="B179" i="85" a="1"/>
  <c r="B179" i="85" s="1"/>
  <c r="B156" i="85" a="1"/>
  <c r="B156" i="85" s="1"/>
  <c r="B135" i="85" a="1"/>
  <c r="B135" i="85" s="1"/>
  <c r="B99" i="85" a="1"/>
  <c r="B99" i="85" s="1"/>
  <c r="B78" i="85" a="1"/>
  <c r="B78" i="85" s="1"/>
  <c r="B97" i="85" a="1"/>
  <c r="B97" i="85" s="1"/>
  <c r="B169" i="85" a="1"/>
  <c r="B169" i="85" s="1"/>
  <c r="B132" i="85" a="1"/>
  <c r="B132" i="85" s="1"/>
  <c r="B104" i="85" a="1"/>
  <c r="B104" i="85" s="1"/>
  <c r="B82" i="85" a="1"/>
  <c r="B82" i="85" s="1"/>
  <c r="B160" i="85" a="1"/>
  <c r="B160" i="85" s="1"/>
  <c r="B124" i="85" a="1"/>
  <c r="B124" i="85" s="1"/>
  <c r="B188" i="85" a="1"/>
  <c r="B188" i="85" s="1"/>
  <c r="B180" i="85" a="1"/>
  <c r="B180" i="85" s="1"/>
  <c r="B173" i="85" a="1"/>
  <c r="B173" i="85" s="1"/>
  <c r="B165" i="85" a="1"/>
  <c r="B165" i="85" s="1"/>
  <c r="B157" i="85" a="1"/>
  <c r="B157" i="85" s="1"/>
  <c r="B150" i="85" a="1"/>
  <c r="B150" i="85" s="1"/>
  <c r="B143" i="85" a="1"/>
  <c r="B143" i="85" s="1"/>
  <c r="B128" i="85" a="1"/>
  <c r="B128" i="85" s="1"/>
  <c r="B122" i="85" a="1"/>
  <c r="B122" i="85" s="1"/>
  <c r="B114" i="85" a="1"/>
  <c r="B114" i="85" s="1"/>
  <c r="B107" i="85" a="1"/>
  <c r="B107" i="85" s="1"/>
  <c r="B100" i="85" a="1"/>
  <c r="B100" i="85" s="1"/>
  <c r="B93" i="85" a="1"/>
  <c r="B93" i="85" s="1"/>
  <c r="B86" i="85" a="1"/>
  <c r="B86" i="85" s="1"/>
  <c r="B79" i="85" a="1"/>
  <c r="B79" i="85" s="1"/>
  <c r="B72" i="85" a="1"/>
  <c r="B72" i="85" s="1"/>
  <c r="B172" i="85" a="1"/>
  <c r="B172" i="85" s="1"/>
  <c r="B149" i="85" a="1"/>
  <c r="B149" i="85" s="1"/>
  <c r="B121" i="85" a="1"/>
  <c r="B121" i="85" s="1"/>
  <c r="B92" i="85" a="1"/>
  <c r="B92" i="85" s="1"/>
  <c r="B119" i="85" a="1"/>
  <c r="B119" i="85" s="1"/>
  <c r="B83" i="85" a="1"/>
  <c r="B83" i="85" s="1"/>
  <c r="B191" i="85" a="1"/>
  <c r="B191" i="85" s="1"/>
  <c r="B161" i="85" a="1"/>
  <c r="B161" i="85" s="1"/>
  <c r="B139" i="85" a="1"/>
  <c r="B139" i="85" s="1"/>
  <c r="B111" i="85" a="1"/>
  <c r="B111" i="85" s="1"/>
  <c r="B75" i="85" a="1"/>
  <c r="B75" i="85" s="1"/>
  <c r="B176" i="85" a="1"/>
  <c r="B176" i="85" s="1"/>
  <c r="B145" i="85" a="1"/>
  <c r="B145" i="85" s="1"/>
  <c r="B193" i="85" a="1"/>
  <c r="B193" i="85" s="1"/>
  <c r="B186" i="85" a="1"/>
  <c r="B186" i="85" s="1"/>
  <c r="B171" i="85" a="1"/>
  <c r="B171" i="85" s="1"/>
  <c r="B163" i="85" a="1"/>
  <c r="B163" i="85" s="1"/>
  <c r="B155" i="85" a="1"/>
  <c r="B155" i="85" s="1"/>
  <c r="B148" i="85" a="1"/>
  <c r="B148" i="85" s="1"/>
  <c r="B141" i="85" a="1"/>
  <c r="B141" i="85" s="1"/>
  <c r="B134" i="85" a="1"/>
  <c r="B134" i="85" s="1"/>
  <c r="B127" i="85" a="1"/>
  <c r="B127" i="85" s="1"/>
  <c r="B120" i="85" a="1"/>
  <c r="B120" i="85" s="1"/>
  <c r="B112" i="85" a="1"/>
  <c r="B112" i="85" s="1"/>
  <c r="B106" i="85" a="1"/>
  <c r="B106" i="85" s="1"/>
  <c r="B98" i="85" a="1"/>
  <c r="B98" i="85" s="1"/>
  <c r="B91" i="85" a="1"/>
  <c r="B91" i="85" s="1"/>
  <c r="B84" i="85" a="1"/>
  <c r="B84" i="85" s="1"/>
  <c r="B192" i="85" a="1"/>
  <c r="B192" i="85" s="1"/>
  <c r="B185" i="85" a="1"/>
  <c r="B185" i="85" s="1"/>
  <c r="B178" i="85" a="1"/>
  <c r="B178" i="85" s="1"/>
  <c r="B170" i="85" a="1"/>
  <c r="B170" i="85" s="1"/>
  <c r="B162" i="85" a="1"/>
  <c r="B162" i="85" s="1"/>
  <c r="B147" i="85" a="1"/>
  <c r="B147" i="85" s="1"/>
  <c r="B140" i="85" a="1"/>
  <c r="B140" i="85" s="1"/>
  <c r="B133" i="85" a="1"/>
  <c r="B133" i="85" s="1"/>
  <c r="B126" i="85" a="1"/>
  <c r="B126" i="85" s="1"/>
  <c r="B76" i="85" a="1"/>
  <c r="B76" i="85" s="1"/>
  <c r="B177" i="85" a="1"/>
  <c r="B177" i="85" s="1"/>
  <c r="B146" i="85" a="1"/>
  <c r="B146" i="85" s="1"/>
  <c r="B118" i="85" a="1"/>
  <c r="B118" i="85" s="1"/>
  <c r="B90" i="85" a="1"/>
  <c r="B90" i="85" s="1"/>
  <c r="B183" i="85" a="1"/>
  <c r="B183" i="85" s="1"/>
  <c r="B153" i="85" a="1"/>
  <c r="B153" i="85" s="1"/>
  <c r="B117" i="85" a="1"/>
  <c r="B117" i="85" s="1"/>
  <c r="B103" i="85" a="1"/>
  <c r="B103" i="85" s="1"/>
  <c r="E4" i="89"/>
  <c r="F4" i="89" s="1"/>
  <c r="H16" i="86"/>
  <c r="H17" i="86" s="1"/>
  <c r="H70" i="90" s="1"/>
  <c r="J12" i="86"/>
  <c r="M16" i="86"/>
  <c r="M17" i="86" s="1"/>
  <c r="M70" i="90" s="1"/>
  <c r="L16" i="86"/>
  <c r="L17" i="86" s="1"/>
  <c r="L70" i="90" s="1"/>
  <c r="C16" i="86"/>
  <c r="C17" i="86" s="1"/>
  <c r="C70" i="90" s="1"/>
  <c r="C10" i="90"/>
  <c r="C28" i="89"/>
  <c r="C16" i="90"/>
  <c r="C15" i="90"/>
  <c r="C27" i="89"/>
  <c r="C14" i="89"/>
  <c r="C16" i="89"/>
  <c r="C17" i="89"/>
  <c r="C15" i="89"/>
  <c r="C18" i="89"/>
  <c r="C11" i="89"/>
  <c r="F77" i="95"/>
  <c r="E77" i="95"/>
  <c r="F76" i="95"/>
  <c r="E76" i="95"/>
  <c r="F75" i="95"/>
  <c r="E75" i="95"/>
  <c r="F74" i="95"/>
  <c r="E74" i="95"/>
  <c r="F73" i="95"/>
  <c r="E73" i="95"/>
  <c r="F72" i="95"/>
  <c r="E72" i="95"/>
  <c r="F71" i="95"/>
  <c r="E71" i="95"/>
  <c r="F70" i="95"/>
  <c r="E70" i="95"/>
  <c r="F69" i="95"/>
  <c r="E69" i="95"/>
  <c r="F68" i="95"/>
  <c r="E68" i="95"/>
  <c r="F67" i="95"/>
  <c r="E67" i="95"/>
  <c r="F66" i="95"/>
  <c r="E66" i="95"/>
  <c r="F65" i="95"/>
  <c r="E65" i="95"/>
  <c r="F64" i="95"/>
  <c r="E64" i="95"/>
  <c r="F63" i="95"/>
  <c r="E63" i="95"/>
  <c r="F62" i="95"/>
  <c r="E62" i="95"/>
  <c r="F61" i="95"/>
  <c r="E61" i="95"/>
  <c r="F60" i="95"/>
  <c r="E60" i="95"/>
  <c r="F59" i="95"/>
  <c r="E59" i="95"/>
  <c r="F58" i="95"/>
  <c r="E58" i="95"/>
  <c r="F57" i="95"/>
  <c r="E57" i="95"/>
  <c r="E37" i="95"/>
  <c r="E36" i="95"/>
  <c r="E35" i="95"/>
  <c r="E34" i="95"/>
  <c r="E33" i="95"/>
  <c r="E32" i="95"/>
  <c r="E31" i="95"/>
  <c r="E30" i="95"/>
  <c r="E29" i="95"/>
  <c r="E28" i="95"/>
  <c r="E27" i="95"/>
  <c r="E26" i="95"/>
  <c r="E25" i="95"/>
  <c r="E24" i="95"/>
  <c r="E23" i="95"/>
  <c r="E22" i="95"/>
  <c r="E21" i="95"/>
  <c r="E20" i="95"/>
  <c r="E19" i="95"/>
  <c r="E18" i="95"/>
  <c r="E17" i="95"/>
  <c r="H3" i="95"/>
  <c r="D101" i="94"/>
  <c r="D75" i="94"/>
  <c r="D76" i="94" s="1"/>
  <c r="D44" i="94"/>
  <c r="D17" i="94"/>
  <c r="D18" i="94" s="1"/>
  <c r="I4" i="94"/>
  <c r="J4" i="94" s="1"/>
  <c r="K4" i="94" s="1"/>
  <c r="L4" i="94" s="1"/>
  <c r="M4" i="94" s="1"/>
  <c r="N4" i="94" s="1"/>
  <c r="O4" i="94" s="1"/>
  <c r="P4" i="94" s="1"/>
  <c r="Q4" i="94" s="1"/>
  <c r="R4" i="94" s="1"/>
  <c r="S4" i="94" s="1"/>
  <c r="T4" i="94" s="1"/>
  <c r="U4" i="94" s="1"/>
  <c r="V4" i="94" s="1"/>
  <c r="W4" i="94" s="1"/>
  <c r="X4" i="94" s="1"/>
  <c r="Y4" i="94" s="1"/>
  <c r="Z4" i="94" s="1"/>
  <c r="AA4" i="94" s="1"/>
  <c r="AB4" i="94" s="1"/>
  <c r="I3" i="94"/>
  <c r="J3" i="94" s="1"/>
  <c r="K3" i="94" s="1"/>
  <c r="L3" i="94" s="1"/>
  <c r="M3" i="94" s="1"/>
  <c r="N3" i="94" s="1"/>
  <c r="O3" i="94" s="1"/>
  <c r="P3" i="94" s="1"/>
  <c r="Q3" i="94" s="1"/>
  <c r="R3" i="94" s="1"/>
  <c r="S3" i="94" s="1"/>
  <c r="T3" i="94" s="1"/>
  <c r="U3" i="94" s="1"/>
  <c r="V3" i="94" s="1"/>
  <c r="W3" i="94" s="1"/>
  <c r="X3" i="94" s="1"/>
  <c r="Y3" i="94" s="1"/>
  <c r="Z3" i="94" s="1"/>
  <c r="AA3" i="94" s="1"/>
  <c r="AB3" i="94" s="1"/>
  <c r="O65" i="90"/>
  <c r="O48" i="90"/>
  <c r="N61" i="86"/>
  <c r="O61" i="86" s="1"/>
  <c r="P61" i="86" s="1"/>
  <c r="Q61" i="86" s="1"/>
  <c r="R61" i="86" s="1"/>
  <c r="S61" i="86" s="1"/>
  <c r="T61" i="86" s="1"/>
  <c r="U61" i="86" s="1"/>
  <c r="V61" i="86" s="1"/>
  <c r="W61" i="86" s="1"/>
  <c r="X61" i="86" s="1"/>
  <c r="Y61" i="86" s="1"/>
  <c r="Z61" i="86" s="1"/>
  <c r="AA61" i="86" s="1"/>
  <c r="AB61" i="86" s="1"/>
  <c r="AC61" i="86" s="1"/>
  <c r="AD61" i="86" s="1"/>
  <c r="AE61" i="86" s="1"/>
  <c r="AF61" i="86" s="1"/>
  <c r="AG61" i="86" s="1"/>
  <c r="AH61" i="86" s="1"/>
  <c r="N60" i="86"/>
  <c r="N59" i="86"/>
  <c r="N76" i="86" s="1"/>
  <c r="N55" i="86"/>
  <c r="G49" i="95" s="1"/>
  <c r="N54" i="86"/>
  <c r="G9" i="95" s="1"/>
  <c r="N53" i="86"/>
  <c r="N52" i="86"/>
  <c r="N86" i="86" s="1"/>
  <c r="O83" i="86" s="1"/>
  <c r="C8" i="93"/>
  <c r="C7" i="93"/>
  <c r="N71" i="86"/>
  <c r="L71" i="86" s="1"/>
  <c r="N70" i="86"/>
  <c r="L70" i="86" s="1"/>
  <c r="N51" i="86"/>
  <c r="N75" i="86" s="1"/>
  <c r="C92" i="92"/>
  <c r="O38" i="92"/>
  <c r="N38" i="92"/>
  <c r="M38" i="92"/>
  <c r="L38" i="92"/>
  <c r="K38" i="92"/>
  <c r="J38" i="92"/>
  <c r="I38" i="92"/>
  <c r="H38" i="92"/>
  <c r="G38" i="92"/>
  <c r="F38" i="92"/>
  <c r="E38" i="92"/>
  <c r="O37" i="92"/>
  <c r="N37" i="92"/>
  <c r="M37" i="92"/>
  <c r="L37" i="92"/>
  <c r="K37" i="92"/>
  <c r="J37" i="92"/>
  <c r="I37" i="92"/>
  <c r="H37" i="92"/>
  <c r="G37" i="92"/>
  <c r="F37" i="92"/>
  <c r="O36" i="92"/>
  <c r="N36" i="92"/>
  <c r="M36" i="92"/>
  <c r="L36" i="92"/>
  <c r="K36" i="92"/>
  <c r="J36" i="92"/>
  <c r="I36" i="92"/>
  <c r="H36" i="92"/>
  <c r="G36" i="92"/>
  <c r="O35" i="92"/>
  <c r="N35" i="92"/>
  <c r="M35" i="92"/>
  <c r="L35" i="92"/>
  <c r="K35" i="92"/>
  <c r="J35" i="92"/>
  <c r="I35" i="92"/>
  <c r="H35" i="92"/>
  <c r="O34" i="92"/>
  <c r="N34" i="92"/>
  <c r="M34" i="92"/>
  <c r="L34" i="92"/>
  <c r="K34" i="92"/>
  <c r="J34" i="92"/>
  <c r="I34" i="92"/>
  <c r="O33" i="92"/>
  <c r="N33" i="92"/>
  <c r="M33" i="92"/>
  <c r="L33" i="92"/>
  <c r="K33" i="92"/>
  <c r="J33" i="92"/>
  <c r="O32" i="92"/>
  <c r="N32" i="92"/>
  <c r="M32" i="92"/>
  <c r="L32" i="92"/>
  <c r="K32" i="92"/>
  <c r="O31" i="92"/>
  <c r="N31" i="92"/>
  <c r="M31" i="92"/>
  <c r="L31" i="92"/>
  <c r="O30" i="92"/>
  <c r="N30" i="92"/>
  <c r="M30" i="92"/>
  <c r="O29" i="92"/>
  <c r="N29" i="92"/>
  <c r="O28" i="92"/>
  <c r="N102" i="86" l="1"/>
  <c r="O99" i="86" s="1"/>
  <c r="N72" i="86"/>
  <c r="G1" i="85"/>
  <c r="B60" i="85" a="1"/>
  <c r="B60" i="85" s="1"/>
  <c r="B65" i="85" a="1"/>
  <c r="B65" i="85" s="1"/>
  <c r="B62" i="85" a="1"/>
  <c r="B62" i="85" s="1"/>
  <c r="B64" i="85" a="1"/>
  <c r="B64" i="85" s="1"/>
  <c r="B63" i="85" a="1"/>
  <c r="B63" i="85" s="1"/>
  <c r="B61" i="85" a="1"/>
  <c r="B61" i="85" s="1"/>
  <c r="K16" i="86"/>
  <c r="K17" i="86" s="1"/>
  <c r="K70" i="90" s="1"/>
  <c r="N12" i="86"/>
  <c r="H12" i="86"/>
  <c r="E16" i="86"/>
  <c r="E17" i="86" s="1"/>
  <c r="E70" i="90" s="1"/>
  <c r="D16" i="86"/>
  <c r="D17" i="86" s="1"/>
  <c r="D70" i="90" s="1"/>
  <c r="G12" i="86"/>
  <c r="F12" i="86"/>
  <c r="I12" i="86"/>
  <c r="F16" i="86"/>
  <c r="F17" i="86" s="1"/>
  <c r="F70" i="90" s="1"/>
  <c r="J16" i="86"/>
  <c r="J17" i="86" s="1"/>
  <c r="J70" i="90" s="1"/>
  <c r="M12" i="86"/>
  <c r="L12" i="86"/>
  <c r="K12" i="86"/>
  <c r="N50" i="86"/>
  <c r="N165" i="86" s="1"/>
  <c r="O163" i="86" s="1"/>
  <c r="O107" i="86" s="1"/>
  <c r="N96" i="86"/>
  <c r="O93" i="86" s="1"/>
  <c r="C12" i="89"/>
  <c r="C11" i="90"/>
  <c r="C5" i="86"/>
  <c r="C9" i="86" s="1"/>
  <c r="C22" i="90"/>
  <c r="D6" i="89"/>
  <c r="D11" i="89" s="1"/>
  <c r="C57" i="95"/>
  <c r="S57" i="95" s="1"/>
  <c r="H46" i="95"/>
  <c r="H6" i="95"/>
  <c r="C17" i="95"/>
  <c r="D102" i="94"/>
  <c r="D77" i="94"/>
  <c r="D103" i="94"/>
  <c r="D45" i="94"/>
  <c r="D19" i="94"/>
  <c r="D46" i="94"/>
  <c r="I3" i="95"/>
  <c r="O72" i="90"/>
  <c r="N79" i="86"/>
  <c r="N78" i="86"/>
  <c r="C95" i="92"/>
  <c r="C103" i="92"/>
  <c r="C96" i="92"/>
  <c r="C98" i="92"/>
  <c r="C97" i="92"/>
  <c r="C99" i="92"/>
  <c r="C100" i="92"/>
  <c r="C93" i="92"/>
  <c r="O93" i="92" s="1"/>
  <c r="C101" i="92"/>
  <c r="C94" i="92"/>
  <c r="C102" i="92"/>
  <c r="H1" i="85" l="1"/>
  <c r="B59" i="85" a="1"/>
  <c r="B59" i="85" s="1"/>
  <c r="B57" i="85" a="1"/>
  <c r="B57" i="85" s="1"/>
  <c r="B58" i="85" a="1"/>
  <c r="B58" i="85" s="1"/>
  <c r="B55" i="85" a="1"/>
  <c r="B55" i="85" s="1"/>
  <c r="B56" i="85" a="1"/>
  <c r="B56" i="85" s="1"/>
  <c r="D12" i="89"/>
  <c r="U57" i="95"/>
  <c r="Q57" i="95"/>
  <c r="O57" i="95"/>
  <c r="V57" i="95"/>
  <c r="W57" i="95"/>
  <c r="N57" i="95"/>
  <c r="M57" i="95"/>
  <c r="I57" i="95"/>
  <c r="P57" i="95"/>
  <c r="L57" i="95"/>
  <c r="J57" i="95"/>
  <c r="H57" i="95"/>
  <c r="H78" i="95" s="1"/>
  <c r="H48" i="95" s="1"/>
  <c r="T57" i="95"/>
  <c r="R57" i="95"/>
  <c r="K57" i="95"/>
  <c r="R17" i="95"/>
  <c r="J17" i="95"/>
  <c r="H17" i="95"/>
  <c r="H39" i="95" s="1"/>
  <c r="H8" i="95" s="1"/>
  <c r="V17" i="95"/>
  <c r="N17" i="95"/>
  <c r="U17" i="95"/>
  <c r="T17" i="95"/>
  <c r="L17" i="95"/>
  <c r="Q17" i="95"/>
  <c r="I17" i="95"/>
  <c r="P17" i="95"/>
  <c r="W17" i="95"/>
  <c r="O17" i="95"/>
  <c r="M17" i="95"/>
  <c r="S17" i="95"/>
  <c r="K17" i="95"/>
  <c r="D78" i="94"/>
  <c r="D104" i="94"/>
  <c r="D20" i="94"/>
  <c r="D47" i="94"/>
  <c r="J3" i="95"/>
  <c r="O86" i="90"/>
  <c r="O96" i="92"/>
  <c r="M96" i="92"/>
  <c r="L96" i="92"/>
  <c r="N96" i="92"/>
  <c r="J102" i="92"/>
  <c r="I102" i="92"/>
  <c r="H102" i="92"/>
  <c r="O102" i="92"/>
  <c r="G102" i="92"/>
  <c r="M102" i="92"/>
  <c r="L102" i="92"/>
  <c r="N102" i="92"/>
  <c r="K102" i="92"/>
  <c r="F102" i="92"/>
  <c r="J100" i="92"/>
  <c r="I100" i="92"/>
  <c r="H100" i="92"/>
  <c r="O100" i="92"/>
  <c r="N100" i="92"/>
  <c r="M100" i="92"/>
  <c r="L100" i="92"/>
  <c r="K100" i="92"/>
  <c r="O94" i="92"/>
  <c r="N94" i="92"/>
  <c r="N97" i="92"/>
  <c r="O97" i="92"/>
  <c r="M97" i="92"/>
  <c r="L97" i="92"/>
  <c r="K97" i="92"/>
  <c r="J103" i="92"/>
  <c r="I103" i="92"/>
  <c r="H103" i="92"/>
  <c r="N103" i="92"/>
  <c r="O103" i="92"/>
  <c r="G103" i="92"/>
  <c r="F103" i="92"/>
  <c r="M103" i="92"/>
  <c r="E103" i="92"/>
  <c r="L103" i="92"/>
  <c r="K103" i="92"/>
  <c r="J101" i="92"/>
  <c r="I101" i="92"/>
  <c r="H101" i="92"/>
  <c r="N101" i="92"/>
  <c r="O101" i="92"/>
  <c r="G101" i="92"/>
  <c r="M101" i="92"/>
  <c r="L101" i="92"/>
  <c r="K101" i="92"/>
  <c r="J98" i="92"/>
  <c r="O98" i="92"/>
  <c r="N98" i="92"/>
  <c r="M98" i="92"/>
  <c r="L98" i="92"/>
  <c r="K98" i="92"/>
  <c r="O95" i="92"/>
  <c r="M95" i="92"/>
  <c r="N95" i="92"/>
  <c r="J99" i="92"/>
  <c r="I99" i="92"/>
  <c r="N99" i="92"/>
  <c r="O99" i="92"/>
  <c r="M99" i="92"/>
  <c r="L99" i="92"/>
  <c r="K99" i="92"/>
  <c r="E5" i="92"/>
  <c r="F5" i="92" s="1"/>
  <c r="G5" i="92" s="1"/>
  <c r="H5" i="92" s="1"/>
  <c r="I5" i="92" s="1"/>
  <c r="J5" i="92" s="1"/>
  <c r="K5" i="92" s="1"/>
  <c r="L5" i="92" s="1"/>
  <c r="M5" i="92" s="1"/>
  <c r="N5" i="92" s="1"/>
  <c r="O5" i="92" s="1"/>
  <c r="D4" i="92"/>
  <c r="E4" i="92" s="1"/>
  <c r="F4" i="92" s="1"/>
  <c r="G4" i="92" s="1"/>
  <c r="H4" i="92" s="1"/>
  <c r="I4" i="92" s="1"/>
  <c r="J4" i="92" s="1"/>
  <c r="K4" i="92" s="1"/>
  <c r="L4" i="92" s="1"/>
  <c r="M4" i="92" s="1"/>
  <c r="N4" i="92" s="1"/>
  <c r="O4" i="92" s="1"/>
  <c r="D3" i="92"/>
  <c r="E3" i="92" s="1"/>
  <c r="F3" i="92" s="1"/>
  <c r="G3" i="92" s="1"/>
  <c r="H3" i="92" s="1"/>
  <c r="I3" i="92" s="1"/>
  <c r="J3" i="92" s="1"/>
  <c r="K3" i="92" s="1"/>
  <c r="L3" i="92" s="1"/>
  <c r="M3" i="92" s="1"/>
  <c r="N3" i="92" s="1"/>
  <c r="O3" i="92" s="1"/>
  <c r="N48" i="90"/>
  <c r="N65" i="90"/>
  <c r="N93" i="90"/>
  <c r="N94" i="90"/>
  <c r="N95" i="90"/>
  <c r="M95" i="90"/>
  <c r="L95" i="90"/>
  <c r="K95" i="90"/>
  <c r="J95" i="90"/>
  <c r="I95" i="90"/>
  <c r="H95" i="90"/>
  <c r="G95" i="90"/>
  <c r="F95" i="90"/>
  <c r="E95" i="90"/>
  <c r="D95" i="90"/>
  <c r="C95" i="90"/>
  <c r="M94" i="90"/>
  <c r="L94" i="90"/>
  <c r="K94" i="90"/>
  <c r="J94" i="90"/>
  <c r="I94" i="90"/>
  <c r="H94" i="90"/>
  <c r="G94" i="90"/>
  <c r="F94" i="90"/>
  <c r="E94" i="90"/>
  <c r="D94" i="90"/>
  <c r="C94" i="90"/>
  <c r="M93" i="90"/>
  <c r="L93" i="90"/>
  <c r="K93" i="90"/>
  <c r="J93" i="90"/>
  <c r="I93" i="90"/>
  <c r="H93" i="90"/>
  <c r="G93" i="90"/>
  <c r="F93" i="90"/>
  <c r="E93" i="90"/>
  <c r="D93" i="90"/>
  <c r="C93" i="90"/>
  <c r="M65" i="90"/>
  <c r="M72" i="90" s="1"/>
  <c r="M86" i="90" s="1"/>
  <c r="L65" i="90"/>
  <c r="L72" i="90" s="1"/>
  <c r="L86" i="90" s="1"/>
  <c r="K65" i="90"/>
  <c r="K72" i="90" s="1"/>
  <c r="K86" i="90" s="1"/>
  <c r="J65" i="90"/>
  <c r="J72" i="90" s="1"/>
  <c r="J86" i="90" s="1"/>
  <c r="I65" i="90"/>
  <c r="I72" i="90" s="1"/>
  <c r="I86" i="90" s="1"/>
  <c r="H65" i="90"/>
  <c r="H72" i="90" s="1"/>
  <c r="H86" i="90" s="1"/>
  <c r="G65" i="90"/>
  <c r="G72" i="90" s="1"/>
  <c r="G86" i="90" s="1"/>
  <c r="F65" i="90"/>
  <c r="F72" i="90" s="1"/>
  <c r="F86" i="90" s="1"/>
  <c r="E65" i="90"/>
  <c r="E72" i="90" s="1"/>
  <c r="E86" i="90" s="1"/>
  <c r="D65" i="90"/>
  <c r="D72" i="90" s="1"/>
  <c r="D86" i="90" s="1"/>
  <c r="C72" i="90"/>
  <c r="M48" i="90"/>
  <c r="L48" i="90"/>
  <c r="K48" i="90"/>
  <c r="J48" i="90"/>
  <c r="I48" i="90"/>
  <c r="H48" i="90"/>
  <c r="G48" i="90"/>
  <c r="F48" i="90"/>
  <c r="E48" i="90"/>
  <c r="D48" i="90"/>
  <c r="B17" i="90"/>
  <c r="B16" i="90"/>
  <c r="B15" i="90"/>
  <c r="B14" i="90"/>
  <c r="B13" i="90"/>
  <c r="B11" i="90"/>
  <c r="B10" i="90"/>
  <c r="B9" i="90"/>
  <c r="B8" i="90"/>
  <c r="B7" i="90"/>
  <c r="B6" i="90"/>
  <c r="B5" i="90"/>
  <c r="N23" i="89"/>
  <c r="M23" i="89"/>
  <c r="L23" i="89"/>
  <c r="K23" i="89"/>
  <c r="J23" i="89"/>
  <c r="I23" i="89"/>
  <c r="H23" i="89"/>
  <c r="G23" i="89"/>
  <c r="F23" i="89"/>
  <c r="E23" i="89"/>
  <c r="D23" i="89"/>
  <c r="N22" i="89"/>
  <c r="M22" i="89"/>
  <c r="L22" i="89"/>
  <c r="K22" i="89"/>
  <c r="J22" i="89"/>
  <c r="I22" i="89"/>
  <c r="H22" i="89"/>
  <c r="G22" i="89"/>
  <c r="F22" i="89"/>
  <c r="E22" i="89"/>
  <c r="D22" i="89"/>
  <c r="G11" i="94"/>
  <c r="F11" i="94"/>
  <c r="E11" i="94"/>
  <c r="I10" i="90"/>
  <c r="I34" i="90" s="1"/>
  <c r="G10" i="94"/>
  <c r="F10" i="94"/>
  <c r="E10" i="94"/>
  <c r="H9" i="90"/>
  <c r="H33" i="90" s="1"/>
  <c r="G9" i="90"/>
  <c r="G33" i="90" s="1"/>
  <c r="G9" i="94"/>
  <c r="F9" i="94"/>
  <c r="E9" i="94"/>
  <c r="G8" i="94"/>
  <c r="F8" i="94"/>
  <c r="E8" i="94"/>
  <c r="G7" i="90"/>
  <c r="G31" i="90" s="1"/>
  <c r="C31" i="90"/>
  <c r="L64" i="86"/>
  <c r="B27" i="86"/>
  <c r="B26" i="86"/>
  <c r="B25" i="86"/>
  <c r="B24" i="86"/>
  <c r="N23" i="86"/>
  <c r="M23" i="86"/>
  <c r="L23" i="86"/>
  <c r="K23" i="86"/>
  <c r="J23" i="86"/>
  <c r="I23" i="86"/>
  <c r="H23" i="86"/>
  <c r="G23" i="86"/>
  <c r="F23" i="86"/>
  <c r="E23" i="86"/>
  <c r="D23" i="86"/>
  <c r="C23" i="86"/>
  <c r="P76" i="86"/>
  <c r="Q76" i="86" s="1"/>
  <c r="R76" i="86" s="1"/>
  <c r="S76" i="86" s="1"/>
  <c r="T76" i="86" s="1"/>
  <c r="U76" i="86" s="1"/>
  <c r="V76" i="86" s="1"/>
  <c r="W76" i="86" s="1"/>
  <c r="X76" i="86" s="1"/>
  <c r="Y76" i="86" s="1"/>
  <c r="Z76" i="86" s="1"/>
  <c r="AA76" i="86" s="1"/>
  <c r="AB76" i="86" s="1"/>
  <c r="AC76" i="86" s="1"/>
  <c r="AD76" i="86" s="1"/>
  <c r="AE76" i="86" s="1"/>
  <c r="AF76" i="86" s="1"/>
  <c r="AG76" i="86" s="1"/>
  <c r="AH76" i="86" s="1"/>
  <c r="I1" i="85" l="1"/>
  <c r="B52" i="85" a="1"/>
  <c r="B52" i="85" s="1"/>
  <c r="B53" i="85" a="1"/>
  <c r="B53" i="85" s="1"/>
  <c r="B51" i="85" a="1"/>
  <c r="B51" i="85" s="1"/>
  <c r="B54" i="85" a="1"/>
  <c r="B54" i="85" s="1"/>
  <c r="L15" i="90"/>
  <c r="L64" i="90" s="1"/>
  <c r="L66" i="90" s="1"/>
  <c r="L27" i="89"/>
  <c r="J16" i="90"/>
  <c r="J28" i="89"/>
  <c r="F15" i="90"/>
  <c r="F64" i="90" s="1"/>
  <c r="F66" i="90" s="1"/>
  <c r="F27" i="89"/>
  <c r="G27" i="89"/>
  <c r="E16" i="90"/>
  <c r="E28" i="89"/>
  <c r="I15" i="90"/>
  <c r="I64" i="90" s="1"/>
  <c r="I66" i="90" s="1"/>
  <c r="I27" i="89"/>
  <c r="F16" i="90"/>
  <c r="F28" i="89"/>
  <c r="N28" i="89"/>
  <c r="D15" i="90"/>
  <c r="D64" i="90" s="1"/>
  <c r="D66" i="90" s="1"/>
  <c r="D27" i="89"/>
  <c r="E15" i="90"/>
  <c r="E64" i="90" s="1"/>
  <c r="E66" i="90" s="1"/>
  <c r="E27" i="89"/>
  <c r="K16" i="90"/>
  <c r="K28" i="89"/>
  <c r="D16" i="90"/>
  <c r="D28" i="89"/>
  <c r="H15" i="90"/>
  <c r="H64" i="90" s="1"/>
  <c r="H66" i="90" s="1"/>
  <c r="H27" i="89"/>
  <c r="J15" i="90"/>
  <c r="J64" i="90" s="1"/>
  <c r="J66" i="90" s="1"/>
  <c r="J27" i="89"/>
  <c r="G16" i="90"/>
  <c r="G28" i="89"/>
  <c r="I16" i="90"/>
  <c r="I28" i="89"/>
  <c r="M15" i="90"/>
  <c r="M64" i="90" s="1"/>
  <c r="M66" i="90" s="1"/>
  <c r="M27" i="89"/>
  <c r="N27" i="89"/>
  <c r="L16" i="90"/>
  <c r="L28" i="89"/>
  <c r="M16" i="90"/>
  <c r="M28" i="89"/>
  <c r="K15" i="90"/>
  <c r="K64" i="90" s="1"/>
  <c r="K66" i="90" s="1"/>
  <c r="K27" i="89"/>
  <c r="H28" i="89"/>
  <c r="L60" i="90"/>
  <c r="M60" i="90"/>
  <c r="F12" i="94"/>
  <c r="J7" i="94" s="1"/>
  <c r="E12" i="94"/>
  <c r="I7" i="94" s="1"/>
  <c r="O150" i="86"/>
  <c r="N9" i="90"/>
  <c r="N33" i="90" s="1"/>
  <c r="H10" i="94"/>
  <c r="G12" i="94"/>
  <c r="K7" i="94" s="1"/>
  <c r="N7" i="90"/>
  <c r="N31" i="90" s="1"/>
  <c r="H8" i="94"/>
  <c r="N10" i="90"/>
  <c r="N34" i="90" s="1"/>
  <c r="H11" i="94"/>
  <c r="N8" i="90"/>
  <c r="N47" i="90" s="1"/>
  <c r="H9" i="94"/>
  <c r="D79" i="94"/>
  <c r="D105" i="94"/>
  <c r="D21" i="94"/>
  <c r="D48" i="94"/>
  <c r="K3" i="95"/>
  <c r="N60" i="90"/>
  <c r="N68" i="86"/>
  <c r="L65" i="86"/>
  <c r="L69" i="86"/>
  <c r="H26" i="86"/>
  <c r="I24" i="86"/>
  <c r="J92" i="90"/>
  <c r="C25" i="86"/>
  <c r="K92" i="90"/>
  <c r="D60" i="90"/>
  <c r="E24" i="86"/>
  <c r="F92" i="90"/>
  <c r="G26" i="86"/>
  <c r="C92" i="90"/>
  <c r="D92" i="90"/>
  <c r="E92" i="90"/>
  <c r="N92" i="90"/>
  <c r="C39" i="90"/>
  <c r="L24" i="86"/>
  <c r="N39" i="90"/>
  <c r="M24" i="86"/>
  <c r="G15" i="90"/>
  <c r="G64" i="90" s="1"/>
  <c r="G66" i="90" s="1"/>
  <c r="H16" i="90"/>
  <c r="N16" i="90"/>
  <c r="N15" i="90"/>
  <c r="N64" i="90" s="1"/>
  <c r="N66" i="90" s="1"/>
  <c r="B8" i="92" a="1"/>
  <c r="N72" i="90"/>
  <c r="L39" i="90"/>
  <c r="M39" i="90"/>
  <c r="L92" i="90"/>
  <c r="E60" i="90"/>
  <c r="M92" i="90"/>
  <c r="N10" i="86"/>
  <c r="G27" i="86"/>
  <c r="N27" i="86"/>
  <c r="F60" i="90"/>
  <c r="F39" i="90"/>
  <c r="G39" i="90"/>
  <c r="G60" i="90"/>
  <c r="H39" i="90"/>
  <c r="F27" i="86"/>
  <c r="D39" i="90"/>
  <c r="I39" i="90"/>
  <c r="J60" i="90"/>
  <c r="H92" i="90"/>
  <c r="G92" i="90"/>
  <c r="E39" i="90"/>
  <c r="J39" i="90"/>
  <c r="C60" i="90"/>
  <c r="K60" i="90"/>
  <c r="I92" i="90"/>
  <c r="L10" i="86"/>
  <c r="H60" i="90"/>
  <c r="I60" i="90"/>
  <c r="M27" i="86"/>
  <c r="H27" i="86"/>
  <c r="K39" i="90"/>
  <c r="F8" i="90"/>
  <c r="F32" i="90" s="1"/>
  <c r="E9" i="90"/>
  <c r="E33" i="90" s="1"/>
  <c r="M9" i="90"/>
  <c r="M33" i="90" s="1"/>
  <c r="E10" i="90"/>
  <c r="E34" i="90" s="1"/>
  <c r="H7" i="90"/>
  <c r="H31" i="90" s="1"/>
  <c r="G8" i="90"/>
  <c r="G47" i="90" s="1"/>
  <c r="F9" i="90"/>
  <c r="F33" i="90" s="1"/>
  <c r="F10" i="90"/>
  <c r="F34" i="90" s="1"/>
  <c r="D10" i="90"/>
  <c r="D34" i="90" s="1"/>
  <c r="L10" i="90"/>
  <c r="L34" i="90" s="1"/>
  <c r="I7" i="90"/>
  <c r="I31" i="90" s="1"/>
  <c r="H8" i="90"/>
  <c r="H32" i="90" s="1"/>
  <c r="G10" i="90"/>
  <c r="G34" i="90" s="1"/>
  <c r="J7" i="90"/>
  <c r="J31" i="90" s="1"/>
  <c r="I8" i="90"/>
  <c r="I32" i="90" s="1"/>
  <c r="H10" i="90"/>
  <c r="H34" i="90" s="1"/>
  <c r="K7" i="90"/>
  <c r="K31" i="90" s="1"/>
  <c r="J8" i="90"/>
  <c r="J32" i="90" s="1"/>
  <c r="I9" i="90"/>
  <c r="I33" i="90" s="1"/>
  <c r="D7" i="90"/>
  <c r="D31" i="90" s="1"/>
  <c r="L7" i="90"/>
  <c r="L31" i="90" s="1"/>
  <c r="C32" i="90"/>
  <c r="K8" i="90"/>
  <c r="K32" i="90" s="1"/>
  <c r="J9" i="90"/>
  <c r="J33" i="90" s="1"/>
  <c r="J10" i="90"/>
  <c r="J34" i="90" s="1"/>
  <c r="E7" i="90"/>
  <c r="E31" i="90" s="1"/>
  <c r="M7" i="90"/>
  <c r="M31" i="90" s="1"/>
  <c r="D8" i="90"/>
  <c r="D32" i="90" s="1"/>
  <c r="L8" i="90"/>
  <c r="L32" i="90" s="1"/>
  <c r="C33" i="90"/>
  <c r="K9" i="90"/>
  <c r="K33" i="90" s="1"/>
  <c r="K10" i="90"/>
  <c r="K34" i="90" s="1"/>
  <c r="F7" i="90"/>
  <c r="F31" i="90" s="1"/>
  <c r="E8" i="90"/>
  <c r="E32" i="90" s="1"/>
  <c r="M8" i="90"/>
  <c r="M32" i="90" s="1"/>
  <c r="D9" i="90"/>
  <c r="D33" i="90" s="1"/>
  <c r="L9" i="90"/>
  <c r="L33" i="90" s="1"/>
  <c r="C34" i="90"/>
  <c r="M10" i="90"/>
  <c r="M34" i="90" s="1"/>
  <c r="G78" i="90"/>
  <c r="G69" i="90"/>
  <c r="G71" i="90" s="1"/>
  <c r="G73" i="90" s="1"/>
  <c r="C69" i="90"/>
  <c r="G46" i="90"/>
  <c r="C26" i="86"/>
  <c r="C24" i="86"/>
  <c r="G10" i="86"/>
  <c r="K26" i="86"/>
  <c r="K10" i="86"/>
  <c r="K25" i="86"/>
  <c r="K24" i="86"/>
  <c r="J24" i="86"/>
  <c r="J26" i="86"/>
  <c r="M10" i="86"/>
  <c r="L26" i="86"/>
  <c r="L25" i="86"/>
  <c r="I25" i="86"/>
  <c r="E26" i="86"/>
  <c r="E25" i="86"/>
  <c r="M26" i="86"/>
  <c r="M25" i="86"/>
  <c r="H10" i="86"/>
  <c r="J27" i="86"/>
  <c r="J25" i="86"/>
  <c r="D26" i="86"/>
  <c r="D25" i="86"/>
  <c r="F26" i="86"/>
  <c r="F25" i="86"/>
  <c r="F24" i="86"/>
  <c r="N26" i="86"/>
  <c r="N25" i="86"/>
  <c r="N24" i="86"/>
  <c r="I10" i="86"/>
  <c r="C27" i="86"/>
  <c r="K27" i="86"/>
  <c r="G25" i="86"/>
  <c r="G24" i="86"/>
  <c r="J10" i="86"/>
  <c r="D27" i="86"/>
  <c r="L27" i="86"/>
  <c r="E27" i="86"/>
  <c r="I27" i="86"/>
  <c r="H25" i="86"/>
  <c r="H24" i="86"/>
  <c r="D24" i="86"/>
  <c r="I26" i="86"/>
  <c r="J1" i="85" l="1"/>
  <c r="B47" i="85" a="1"/>
  <c r="B47" i="85" s="1"/>
  <c r="B49" i="85" a="1"/>
  <c r="B49" i="85" s="1"/>
  <c r="B50" i="85" a="1"/>
  <c r="B50" i="85" s="1"/>
  <c r="B48" i="85" a="1"/>
  <c r="B48" i="85" s="1"/>
  <c r="P27" i="89"/>
  <c r="Q27" i="89" s="1"/>
  <c r="R27" i="89" s="1"/>
  <c r="S27" i="89" s="1"/>
  <c r="T27" i="89" s="1"/>
  <c r="U27" i="89" s="1"/>
  <c r="V27" i="89" s="1"/>
  <c r="W27" i="89" s="1"/>
  <c r="X27" i="89" s="1"/>
  <c r="Y27" i="89" s="1"/>
  <c r="Z27" i="89" s="1"/>
  <c r="AA27" i="89" s="1"/>
  <c r="AB27" i="89" s="1"/>
  <c r="AC27" i="89" s="1"/>
  <c r="AD27" i="89" s="1"/>
  <c r="AE27" i="89" s="1"/>
  <c r="AF27" i="89" s="1"/>
  <c r="AG27" i="89" s="1"/>
  <c r="AH27" i="89" s="1"/>
  <c r="P28" i="89"/>
  <c r="Q28" i="89" s="1"/>
  <c r="R28" i="89" s="1"/>
  <c r="S28" i="89" s="1"/>
  <c r="T28" i="89" s="1"/>
  <c r="U28" i="89" s="1"/>
  <c r="V28" i="89" s="1"/>
  <c r="W28" i="89" s="1"/>
  <c r="X28" i="89" s="1"/>
  <c r="Y28" i="89" s="1"/>
  <c r="Z28" i="89" s="1"/>
  <c r="AA28" i="89" s="1"/>
  <c r="AB28" i="89" s="1"/>
  <c r="AC28" i="89" s="1"/>
  <c r="AD28" i="89" s="1"/>
  <c r="AE28" i="89" s="1"/>
  <c r="AF28" i="89" s="1"/>
  <c r="AG28" i="89" s="1"/>
  <c r="AH28" i="89" s="1"/>
  <c r="N78" i="90"/>
  <c r="N46" i="90"/>
  <c r="N49" i="90" s="1"/>
  <c r="N32" i="90"/>
  <c r="N35" i="90" s="1"/>
  <c r="N69" i="90"/>
  <c r="N71" i="90" s="1"/>
  <c r="N73" i="90" s="1"/>
  <c r="H12" i="94"/>
  <c r="L7" i="94" s="1"/>
  <c r="D80" i="94"/>
  <c r="D106" i="94"/>
  <c r="D22" i="94"/>
  <c r="D49" i="94"/>
  <c r="L3" i="95"/>
  <c r="L68" i="86"/>
  <c r="N77" i="86"/>
  <c r="P77" i="86" s="1"/>
  <c r="Q77" i="86" s="1"/>
  <c r="R77" i="86" s="1"/>
  <c r="S77" i="86" s="1"/>
  <c r="T77" i="86" s="1"/>
  <c r="U77" i="86" s="1"/>
  <c r="V77" i="86" s="1"/>
  <c r="W77" i="86" s="1"/>
  <c r="X77" i="86" s="1"/>
  <c r="Y77" i="86" s="1"/>
  <c r="Z77" i="86" s="1"/>
  <c r="AA77" i="86" s="1"/>
  <c r="AB77" i="86" s="1"/>
  <c r="AC77" i="86" s="1"/>
  <c r="AD77" i="86" s="1"/>
  <c r="AE77" i="86" s="1"/>
  <c r="AF77" i="86" s="1"/>
  <c r="AG77" i="86" s="1"/>
  <c r="AH77" i="86" s="1"/>
  <c r="F98" i="90"/>
  <c r="L98" i="90"/>
  <c r="F99" i="90"/>
  <c r="J99" i="90"/>
  <c r="D99" i="90"/>
  <c r="F97" i="90"/>
  <c r="G4" i="89"/>
  <c r="D78" i="90"/>
  <c r="I35" i="90"/>
  <c r="G41" i="90"/>
  <c r="M97" i="90"/>
  <c r="K41" i="90"/>
  <c r="N41" i="90"/>
  <c r="E97" i="90"/>
  <c r="D97" i="90"/>
  <c r="M41" i="90"/>
  <c r="N98" i="90"/>
  <c r="N99" i="90"/>
  <c r="G98" i="90"/>
  <c r="D98" i="90"/>
  <c r="E98" i="90"/>
  <c r="G97" i="90"/>
  <c r="M99" i="90"/>
  <c r="E99" i="90"/>
  <c r="J41" i="90"/>
  <c r="C99" i="90"/>
  <c r="N97" i="90"/>
  <c r="I46" i="90"/>
  <c r="I49" i="90" s="1"/>
  <c r="I78" i="90"/>
  <c r="M35" i="90"/>
  <c r="L78" i="90"/>
  <c r="J47" i="90"/>
  <c r="K35" i="90"/>
  <c r="H35" i="90"/>
  <c r="G74" i="90"/>
  <c r="C35" i="90"/>
  <c r="B34" i="92"/>
  <c r="B51" i="92" s="1"/>
  <c r="B67" i="92" s="1"/>
  <c r="B83" i="92" s="1"/>
  <c r="B99" i="92" s="1"/>
  <c r="B32" i="92"/>
  <c r="B49" i="92" s="1"/>
  <c r="B65" i="92" s="1"/>
  <c r="B81" i="92" s="1"/>
  <c r="B97" i="92" s="1"/>
  <c r="B38" i="92"/>
  <c r="B55" i="92" s="1"/>
  <c r="B71" i="92" s="1"/>
  <c r="B87" i="92" s="1"/>
  <c r="B103" i="92" s="1"/>
  <c r="B30" i="92"/>
  <c r="B47" i="92" s="1"/>
  <c r="B63" i="92" s="1"/>
  <c r="B79" i="92" s="1"/>
  <c r="B95" i="92" s="1"/>
  <c r="B31" i="92"/>
  <c r="B48" i="92" s="1"/>
  <c r="B64" i="92" s="1"/>
  <c r="B80" i="92" s="1"/>
  <c r="B96" i="92" s="1"/>
  <c r="B28" i="92"/>
  <c r="B45" i="92" s="1"/>
  <c r="B61" i="92" s="1"/>
  <c r="B77" i="92" s="1"/>
  <c r="B93" i="92" s="1"/>
  <c r="B37" i="92"/>
  <c r="B54" i="92" s="1"/>
  <c r="B70" i="92" s="1"/>
  <c r="B86" i="92" s="1"/>
  <c r="B102" i="92" s="1"/>
  <c r="B8" i="92"/>
  <c r="B7" i="92" s="1"/>
  <c r="B26" i="92" s="1"/>
  <c r="B43" i="92" s="1"/>
  <c r="B36" i="92"/>
  <c r="B53" i="92" s="1"/>
  <c r="B69" i="92" s="1"/>
  <c r="B85" i="92" s="1"/>
  <c r="B101" i="92" s="1"/>
  <c r="B35" i="92"/>
  <c r="B52" i="92" s="1"/>
  <c r="B68" i="92" s="1"/>
  <c r="B84" i="92" s="1"/>
  <c r="B100" i="92" s="1"/>
  <c r="B33" i="92"/>
  <c r="B50" i="92" s="1"/>
  <c r="B66" i="92" s="1"/>
  <c r="B82" i="92" s="1"/>
  <c r="B98" i="92" s="1"/>
  <c r="B29" i="92"/>
  <c r="B46" i="92" s="1"/>
  <c r="B62" i="92" s="1"/>
  <c r="B78" i="92" s="1"/>
  <c r="B94" i="92" s="1"/>
  <c r="G32" i="90"/>
  <c r="G35" i="90" s="1"/>
  <c r="I74" i="90"/>
  <c r="J35" i="90"/>
  <c r="J46" i="90"/>
  <c r="J49" i="90" s="1"/>
  <c r="I47" i="90"/>
  <c r="J69" i="90"/>
  <c r="J71" i="90" s="1"/>
  <c r="J73" i="90" s="1"/>
  <c r="J74" i="90"/>
  <c r="E35" i="90"/>
  <c r="N74" i="90"/>
  <c r="N86" i="90"/>
  <c r="H46" i="90"/>
  <c r="H49" i="90" s="1"/>
  <c r="E78" i="90"/>
  <c r="D46" i="90"/>
  <c r="D49" i="90" s="1"/>
  <c r="I69" i="90"/>
  <c r="I71" i="90" s="1"/>
  <c r="I73" i="90" s="1"/>
  <c r="D69" i="90"/>
  <c r="D71" i="90" s="1"/>
  <c r="D73" i="90" s="1"/>
  <c r="J78" i="90"/>
  <c r="H69" i="90"/>
  <c r="H71" i="90" s="1"/>
  <c r="H73" i="90" s="1"/>
  <c r="K46" i="90"/>
  <c r="K49" i="90" s="1"/>
  <c r="F69" i="90"/>
  <c r="F71" i="90" s="1"/>
  <c r="F73" i="90" s="1"/>
  <c r="M46" i="90"/>
  <c r="M49" i="90" s="1"/>
  <c r="L47" i="90"/>
  <c r="I41" i="90"/>
  <c r="E74" i="90"/>
  <c r="M78" i="90"/>
  <c r="F35" i="90"/>
  <c r="C74" i="90"/>
  <c r="H78" i="90"/>
  <c r="E46" i="90"/>
  <c r="E49" i="90" s="1"/>
  <c r="E69" i="90"/>
  <c r="E71" i="90" s="1"/>
  <c r="E73" i="90" s="1"/>
  <c r="C98" i="90"/>
  <c r="K98" i="90"/>
  <c r="L41" i="90"/>
  <c r="H98" i="90"/>
  <c r="K97" i="90"/>
  <c r="M98" i="90"/>
  <c r="I98" i="90"/>
  <c r="H97" i="90"/>
  <c r="C97" i="90"/>
  <c r="L97" i="90"/>
  <c r="K99" i="90"/>
  <c r="I99" i="90"/>
  <c r="H41" i="90"/>
  <c r="J97" i="90"/>
  <c r="G99" i="90"/>
  <c r="I97" i="90"/>
  <c r="L99" i="90"/>
  <c r="J98" i="90"/>
  <c r="C71" i="90"/>
  <c r="C73" i="90" s="1"/>
  <c r="H99" i="90"/>
  <c r="D35" i="90"/>
  <c r="D47" i="90"/>
  <c r="D74" i="90"/>
  <c r="M69" i="90"/>
  <c r="M71" i="90" s="1"/>
  <c r="M73" i="90" s="1"/>
  <c r="F78" i="90"/>
  <c r="M74" i="90"/>
  <c r="H74" i="90"/>
  <c r="E47" i="90"/>
  <c r="K69" i="90"/>
  <c r="K71" i="90" s="1"/>
  <c r="K73" i="90" s="1"/>
  <c r="L69" i="90"/>
  <c r="L71" i="90" s="1"/>
  <c r="L73" i="90" s="1"/>
  <c r="K78" i="90"/>
  <c r="M47" i="90"/>
  <c r="K47" i="90"/>
  <c r="F47" i="90"/>
  <c r="K74" i="90"/>
  <c r="L46" i="90"/>
  <c r="L49" i="90" s="1"/>
  <c r="H47" i="90"/>
  <c r="L35" i="90"/>
  <c r="L74" i="90"/>
  <c r="F46" i="90"/>
  <c r="F49" i="90" s="1"/>
  <c r="F74" i="90"/>
  <c r="G49" i="90"/>
  <c r="K1" i="85" l="1"/>
  <c r="B5" i="85" a="1"/>
  <c r="B5" i="85" s="1"/>
  <c r="B3" i="85" a="1"/>
  <c r="B3" i="85" s="1"/>
  <c r="B2" i="85" a="1"/>
  <c r="B2" i="85" s="1"/>
  <c r="B6" i="85" a="1"/>
  <c r="B6" i="85" s="1"/>
  <c r="B4" i="85" a="1"/>
  <c r="B4" i="85" s="1"/>
  <c r="H4" i="89"/>
  <c r="D81" i="94"/>
  <c r="D107" i="94"/>
  <c r="D23" i="94"/>
  <c r="D50" i="94"/>
  <c r="M3" i="95"/>
  <c r="B27" i="92"/>
  <c r="B44" i="92" s="1"/>
  <c r="B60" i="92" s="1"/>
  <c r="B76" i="92" s="1"/>
  <c r="B92" i="92" s="1"/>
  <c r="D90" i="92"/>
  <c r="D74" i="92"/>
  <c r="E24" i="92"/>
  <c r="D58" i="92"/>
  <c r="D41" i="92"/>
  <c r="L1" i="85" l="1"/>
  <c r="B45" i="85" a="1"/>
  <c r="B45" i="85" s="1"/>
  <c r="B44" i="85" a="1"/>
  <c r="B44" i="85" s="1"/>
  <c r="B43" i="85" a="1"/>
  <c r="B43" i="85" s="1"/>
  <c r="B46" i="85" a="1"/>
  <c r="B46" i="85" s="1"/>
  <c r="B42" i="85" a="1"/>
  <c r="B42" i="85" s="1"/>
  <c r="I4" i="89"/>
  <c r="C24" i="89"/>
  <c r="D82" i="94"/>
  <c r="D108" i="94"/>
  <c r="D24" i="94"/>
  <c r="D51" i="94"/>
  <c r="N3" i="95"/>
  <c r="E90" i="92"/>
  <c r="E74" i="92"/>
  <c r="E58" i="92"/>
  <c r="E41" i="92"/>
  <c r="F24" i="92"/>
  <c r="D4" i="90"/>
  <c r="C3" i="90"/>
  <c r="C146" i="86"/>
  <c r="C145" i="86" s="1"/>
  <c r="C3" i="86"/>
  <c r="D4" i="86"/>
  <c r="K7" i="92" l="1"/>
  <c r="K26" i="92" s="1"/>
  <c r="O7" i="92"/>
  <c r="O26" i="92" s="1"/>
  <c r="N7" i="92"/>
  <c r="N26" i="92" s="1"/>
  <c r="M7" i="92"/>
  <c r="M26" i="92" s="1"/>
  <c r="E7" i="92"/>
  <c r="E26" i="92" s="1"/>
  <c r="L7" i="92"/>
  <c r="L26" i="92" s="1"/>
  <c r="J7" i="92"/>
  <c r="J26" i="92" s="1"/>
  <c r="I7" i="92"/>
  <c r="I26" i="92" s="1"/>
  <c r="H7" i="92"/>
  <c r="H26" i="92" s="1"/>
  <c r="G7" i="92"/>
  <c r="G26" i="92" s="1"/>
  <c r="F7" i="92"/>
  <c r="F26" i="92" s="1"/>
  <c r="D7" i="92"/>
  <c r="D26" i="92" s="1"/>
  <c r="M1" i="85"/>
  <c r="B38" i="85" a="1"/>
  <c r="B38" i="85" s="1"/>
  <c r="B35" i="85" a="1"/>
  <c r="B35" i="85" s="1"/>
  <c r="B39" i="85" a="1"/>
  <c r="B39" i="85" s="1"/>
  <c r="B37" i="85" a="1"/>
  <c r="B37" i="85" s="1"/>
  <c r="B36" i="85" a="1"/>
  <c r="B36" i="85" s="1"/>
  <c r="B40" i="85" a="1"/>
  <c r="B40" i="85" s="1"/>
  <c r="B41" i="85" a="1"/>
  <c r="B41" i="85" s="1"/>
  <c r="C29" i="89"/>
  <c r="J4" i="89"/>
  <c r="D21" i="89"/>
  <c r="C17" i="90"/>
  <c r="C25" i="89"/>
  <c r="D83" i="94"/>
  <c r="D109" i="94"/>
  <c r="D25" i="94"/>
  <c r="D52" i="94"/>
  <c r="O3" i="95"/>
  <c r="F90" i="92"/>
  <c r="F74" i="92"/>
  <c r="F58" i="92"/>
  <c r="F41" i="92"/>
  <c r="G24" i="92"/>
  <c r="E4" i="90"/>
  <c r="D3" i="90"/>
  <c r="D146" i="86"/>
  <c r="D145" i="86" s="1"/>
  <c r="D3" i="86"/>
  <c r="E4" i="86"/>
  <c r="I43" i="92" l="1"/>
  <c r="L43" i="92"/>
  <c r="J43" i="92"/>
  <c r="D43" i="92"/>
  <c r="E43" i="92"/>
  <c r="M43" i="92"/>
  <c r="F43" i="92"/>
  <c r="N43" i="92"/>
  <c r="G43" i="92"/>
  <c r="O43" i="92"/>
  <c r="H43" i="92"/>
  <c r="K43" i="92"/>
  <c r="N1" i="85"/>
  <c r="B31" i="85" a="1"/>
  <c r="B31" i="85" s="1"/>
  <c r="B33" i="85" a="1"/>
  <c r="B33" i="85" s="1"/>
  <c r="B30" i="85" a="1"/>
  <c r="B30" i="85" s="1"/>
  <c r="B29" i="85" a="1"/>
  <c r="B29" i="85" s="1"/>
  <c r="B34" i="85" a="1"/>
  <c r="B34" i="85" s="1"/>
  <c r="B32" i="85" a="1"/>
  <c r="B32" i="85" s="1"/>
  <c r="K4" i="89"/>
  <c r="D84" i="94"/>
  <c r="D110" i="94"/>
  <c r="D26" i="94"/>
  <c r="D53" i="94"/>
  <c r="P3" i="95"/>
  <c r="G90" i="92"/>
  <c r="G74" i="92"/>
  <c r="G58" i="92"/>
  <c r="G41" i="92"/>
  <c r="H24" i="92"/>
  <c r="E3" i="90"/>
  <c r="F4" i="90"/>
  <c r="E146" i="86"/>
  <c r="E145" i="86" s="1"/>
  <c r="F4" i="86"/>
  <c r="E3" i="86"/>
  <c r="O1" i="85" l="1"/>
  <c r="B24" i="85" a="1"/>
  <c r="B24" i="85" s="1"/>
  <c r="B23" i="85" a="1"/>
  <c r="B23" i="85" s="1"/>
  <c r="B28" i="85" a="1"/>
  <c r="B28" i="85" s="1"/>
  <c r="B26" i="85" a="1"/>
  <c r="B26" i="85" s="1"/>
  <c r="B22" i="85" a="1"/>
  <c r="B22" i="85" s="1"/>
  <c r="B21" i="85" a="1"/>
  <c r="B21" i="85" s="1"/>
  <c r="B19" i="85" a="1"/>
  <c r="B19" i="85" s="1"/>
  <c r="B25" i="85" a="1"/>
  <c r="B25" i="85" s="1"/>
  <c r="B27" i="85" a="1"/>
  <c r="B27" i="85" s="1"/>
  <c r="B20" i="85" a="1"/>
  <c r="B20" i="85" s="1"/>
  <c r="L4" i="89"/>
  <c r="D85" i="94"/>
  <c r="D111" i="94"/>
  <c r="D27" i="94"/>
  <c r="D54" i="94"/>
  <c r="Q3" i="95"/>
  <c r="H90" i="92"/>
  <c r="H58" i="92"/>
  <c r="H41" i="92"/>
  <c r="H74" i="92"/>
  <c r="I24" i="92"/>
  <c r="F3" i="90"/>
  <c r="G4" i="90"/>
  <c r="F146" i="86"/>
  <c r="F145" i="86" s="1"/>
  <c r="G4" i="86"/>
  <c r="F3" i="86"/>
  <c r="B16" i="85" l="1" a="1"/>
  <c r="B16" i="85" s="1"/>
  <c r="B14" i="85" a="1"/>
  <c r="B14" i="85" s="1"/>
  <c r="B18" i="85" a="1"/>
  <c r="B18" i="85" s="1"/>
  <c r="B17" i="85" a="1"/>
  <c r="B17" i="85" s="1"/>
  <c r="B12" i="85" a="1"/>
  <c r="B12" i="85" s="1"/>
  <c r="B15" i="85" a="1"/>
  <c r="B15" i="85" s="1"/>
  <c r="B11" i="85" a="1"/>
  <c r="B11" i="85" s="1"/>
  <c r="B13" i="85" a="1"/>
  <c r="B13" i="85" s="1"/>
  <c r="M4" i="89"/>
  <c r="D86" i="94"/>
  <c r="D112" i="94"/>
  <c r="D28" i="94"/>
  <c r="D55" i="94"/>
  <c r="R3" i="95"/>
  <c r="C28" i="90"/>
  <c r="I90" i="92"/>
  <c r="I58" i="92"/>
  <c r="I41" i="92"/>
  <c r="J24" i="92"/>
  <c r="I74" i="92"/>
  <c r="H4" i="90"/>
  <c r="G3" i="90"/>
  <c r="G146" i="86"/>
  <c r="G145" i="86" s="1"/>
  <c r="H4" i="86"/>
  <c r="G3" i="86"/>
  <c r="E10" i="92" l="1"/>
  <c r="J11" i="92"/>
  <c r="G30" i="92" s="1"/>
  <c r="J18" i="92"/>
  <c r="N11" i="92"/>
  <c r="K30" i="92" s="1"/>
  <c r="J10" i="92"/>
  <c r="H29" i="92" s="1"/>
  <c r="L15" i="92"/>
  <c r="E34" i="92" s="1"/>
  <c r="D11" i="92"/>
  <c r="D16" i="92"/>
  <c r="D12" i="92"/>
  <c r="O11" i="92"/>
  <c r="L30" i="92" s="1"/>
  <c r="L12" i="92"/>
  <c r="H31" i="92" s="1"/>
  <c r="I10" i="92"/>
  <c r="G29" i="92" s="1"/>
  <c r="H14" i="92"/>
  <c r="L9" i="92"/>
  <c r="K28" i="92" s="1"/>
  <c r="G9" i="92"/>
  <c r="F28" i="92" s="1"/>
  <c r="K8" i="92"/>
  <c r="J16" i="92"/>
  <c r="M14" i="92"/>
  <c r="G33" i="92" s="1"/>
  <c r="D9" i="92"/>
  <c r="N16" i="92"/>
  <c r="F35" i="92" s="1"/>
  <c r="I8" i="92"/>
  <c r="J17" i="92"/>
  <c r="G17" i="92"/>
  <c r="O13" i="92"/>
  <c r="J32" i="92" s="1"/>
  <c r="M18" i="92"/>
  <c r="I15" i="92"/>
  <c r="O12" i="92"/>
  <c r="K31" i="92" s="1"/>
  <c r="H11" i="92"/>
  <c r="E30" i="92" s="1"/>
  <c r="E11" i="92"/>
  <c r="M9" i="92"/>
  <c r="L28" i="92" s="1"/>
  <c r="M19" i="92"/>
  <c r="N15" i="92"/>
  <c r="G34" i="92" s="1"/>
  <c r="N10" i="92"/>
  <c r="L29" i="92" s="1"/>
  <c r="K14" i="92"/>
  <c r="E33" i="92" s="1"/>
  <c r="N14" i="92"/>
  <c r="H33" i="92" s="1"/>
  <c r="K12" i="92"/>
  <c r="G31" i="92" s="1"/>
  <c r="D10" i="92"/>
  <c r="M16" i="92"/>
  <c r="E35" i="92" s="1"/>
  <c r="H16" i="92"/>
  <c r="F18" i="92"/>
  <c r="D19" i="92"/>
  <c r="H8" i="92"/>
  <c r="H15" i="92"/>
  <c r="E8" i="92"/>
  <c r="M12" i="92"/>
  <c r="I31" i="92" s="1"/>
  <c r="G19" i="92"/>
  <c r="I19" i="92"/>
  <c r="K19" i="92"/>
  <c r="E19" i="92"/>
  <c r="E17" i="92"/>
  <c r="L13" i="92"/>
  <c r="G32" i="92" s="1"/>
  <c r="J14" i="92"/>
  <c r="D33" i="92" s="1"/>
  <c r="L16" i="92"/>
  <c r="D35" i="92" s="1"/>
  <c r="K16" i="92"/>
  <c r="G16" i="92"/>
  <c r="D18" i="92"/>
  <c r="O16" i="92"/>
  <c r="G35" i="92" s="1"/>
  <c r="L19" i="92"/>
  <c r="O9" i="92"/>
  <c r="N28" i="92" s="1"/>
  <c r="G14" i="92"/>
  <c r="G10" i="92"/>
  <c r="E29" i="92" s="1"/>
  <c r="G13" i="92"/>
  <c r="E16" i="92"/>
  <c r="E18" i="92"/>
  <c r="O19" i="92"/>
  <c r="D38" i="92" s="1"/>
  <c r="I9" i="92"/>
  <c r="H28" i="92" s="1"/>
  <c r="F8" i="92"/>
  <c r="D8" i="92"/>
  <c r="J8" i="92"/>
  <c r="E13" i="92"/>
  <c r="M11" i="92"/>
  <c r="J30" i="92" s="1"/>
  <c r="D15" i="92"/>
  <c r="E15" i="92"/>
  <c r="O14" i="92"/>
  <c r="I33" i="92" s="1"/>
  <c r="F17" i="92"/>
  <c r="I14" i="92"/>
  <c r="E9" i="92"/>
  <c r="D28" i="92" s="1"/>
  <c r="L11" i="92"/>
  <c r="I30" i="92" s="1"/>
  <c r="N9" i="92"/>
  <c r="M28" i="92" s="1"/>
  <c r="F11" i="92"/>
  <c r="M17" i="92"/>
  <c r="D36" i="92" s="1"/>
  <c r="G12" i="92"/>
  <c r="N18" i="92"/>
  <c r="D37" i="92" s="1"/>
  <c r="H13" i="92"/>
  <c r="D13" i="92"/>
  <c r="I16" i="92"/>
  <c r="O18" i="92"/>
  <c r="E37" i="92" s="1"/>
  <c r="H12" i="92"/>
  <c r="D31" i="92" s="1"/>
  <c r="F16" i="92"/>
  <c r="I13" i="92"/>
  <c r="D32" i="92" s="1"/>
  <c r="I12" i="92"/>
  <c r="E31" i="92" s="1"/>
  <c r="M13" i="92"/>
  <c r="H32" i="92" s="1"/>
  <c r="M8" i="92"/>
  <c r="J9" i="92"/>
  <c r="I28" i="92" s="1"/>
  <c r="D14" i="92"/>
  <c r="I11" i="92"/>
  <c r="F30" i="92" s="1"/>
  <c r="J15" i="92"/>
  <c r="G8" i="92"/>
  <c r="O17" i="92"/>
  <c r="F36" i="92" s="1"/>
  <c r="M15" i="92"/>
  <c r="F34" i="92" s="1"/>
  <c r="E12" i="92"/>
  <c r="N19" i="92"/>
  <c r="L10" i="92"/>
  <c r="J29" i="92" s="1"/>
  <c r="G18" i="92"/>
  <c r="K15" i="92"/>
  <c r="D34" i="92" s="1"/>
  <c r="O10" i="92"/>
  <c r="M29" i="92" s="1"/>
  <c r="D17" i="92"/>
  <c r="J12" i="92"/>
  <c r="F31" i="92" s="1"/>
  <c r="K18" i="92"/>
  <c r="H17" i="92"/>
  <c r="E14" i="92"/>
  <c r="L8" i="92"/>
  <c r="G15" i="92"/>
  <c r="L17" i="92"/>
  <c r="F14" i="92"/>
  <c r="O15" i="92"/>
  <c r="H34" i="92" s="1"/>
  <c r="G11" i="92"/>
  <c r="D30" i="92" s="1"/>
  <c r="N17" i="92"/>
  <c r="E36" i="92" s="1"/>
  <c r="M10" i="92"/>
  <c r="K29" i="92" s="1"/>
  <c r="H10" i="92"/>
  <c r="F29" i="92" s="1"/>
  <c r="N13" i="92"/>
  <c r="I32" i="92" s="1"/>
  <c r="H19" i="92"/>
  <c r="N12" i="92"/>
  <c r="J31" i="92" s="1"/>
  <c r="H18" i="92"/>
  <c r="L18" i="92"/>
  <c r="K13" i="92"/>
  <c r="F32" i="92" s="1"/>
  <c r="F12" i="92"/>
  <c r="I18" i="92"/>
  <c r="K17" i="92"/>
  <c r="I17" i="92"/>
  <c r="K9" i="92"/>
  <c r="J28" i="92" s="1"/>
  <c r="F15" i="92"/>
  <c r="O8" i="92"/>
  <c r="H9" i="92"/>
  <c r="G28" i="92" s="1"/>
  <c r="G45" i="92" s="1"/>
  <c r="F19" i="92"/>
  <c r="J13" i="92"/>
  <c r="E32" i="92" s="1"/>
  <c r="K11" i="92"/>
  <c r="H30" i="92" s="1"/>
  <c r="J19" i="92"/>
  <c r="K10" i="92"/>
  <c r="I29" i="92" s="1"/>
  <c r="F10" i="92"/>
  <c r="D29" i="92" s="1"/>
  <c r="N8" i="92"/>
  <c r="L14" i="92"/>
  <c r="F33" i="92" s="1"/>
  <c r="F50" i="92" s="1"/>
  <c r="F13" i="92"/>
  <c r="F9" i="92"/>
  <c r="E28" i="92" s="1"/>
  <c r="N4" i="89"/>
  <c r="D87" i="94"/>
  <c r="D113" i="94"/>
  <c r="D29" i="94"/>
  <c r="D56" i="94"/>
  <c r="S3" i="95"/>
  <c r="J90" i="92"/>
  <c r="K24" i="92"/>
  <c r="J41" i="92"/>
  <c r="J58" i="92"/>
  <c r="J74" i="92"/>
  <c r="H3" i="90"/>
  <c r="I4" i="90"/>
  <c r="H3" i="86"/>
  <c r="I4" i="86"/>
  <c r="H146" i="86"/>
  <c r="H145" i="86" s="1"/>
  <c r="E53" i="92" l="1"/>
  <c r="I45" i="92"/>
  <c r="F49" i="92"/>
  <c r="E54" i="92"/>
  <c r="M45" i="92"/>
  <c r="H51" i="92"/>
  <c r="F53" i="92"/>
  <c r="E45" i="92"/>
  <c r="E49" i="92"/>
  <c r="F46" i="92"/>
  <c r="L20" i="92"/>
  <c r="F47" i="92"/>
  <c r="G51" i="92"/>
  <c r="J49" i="92"/>
  <c r="K46" i="92"/>
  <c r="J46" i="92"/>
  <c r="J47" i="92"/>
  <c r="F45" i="92"/>
  <c r="I49" i="92"/>
  <c r="K20" i="92"/>
  <c r="N20" i="92"/>
  <c r="M20" i="92"/>
  <c r="E20" i="92"/>
  <c r="G20" i="92"/>
  <c r="I50" i="92"/>
  <c r="H20" i="92"/>
  <c r="O20" i="92"/>
  <c r="J20" i="92"/>
  <c r="I20" i="92"/>
  <c r="D20" i="92"/>
  <c r="D21" i="92" s="1"/>
  <c r="F20" i="92"/>
  <c r="F51" i="92"/>
  <c r="H49" i="92"/>
  <c r="J45" i="92"/>
  <c r="H47" i="92"/>
  <c r="I47" i="92"/>
  <c r="E52" i="92"/>
  <c r="L45" i="92"/>
  <c r="K45" i="92"/>
  <c r="E51" i="92"/>
  <c r="O27" i="92"/>
  <c r="N47" i="92"/>
  <c r="O47" i="92"/>
  <c r="M47" i="92"/>
  <c r="D47" i="92"/>
  <c r="M27" i="92"/>
  <c r="D45" i="92"/>
  <c r="O45" i="92"/>
  <c r="J27" i="92"/>
  <c r="E46" i="92"/>
  <c r="K52" i="92"/>
  <c r="D52" i="92"/>
  <c r="N52" i="92"/>
  <c r="J52" i="92"/>
  <c r="I52" i="92"/>
  <c r="L52" i="92"/>
  <c r="M52" i="92"/>
  <c r="H52" i="92"/>
  <c r="O52" i="92"/>
  <c r="I48" i="92"/>
  <c r="I27" i="92"/>
  <c r="H46" i="92"/>
  <c r="D48" i="92"/>
  <c r="O48" i="92"/>
  <c r="L48" i="92"/>
  <c r="M48" i="92"/>
  <c r="N48" i="92"/>
  <c r="D46" i="92"/>
  <c r="N46" i="92"/>
  <c r="O46" i="92"/>
  <c r="F48" i="92"/>
  <c r="D27" i="92"/>
  <c r="D44" i="92" s="1"/>
  <c r="M50" i="92"/>
  <c r="K50" i="92"/>
  <c r="N50" i="92"/>
  <c r="D50" i="92"/>
  <c r="L50" i="92"/>
  <c r="J50" i="92"/>
  <c r="O50" i="92"/>
  <c r="E27" i="92"/>
  <c r="G48" i="92"/>
  <c r="E47" i="92"/>
  <c r="F52" i="92"/>
  <c r="G46" i="92"/>
  <c r="K47" i="92"/>
  <c r="L27" i="92"/>
  <c r="K27" i="92"/>
  <c r="J48" i="92"/>
  <c r="E48" i="92"/>
  <c r="K54" i="92"/>
  <c r="F54" i="92"/>
  <c r="N54" i="92"/>
  <c r="J54" i="92"/>
  <c r="O54" i="92"/>
  <c r="L54" i="92"/>
  <c r="G54" i="92"/>
  <c r="I54" i="92"/>
  <c r="M54" i="92"/>
  <c r="D54" i="92"/>
  <c r="H54" i="92"/>
  <c r="F27" i="92"/>
  <c r="N45" i="92"/>
  <c r="G49" i="92"/>
  <c r="H50" i="92"/>
  <c r="K48" i="92"/>
  <c r="H48" i="92"/>
  <c r="I46" i="92"/>
  <c r="M46" i="92"/>
  <c r="G27" i="92"/>
  <c r="O49" i="92"/>
  <c r="D49" i="92"/>
  <c r="M49" i="92"/>
  <c r="N49" i="92"/>
  <c r="L49" i="92"/>
  <c r="K49" i="92"/>
  <c r="H45" i="92"/>
  <c r="H27" i="92"/>
  <c r="E50" i="92"/>
  <c r="G50" i="92"/>
  <c r="L47" i="92"/>
  <c r="G47" i="92"/>
  <c r="N27" i="92"/>
  <c r="D51" i="92"/>
  <c r="O51" i="92"/>
  <c r="L51" i="92"/>
  <c r="M51" i="92"/>
  <c r="I51" i="92"/>
  <c r="N51" i="92"/>
  <c r="K51" i="92"/>
  <c r="J51" i="92"/>
  <c r="L53" i="92"/>
  <c r="D53" i="92"/>
  <c r="G53" i="92"/>
  <c r="M53" i="92"/>
  <c r="O53" i="92"/>
  <c r="J53" i="92"/>
  <c r="H53" i="92"/>
  <c r="N53" i="92"/>
  <c r="K53" i="92"/>
  <c r="I53" i="92"/>
  <c r="I55" i="92"/>
  <c r="E55" i="92"/>
  <c r="M55" i="92"/>
  <c r="J55" i="92"/>
  <c r="D55" i="92"/>
  <c r="L55" i="92"/>
  <c r="F55" i="92"/>
  <c r="K55" i="92"/>
  <c r="O55" i="92"/>
  <c r="N55" i="92"/>
  <c r="H55" i="92"/>
  <c r="G55" i="92"/>
  <c r="G52" i="92"/>
  <c r="L46" i="92"/>
  <c r="O4" i="89"/>
  <c r="O3" i="89" s="1"/>
  <c r="D88" i="94"/>
  <c r="D114" i="94"/>
  <c r="D30" i="94"/>
  <c r="D57" i="94"/>
  <c r="T3" i="95"/>
  <c r="D24" i="89"/>
  <c r="D14" i="90"/>
  <c r="D28" i="90" s="1"/>
  <c r="K90" i="92"/>
  <c r="K74" i="92"/>
  <c r="K58" i="92"/>
  <c r="K41" i="92"/>
  <c r="L24" i="92"/>
  <c r="C27" i="90"/>
  <c r="C26" i="90" a="1"/>
  <c r="C26" i="90" s="1"/>
  <c r="J4" i="90"/>
  <c r="I3" i="90"/>
  <c r="I3" i="86"/>
  <c r="I146" i="86"/>
  <c r="I145" i="86" s="1"/>
  <c r="J4" i="86"/>
  <c r="K44" i="92" l="1"/>
  <c r="N44" i="92"/>
  <c r="G44" i="92"/>
  <c r="F44" i="92"/>
  <c r="M44" i="92"/>
  <c r="H44" i="92"/>
  <c r="L44" i="92"/>
  <c r="I44" i="92"/>
  <c r="E44" i="92"/>
  <c r="J44" i="92"/>
  <c r="O44" i="92"/>
  <c r="D77" i="90"/>
  <c r="D83" i="90" s="1"/>
  <c r="D87" i="90" s="1"/>
  <c r="D29" i="89"/>
  <c r="P4" i="89"/>
  <c r="P3" i="89" s="1"/>
  <c r="E21" i="89"/>
  <c r="D89" i="94"/>
  <c r="D115" i="94"/>
  <c r="D31" i="94"/>
  <c r="D58" i="94"/>
  <c r="U3" i="95"/>
  <c r="D17" i="90"/>
  <c r="D25" i="89"/>
  <c r="L90" i="92"/>
  <c r="L74" i="92"/>
  <c r="L41" i="92"/>
  <c r="M24" i="92"/>
  <c r="L58" i="92"/>
  <c r="D6" i="90"/>
  <c r="K4" i="90"/>
  <c r="J3" i="90"/>
  <c r="D14" i="89"/>
  <c r="D18" i="89"/>
  <c r="D15" i="89"/>
  <c r="D16" i="89"/>
  <c r="D17" i="89"/>
  <c r="J3" i="86"/>
  <c r="K4" i="86"/>
  <c r="J146" i="86"/>
  <c r="J145" i="86" s="1"/>
  <c r="Q4" i="89" l="1"/>
  <c r="Q3" i="89" s="1"/>
  <c r="D90" i="94"/>
  <c r="D116" i="94"/>
  <c r="D32" i="94"/>
  <c r="D59" i="94"/>
  <c r="V3" i="95"/>
  <c r="E21" i="92"/>
  <c r="D5" i="86"/>
  <c r="D9" i="86" s="1"/>
  <c r="E24" i="89"/>
  <c r="E14" i="90"/>
  <c r="E28" i="90" s="1"/>
  <c r="M90" i="92"/>
  <c r="M74" i="92"/>
  <c r="M58" i="92"/>
  <c r="M41" i="92"/>
  <c r="N24" i="92"/>
  <c r="D11" i="90"/>
  <c r="D22" i="90"/>
  <c r="D26" i="90" a="1"/>
  <c r="D26" i="90" s="1"/>
  <c r="D79" i="90" s="1"/>
  <c r="D27" i="90"/>
  <c r="K3" i="90"/>
  <c r="L4" i="90"/>
  <c r="E6" i="89"/>
  <c r="E11" i="89" s="1"/>
  <c r="K146" i="86"/>
  <c r="K145" i="86" s="1"/>
  <c r="K3" i="86"/>
  <c r="L4" i="86"/>
  <c r="E77" i="90" l="1"/>
  <c r="E83" i="90" s="1"/>
  <c r="E87" i="90" s="1"/>
  <c r="E29" i="89"/>
  <c r="R4" i="89"/>
  <c r="R3" i="89" s="1"/>
  <c r="E12" i="89"/>
  <c r="F21" i="89"/>
  <c r="D91" i="94"/>
  <c r="D117" i="94"/>
  <c r="D33" i="94"/>
  <c r="D60" i="94"/>
  <c r="W3" i="95"/>
  <c r="E17" i="90"/>
  <c r="E25" i="89"/>
  <c r="N90" i="92"/>
  <c r="N74" i="92"/>
  <c r="N58" i="92"/>
  <c r="O24" i="92"/>
  <c r="N41" i="92"/>
  <c r="E6" i="90"/>
  <c r="D80" i="90"/>
  <c r="L3" i="90"/>
  <c r="M4" i="90"/>
  <c r="E14" i="89"/>
  <c r="E16" i="89"/>
  <c r="E15" i="89"/>
  <c r="E18" i="89"/>
  <c r="E17" i="89"/>
  <c r="L146" i="86"/>
  <c r="L3" i="86"/>
  <c r="M4" i="86"/>
  <c r="L145" i="86" l="1"/>
  <c r="S4" i="89"/>
  <c r="S3" i="89" s="1"/>
  <c r="D92" i="94"/>
  <c r="D118" i="94"/>
  <c r="D34" i="94"/>
  <c r="D61" i="94"/>
  <c r="X3" i="95"/>
  <c r="F21" i="92"/>
  <c r="E5" i="86"/>
  <c r="E9" i="86" s="1"/>
  <c r="F24" i="89"/>
  <c r="F14" i="90"/>
  <c r="F28" i="90" s="1"/>
  <c r="O90" i="92"/>
  <c r="O74" i="92"/>
  <c r="O58" i="92"/>
  <c r="O41" i="92"/>
  <c r="E11" i="90"/>
  <c r="E22" i="90"/>
  <c r="D84" i="90"/>
  <c r="D88" i="90" s="1"/>
  <c r="D81" i="90"/>
  <c r="E27" i="90"/>
  <c r="E26" i="90" a="1"/>
  <c r="E26" i="90" s="1"/>
  <c r="E79" i="90" s="1"/>
  <c r="M3" i="90"/>
  <c r="N4" i="90"/>
  <c r="F6" i="89"/>
  <c r="F11" i="89" s="1"/>
  <c r="M146" i="86"/>
  <c r="M145" i="86" s="1"/>
  <c r="N4" i="86"/>
  <c r="C41" i="93" s="1"/>
  <c r="M3" i="86"/>
  <c r="F77" i="90" l="1"/>
  <c r="F83" i="90" s="1"/>
  <c r="F87" i="90" s="1"/>
  <c r="F29" i="89"/>
  <c r="T4" i="89"/>
  <c r="T3" i="89" s="1"/>
  <c r="F12" i="89"/>
  <c r="G21" i="89"/>
  <c r="D93" i="94"/>
  <c r="D119" i="94"/>
  <c r="D35" i="94"/>
  <c r="D62" i="94"/>
  <c r="Y3" i="95"/>
  <c r="F17" i="90"/>
  <c r="F25" i="89"/>
  <c r="N3" i="90"/>
  <c r="O4" i="90"/>
  <c r="D82" i="90"/>
  <c r="D85" i="90" s="1"/>
  <c r="D89" i="90" s="1"/>
  <c r="E80" i="90"/>
  <c r="E81" i="90" s="1"/>
  <c r="E82" i="90" s="1"/>
  <c r="F6" i="90"/>
  <c r="F14" i="89"/>
  <c r="F16" i="89"/>
  <c r="F15" i="89"/>
  <c r="F18" i="89"/>
  <c r="F17" i="89"/>
  <c r="N146" i="86"/>
  <c r="N145" i="86" s="1"/>
  <c r="L49" i="86"/>
  <c r="N49" i="86" s="1"/>
  <c r="O4" i="86"/>
  <c r="N3" i="86"/>
  <c r="I5" i="94" l="1"/>
  <c r="J5" i="94" s="1"/>
  <c r="K5" i="94" s="1"/>
  <c r="L5" i="94" s="1"/>
  <c r="M5" i="94" s="1"/>
  <c r="N5" i="94" s="1"/>
  <c r="O5" i="94" s="1"/>
  <c r="P5" i="94" s="1"/>
  <c r="Q5" i="94" s="1"/>
  <c r="R5" i="94" s="1"/>
  <c r="S5" i="94" s="1"/>
  <c r="T5" i="94" s="1"/>
  <c r="U5" i="94" s="1"/>
  <c r="V5" i="94" s="1"/>
  <c r="W5" i="94" s="1"/>
  <c r="X5" i="94" s="1"/>
  <c r="Y5" i="94" s="1"/>
  <c r="Z5" i="94" s="1"/>
  <c r="AA5" i="94" s="1"/>
  <c r="AB5" i="94" s="1"/>
  <c r="O105" i="86"/>
  <c r="U4" i="89"/>
  <c r="U3" i="89" s="1"/>
  <c r="D94" i="94"/>
  <c r="D120" i="94"/>
  <c r="D36" i="94"/>
  <c r="D63" i="94"/>
  <c r="Z3" i="95"/>
  <c r="G21" i="92"/>
  <c r="F5" i="86"/>
  <c r="F9" i="86" s="1"/>
  <c r="E84" i="90"/>
  <c r="E88" i="90" s="1"/>
  <c r="G24" i="89"/>
  <c r="G14" i="90"/>
  <c r="G28" i="90" s="1"/>
  <c r="E85" i="90"/>
  <c r="E89" i="90" s="1"/>
  <c r="P4" i="90"/>
  <c r="O3" i="90"/>
  <c r="F26" i="90" a="1"/>
  <c r="F26" i="90" s="1"/>
  <c r="F79" i="90" s="1"/>
  <c r="F27" i="90"/>
  <c r="F11" i="90"/>
  <c r="F22" i="90"/>
  <c r="G6" i="89"/>
  <c r="G11" i="89" s="1"/>
  <c r="O146" i="86"/>
  <c r="O145" i="86" s="1"/>
  <c r="O49" i="86"/>
  <c r="P4" i="86"/>
  <c r="P105" i="86" s="1"/>
  <c r="O3" i="86"/>
  <c r="H5" i="94" l="1"/>
  <c r="G5" i="94" s="1"/>
  <c r="F5" i="94" s="1"/>
  <c r="E5" i="94" s="1"/>
  <c r="B16" i="94" s="1" a="1"/>
  <c r="G29" i="89"/>
  <c r="G77" i="90"/>
  <c r="G83" i="90" s="1"/>
  <c r="G87" i="90" s="1"/>
  <c r="V4" i="89"/>
  <c r="V3" i="89" s="1"/>
  <c r="G12" i="89"/>
  <c r="H21" i="89"/>
  <c r="D95" i="94"/>
  <c r="D121" i="94"/>
  <c r="D37" i="94"/>
  <c r="D64" i="94"/>
  <c r="AA3" i="95"/>
  <c r="B17" i="95" s="1" a="1"/>
  <c r="G17" i="90"/>
  <c r="G25" i="89"/>
  <c r="P3" i="90"/>
  <c r="Q4" i="90"/>
  <c r="F80" i="90"/>
  <c r="F81" i="90" s="1"/>
  <c r="F82" i="90" s="1"/>
  <c r="G6" i="90"/>
  <c r="G14" i="89"/>
  <c r="G16" i="89"/>
  <c r="G17" i="89"/>
  <c r="G18" i="89"/>
  <c r="G15" i="89"/>
  <c r="P49" i="86"/>
  <c r="P146" i="86"/>
  <c r="P145" i="86" s="1"/>
  <c r="P3" i="86"/>
  <c r="Q4" i="86"/>
  <c r="Q105" i="86" s="1"/>
  <c r="W4" i="89" l="1"/>
  <c r="W3" i="89" s="1"/>
  <c r="B17" i="95"/>
  <c r="F17" i="95" s="1"/>
  <c r="F35" i="95"/>
  <c r="F31" i="95"/>
  <c r="F27" i="95"/>
  <c r="F23" i="95"/>
  <c r="F19" i="95"/>
  <c r="F33" i="95"/>
  <c r="F25" i="95"/>
  <c r="F34" i="95"/>
  <c r="F30" i="95"/>
  <c r="F26" i="95"/>
  <c r="F22" i="95"/>
  <c r="F18" i="95"/>
  <c r="F37" i="95"/>
  <c r="F29" i="95"/>
  <c r="F21" i="95"/>
  <c r="F36" i="95"/>
  <c r="F28" i="95"/>
  <c r="F20" i="95"/>
  <c r="F24" i="95"/>
  <c r="F32" i="95"/>
  <c r="D96" i="94"/>
  <c r="D122" i="94"/>
  <c r="D38" i="94"/>
  <c r="D65" i="94"/>
  <c r="B60" i="94"/>
  <c r="B90" i="94" s="1"/>
  <c r="B117" i="94" s="1"/>
  <c r="B53" i="94"/>
  <c r="B83" i="94" s="1"/>
  <c r="B110" i="94" s="1"/>
  <c r="B67" i="94"/>
  <c r="B97" i="94" s="1"/>
  <c r="B124" i="94" s="1"/>
  <c r="B49" i="94"/>
  <c r="B79" i="94" s="1"/>
  <c r="B106" i="94" s="1"/>
  <c r="B45" i="94"/>
  <c r="B75" i="94" s="1"/>
  <c r="B102" i="94" s="1"/>
  <c r="B55" i="94"/>
  <c r="B85" i="94" s="1"/>
  <c r="B112" i="94" s="1"/>
  <c r="B52" i="94"/>
  <c r="B82" i="94" s="1"/>
  <c r="B109" i="94" s="1"/>
  <c r="B51" i="94"/>
  <c r="B81" i="94" s="1"/>
  <c r="B108" i="94" s="1"/>
  <c r="B47" i="94"/>
  <c r="B77" i="94" s="1"/>
  <c r="B104" i="94" s="1"/>
  <c r="B63" i="94"/>
  <c r="B93" i="94" s="1"/>
  <c r="B120" i="94" s="1"/>
  <c r="B66" i="94"/>
  <c r="B96" i="94" s="1"/>
  <c r="B123" i="94" s="1"/>
  <c r="B65" i="94"/>
  <c r="B95" i="94" s="1"/>
  <c r="B122" i="94" s="1"/>
  <c r="B57" i="94"/>
  <c r="B87" i="94" s="1"/>
  <c r="B114" i="94" s="1"/>
  <c r="B54" i="94"/>
  <c r="B84" i="94" s="1"/>
  <c r="B111" i="94" s="1"/>
  <c r="B59" i="94"/>
  <c r="B89" i="94" s="1"/>
  <c r="B116" i="94" s="1"/>
  <c r="B50" i="94"/>
  <c r="B80" i="94" s="1"/>
  <c r="B107" i="94" s="1"/>
  <c r="B64" i="94"/>
  <c r="B94" i="94" s="1"/>
  <c r="B121" i="94" s="1"/>
  <c r="B46" i="94"/>
  <c r="B76" i="94" s="1"/>
  <c r="B103" i="94" s="1"/>
  <c r="B56" i="94"/>
  <c r="B86" i="94" s="1"/>
  <c r="B113" i="94" s="1"/>
  <c r="B62" i="94"/>
  <c r="B92" i="94" s="1"/>
  <c r="B119" i="94" s="1"/>
  <c r="B61" i="94"/>
  <c r="B91" i="94" s="1"/>
  <c r="B118" i="94" s="1"/>
  <c r="B16" i="94"/>
  <c r="B48" i="94"/>
  <c r="B78" i="94" s="1"/>
  <c r="B105" i="94" s="1"/>
  <c r="B58" i="94"/>
  <c r="B88" i="94" s="1"/>
  <c r="B115" i="94" s="1"/>
  <c r="B57" i="95" a="1"/>
  <c r="H21" i="92"/>
  <c r="G5" i="86"/>
  <c r="G9" i="86" s="1"/>
  <c r="H24" i="89"/>
  <c r="H14" i="90"/>
  <c r="H28" i="90" s="1"/>
  <c r="F84" i="90"/>
  <c r="F88" i="90" s="1"/>
  <c r="R4" i="90"/>
  <c r="Q3" i="90"/>
  <c r="G22" i="90"/>
  <c r="G11" i="90"/>
  <c r="G26" i="90" a="1"/>
  <c r="G26" i="90" s="1"/>
  <c r="G79" i="90" s="1"/>
  <c r="G27" i="90"/>
  <c r="F85" i="90"/>
  <c r="F89" i="90" s="1"/>
  <c r="H6" i="89"/>
  <c r="H11" i="89" s="1"/>
  <c r="Q49" i="86"/>
  <c r="Q146" i="86"/>
  <c r="Q145" i="86" s="1"/>
  <c r="Q3" i="86"/>
  <c r="R4" i="86"/>
  <c r="R105" i="86" s="1"/>
  <c r="H77" i="90" l="1"/>
  <c r="H83" i="90" s="1"/>
  <c r="H87" i="90" s="1"/>
  <c r="H29" i="89"/>
  <c r="X4" i="89"/>
  <c r="X3" i="89" s="1"/>
  <c r="G6" i="86"/>
  <c r="H12" i="89"/>
  <c r="I21" i="89"/>
  <c r="D97" i="94"/>
  <c r="D124" i="94" s="1"/>
  <c r="D123" i="94"/>
  <c r="D39" i="94"/>
  <c r="D67" i="94" s="1"/>
  <c r="D66" i="94"/>
  <c r="B44" i="94"/>
  <c r="B74" i="94" s="1"/>
  <c r="B101" i="94" s="1"/>
  <c r="B57" i="95"/>
  <c r="G23" i="90"/>
  <c r="H17" i="90"/>
  <c r="H25" i="89"/>
  <c r="R3" i="90"/>
  <c r="S4" i="90"/>
  <c r="G80" i="90"/>
  <c r="G81" i="90" s="1"/>
  <c r="G82" i="90" s="1"/>
  <c r="H6" i="90"/>
  <c r="H14" i="89"/>
  <c r="H18" i="89"/>
  <c r="H17" i="89"/>
  <c r="H15" i="89"/>
  <c r="H16" i="89"/>
  <c r="R49" i="86"/>
  <c r="S4" i="86"/>
  <c r="S105" i="86" s="1"/>
  <c r="R146" i="86"/>
  <c r="R145" i="86" s="1"/>
  <c r="R3" i="86"/>
  <c r="Y4" i="89" l="1"/>
  <c r="Y3" i="89" s="1"/>
  <c r="I21" i="92"/>
  <c r="H5" i="86"/>
  <c r="H9" i="86" s="1"/>
  <c r="G84" i="90"/>
  <c r="G88" i="90" s="1"/>
  <c r="I24" i="89"/>
  <c r="I14" i="90"/>
  <c r="I28" i="90" s="1"/>
  <c r="G85" i="90"/>
  <c r="G89" i="90" s="1"/>
  <c r="T4" i="90"/>
  <c r="S3" i="90"/>
  <c r="H22" i="90"/>
  <c r="H11" i="90"/>
  <c r="H27" i="90"/>
  <c r="H26" i="90" a="1"/>
  <c r="H26" i="90" s="1"/>
  <c r="H79" i="90" s="1"/>
  <c r="I6" i="89"/>
  <c r="I11" i="89" s="1"/>
  <c r="S146" i="86"/>
  <c r="S145" i="86" s="1"/>
  <c r="S49" i="86"/>
  <c r="S3" i="86"/>
  <c r="T4" i="86"/>
  <c r="T105" i="86" s="1"/>
  <c r="I77" i="90" l="1"/>
  <c r="I83" i="90" s="1"/>
  <c r="I87" i="90" s="1"/>
  <c r="I29" i="89"/>
  <c r="Z4" i="89"/>
  <c r="Z3" i="89" s="1"/>
  <c r="H6" i="86"/>
  <c r="I12" i="89"/>
  <c r="J21" i="89"/>
  <c r="H23" i="90"/>
  <c r="I17" i="90"/>
  <c r="I25" i="89"/>
  <c r="U4" i="90"/>
  <c r="T3" i="90"/>
  <c r="H80" i="90"/>
  <c r="H81" i="90" s="1"/>
  <c r="H82" i="90" s="1"/>
  <c r="H85" i="90" s="1"/>
  <c r="H89" i="90" s="1"/>
  <c r="I6" i="90"/>
  <c r="I14" i="89"/>
  <c r="I16" i="89"/>
  <c r="I17" i="89"/>
  <c r="I15" i="89"/>
  <c r="I18" i="89"/>
  <c r="T146" i="86"/>
  <c r="T145" i="86" s="1"/>
  <c r="T49" i="86"/>
  <c r="T3" i="86"/>
  <c r="U4" i="86"/>
  <c r="U105" i="86" s="1"/>
  <c r="AA4" i="89" l="1"/>
  <c r="AA3" i="89" s="1"/>
  <c r="J21" i="92"/>
  <c r="I5" i="86"/>
  <c r="I9" i="86" s="1"/>
  <c r="H84" i="90"/>
  <c r="H88" i="90" s="1"/>
  <c r="J24" i="89"/>
  <c r="J14" i="90"/>
  <c r="J28" i="90" s="1"/>
  <c r="U3" i="90"/>
  <c r="V4" i="90"/>
  <c r="I22" i="90"/>
  <c r="I11" i="90"/>
  <c r="I26" i="90" a="1"/>
  <c r="I26" i="90" s="1"/>
  <c r="I79" i="90" s="1"/>
  <c r="I27" i="90"/>
  <c r="J6" i="89"/>
  <c r="J11" i="89" s="1"/>
  <c r="U146" i="86"/>
  <c r="U145" i="86" s="1"/>
  <c r="U49" i="86"/>
  <c r="V4" i="86"/>
  <c r="V105" i="86" s="1"/>
  <c r="U3" i="86"/>
  <c r="J77" i="90" l="1"/>
  <c r="J83" i="90" s="1"/>
  <c r="J87" i="90" s="1"/>
  <c r="J29" i="89"/>
  <c r="AB4" i="89"/>
  <c r="AB3" i="89" s="1"/>
  <c r="I6" i="86"/>
  <c r="J12" i="89"/>
  <c r="K21" i="89"/>
  <c r="I23" i="90"/>
  <c r="J17" i="90"/>
  <c r="J25" i="89"/>
  <c r="V3" i="90"/>
  <c r="W4" i="90"/>
  <c r="J6" i="90"/>
  <c r="I80" i="90"/>
  <c r="I81" i="90" s="1"/>
  <c r="I82" i="90" s="1"/>
  <c r="J14" i="89"/>
  <c r="J17" i="89"/>
  <c r="J15" i="89"/>
  <c r="J16" i="89"/>
  <c r="J18" i="89"/>
  <c r="V146" i="86"/>
  <c r="V145" i="86" s="1"/>
  <c r="V49" i="86"/>
  <c r="W4" i="86"/>
  <c r="W105" i="86" s="1"/>
  <c r="V3" i="86"/>
  <c r="AC4" i="89" l="1"/>
  <c r="AC3" i="89" s="1"/>
  <c r="K21" i="92"/>
  <c r="J5" i="86"/>
  <c r="J9" i="86" s="1"/>
  <c r="I85" i="90"/>
  <c r="I89" i="90" s="1"/>
  <c r="I84" i="90"/>
  <c r="I88" i="90" s="1"/>
  <c r="K24" i="89"/>
  <c r="K14" i="90"/>
  <c r="K28" i="90" s="1"/>
  <c r="W3" i="90"/>
  <c r="X4" i="90"/>
  <c r="J11" i="90"/>
  <c r="J22" i="90"/>
  <c r="J26" i="90" a="1"/>
  <c r="J26" i="90" s="1"/>
  <c r="J79" i="90" s="1"/>
  <c r="J27" i="90"/>
  <c r="K6" i="89"/>
  <c r="K11" i="89" s="1"/>
  <c r="W146" i="86"/>
  <c r="W145" i="86" s="1"/>
  <c r="W49" i="86"/>
  <c r="X4" i="86"/>
  <c r="X105" i="86" s="1"/>
  <c r="W3" i="86"/>
  <c r="K77" i="90" l="1"/>
  <c r="K83" i="90" s="1"/>
  <c r="K87" i="90" s="1"/>
  <c r="K29" i="89"/>
  <c r="AD4" i="89"/>
  <c r="AD3" i="89" s="1"/>
  <c r="K12" i="89"/>
  <c r="J6" i="86"/>
  <c r="L21" i="89"/>
  <c r="J23" i="90"/>
  <c r="K17" i="90"/>
  <c r="K25" i="89"/>
  <c r="Y4" i="90"/>
  <c r="X3" i="90"/>
  <c r="J80" i="90"/>
  <c r="J81" i="90" s="1"/>
  <c r="J82" i="90" s="1"/>
  <c r="K6" i="90"/>
  <c r="K14" i="89"/>
  <c r="K17" i="89"/>
  <c r="K18" i="89"/>
  <c r="K16" i="89"/>
  <c r="K15" i="89"/>
  <c r="X146" i="86"/>
  <c r="X145" i="86" s="1"/>
  <c r="X3" i="86"/>
  <c r="Y4" i="86"/>
  <c r="Y105" i="86" s="1"/>
  <c r="X49" i="86"/>
  <c r="AE4" i="89" l="1"/>
  <c r="AE3" i="89" s="1"/>
  <c r="L21" i="92"/>
  <c r="K5" i="86"/>
  <c r="K9" i="86" s="1"/>
  <c r="J84" i="90"/>
  <c r="J88" i="90" s="1"/>
  <c r="J85" i="90"/>
  <c r="J89" i="90" s="1"/>
  <c r="L24" i="89"/>
  <c r="L14" i="90"/>
  <c r="L28" i="90" s="1"/>
  <c r="Z4" i="90"/>
  <c r="Y3" i="90"/>
  <c r="K26" i="90" a="1"/>
  <c r="K26" i="90" s="1"/>
  <c r="K79" i="90" s="1"/>
  <c r="K27" i="90"/>
  <c r="K11" i="90"/>
  <c r="K22" i="90"/>
  <c r="L6" i="89"/>
  <c r="L11" i="89" s="1"/>
  <c r="Y146" i="86"/>
  <c r="Y145" i="86" s="1"/>
  <c r="Y3" i="86"/>
  <c r="Y49" i="86"/>
  <c r="Z4" i="86"/>
  <c r="Z105" i="86" s="1"/>
  <c r="L29" i="89" l="1"/>
  <c r="L77" i="90"/>
  <c r="L83" i="90" s="1"/>
  <c r="L87" i="90" s="1"/>
  <c r="AF4" i="89"/>
  <c r="AF3" i="89" s="1"/>
  <c r="L12" i="89"/>
  <c r="K6" i="86"/>
  <c r="M21" i="89"/>
  <c r="K23" i="90"/>
  <c r="L17" i="90"/>
  <c r="L25" i="89"/>
  <c r="Z3" i="90"/>
  <c r="AA4" i="90"/>
  <c r="L6" i="90"/>
  <c r="K80" i="90"/>
  <c r="K81" i="90" s="1"/>
  <c r="K82" i="90" s="1"/>
  <c r="L14" i="89"/>
  <c r="L16" i="89"/>
  <c r="L17" i="89"/>
  <c r="L18" i="89"/>
  <c r="L15" i="89"/>
  <c r="Z3" i="86"/>
  <c r="Z49" i="86"/>
  <c r="AA4" i="86"/>
  <c r="AA105" i="86" s="1"/>
  <c r="Z146" i="86"/>
  <c r="Z145" i="86" s="1"/>
  <c r="AG4" i="89" l="1"/>
  <c r="AG3" i="89" s="1"/>
  <c r="M21" i="92"/>
  <c r="L5" i="86"/>
  <c r="L9" i="86" s="1"/>
  <c r="K85" i="90"/>
  <c r="K89" i="90" s="1"/>
  <c r="M24" i="89"/>
  <c r="M14" i="90"/>
  <c r="M28" i="90" s="1"/>
  <c r="AB4" i="90"/>
  <c r="AA3" i="90"/>
  <c r="K84" i="90"/>
  <c r="K88" i="90" s="1"/>
  <c r="L11" i="90"/>
  <c r="L22" i="90"/>
  <c r="L27" i="90"/>
  <c r="L26" i="90" a="1"/>
  <c r="L26" i="90" s="1"/>
  <c r="L79" i="90" s="1"/>
  <c r="M6" i="89"/>
  <c r="M11" i="89" s="1"/>
  <c r="AA146" i="86"/>
  <c r="AA145" i="86" s="1"/>
  <c r="AA49" i="86"/>
  <c r="AA3" i="86"/>
  <c r="AB4" i="86"/>
  <c r="AB105" i="86" s="1"/>
  <c r="M29" i="89" l="1"/>
  <c r="M77" i="90"/>
  <c r="M83" i="90" s="1"/>
  <c r="M87" i="90" s="1"/>
  <c r="AH4" i="89"/>
  <c r="M12" i="89"/>
  <c r="L6" i="86"/>
  <c r="N21" i="89"/>
  <c r="L23" i="90"/>
  <c r="M17" i="90"/>
  <c r="M25" i="89"/>
  <c r="AB3" i="90"/>
  <c r="AC4" i="90"/>
  <c r="M6" i="90"/>
  <c r="L80" i="90"/>
  <c r="L81" i="90" s="1"/>
  <c r="L82" i="90" s="1"/>
  <c r="M14" i="89"/>
  <c r="M17" i="89"/>
  <c r="M15" i="89"/>
  <c r="M18" i="89"/>
  <c r="M16" i="89"/>
  <c r="AB146" i="86"/>
  <c r="AB145" i="86" s="1"/>
  <c r="AB49" i="86"/>
  <c r="AB3" i="86"/>
  <c r="AC4" i="86"/>
  <c r="AC105" i="86" s="1"/>
  <c r="AH3" i="89" l="1"/>
  <c r="N21" i="92"/>
  <c r="M5" i="86"/>
  <c r="M9" i="86" s="1"/>
  <c r="L84" i="90"/>
  <c r="L88" i="90" s="1"/>
  <c r="L85" i="90"/>
  <c r="L89" i="90" s="1"/>
  <c r="N24" i="89"/>
  <c r="N14" i="90"/>
  <c r="N28" i="90" s="1"/>
  <c r="N77" i="90" s="1"/>
  <c r="AC3" i="90"/>
  <c r="AD4" i="90"/>
  <c r="M11" i="90"/>
  <c r="M22" i="90"/>
  <c r="M26" i="90" a="1"/>
  <c r="M26" i="90" s="1"/>
  <c r="M79" i="90" s="1"/>
  <c r="M27" i="90"/>
  <c r="N6" i="89"/>
  <c r="AC146" i="86"/>
  <c r="AC145" i="86" s="1"/>
  <c r="AC49" i="86"/>
  <c r="AD4" i="86"/>
  <c r="AD105" i="86" s="1"/>
  <c r="AC3" i="86"/>
  <c r="O21" i="89" l="1"/>
  <c r="O14" i="90" s="1"/>
  <c r="M6" i="86"/>
  <c r="N6" i="90"/>
  <c r="N27" i="90" s="1"/>
  <c r="N11" i="89"/>
  <c r="M23" i="90"/>
  <c r="N83" i="90"/>
  <c r="N87" i="90" s="1"/>
  <c r="N25" i="89"/>
  <c r="N17" i="90"/>
  <c r="AE4" i="90"/>
  <c r="AD3" i="90"/>
  <c r="M80" i="90"/>
  <c r="M81" i="90" s="1"/>
  <c r="M82" i="90" s="1"/>
  <c r="N14" i="89"/>
  <c r="N18" i="89"/>
  <c r="N16" i="89"/>
  <c r="N15" i="89"/>
  <c r="N17" i="89"/>
  <c r="AD146" i="86"/>
  <c r="AD145" i="86" s="1"/>
  <c r="AD49" i="86"/>
  <c r="AE4" i="86"/>
  <c r="AE105" i="86" s="1"/>
  <c r="AD3" i="86"/>
  <c r="N29" i="89" l="1"/>
  <c r="N26" i="90" a="1"/>
  <c r="N26" i="90" s="1"/>
  <c r="N79" i="90" s="1"/>
  <c r="N80" i="90" s="1"/>
  <c r="N81" i="90" s="1"/>
  <c r="N82" i="90" s="1"/>
  <c r="N12" i="89"/>
  <c r="N5" i="86"/>
  <c r="N9" i="86" s="1"/>
  <c r="O21" i="92"/>
  <c r="O6" i="89"/>
  <c r="M84" i="90"/>
  <c r="M88" i="90" s="1"/>
  <c r="N22" i="90"/>
  <c r="N11" i="90"/>
  <c r="AE3" i="90"/>
  <c r="AF4" i="90"/>
  <c r="M85" i="90"/>
  <c r="M89" i="90" s="1"/>
  <c r="AE146" i="86"/>
  <c r="AE145" i="86" s="1"/>
  <c r="AE49" i="86"/>
  <c r="AF4" i="86"/>
  <c r="AF105" i="86" s="1"/>
  <c r="AE3" i="86"/>
  <c r="O10" i="89" l="1"/>
  <c r="I11" i="94" s="1"/>
  <c r="O7" i="89"/>
  <c r="O9" i="89"/>
  <c r="O8" i="89"/>
  <c r="O6" i="90"/>
  <c r="N6" i="86"/>
  <c r="N80" i="86"/>
  <c r="N23" i="90"/>
  <c r="N84" i="90"/>
  <c r="N88" i="90" s="1"/>
  <c r="N85" i="90"/>
  <c r="N89" i="90" s="1"/>
  <c r="AG4" i="90"/>
  <c r="AF3" i="90"/>
  <c r="AF3" i="86"/>
  <c r="AF49" i="86"/>
  <c r="AF146" i="86"/>
  <c r="AF145" i="86" s="1"/>
  <c r="AG4" i="86"/>
  <c r="AG105" i="86" s="1"/>
  <c r="I9" i="94" l="1"/>
  <c r="O8" i="90"/>
  <c r="O23" i="89"/>
  <c r="O10" i="90"/>
  <c r="O34" i="90" s="1"/>
  <c r="AH4" i="90"/>
  <c r="AH3" i="90" s="1"/>
  <c r="AG3" i="90"/>
  <c r="AG146" i="86"/>
  <c r="AG145" i="86" s="1"/>
  <c r="AG49" i="86"/>
  <c r="AG3" i="86"/>
  <c r="AH4" i="86"/>
  <c r="C42" i="93" l="1"/>
  <c r="AH105" i="86"/>
  <c r="O47" i="90"/>
  <c r="O32" i="90"/>
  <c r="O16" i="90"/>
  <c r="O28" i="90" s="1"/>
  <c r="O77" i="90" s="1"/>
  <c r="AH49" i="86"/>
  <c r="AH3" i="86"/>
  <c r="AH146" i="86"/>
  <c r="AH145" i="86" s="1"/>
  <c r="P60" i="92" l="1" a="1"/>
  <c r="D29" i="86"/>
  <c r="D30" i="86" s="1"/>
  <c r="E29" i="86"/>
  <c r="E30" i="86" s="1"/>
  <c r="L29" i="86"/>
  <c r="L30" i="86" s="1"/>
  <c r="M29" i="86"/>
  <c r="M30" i="86" s="1"/>
  <c r="F29" i="86"/>
  <c r="G29" i="86"/>
  <c r="J59" i="90"/>
  <c r="N29" i="86"/>
  <c r="H29" i="86"/>
  <c r="I29" i="86"/>
  <c r="F59" i="90"/>
  <c r="G59" i="90"/>
  <c r="H59" i="90"/>
  <c r="I59" i="90"/>
  <c r="L59" i="90"/>
  <c r="M59" i="90"/>
  <c r="P60" i="92" l="1"/>
  <c r="P82" i="92"/>
  <c r="P86" i="92"/>
  <c r="P81" i="92"/>
  <c r="P79" i="92"/>
  <c r="P77" i="92"/>
  <c r="P83" i="92"/>
  <c r="P80" i="92"/>
  <c r="P78" i="92"/>
  <c r="P84" i="92"/>
  <c r="P87" i="92"/>
  <c r="D87" i="92" s="1"/>
  <c r="D103" i="92" s="1"/>
  <c r="P103" i="92" s="1"/>
  <c r="P85" i="92"/>
  <c r="D63" i="92"/>
  <c r="E63" i="92" s="1"/>
  <c r="F63" i="92" s="1"/>
  <c r="G63" i="92" s="1"/>
  <c r="H63" i="92" s="1"/>
  <c r="I63" i="92" s="1"/>
  <c r="J63" i="92" s="1"/>
  <c r="K63" i="92" s="1"/>
  <c r="L63" i="92" s="1"/>
  <c r="D70" i="92"/>
  <c r="E70" i="92" s="1"/>
  <c r="D61" i="92"/>
  <c r="E61" i="92" s="1"/>
  <c r="F61" i="92" s="1"/>
  <c r="G61" i="92" s="1"/>
  <c r="H61" i="92" s="1"/>
  <c r="I61" i="92" s="1"/>
  <c r="J61" i="92" s="1"/>
  <c r="K61" i="92" s="1"/>
  <c r="L61" i="92" s="1"/>
  <c r="M61" i="92" s="1"/>
  <c r="N61" i="92" s="1"/>
  <c r="D71" i="92"/>
  <c r="D62" i="92"/>
  <c r="E62" i="92" s="1"/>
  <c r="F62" i="92" s="1"/>
  <c r="G62" i="92" s="1"/>
  <c r="H62" i="92" s="1"/>
  <c r="I62" i="92" s="1"/>
  <c r="J62" i="92" s="1"/>
  <c r="K62" i="92" s="1"/>
  <c r="L62" i="92" s="1"/>
  <c r="M62" i="92" s="1"/>
  <c r="D66" i="92"/>
  <c r="E66" i="92" s="1"/>
  <c r="F66" i="92" s="1"/>
  <c r="G66" i="92" s="1"/>
  <c r="H66" i="92" s="1"/>
  <c r="I66" i="92" s="1"/>
  <c r="D65" i="92"/>
  <c r="E65" i="92" s="1"/>
  <c r="F65" i="92" s="1"/>
  <c r="G65" i="92" s="1"/>
  <c r="H65" i="92" s="1"/>
  <c r="I65" i="92" s="1"/>
  <c r="J65" i="92" s="1"/>
  <c r="D64" i="92"/>
  <c r="E64" i="92" s="1"/>
  <c r="F64" i="92" s="1"/>
  <c r="G64" i="92" s="1"/>
  <c r="H64" i="92" s="1"/>
  <c r="I64" i="92" s="1"/>
  <c r="J64" i="92" s="1"/>
  <c r="K64" i="92" s="1"/>
  <c r="D69" i="92"/>
  <c r="E69" i="92" s="1"/>
  <c r="F69" i="92" s="1"/>
  <c r="D68" i="92"/>
  <c r="E68" i="92" s="1"/>
  <c r="F68" i="92" s="1"/>
  <c r="G68" i="92" s="1"/>
  <c r="D67" i="92"/>
  <c r="E67" i="92" s="1"/>
  <c r="F67" i="92" s="1"/>
  <c r="G67" i="92" s="1"/>
  <c r="H67" i="92" s="1"/>
  <c r="J61" i="90"/>
  <c r="I61" i="90"/>
  <c r="N30" i="86"/>
  <c r="N33" i="86"/>
  <c r="N59" i="90"/>
  <c r="D59" i="90"/>
  <c r="E59" i="90"/>
  <c r="H61" i="90" s="1"/>
  <c r="K29" i="86"/>
  <c r="K59" i="90"/>
  <c r="J29" i="86"/>
  <c r="H30" i="86"/>
  <c r="H33" i="86"/>
  <c r="C29" i="86"/>
  <c r="C59" i="90"/>
  <c r="I30" i="86"/>
  <c r="I33" i="86"/>
  <c r="F33" i="86"/>
  <c r="F30" i="86"/>
  <c r="G30" i="86"/>
  <c r="G33" i="86"/>
  <c r="M33" i="86"/>
  <c r="L33" i="86"/>
  <c r="I36" i="86" l="1"/>
  <c r="N34" i="86"/>
  <c r="H83" i="92"/>
  <c r="H99" i="92" s="1"/>
  <c r="D83" i="92"/>
  <c r="D99" i="92" s="1"/>
  <c r="E83" i="92"/>
  <c r="E99" i="92" s="1"/>
  <c r="G83" i="92"/>
  <c r="G99" i="92" s="1"/>
  <c r="F83" i="92"/>
  <c r="F99" i="92" s="1"/>
  <c r="H77" i="92"/>
  <c r="H93" i="92" s="1"/>
  <c r="D77" i="92"/>
  <c r="D93" i="92" s="1"/>
  <c r="I77" i="92"/>
  <c r="I93" i="92" s="1"/>
  <c r="M77" i="92"/>
  <c r="M93" i="92" s="1"/>
  <c r="J77" i="92"/>
  <c r="J93" i="92" s="1"/>
  <c r="F77" i="92"/>
  <c r="F93" i="92" s="1"/>
  <c r="E77" i="92"/>
  <c r="E93" i="92" s="1"/>
  <c r="N77" i="92"/>
  <c r="N93" i="92" s="1"/>
  <c r="K77" i="92"/>
  <c r="K93" i="92" s="1"/>
  <c r="G77" i="92"/>
  <c r="G93" i="92" s="1"/>
  <c r="L77" i="92"/>
  <c r="L93" i="92" s="1"/>
  <c r="I79" i="92"/>
  <c r="I95" i="92" s="1"/>
  <c r="L79" i="92"/>
  <c r="L95" i="92" s="1"/>
  <c r="D79" i="92"/>
  <c r="D95" i="92" s="1"/>
  <c r="F79" i="92"/>
  <c r="F95" i="92" s="1"/>
  <c r="E79" i="92"/>
  <c r="E95" i="92" s="1"/>
  <c r="H79" i="92"/>
  <c r="H95" i="92" s="1"/>
  <c r="G79" i="92"/>
  <c r="G95" i="92" s="1"/>
  <c r="K79" i="92"/>
  <c r="K95" i="92" s="1"/>
  <c r="J79" i="92"/>
  <c r="J95" i="92" s="1"/>
  <c r="E85" i="92"/>
  <c r="E101" i="92" s="1"/>
  <c r="F85" i="92"/>
  <c r="F101" i="92" s="1"/>
  <c r="D85" i="92"/>
  <c r="D101" i="92" s="1"/>
  <c r="D81" i="92"/>
  <c r="D97" i="92" s="1"/>
  <c r="G81" i="92"/>
  <c r="G97" i="92" s="1"/>
  <c r="J81" i="92"/>
  <c r="J97" i="92" s="1"/>
  <c r="F81" i="92"/>
  <c r="F97" i="92" s="1"/>
  <c r="I81" i="92"/>
  <c r="I97" i="92" s="1"/>
  <c r="E81" i="92"/>
  <c r="E97" i="92" s="1"/>
  <c r="H81" i="92"/>
  <c r="H97" i="92" s="1"/>
  <c r="E86" i="92"/>
  <c r="E102" i="92" s="1"/>
  <c r="D86" i="92"/>
  <c r="D102" i="92" s="1"/>
  <c r="J80" i="92"/>
  <c r="J96" i="92" s="1"/>
  <c r="K80" i="92"/>
  <c r="K96" i="92" s="1"/>
  <c r="G80" i="92"/>
  <c r="G96" i="92" s="1"/>
  <c r="F80" i="92"/>
  <c r="F96" i="92" s="1"/>
  <c r="E80" i="92"/>
  <c r="E96" i="92" s="1"/>
  <c r="D80" i="92"/>
  <c r="D96" i="92" s="1"/>
  <c r="H80" i="92"/>
  <c r="H96" i="92" s="1"/>
  <c r="I80" i="92"/>
  <c r="I96" i="92" s="1"/>
  <c r="D84" i="92"/>
  <c r="D100" i="92" s="1"/>
  <c r="G84" i="92"/>
  <c r="G100" i="92" s="1"/>
  <c r="F84" i="92"/>
  <c r="F100" i="92" s="1"/>
  <c r="E84" i="92"/>
  <c r="E100" i="92" s="1"/>
  <c r="I82" i="92"/>
  <c r="I98" i="92" s="1"/>
  <c r="H82" i="92"/>
  <c r="H98" i="92" s="1"/>
  <c r="G82" i="92"/>
  <c r="G98" i="92" s="1"/>
  <c r="E82" i="92"/>
  <c r="E98" i="92" s="1"/>
  <c r="F82" i="92"/>
  <c r="F98" i="92" s="1"/>
  <c r="D82" i="92"/>
  <c r="D98" i="92" s="1"/>
  <c r="M78" i="92"/>
  <c r="M94" i="92" s="1"/>
  <c r="L78" i="92"/>
  <c r="L94" i="92" s="1"/>
  <c r="F78" i="92"/>
  <c r="F94" i="92" s="1"/>
  <c r="H78" i="92"/>
  <c r="H94" i="92" s="1"/>
  <c r="D78" i="92"/>
  <c r="D94" i="92" s="1"/>
  <c r="J78" i="92"/>
  <c r="J94" i="92" s="1"/>
  <c r="E78" i="92"/>
  <c r="E94" i="92" s="1"/>
  <c r="K78" i="92"/>
  <c r="K94" i="92" s="1"/>
  <c r="G78" i="92"/>
  <c r="G94" i="92" s="1"/>
  <c r="I78" i="92"/>
  <c r="I94" i="92" s="1"/>
  <c r="P76" i="92"/>
  <c r="D60" i="92"/>
  <c r="E60" i="92" s="1"/>
  <c r="F60" i="92" s="1"/>
  <c r="G60" i="92" s="1"/>
  <c r="H60" i="92" s="1"/>
  <c r="I60" i="92" s="1"/>
  <c r="J60" i="92" s="1"/>
  <c r="K60" i="92" s="1"/>
  <c r="L60" i="92" s="1"/>
  <c r="M60" i="92" s="1"/>
  <c r="N60" i="92" s="1"/>
  <c r="O60" i="92" s="1"/>
  <c r="N61" i="90"/>
  <c r="M61" i="90"/>
  <c r="K61" i="90"/>
  <c r="G61" i="90"/>
  <c r="L61" i="90"/>
  <c r="I40" i="90"/>
  <c r="I42" i="90" s="1"/>
  <c r="I43" i="90" s="1"/>
  <c r="F34" i="86"/>
  <c r="J33" i="86"/>
  <c r="J30" i="86"/>
  <c r="M34" i="86"/>
  <c r="G34" i="86"/>
  <c r="C61" i="90"/>
  <c r="F61" i="90"/>
  <c r="D61" i="90"/>
  <c r="E61" i="90"/>
  <c r="K33" i="86"/>
  <c r="N36" i="86" s="1"/>
  <c r="C4" i="93" s="1"/>
  <c r="D19" i="93" s="1"/>
  <c r="N124" i="86" s="1"/>
  <c r="O122" i="86" s="1"/>
  <c r="K30" i="86"/>
  <c r="C30" i="86"/>
  <c r="I34" i="86"/>
  <c r="G40" i="90"/>
  <c r="G42" i="90" s="1"/>
  <c r="G43" i="90" s="1"/>
  <c r="L34" i="86"/>
  <c r="H40" i="90"/>
  <c r="H42" i="90" s="1"/>
  <c r="H43" i="90" s="1"/>
  <c r="H34" i="86"/>
  <c r="D18" i="93" l="1"/>
  <c r="N115" i="86" s="1"/>
  <c r="D20" i="93"/>
  <c r="N133" i="86" s="1"/>
  <c r="C6" i="93"/>
  <c r="L36" i="86"/>
  <c r="M36" i="86"/>
  <c r="K36" i="86"/>
  <c r="J36" i="86"/>
  <c r="P98" i="92"/>
  <c r="P102" i="92"/>
  <c r="P97" i="92"/>
  <c r="P94" i="92"/>
  <c r="P101" i="92"/>
  <c r="P100" i="92"/>
  <c r="P95" i="92"/>
  <c r="P96" i="92"/>
  <c r="P99" i="92"/>
  <c r="P93" i="92"/>
  <c r="D76" i="92"/>
  <c r="D92" i="92" s="1"/>
  <c r="F76" i="92"/>
  <c r="F92" i="92" s="1"/>
  <c r="F104" i="92" s="1"/>
  <c r="M76" i="92"/>
  <c r="M92" i="92" s="1"/>
  <c r="M104" i="92" s="1"/>
  <c r="K76" i="92"/>
  <c r="K92" i="92" s="1"/>
  <c r="K104" i="92" s="1"/>
  <c r="O76" i="92"/>
  <c r="O92" i="92" s="1"/>
  <c r="O104" i="92" s="1"/>
  <c r="J76" i="92"/>
  <c r="J92" i="92" s="1"/>
  <c r="J104" i="92" s="1"/>
  <c r="E76" i="92"/>
  <c r="E92" i="92" s="1"/>
  <c r="E104" i="92" s="1"/>
  <c r="I76" i="92"/>
  <c r="I92" i="92" s="1"/>
  <c r="I104" i="92" s="1"/>
  <c r="L76" i="92"/>
  <c r="L92" i="92" s="1"/>
  <c r="L104" i="92" s="1"/>
  <c r="H76" i="92"/>
  <c r="H92" i="92" s="1"/>
  <c r="H104" i="92" s="1"/>
  <c r="G76" i="92"/>
  <c r="G92" i="92" s="1"/>
  <c r="G104" i="92" s="1"/>
  <c r="N76" i="92"/>
  <c r="N92" i="92" s="1"/>
  <c r="N104" i="92" s="1"/>
  <c r="K40" i="90"/>
  <c r="K42" i="90" s="1"/>
  <c r="K43" i="90" s="1"/>
  <c r="J40" i="90"/>
  <c r="J42" i="90" s="1"/>
  <c r="J43" i="90" s="1"/>
  <c r="L40" i="90"/>
  <c r="L42" i="90" s="1"/>
  <c r="L43" i="90" s="1"/>
  <c r="J34" i="86"/>
  <c r="M40" i="90"/>
  <c r="M42" i="90" s="1"/>
  <c r="M43" i="90" s="1"/>
  <c r="K34" i="86"/>
  <c r="N40" i="90"/>
  <c r="N42" i="90" s="1"/>
  <c r="N43" i="90" s="1"/>
  <c r="D40" i="90"/>
  <c r="F40" i="90"/>
  <c r="C40" i="90"/>
  <c r="E40" i="90"/>
  <c r="O22" i="89"/>
  <c r="O24" i="89" s="1"/>
  <c r="O11" i="89"/>
  <c r="I8" i="94"/>
  <c r="I10" i="94"/>
  <c r="O7" i="90"/>
  <c r="O74" i="90" s="1"/>
  <c r="O9" i="90"/>
  <c r="N138" i="86" l="1"/>
  <c r="N139" i="86" s="1"/>
  <c r="O131" i="86"/>
  <c r="O133" i="86" s="1"/>
  <c r="O113" i="86"/>
  <c r="G9" i="93"/>
  <c r="G11" i="93"/>
  <c r="D21" i="93"/>
  <c r="G5" i="93" s="1"/>
  <c r="M62" i="86" s="1"/>
  <c r="N62" i="86" s="1"/>
  <c r="C9" i="93"/>
  <c r="D104" i="92"/>
  <c r="P92" i="92"/>
  <c r="O29" i="89"/>
  <c r="P21" i="89"/>
  <c r="P14" i="90" s="1"/>
  <c r="O15" i="90"/>
  <c r="O64" i="90" s="1"/>
  <c r="O66" i="90" s="1"/>
  <c r="O78" i="90"/>
  <c r="O31" i="90"/>
  <c r="O46" i="90"/>
  <c r="I12" i="94"/>
  <c r="M7" i="94" s="1"/>
  <c r="P6" i="89"/>
  <c r="O5" i="86"/>
  <c r="O6" i="86" s="1"/>
  <c r="O22" i="90"/>
  <c r="O11" i="90"/>
  <c r="O69" i="90"/>
  <c r="O71" i="90" s="1"/>
  <c r="O73" i="90" s="1"/>
  <c r="O17" i="90"/>
  <c r="O26" i="90" a="1"/>
  <c r="O26" i="90" s="1"/>
  <c r="O27" i="90"/>
  <c r="O33" i="90"/>
  <c r="O14" i="89"/>
  <c r="P131" i="86" l="1"/>
  <c r="P133" i="86" s="1"/>
  <c r="Q131" i="86" s="1"/>
  <c r="Q133" i="86" s="1"/>
  <c r="Q135" i="86" s="1"/>
  <c r="O135" i="86"/>
  <c r="C12" i="93"/>
  <c r="M56" i="86"/>
  <c r="N56" i="86" s="1"/>
  <c r="G13" i="93"/>
  <c r="G4" i="93" s="1"/>
  <c r="G6" i="93" s="1"/>
  <c r="O79" i="90"/>
  <c r="O80" i="90" s="1"/>
  <c r="O81" i="90" s="1"/>
  <c r="O82" i="90" s="1"/>
  <c r="O83" i="90"/>
  <c r="O87" i="90" s="1"/>
  <c r="O35" i="90"/>
  <c r="O8" i="86"/>
  <c r="P6" i="90"/>
  <c r="P8" i="89"/>
  <c r="P10" i="89"/>
  <c r="J11" i="94" s="1"/>
  <c r="P7" i="89"/>
  <c r="P9" i="89"/>
  <c r="O49" i="90"/>
  <c r="O23" i="90"/>
  <c r="P135" i="86" l="1"/>
  <c r="R131" i="86"/>
  <c r="R133" i="86" s="1"/>
  <c r="N57" i="86"/>
  <c r="O56" i="86"/>
  <c r="P56" i="86" s="1"/>
  <c r="Q56" i="86" s="1"/>
  <c r="R56" i="86" s="1"/>
  <c r="S56" i="86" s="1"/>
  <c r="T56" i="86" s="1"/>
  <c r="U56" i="86" s="1"/>
  <c r="V56" i="86" s="1"/>
  <c r="W56" i="86" s="1"/>
  <c r="X56" i="86" s="1"/>
  <c r="Y56" i="86" s="1"/>
  <c r="Z56" i="86" s="1"/>
  <c r="AA56" i="86" s="1"/>
  <c r="AB56" i="86" s="1"/>
  <c r="AC56" i="86" s="1"/>
  <c r="AD56" i="86" s="1"/>
  <c r="AE56" i="86" s="1"/>
  <c r="AF56" i="86" s="1"/>
  <c r="AG56" i="86" s="1"/>
  <c r="AH56" i="86" s="1"/>
  <c r="C39" i="93"/>
  <c r="M63" i="86"/>
  <c r="N63" i="86" s="1"/>
  <c r="N64" i="86" s="1"/>
  <c r="O85" i="90"/>
  <c r="O89" i="90" s="1"/>
  <c r="O84" i="90"/>
  <c r="O88" i="90" s="1"/>
  <c r="P10" i="90"/>
  <c r="P34" i="90" s="1"/>
  <c r="P23" i="89"/>
  <c r="P16" i="90" s="1"/>
  <c r="P28" i="90" s="1"/>
  <c r="P77" i="90" s="1"/>
  <c r="O12" i="86"/>
  <c r="O20" i="86"/>
  <c r="O22" i="86"/>
  <c r="O95" i="90" s="1"/>
  <c r="O21" i="86"/>
  <c r="H52" i="95" s="1"/>
  <c r="H47" i="95" s="1"/>
  <c r="O101" i="86"/>
  <c r="O68" i="86"/>
  <c r="O85" i="86" s="1"/>
  <c r="O149" i="86" s="1"/>
  <c r="O32" i="86" s="1"/>
  <c r="O39" i="90"/>
  <c r="O41" i="90" s="1"/>
  <c r="O15" i="86"/>
  <c r="O16" i="86" s="1"/>
  <c r="O60" i="90"/>
  <c r="O10" i="86"/>
  <c r="J9" i="94"/>
  <c r="P8" i="90"/>
  <c r="O92" i="90"/>
  <c r="R135" i="86" l="1"/>
  <c r="S131" i="86"/>
  <c r="S133" i="86" s="1"/>
  <c r="N65" i="86"/>
  <c r="O99" i="90"/>
  <c r="O154" i="86"/>
  <c r="H49" i="95"/>
  <c r="O168" i="86"/>
  <c r="O170" i="86" s="1"/>
  <c r="O172" i="86" s="1"/>
  <c r="H12" i="95"/>
  <c r="H7" i="95" s="1"/>
  <c r="O94" i="90"/>
  <c r="O98" i="90" s="1"/>
  <c r="O71" i="86"/>
  <c r="P65" i="90"/>
  <c r="P72" i="90" s="1"/>
  <c r="P86" i="90" s="1"/>
  <c r="P48" i="90"/>
  <c r="O23" i="86"/>
  <c r="O93" i="90"/>
  <c r="O97" i="90" s="1"/>
  <c r="O70" i="86"/>
  <c r="O53" i="86"/>
  <c r="O84" i="86"/>
  <c r="O86" i="86" s="1"/>
  <c r="O69" i="86"/>
  <c r="O59" i="90"/>
  <c r="O61" i="90" s="1"/>
  <c r="O59" i="86"/>
  <c r="P32" i="90"/>
  <c r="P47" i="90"/>
  <c r="S135" i="86" l="1"/>
  <c r="T131" i="86"/>
  <c r="T133" i="86" s="1"/>
  <c r="O153" i="86"/>
  <c r="H9" i="95"/>
  <c r="O152" i="86"/>
  <c r="I46" i="95"/>
  <c r="O55" i="86"/>
  <c r="O79" i="86" s="1"/>
  <c r="O27" i="86"/>
  <c r="O155" i="86"/>
  <c r="O29" i="86"/>
  <c r="O52" i="86"/>
  <c r="P83" i="86"/>
  <c r="T135" i="86" l="1"/>
  <c r="U131" i="86"/>
  <c r="U133" i="86" s="1"/>
  <c r="O54" i="86"/>
  <c r="O78" i="86" s="1"/>
  <c r="I6" i="95"/>
  <c r="O30" i="86"/>
  <c r="O33" i="86"/>
  <c r="O36" i="86" s="1"/>
  <c r="P11" i="89"/>
  <c r="P14" i="89"/>
  <c r="P22" i="89"/>
  <c r="J8" i="94"/>
  <c r="J10" i="94"/>
  <c r="P7" i="90"/>
  <c r="P69" i="90" s="1"/>
  <c r="P71" i="90" s="1"/>
  <c r="P73" i="90" s="1"/>
  <c r="P9" i="90"/>
  <c r="P26" i="90" s="1" a="1"/>
  <c r="P26" i="90" s="1"/>
  <c r="U135" i="86" l="1"/>
  <c r="V131" i="86"/>
  <c r="V133" i="86" s="1"/>
  <c r="O40" i="90"/>
  <c r="O42" i="90" s="1"/>
  <c r="O43" i="90" s="1"/>
  <c r="O34" i="86"/>
  <c r="P78" i="90"/>
  <c r="P83" i="90" s="1"/>
  <c r="P87" i="90" s="1"/>
  <c r="P74" i="90"/>
  <c r="P46" i="90"/>
  <c r="P49" i="90" s="1"/>
  <c r="P31" i="90"/>
  <c r="Q6" i="89"/>
  <c r="Q7" i="89" s="1"/>
  <c r="P15" i="90"/>
  <c r="P64" i="90" s="1"/>
  <c r="P66" i="90" s="1"/>
  <c r="P22" i="90"/>
  <c r="P23" i="90" s="1"/>
  <c r="P11" i="90"/>
  <c r="P53" i="90" s="1"/>
  <c r="J12" i="94"/>
  <c r="N7" i="94" s="1"/>
  <c r="P27" i="90"/>
  <c r="P33" i="90"/>
  <c r="P5" i="86"/>
  <c r="P24" i="89"/>
  <c r="V135" i="86" l="1"/>
  <c r="W131" i="86"/>
  <c r="W133" i="86" s="1"/>
  <c r="Q8" i="89"/>
  <c r="Q8" i="90" s="1"/>
  <c r="P35" i="90"/>
  <c r="P79" i="90"/>
  <c r="P80" i="90" s="1"/>
  <c r="P81" i="90" s="1"/>
  <c r="P82" i="90" s="1"/>
  <c r="Q10" i="89"/>
  <c r="Q23" i="89" s="1"/>
  <c r="Q6" i="90"/>
  <c r="Q9" i="89"/>
  <c r="P29" i="89"/>
  <c r="P8" i="86"/>
  <c r="P6" i="86"/>
  <c r="Q21" i="89"/>
  <c r="P17" i="90"/>
  <c r="K8" i="94"/>
  <c r="Q22" i="89"/>
  <c r="Q7" i="90"/>
  <c r="W135" i="86" l="1"/>
  <c r="X131" i="86"/>
  <c r="X133" i="86" s="1"/>
  <c r="P85" i="90"/>
  <c r="P89" i="90" s="1"/>
  <c r="P84" i="90"/>
  <c r="P88" i="90" s="1"/>
  <c r="K9" i="94"/>
  <c r="P21" i="86"/>
  <c r="I52" i="95" s="1"/>
  <c r="I47" i="95" s="1"/>
  <c r="P20" i="86"/>
  <c r="P22" i="86"/>
  <c r="P95" i="90" s="1"/>
  <c r="Q10" i="90"/>
  <c r="Q34" i="90" s="1"/>
  <c r="K11" i="94"/>
  <c r="Q14" i="89"/>
  <c r="Q9" i="90"/>
  <c r="K10" i="94"/>
  <c r="Q11" i="89"/>
  <c r="Q15" i="90"/>
  <c r="Q64" i="90" s="1"/>
  <c r="P10" i="86"/>
  <c r="P68" i="86"/>
  <c r="P101" i="86"/>
  <c r="P39" i="90"/>
  <c r="P41" i="90" s="1"/>
  <c r="P92" i="90"/>
  <c r="P15" i="86"/>
  <c r="P16" i="86" s="1"/>
  <c r="P12" i="86"/>
  <c r="P60" i="90"/>
  <c r="Q24" i="89"/>
  <c r="Q14" i="90"/>
  <c r="Q16" i="90"/>
  <c r="Q31" i="90"/>
  <c r="Q46" i="90"/>
  <c r="Q78" i="90"/>
  <c r="Q69" i="90"/>
  <c r="Q71" i="90" s="1"/>
  <c r="Q32" i="90"/>
  <c r="Q47" i="90"/>
  <c r="X135" i="86" l="1"/>
  <c r="Y131" i="86"/>
  <c r="Y133" i="86" s="1"/>
  <c r="R6" i="89"/>
  <c r="R8" i="89" s="1"/>
  <c r="L9" i="94" s="1"/>
  <c r="K12" i="94"/>
  <c r="O7" i="94" s="1"/>
  <c r="Q11" i="90"/>
  <c r="Q53" i="90" s="1"/>
  <c r="Q27" i="90"/>
  <c r="I12" i="95"/>
  <c r="I7" i="95" s="1"/>
  <c r="P168" i="86"/>
  <c r="P170" i="86" s="1"/>
  <c r="P172" i="86" s="1"/>
  <c r="P154" i="86"/>
  <c r="P23" i="86"/>
  <c r="P29" i="86" s="1"/>
  <c r="P93" i="90"/>
  <c r="P97" i="90" s="1"/>
  <c r="Q65" i="90"/>
  <c r="Q72" i="90" s="1"/>
  <c r="Q48" i="90"/>
  <c r="P70" i="86"/>
  <c r="P94" i="90"/>
  <c r="P98" i="90" s="1"/>
  <c r="P71" i="86"/>
  <c r="Q26" i="90" a="1"/>
  <c r="Q26" i="90" s="1"/>
  <c r="Q79" i="90" s="1"/>
  <c r="Q80" i="90" s="1"/>
  <c r="Q81" i="90" s="1"/>
  <c r="Q82" i="90" s="1"/>
  <c r="Q33" i="90"/>
  <c r="Q35" i="90" s="1"/>
  <c r="Q28" i="90"/>
  <c r="Q22" i="90"/>
  <c r="Q29" i="89"/>
  <c r="Q5" i="86"/>
  <c r="P59" i="90"/>
  <c r="P59" i="86"/>
  <c r="P69" i="86"/>
  <c r="P99" i="90"/>
  <c r="R21" i="89"/>
  <c r="Q17" i="90"/>
  <c r="P53" i="86"/>
  <c r="P85" i="86"/>
  <c r="P149" i="86" s="1"/>
  <c r="P84" i="86"/>
  <c r="Y135" i="86" l="1"/>
  <c r="Z131" i="86"/>
  <c r="Z133" i="86" s="1"/>
  <c r="R6" i="90"/>
  <c r="R8" i="90"/>
  <c r="R47" i="90" s="1"/>
  <c r="R10" i="89"/>
  <c r="L11" i="94" s="1"/>
  <c r="R7" i="89"/>
  <c r="R22" i="89" s="1"/>
  <c r="R15" i="90" s="1"/>
  <c r="R64" i="90" s="1"/>
  <c r="R9" i="89"/>
  <c r="L10" i="94" s="1"/>
  <c r="P153" i="86"/>
  <c r="Q84" i="90"/>
  <c r="Q77" i="90"/>
  <c r="Q83" i="90" s="1"/>
  <c r="Q85" i="90"/>
  <c r="P152" i="86"/>
  <c r="Q49" i="90"/>
  <c r="Q86" i="90"/>
  <c r="Q74" i="90"/>
  <c r="Q73" i="90"/>
  <c r="P27" i="86"/>
  <c r="Q66" i="90"/>
  <c r="Q23" i="90"/>
  <c r="Q8" i="86"/>
  <c r="Q6" i="86"/>
  <c r="R14" i="90"/>
  <c r="P61" i="90"/>
  <c r="P86" i="86"/>
  <c r="P155" i="86"/>
  <c r="P30" i="86"/>
  <c r="Z135" i="86" l="1"/>
  <c r="AA131" i="86"/>
  <c r="AA133" i="86" s="1"/>
  <c r="R32" i="90"/>
  <c r="R23" i="89"/>
  <c r="R24" i="89" s="1"/>
  <c r="R17" i="90" s="1"/>
  <c r="R10" i="90"/>
  <c r="R34" i="90" s="1"/>
  <c r="L8" i="94"/>
  <c r="L12" i="94" s="1"/>
  <c r="P7" i="94" s="1"/>
  <c r="R7" i="90"/>
  <c r="R78" i="90" s="1"/>
  <c r="R14" i="89"/>
  <c r="R11" i="89"/>
  <c r="R9" i="90"/>
  <c r="R33" i="90" s="1"/>
  <c r="Q89" i="90"/>
  <c r="Q87" i="90"/>
  <c r="Q88" i="90"/>
  <c r="Q21" i="86"/>
  <c r="J52" i="95" s="1"/>
  <c r="J47" i="95" s="1"/>
  <c r="Q22" i="86"/>
  <c r="Q95" i="90" s="1"/>
  <c r="Q20" i="86"/>
  <c r="Q68" i="86"/>
  <c r="Q10" i="86"/>
  <c r="Q101" i="86"/>
  <c r="Q15" i="86"/>
  <c r="Q16" i="86" s="1"/>
  <c r="Q92" i="90"/>
  <c r="Q60" i="90"/>
  <c r="Q12" i="86"/>
  <c r="Q39" i="90"/>
  <c r="Q41" i="90" s="1"/>
  <c r="P52" i="86"/>
  <c r="Q83" i="86"/>
  <c r="R5" i="86" l="1"/>
  <c r="R8" i="86" s="1"/>
  <c r="R21" i="86" s="1"/>
  <c r="K52" i="95" s="1"/>
  <c r="K47" i="95" s="1"/>
  <c r="AA135" i="86"/>
  <c r="AB131" i="86"/>
  <c r="AB133" i="86" s="1"/>
  <c r="R46" i="90"/>
  <c r="R16" i="90"/>
  <c r="R28" i="90" s="1"/>
  <c r="R77" i="90" s="1"/>
  <c r="R83" i="90" s="1"/>
  <c r="S21" i="89"/>
  <c r="S14" i="90" s="1"/>
  <c r="R69" i="90"/>
  <c r="R71" i="90" s="1"/>
  <c r="R31" i="90"/>
  <c r="R35" i="90" s="1"/>
  <c r="R29" i="89"/>
  <c r="S6" i="89"/>
  <c r="S7" i="89" s="1"/>
  <c r="S22" i="89" s="1"/>
  <c r="R26" i="90" a="1"/>
  <c r="R26" i="90" s="1"/>
  <c r="R79" i="90" s="1"/>
  <c r="R80" i="90" s="1"/>
  <c r="R81" i="90" s="1"/>
  <c r="R82" i="90" s="1"/>
  <c r="R11" i="90"/>
  <c r="R53" i="90" s="1"/>
  <c r="R22" i="90"/>
  <c r="R23" i="90" s="1"/>
  <c r="R6" i="86"/>
  <c r="R27" i="90"/>
  <c r="J12" i="95"/>
  <c r="J7" i="95" s="1"/>
  <c r="Q168" i="86"/>
  <c r="Q170" i="86" s="1"/>
  <c r="Q172" i="86" s="1"/>
  <c r="Q154" i="86"/>
  <c r="Q23" i="86"/>
  <c r="Q29" i="86" s="1"/>
  <c r="R65" i="90"/>
  <c r="R48" i="90"/>
  <c r="Q93" i="90"/>
  <c r="Q97" i="90" s="1"/>
  <c r="Q70" i="86"/>
  <c r="R20" i="86"/>
  <c r="R22" i="86"/>
  <c r="R95" i="90" s="1"/>
  <c r="Q94" i="90"/>
  <c r="Q98" i="90" s="1"/>
  <c r="Q71" i="86"/>
  <c r="Q59" i="90"/>
  <c r="Q61" i="90" s="1"/>
  <c r="Q99" i="90"/>
  <c r="Q69" i="86"/>
  <c r="Q59" i="86"/>
  <c r="Q53" i="86"/>
  <c r="Q85" i="86"/>
  <c r="Q149" i="86" s="1"/>
  <c r="Q84" i="86"/>
  <c r="Q155" i="86" s="1"/>
  <c r="R15" i="86"/>
  <c r="R16" i="86" s="1"/>
  <c r="R101" i="86"/>
  <c r="R92" i="90"/>
  <c r="R60" i="90"/>
  <c r="R68" i="86"/>
  <c r="R39" i="90"/>
  <c r="R41" i="90" s="1"/>
  <c r="R12" i="86"/>
  <c r="R10" i="86" l="1"/>
  <c r="AB135" i="86"/>
  <c r="AC131" i="86"/>
  <c r="AC133" i="86" s="1"/>
  <c r="S8" i="89"/>
  <c r="S8" i="90" s="1"/>
  <c r="S32" i="90" s="1"/>
  <c r="S9" i="89"/>
  <c r="S9" i="90" s="1"/>
  <c r="S33" i="90" s="1"/>
  <c r="S7" i="90"/>
  <c r="S46" i="90" s="1"/>
  <c r="S10" i="89"/>
  <c r="S23" i="89" s="1"/>
  <c r="S16" i="90" s="1"/>
  <c r="S28" i="90" s="1"/>
  <c r="S77" i="90" s="1"/>
  <c r="M8" i="94"/>
  <c r="S6" i="90"/>
  <c r="R85" i="90"/>
  <c r="R84" i="90"/>
  <c r="Q153" i="86"/>
  <c r="R154" i="86"/>
  <c r="Q152" i="86"/>
  <c r="K12" i="95"/>
  <c r="K7" i="95" s="1"/>
  <c r="R168" i="86"/>
  <c r="R170" i="86" s="1"/>
  <c r="R172" i="86" s="1"/>
  <c r="Q30" i="86"/>
  <c r="R71" i="86"/>
  <c r="R94" i="90"/>
  <c r="R98" i="90" s="1"/>
  <c r="R49" i="90"/>
  <c r="R72" i="90"/>
  <c r="R66" i="90"/>
  <c r="R23" i="86"/>
  <c r="R29" i="86" s="1"/>
  <c r="S65" i="90"/>
  <c r="S72" i="90" s="1"/>
  <c r="S86" i="90" s="1"/>
  <c r="R93" i="90"/>
  <c r="R97" i="90" s="1"/>
  <c r="S48" i="90"/>
  <c r="Q27" i="86"/>
  <c r="R70" i="86"/>
  <c r="Q86" i="86"/>
  <c r="R59" i="86"/>
  <c r="R69" i="86"/>
  <c r="R59" i="90"/>
  <c r="R99" i="90"/>
  <c r="R84" i="86"/>
  <c r="R155" i="86" s="1"/>
  <c r="R53" i="86"/>
  <c r="R85" i="86"/>
  <c r="R149" i="86" s="1"/>
  <c r="S15" i="90"/>
  <c r="S64" i="90" s="1"/>
  <c r="AC135" i="86" l="1"/>
  <c r="AD131" i="86"/>
  <c r="AD133" i="86" s="1"/>
  <c r="S24" i="89"/>
  <c r="T21" i="89" s="1"/>
  <c r="S78" i="90"/>
  <c r="S83" i="90" s="1"/>
  <c r="S87" i="90" s="1"/>
  <c r="S31" i="90"/>
  <c r="S47" i="90"/>
  <c r="S69" i="90"/>
  <c r="S71" i="90" s="1"/>
  <c r="S73" i="90" s="1"/>
  <c r="M11" i="94"/>
  <c r="M10" i="94"/>
  <c r="S14" i="89"/>
  <c r="S10" i="90"/>
  <c r="S34" i="90" s="1"/>
  <c r="S11" i="89"/>
  <c r="M9" i="94"/>
  <c r="R153" i="86"/>
  <c r="R152" i="86"/>
  <c r="S66" i="90"/>
  <c r="S74" i="90"/>
  <c r="R86" i="90"/>
  <c r="R74" i="90"/>
  <c r="R73" i="90"/>
  <c r="R27" i="86"/>
  <c r="R83" i="86"/>
  <c r="R86" i="86" s="1"/>
  <c r="Q52" i="86"/>
  <c r="R61" i="90"/>
  <c r="R30" i="86"/>
  <c r="S49" i="90"/>
  <c r="S11" i="90" l="1"/>
  <c r="S53" i="90" s="1"/>
  <c r="AD135" i="86"/>
  <c r="AE131" i="86"/>
  <c r="AE133" i="86" s="1"/>
  <c r="S35" i="90"/>
  <c r="S17" i="90"/>
  <c r="S26" i="90" a="1"/>
  <c r="S26" i="90" s="1"/>
  <c r="S79" i="90" s="1"/>
  <c r="S80" i="90" s="1"/>
  <c r="S81" i="90" s="1"/>
  <c r="S82" i="90" s="1"/>
  <c r="S27" i="90"/>
  <c r="M12" i="94"/>
  <c r="Q7" i="94" s="1"/>
  <c r="S5" i="86"/>
  <c r="S8" i="86" s="1"/>
  <c r="S22" i="86" s="1"/>
  <c r="S95" i="90" s="1"/>
  <c r="S22" i="90"/>
  <c r="S23" i="90" s="1"/>
  <c r="T6" i="89"/>
  <c r="T7" i="89" s="1"/>
  <c r="T22" i="89" s="1"/>
  <c r="S29" i="89"/>
  <c r="R88" i="90"/>
  <c r="R89" i="90"/>
  <c r="R87" i="90"/>
  <c r="R52" i="86"/>
  <c r="S83" i="86"/>
  <c r="T14" i="90"/>
  <c r="AE135" i="86" l="1"/>
  <c r="AF131" i="86"/>
  <c r="AF133" i="86" s="1"/>
  <c r="S60" i="90"/>
  <c r="S68" i="86"/>
  <c r="S85" i="86" s="1"/>
  <c r="S149" i="86" s="1"/>
  <c r="S85" i="90"/>
  <c r="S89" i="90" s="1"/>
  <c r="S84" i="90"/>
  <c r="S88" i="90" s="1"/>
  <c r="S39" i="90"/>
  <c r="S41" i="90" s="1"/>
  <c r="S12" i="86"/>
  <c r="S10" i="86"/>
  <c r="S101" i="86"/>
  <c r="S21" i="86"/>
  <c r="L52" i="95" s="1"/>
  <c r="L47" i="95" s="1"/>
  <c r="S15" i="86"/>
  <c r="S16" i="86" s="1"/>
  <c r="S59" i="90" s="1"/>
  <c r="S6" i="86"/>
  <c r="T9" i="89"/>
  <c r="T9" i="90" s="1"/>
  <c r="T33" i="90" s="1"/>
  <c r="S92" i="90"/>
  <c r="S99" i="90" s="1"/>
  <c r="S20" i="86"/>
  <c r="T10" i="89"/>
  <c r="T23" i="89" s="1"/>
  <c r="T24" i="89" s="1"/>
  <c r="T17" i="90" s="1"/>
  <c r="T7" i="90"/>
  <c r="T69" i="90" s="1"/>
  <c r="T71" i="90" s="1"/>
  <c r="T8" i="89"/>
  <c r="N9" i="94" s="1"/>
  <c r="N8" i="94"/>
  <c r="T6" i="90"/>
  <c r="T15" i="90"/>
  <c r="T64" i="90" s="1"/>
  <c r="S154" i="86" l="1"/>
  <c r="AF135" i="86"/>
  <c r="AG131" i="86"/>
  <c r="AG133" i="86" s="1"/>
  <c r="N10" i="94"/>
  <c r="S53" i="86"/>
  <c r="S84" i="86"/>
  <c r="S155" i="86" s="1"/>
  <c r="T16" i="90"/>
  <c r="T28" i="90" s="1"/>
  <c r="T77" i="90" s="1"/>
  <c r="T46" i="90"/>
  <c r="T78" i="90"/>
  <c r="S59" i="86"/>
  <c r="T31" i="90"/>
  <c r="S94" i="90"/>
  <c r="S98" i="90" s="1"/>
  <c r="S23" i="86"/>
  <c r="S29" i="86" s="1"/>
  <c r="S30" i="86" s="1"/>
  <c r="T14" i="89"/>
  <c r="T48" i="90"/>
  <c r="S69" i="86"/>
  <c r="T65" i="90"/>
  <c r="T72" i="90" s="1"/>
  <c r="T86" i="90" s="1"/>
  <c r="S71" i="86"/>
  <c r="S70" i="86"/>
  <c r="S168" i="86"/>
  <c r="S170" i="86" s="1"/>
  <c r="S172" i="86" s="1"/>
  <c r="S93" i="90"/>
  <c r="S97" i="90" s="1"/>
  <c r="L12" i="95"/>
  <c r="L7" i="95" s="1"/>
  <c r="N11" i="94"/>
  <c r="T10" i="90"/>
  <c r="T34" i="90" s="1"/>
  <c r="T8" i="90"/>
  <c r="T47" i="90" s="1"/>
  <c r="T11" i="89"/>
  <c r="U21" i="89"/>
  <c r="U14" i="90" s="1"/>
  <c r="S61" i="90"/>
  <c r="T22" i="90" l="1"/>
  <c r="T23" i="90" s="1"/>
  <c r="S153" i="86"/>
  <c r="AH131" i="86"/>
  <c r="AH133" i="86" s="1"/>
  <c r="AG135" i="86"/>
  <c r="S152" i="86"/>
  <c r="N12" i="94"/>
  <c r="R7" i="94" s="1"/>
  <c r="S86" i="86"/>
  <c r="T83" i="86" s="1"/>
  <c r="T49" i="90"/>
  <c r="T83" i="90"/>
  <c r="T87" i="90" s="1"/>
  <c r="S27" i="86"/>
  <c r="T29" i="89"/>
  <c r="T73" i="90"/>
  <c r="U6" i="89"/>
  <c r="U7" i="89" s="1"/>
  <c r="U7" i="90" s="1"/>
  <c r="U46" i="90" s="1"/>
  <c r="T27" i="90"/>
  <c r="T66" i="90"/>
  <c r="T5" i="86"/>
  <c r="T8" i="86" s="1"/>
  <c r="T92" i="90" s="1"/>
  <c r="T11" i="90"/>
  <c r="T53" i="90" s="1"/>
  <c r="T26" i="90" a="1"/>
  <c r="T26" i="90" s="1"/>
  <c r="T79" i="90" s="1"/>
  <c r="T80" i="90" s="1"/>
  <c r="T81" i="90" s="1"/>
  <c r="T82" i="90" s="1"/>
  <c r="T32" i="90"/>
  <c r="T35" i="90" s="1"/>
  <c r="T74" i="90"/>
  <c r="AH135" i="86" l="1"/>
  <c r="U10" i="89"/>
  <c r="U10" i="90" s="1"/>
  <c r="U34" i="90" s="1"/>
  <c r="S52" i="86"/>
  <c r="U9" i="89"/>
  <c r="U9" i="90" s="1"/>
  <c r="U8" i="89"/>
  <c r="U8" i="90" s="1"/>
  <c r="U47" i="90" s="1"/>
  <c r="O8" i="94"/>
  <c r="U69" i="90"/>
  <c r="U71" i="90" s="1"/>
  <c r="U31" i="90"/>
  <c r="U6" i="90"/>
  <c r="T101" i="86"/>
  <c r="T10" i="86"/>
  <c r="T12" i="86"/>
  <c r="T84" i="90"/>
  <c r="T88" i="90" s="1"/>
  <c r="T20" i="86"/>
  <c r="T93" i="90" s="1"/>
  <c r="T97" i="90" s="1"/>
  <c r="T60" i="90"/>
  <c r="T68" i="86"/>
  <c r="T85" i="86" s="1"/>
  <c r="T149" i="86" s="1"/>
  <c r="T15" i="86"/>
  <c r="T16" i="86" s="1"/>
  <c r="T59" i="90" s="1"/>
  <c r="U78" i="90"/>
  <c r="T21" i="86"/>
  <c r="M52" i="95" s="1"/>
  <c r="M47" i="95" s="1"/>
  <c r="U22" i="89"/>
  <c r="U15" i="90" s="1"/>
  <c r="U64" i="90" s="1"/>
  <c r="T22" i="86"/>
  <c r="T95" i="90" s="1"/>
  <c r="T99" i="90" s="1"/>
  <c r="T39" i="90"/>
  <c r="T41" i="90" s="1"/>
  <c r="T6" i="86"/>
  <c r="T85" i="90"/>
  <c r="T89" i="90" s="1"/>
  <c r="T154" i="86" l="1"/>
  <c r="O11" i="94"/>
  <c r="U23" i="89"/>
  <c r="U24" i="89" s="1"/>
  <c r="T70" i="86"/>
  <c r="U11" i="89"/>
  <c r="U32" i="90"/>
  <c r="O10" i="94"/>
  <c r="O9" i="94"/>
  <c r="T71" i="86"/>
  <c r="U14" i="89"/>
  <c r="T94" i="90"/>
  <c r="T98" i="90" s="1"/>
  <c r="T84" i="86"/>
  <c r="T155" i="86" s="1"/>
  <c r="T53" i="86"/>
  <c r="M12" i="95"/>
  <c r="M7" i="95" s="1"/>
  <c r="U65" i="90"/>
  <c r="U72" i="90" s="1"/>
  <c r="U86" i="90" s="1"/>
  <c r="T69" i="86"/>
  <c r="U48" i="90"/>
  <c r="U49" i="90" s="1"/>
  <c r="T23" i="86"/>
  <c r="T27" i="86" s="1"/>
  <c r="T168" i="86"/>
  <c r="T170" i="86" s="1"/>
  <c r="T172" i="86" s="1"/>
  <c r="T59" i="86"/>
  <c r="U26" i="90" a="1"/>
  <c r="U26" i="90" s="1"/>
  <c r="U79" i="90" s="1"/>
  <c r="U27" i="90"/>
  <c r="U33" i="90"/>
  <c r="T61" i="90"/>
  <c r="T153" i="86" l="1"/>
  <c r="U5" i="86"/>
  <c r="U6" i="86" s="1"/>
  <c r="T152" i="86"/>
  <c r="U16" i="90"/>
  <c r="U28" i="90" s="1"/>
  <c r="U77" i="90" s="1"/>
  <c r="U83" i="90" s="1"/>
  <c r="U87" i="90" s="1"/>
  <c r="U29" i="89"/>
  <c r="U66" i="90"/>
  <c r="U11" i="90"/>
  <c r="U53" i="90" s="1"/>
  <c r="V6" i="89"/>
  <c r="V6" i="90" s="1"/>
  <c r="U22" i="90"/>
  <c r="U23" i="90" s="1"/>
  <c r="U35" i="90"/>
  <c r="O12" i="94"/>
  <c r="S7" i="94" s="1"/>
  <c r="T86" i="86"/>
  <c r="U83" i="86" s="1"/>
  <c r="V21" i="89"/>
  <c r="V14" i="90" s="1"/>
  <c r="U17" i="90"/>
  <c r="U74" i="90"/>
  <c r="U73" i="90"/>
  <c r="T29" i="86"/>
  <c r="U80" i="90"/>
  <c r="U81" i="90" s="1"/>
  <c r="U82" i="90" s="1"/>
  <c r="U8" i="86" l="1"/>
  <c r="U22" i="86" s="1"/>
  <c r="U95" i="90" s="1"/>
  <c r="V8" i="89"/>
  <c r="P9" i="94" s="1"/>
  <c r="V9" i="89"/>
  <c r="V9" i="90" s="1"/>
  <c r="V7" i="89"/>
  <c r="V7" i="90" s="1"/>
  <c r="V10" i="89"/>
  <c r="T52" i="86"/>
  <c r="T30" i="86"/>
  <c r="U85" i="90"/>
  <c r="U89" i="90" s="1"/>
  <c r="U84" i="90"/>
  <c r="U88" i="90" s="1"/>
  <c r="U101" i="86" l="1"/>
  <c r="U12" i="86"/>
  <c r="U60" i="90"/>
  <c r="U68" i="86"/>
  <c r="U53" i="86" s="1"/>
  <c r="U21" i="86"/>
  <c r="N52" i="95" s="1"/>
  <c r="N47" i="95" s="1"/>
  <c r="U39" i="90"/>
  <c r="U41" i="90" s="1"/>
  <c r="U20" i="86"/>
  <c r="U70" i="86" s="1"/>
  <c r="U92" i="90"/>
  <c r="U99" i="90" s="1"/>
  <c r="U15" i="86"/>
  <c r="U16" i="86" s="1"/>
  <c r="U59" i="90" s="1"/>
  <c r="U10" i="86"/>
  <c r="V8" i="90"/>
  <c r="V47" i="90" s="1"/>
  <c r="P10" i="94"/>
  <c r="U85" i="86"/>
  <c r="U149" i="86" s="1"/>
  <c r="P8" i="94"/>
  <c r="V22" i="89"/>
  <c r="V15" i="90" s="1"/>
  <c r="V64" i="90" s="1"/>
  <c r="V11" i="89"/>
  <c r="V10" i="90"/>
  <c r="V34" i="90" s="1"/>
  <c r="P11" i="94"/>
  <c r="V23" i="89"/>
  <c r="V16" i="90" s="1"/>
  <c r="V28" i="90" s="1"/>
  <c r="V77" i="90" s="1"/>
  <c r="V14" i="89"/>
  <c r="V69" i="90"/>
  <c r="V71" i="90" s="1"/>
  <c r="V46" i="90"/>
  <c r="V31" i="90"/>
  <c r="V78" i="90"/>
  <c r="V33" i="90"/>
  <c r="U61" i="90" l="1"/>
  <c r="N12" i="95"/>
  <c r="N7" i="95" s="1"/>
  <c r="V48" i="90"/>
  <c r="V49" i="90" s="1"/>
  <c r="U84" i="86"/>
  <c r="U155" i="86" s="1"/>
  <c r="U23" i="86"/>
  <c r="U27" i="86" s="1"/>
  <c r="U59" i="86"/>
  <c r="U69" i="86"/>
  <c r="U71" i="86"/>
  <c r="U168" i="86"/>
  <c r="U170" i="86" s="1"/>
  <c r="U172" i="86" s="1"/>
  <c r="U152" i="86" s="1"/>
  <c r="U93" i="90"/>
  <c r="U97" i="90" s="1"/>
  <c r="U153" i="86"/>
  <c r="V65" i="90"/>
  <c r="V72" i="90" s="1"/>
  <c r="V86" i="90" s="1"/>
  <c r="U154" i="86"/>
  <c r="U94" i="90"/>
  <c r="U98" i="90" s="1"/>
  <c r="W6" i="89"/>
  <c r="W9" i="89" s="1"/>
  <c r="V32" i="90"/>
  <c r="V35" i="90" s="1"/>
  <c r="P12" i="94"/>
  <c r="T7" i="94" s="1"/>
  <c r="V5" i="86"/>
  <c r="V6" i="86" s="1"/>
  <c r="V24" i="89"/>
  <c r="V17" i="90" s="1"/>
  <c r="V11" i="90"/>
  <c r="V53" i="90" s="1"/>
  <c r="V22" i="90"/>
  <c r="V23" i="90" s="1"/>
  <c r="V27" i="90"/>
  <c r="V26" i="90" a="1"/>
  <c r="V26" i="90" s="1"/>
  <c r="V79" i="90" s="1"/>
  <c r="V83" i="90"/>
  <c r="W7" i="89"/>
  <c r="W6" i="90"/>
  <c r="W10" i="89"/>
  <c r="W8" i="89"/>
  <c r="U29" i="86" l="1"/>
  <c r="U86" i="86"/>
  <c r="U52" i="86" s="1"/>
  <c r="V73" i="90"/>
  <c r="V87" i="90"/>
  <c r="V66" i="90"/>
  <c r="V74" i="90"/>
  <c r="V8" i="86"/>
  <c r="V21" i="86" s="1"/>
  <c r="V83" i="86"/>
  <c r="W21" i="89"/>
  <c r="W14" i="90" s="1"/>
  <c r="V29" i="89"/>
  <c r="Q11" i="94"/>
  <c r="W10" i="90"/>
  <c r="W34" i="90" s="1"/>
  <c r="W23" i="89"/>
  <c r="W16" i="90" s="1"/>
  <c r="W14" i="89"/>
  <c r="Q9" i="94"/>
  <c r="W8" i="90"/>
  <c r="V80" i="90"/>
  <c r="V81" i="90" s="1"/>
  <c r="V82" i="90" s="1"/>
  <c r="W22" i="89"/>
  <c r="W15" i="90" s="1"/>
  <c r="W64" i="90" s="1"/>
  <c r="W11" i="89"/>
  <c r="Q8" i="94"/>
  <c r="W7" i="90"/>
  <c r="Q10" i="94"/>
  <c r="W9" i="90"/>
  <c r="U30" i="86" l="1"/>
  <c r="V20" i="86"/>
  <c r="V70" i="86" s="1"/>
  <c r="V10" i="86"/>
  <c r="V39" i="90"/>
  <c r="V41" i="90" s="1"/>
  <c r="V68" i="86"/>
  <c r="V85" i="86" s="1"/>
  <c r="V149" i="86" s="1"/>
  <c r="V22" i="86"/>
  <c r="V95" i="90" s="1"/>
  <c r="V92" i="90"/>
  <c r="V60" i="90"/>
  <c r="V15" i="86"/>
  <c r="V59" i="86" s="1"/>
  <c r="V12" i="86"/>
  <c r="V101" i="86"/>
  <c r="W28" i="90"/>
  <c r="W77" i="90" s="1"/>
  <c r="V84" i="90"/>
  <c r="V88" i="90" s="1"/>
  <c r="V85" i="90"/>
  <c r="V89" i="90" s="1"/>
  <c r="Q12" i="94"/>
  <c r="U7" i="94" s="1"/>
  <c r="O52" i="95"/>
  <c r="O47" i="95" s="1"/>
  <c r="V94" i="90"/>
  <c r="V71" i="86"/>
  <c r="X6" i="89"/>
  <c r="W5" i="86"/>
  <c r="W11" i="90"/>
  <c r="W53" i="90" s="1"/>
  <c r="W22" i="90"/>
  <c r="W23" i="90" s="1"/>
  <c r="W24" i="89"/>
  <c r="W69" i="90"/>
  <c r="W71" i="90" s="1"/>
  <c r="W78" i="90"/>
  <c r="W31" i="90"/>
  <c r="W46" i="90"/>
  <c r="W27" i="90"/>
  <c r="W33" i="90"/>
  <c r="W26" i="90" a="1"/>
  <c r="W26" i="90" s="1"/>
  <c r="W47" i="90"/>
  <c r="W32" i="90"/>
  <c r="V53" i="86" l="1"/>
  <c r="W48" i="90"/>
  <c r="W49" i="90" s="1"/>
  <c r="V98" i="90"/>
  <c r="O12" i="95"/>
  <c r="O7" i="95" s="1"/>
  <c r="W65" i="90"/>
  <c r="W66" i="90" s="1"/>
  <c r="V93" i="90"/>
  <c r="V97" i="90" s="1"/>
  <c r="V99" i="90"/>
  <c r="V69" i="86"/>
  <c r="V168" i="86"/>
  <c r="V170" i="86" s="1"/>
  <c r="V172" i="86" s="1"/>
  <c r="V16" i="86"/>
  <c r="V84" i="86"/>
  <c r="V155" i="86" s="1"/>
  <c r="V23" i="86"/>
  <c r="V27" i="86" s="1"/>
  <c r="W79" i="90"/>
  <c r="W80" i="90" s="1"/>
  <c r="W81" i="90" s="1"/>
  <c r="W82" i="90" s="1"/>
  <c r="W35" i="90"/>
  <c r="X7" i="89"/>
  <c r="X6" i="90"/>
  <c r="X9" i="89"/>
  <c r="X10" i="89"/>
  <c r="X8" i="89"/>
  <c r="W17" i="90"/>
  <c r="X21" i="89"/>
  <c r="W29" i="89"/>
  <c r="V154" i="86"/>
  <c r="W6" i="86"/>
  <c r="W8" i="86"/>
  <c r="W83" i="90"/>
  <c r="V153" i="86" l="1"/>
  <c r="V152" i="86"/>
  <c r="W72" i="90"/>
  <c r="W86" i="90" s="1"/>
  <c r="W87" i="90" s="1"/>
  <c r="V86" i="86"/>
  <c r="W83" i="86" s="1"/>
  <c r="V29" i="86"/>
  <c r="V59" i="90"/>
  <c r="V61" i="90" s="1"/>
  <c r="X14" i="89"/>
  <c r="W85" i="90"/>
  <c r="W84" i="90"/>
  <c r="X11" i="89"/>
  <c r="X7" i="90"/>
  <c r="X22" i="89"/>
  <c r="X15" i="90" s="1"/>
  <c r="X64" i="90" s="1"/>
  <c r="R8" i="94"/>
  <c r="X8" i="90"/>
  <c r="R9" i="94"/>
  <c r="R11" i="94"/>
  <c r="X23" i="89"/>
  <c r="X16" i="90" s="1"/>
  <c r="X10" i="90"/>
  <c r="X34" i="90" s="1"/>
  <c r="W15" i="86"/>
  <c r="W16" i="86" s="1"/>
  <c r="W101" i="86"/>
  <c r="W21" i="86"/>
  <c r="W39" i="90"/>
  <c r="W41" i="90" s="1"/>
  <c r="W20" i="86"/>
  <c r="W10" i="86"/>
  <c r="W22" i="86"/>
  <c r="W95" i="90" s="1"/>
  <c r="W68" i="86"/>
  <c r="W92" i="90"/>
  <c r="W12" i="86"/>
  <c r="W60" i="90"/>
  <c r="X9" i="90"/>
  <c r="R10" i="94"/>
  <c r="X14" i="90"/>
  <c r="X22" i="90" l="1"/>
  <c r="X23" i="90" s="1"/>
  <c r="W73" i="90"/>
  <c r="W74" i="90"/>
  <c r="V30" i="86"/>
  <c r="V52" i="86"/>
  <c r="X5" i="86"/>
  <c r="X6" i="86" s="1"/>
  <c r="Y6" i="89"/>
  <c r="Y6" i="90" s="1"/>
  <c r="X11" i="90"/>
  <c r="X53" i="90" s="1"/>
  <c r="W99" i="90"/>
  <c r="X28" i="90"/>
  <c r="X77" i="90" s="1"/>
  <c r="W59" i="90"/>
  <c r="W61" i="90" s="1"/>
  <c r="R12" i="94"/>
  <c r="V7" i="94" s="1"/>
  <c r="W59" i="86"/>
  <c r="W69" i="86"/>
  <c r="W88" i="90"/>
  <c r="W89" i="90"/>
  <c r="W93" i="90"/>
  <c r="W97" i="90" s="1"/>
  <c r="X48" i="90"/>
  <c r="W168" i="86"/>
  <c r="W170" i="86" s="1"/>
  <c r="W172" i="86" s="1"/>
  <c r="X65" i="90"/>
  <c r="W70" i="86"/>
  <c r="P12" i="95"/>
  <c r="P7" i="95" s="1"/>
  <c r="W23" i="86"/>
  <c r="W27" i="86" s="1"/>
  <c r="X32" i="90"/>
  <c r="X26" i="90" a="1"/>
  <c r="X26" i="90" s="1"/>
  <c r="X47" i="90"/>
  <c r="X78" i="90"/>
  <c r="X31" i="90"/>
  <c r="X46" i="90"/>
  <c r="X69" i="90"/>
  <c r="X71" i="90" s="1"/>
  <c r="X27" i="90"/>
  <c r="X33" i="90"/>
  <c r="X24" i="89"/>
  <c r="P52" i="95"/>
  <c r="P47" i="95" s="1"/>
  <c r="W71" i="86"/>
  <c r="W94" i="90"/>
  <c r="W98" i="90" s="1"/>
  <c r="W84" i="86"/>
  <c r="W53" i="86"/>
  <c r="W85" i="86"/>
  <c r="W149" i="86" s="1"/>
  <c r="W152" i="86" l="1"/>
  <c r="X8" i="86"/>
  <c r="X10" i="86" s="1"/>
  <c r="Y8" i="89"/>
  <c r="Y8" i="90" s="1"/>
  <c r="Y9" i="89"/>
  <c r="Y9" i="90" s="1"/>
  <c r="Y10" i="89"/>
  <c r="S11" i="94" s="1"/>
  <c r="Y7" i="89"/>
  <c r="Y7" i="90" s="1"/>
  <c r="X83" i="90"/>
  <c r="X49" i="90"/>
  <c r="X35" i="90"/>
  <c r="W154" i="86"/>
  <c r="Y21" i="89"/>
  <c r="X17" i="90"/>
  <c r="X29" i="89"/>
  <c r="W29" i="86"/>
  <c r="X79" i="90"/>
  <c r="X80" i="90" s="1"/>
  <c r="X81" i="90" s="1"/>
  <c r="X82" i="90" s="1"/>
  <c r="X72" i="90"/>
  <c r="X66" i="90"/>
  <c r="W155" i="86"/>
  <c r="W86" i="86"/>
  <c r="W153" i="86"/>
  <c r="S9" i="94" l="1"/>
  <c r="X22" i="86"/>
  <c r="X95" i="90" s="1"/>
  <c r="Y23" i="89"/>
  <c r="Y16" i="90" s="1"/>
  <c r="X39" i="90"/>
  <c r="X41" i="90" s="1"/>
  <c r="Y10" i="90"/>
  <c r="Y34" i="90" s="1"/>
  <c r="X92" i="90"/>
  <c r="X20" i="86"/>
  <c r="X70" i="86" s="1"/>
  <c r="X68" i="86"/>
  <c r="X53" i="86" s="1"/>
  <c r="X21" i="86"/>
  <c r="Q52" i="95" s="1"/>
  <c r="Q47" i="95" s="1"/>
  <c r="X60" i="90"/>
  <c r="X12" i="86"/>
  <c r="X15" i="86"/>
  <c r="X16" i="86" s="1"/>
  <c r="X59" i="90" s="1"/>
  <c r="X101" i="86"/>
  <c r="S10" i="94"/>
  <c r="Y14" i="89"/>
  <c r="Y22" i="89"/>
  <c r="Y15" i="90" s="1"/>
  <c r="Y64" i="90" s="1"/>
  <c r="S8" i="94"/>
  <c r="Y11" i="89"/>
  <c r="X85" i="90"/>
  <c r="Y33" i="90"/>
  <c r="Y69" i="90"/>
  <c r="Y71" i="90" s="1"/>
  <c r="Y78" i="90"/>
  <c r="Y31" i="90"/>
  <c r="Y46" i="90"/>
  <c r="Y14" i="90"/>
  <c r="W30" i="86"/>
  <c r="W52" i="86"/>
  <c r="X83" i="86"/>
  <c r="X74" i="90"/>
  <c r="X86" i="90"/>
  <c r="X73" i="90"/>
  <c r="X84" i="90"/>
  <c r="Y32" i="90"/>
  <c r="Y47" i="90"/>
  <c r="Y22" i="90" l="1"/>
  <c r="Y23" i="90" s="1"/>
  <c r="Y65" i="90"/>
  <c r="Y66" i="90" s="1"/>
  <c r="X93" i="90"/>
  <c r="X97" i="90" s="1"/>
  <c r="Q12" i="95"/>
  <c r="Q7" i="95" s="1"/>
  <c r="Y28" i="90"/>
  <c r="Y77" i="90" s="1"/>
  <c r="Y83" i="90" s="1"/>
  <c r="X99" i="90"/>
  <c r="X85" i="86"/>
  <c r="X149" i="86" s="1"/>
  <c r="X84" i="86"/>
  <c r="X155" i="86" s="1"/>
  <c r="X69" i="86"/>
  <c r="X71" i="86"/>
  <c r="Y48" i="90"/>
  <c r="Y49" i="90" s="1"/>
  <c r="Z6" i="89"/>
  <c r="Z8" i="89" s="1"/>
  <c r="Y11" i="90"/>
  <c r="Y53" i="90" s="1"/>
  <c r="X168" i="86"/>
  <c r="X170" i="86" s="1"/>
  <c r="X172" i="86" s="1"/>
  <c r="Y27" i="90"/>
  <c r="Y26" i="90" a="1"/>
  <c r="Y26" i="90" s="1"/>
  <c r="Y79" i="90" s="1"/>
  <c r="Y80" i="90" s="1"/>
  <c r="Y81" i="90" s="1"/>
  <c r="Y82" i="90" s="1"/>
  <c r="X61" i="90"/>
  <c r="X23" i="86"/>
  <c r="X27" i="86" s="1"/>
  <c r="X59" i="86"/>
  <c r="X94" i="90"/>
  <c r="X98" i="90" s="1"/>
  <c r="Y5" i="86"/>
  <c r="Y6" i="86" s="1"/>
  <c r="Y24" i="89"/>
  <c r="Y29" i="89" s="1"/>
  <c r="S12" i="94"/>
  <c r="W7" i="94" s="1"/>
  <c r="X88" i="90"/>
  <c r="X89" i="90"/>
  <c r="X87" i="90"/>
  <c r="X154" i="86"/>
  <c r="Y35" i="90"/>
  <c r="X153" i="86" l="1"/>
  <c r="X152" i="86"/>
  <c r="X86" i="86"/>
  <c r="Y83" i="86" s="1"/>
  <c r="Y72" i="90"/>
  <c r="Y86" i="90" s="1"/>
  <c r="Y87" i="90" s="1"/>
  <c r="Z9" i="89"/>
  <c r="Z9" i="90" s="1"/>
  <c r="Z7" i="89"/>
  <c r="T8" i="94" s="1"/>
  <c r="Z6" i="90"/>
  <c r="Z10" i="89"/>
  <c r="Z10" i="90" s="1"/>
  <c r="Z34" i="90" s="1"/>
  <c r="X29" i="86"/>
  <c r="Y8" i="86"/>
  <c r="Y68" i="86" s="1"/>
  <c r="Y17" i="90"/>
  <c r="Z21" i="89"/>
  <c r="Z14" i="90" s="1"/>
  <c r="Y84" i="90"/>
  <c r="Y85" i="90"/>
  <c r="T9" i="94"/>
  <c r="Z8" i="90"/>
  <c r="Z23" i="89" l="1"/>
  <c r="Z16" i="90" s="1"/>
  <c r="Z28" i="90" s="1"/>
  <c r="Z77" i="90" s="1"/>
  <c r="T10" i="94"/>
  <c r="Y74" i="90"/>
  <c r="Y73" i="90"/>
  <c r="T11" i="94"/>
  <c r="Z22" i="89"/>
  <c r="Z15" i="90" s="1"/>
  <c r="Z64" i="90" s="1"/>
  <c r="Z7" i="90"/>
  <c r="Z46" i="90" s="1"/>
  <c r="X52" i="86"/>
  <c r="Y92" i="90"/>
  <c r="Y15" i="86"/>
  <c r="Y16" i="86" s="1"/>
  <c r="Z11" i="89"/>
  <c r="Z14" i="89"/>
  <c r="X30" i="86"/>
  <c r="Y39" i="90"/>
  <c r="Y41" i="90" s="1"/>
  <c r="Y21" i="86"/>
  <c r="Y94" i="90" s="1"/>
  <c r="Y101" i="86"/>
  <c r="Y12" i="86"/>
  <c r="Y20" i="86"/>
  <c r="Z48" i="90" s="1"/>
  <c r="Y22" i="86"/>
  <c r="Y95" i="90" s="1"/>
  <c r="Y60" i="90"/>
  <c r="Y10" i="86"/>
  <c r="Y89" i="90"/>
  <c r="Z32" i="90"/>
  <c r="Z47" i="90"/>
  <c r="Z26" i="90" a="1"/>
  <c r="Z26" i="90" s="1"/>
  <c r="Z33" i="90"/>
  <c r="Z27" i="90"/>
  <c r="Y84" i="86"/>
  <c r="Y155" i="86" s="1"/>
  <c r="Y53" i="86"/>
  <c r="Y85" i="86"/>
  <c r="Y149" i="86" s="1"/>
  <c r="Y88" i="90"/>
  <c r="AA6" i="89" l="1"/>
  <c r="AA10" i="89" s="1"/>
  <c r="T12" i="94"/>
  <c r="X7" i="94" s="1"/>
  <c r="R12" i="95"/>
  <c r="R7" i="95" s="1"/>
  <c r="Y98" i="90"/>
  <c r="Z69" i="90"/>
  <c r="Z71" i="90" s="1"/>
  <c r="Z31" i="90"/>
  <c r="Z35" i="90" s="1"/>
  <c r="Z78" i="90"/>
  <c r="Z83" i="90" s="1"/>
  <c r="Z24" i="89"/>
  <c r="AA21" i="89" s="1"/>
  <c r="Y69" i="86"/>
  <c r="Z22" i="90"/>
  <c r="Z23" i="90" s="1"/>
  <c r="Y59" i="86"/>
  <c r="Y99" i="90"/>
  <c r="Z11" i="90"/>
  <c r="Z53" i="90" s="1"/>
  <c r="Y71" i="86"/>
  <c r="R52" i="95"/>
  <c r="R47" i="95" s="1"/>
  <c r="Z5" i="86"/>
  <c r="Z6" i="86" s="1"/>
  <c r="Z65" i="90"/>
  <c r="Z72" i="90" s="1"/>
  <c r="Z74" i="90" s="1"/>
  <c r="Y70" i="86"/>
  <c r="Y23" i="86"/>
  <c r="Y27" i="86" s="1"/>
  <c r="Y168" i="86"/>
  <c r="Y170" i="86" s="1"/>
  <c r="Y172" i="86" s="1"/>
  <c r="Y93" i="90"/>
  <c r="Y97" i="90" s="1"/>
  <c r="Z49" i="90"/>
  <c r="AA6" i="90"/>
  <c r="Y59" i="90"/>
  <c r="Y86" i="86"/>
  <c r="AA9" i="89" l="1"/>
  <c r="AA14" i="89" s="1"/>
  <c r="AA8" i="89"/>
  <c r="U9" i="94" s="1"/>
  <c r="Y153" i="86"/>
  <c r="AA7" i="89"/>
  <c r="AA11" i="89" s="1"/>
  <c r="Y154" i="86"/>
  <c r="Y152" i="86"/>
  <c r="Z79" i="90"/>
  <c r="Z80" i="90" s="1"/>
  <c r="Z81" i="90" s="1"/>
  <c r="Z82" i="90" s="1"/>
  <c r="Z29" i="89"/>
  <c r="Z17" i="90"/>
  <c r="Z8" i="86"/>
  <c r="Z39" i="90" s="1"/>
  <c r="Z41" i="90" s="1"/>
  <c r="Z66" i="90"/>
  <c r="Z73" i="90"/>
  <c r="Z86" i="90"/>
  <c r="Z87" i="90" s="1"/>
  <c r="Y29" i="86"/>
  <c r="Y30" i="86" s="1"/>
  <c r="Y61" i="90"/>
  <c r="AA7" i="90"/>
  <c r="U8" i="94"/>
  <c r="U11" i="94"/>
  <c r="AA23" i="89"/>
  <c r="AA16" i="90" s="1"/>
  <c r="AA10" i="90"/>
  <c r="AA34" i="90" s="1"/>
  <c r="Z83" i="86"/>
  <c r="Y52" i="86"/>
  <c r="AA14" i="90"/>
  <c r="AA8" i="90"/>
  <c r="AA22" i="89" l="1"/>
  <c r="AA15" i="90" s="1"/>
  <c r="AA64" i="90" s="1"/>
  <c r="AA9" i="90"/>
  <c r="AA27" i="90" s="1"/>
  <c r="U10" i="94"/>
  <c r="AA5" i="86"/>
  <c r="AA6" i="86" s="1"/>
  <c r="Z84" i="90"/>
  <c r="Z88" i="90" s="1"/>
  <c r="Z85" i="90"/>
  <c r="Z89" i="90" s="1"/>
  <c r="Z21" i="86"/>
  <c r="S52" i="95" s="1"/>
  <c r="S47" i="95" s="1"/>
  <c r="Z20" i="86"/>
  <c r="AA48" i="90" s="1"/>
  <c r="Z101" i="86"/>
  <c r="Z22" i="86"/>
  <c r="Z95" i="90" s="1"/>
  <c r="Z60" i="90"/>
  <c r="Z10" i="86"/>
  <c r="Z12" i="86"/>
  <c r="Z15" i="86"/>
  <c r="Z59" i="86" s="1"/>
  <c r="Z92" i="90"/>
  <c r="Z68" i="86"/>
  <c r="Z85" i="86" s="1"/>
  <c r="Z149" i="86" s="1"/>
  <c r="AA11" i="90"/>
  <c r="AA53" i="90" s="1"/>
  <c r="AA22" i="90"/>
  <c r="AA23" i="90" s="1"/>
  <c r="AB6" i="89"/>
  <c r="AB8" i="89" s="1"/>
  <c r="AA24" i="89"/>
  <c r="AA17" i="90" s="1"/>
  <c r="AA28" i="90"/>
  <c r="AA77" i="90" s="1"/>
  <c r="U12" i="94"/>
  <c r="Y7" i="94" s="1"/>
  <c r="AA33" i="90"/>
  <c r="AA69" i="90"/>
  <c r="AA71" i="90" s="1"/>
  <c r="AA31" i="90"/>
  <c r="AA46" i="90"/>
  <c r="AA78" i="90"/>
  <c r="AA47" i="90"/>
  <c r="AA32" i="90"/>
  <c r="AA26" i="90" a="1"/>
  <c r="AA26" i="90" s="1"/>
  <c r="AA8" i="86" l="1"/>
  <c r="AA60" i="90" s="1"/>
  <c r="AA65" i="90"/>
  <c r="AA72" i="90" s="1"/>
  <c r="Z93" i="90"/>
  <c r="Z97" i="90" s="1"/>
  <c r="S12" i="95"/>
  <c r="S7" i="95" s="1"/>
  <c r="Z16" i="86"/>
  <c r="Z59" i="90" s="1"/>
  <c r="Z61" i="90" s="1"/>
  <c r="Z71" i="86"/>
  <c r="Z70" i="86"/>
  <c r="Z94" i="90"/>
  <c r="Z98" i="90" s="1"/>
  <c r="Z23" i="86"/>
  <c r="Z99" i="90"/>
  <c r="Z168" i="86"/>
  <c r="Z170" i="86" s="1"/>
  <c r="Z172" i="86" s="1"/>
  <c r="Z69" i="86"/>
  <c r="Z53" i="86"/>
  <c r="Z84" i="86"/>
  <c r="Z155" i="86" s="1"/>
  <c r="AB21" i="89"/>
  <c r="AB14" i="90" s="1"/>
  <c r="AA29" i="89"/>
  <c r="AB6" i="90"/>
  <c r="AB9" i="89"/>
  <c r="V10" i="94" s="1"/>
  <c r="AB7" i="89"/>
  <c r="AB22" i="89" s="1"/>
  <c r="AB10" i="89"/>
  <c r="AB8" i="90"/>
  <c r="V9" i="94"/>
  <c r="AA83" i="90"/>
  <c r="AA79" i="90"/>
  <c r="AA80" i="90" s="1"/>
  <c r="AA81" i="90" s="1"/>
  <c r="AA82" i="90" s="1"/>
  <c r="AA49" i="90"/>
  <c r="AA35" i="90"/>
  <c r="AA101" i="86"/>
  <c r="AA92" i="90"/>
  <c r="AA68" i="86"/>
  <c r="Z154" i="86"/>
  <c r="AA15" i="86" l="1"/>
  <c r="AA16" i="86" s="1"/>
  <c r="AA59" i="90" s="1"/>
  <c r="AA61" i="90" s="1"/>
  <c r="AA10" i="86"/>
  <c r="AA21" i="86"/>
  <c r="AA39" i="90"/>
  <c r="AA41" i="90" s="1"/>
  <c r="AA22" i="86"/>
  <c r="AA95" i="90" s="1"/>
  <c r="AA99" i="90" s="1"/>
  <c r="AA12" i="86"/>
  <c r="AA20" i="86"/>
  <c r="AB48" i="90" s="1"/>
  <c r="Z153" i="86"/>
  <c r="Z152" i="86"/>
  <c r="AA66" i="90"/>
  <c r="Z29" i="86"/>
  <c r="Z30" i="86" s="1"/>
  <c r="Z27" i="86"/>
  <c r="AB14" i="89"/>
  <c r="Z86" i="86"/>
  <c r="AA83" i="86" s="1"/>
  <c r="AB9" i="90"/>
  <c r="AB33" i="90" s="1"/>
  <c r="AB10" i="90"/>
  <c r="AB34" i="90" s="1"/>
  <c r="V11" i="94"/>
  <c r="V8" i="94"/>
  <c r="AB23" i="89"/>
  <c r="AB16" i="90" s="1"/>
  <c r="AB28" i="90" s="1"/>
  <c r="AB77" i="90" s="1"/>
  <c r="AB11" i="89"/>
  <c r="AB7" i="90"/>
  <c r="AB31" i="90" s="1"/>
  <c r="AA85" i="90"/>
  <c r="AA84" i="90"/>
  <c r="AA86" i="90"/>
  <c r="AA87" i="90" s="1"/>
  <c r="AA74" i="90"/>
  <c r="AA73" i="90"/>
  <c r="T52" i="95"/>
  <c r="T47" i="95" s="1"/>
  <c r="AA94" i="90"/>
  <c r="AA98" i="90" s="1"/>
  <c r="AA71" i="86"/>
  <c r="AB15" i="90"/>
  <c r="AB64" i="90" s="1"/>
  <c r="AB65" i="90"/>
  <c r="AB72" i="90" s="1"/>
  <c r="AA93" i="90"/>
  <c r="AA97" i="90" s="1"/>
  <c r="AA84" i="86"/>
  <c r="AA155" i="86" s="1"/>
  <c r="AA53" i="86"/>
  <c r="AA85" i="86"/>
  <c r="AA149" i="86" s="1"/>
  <c r="AB47" i="90"/>
  <c r="AB32" i="90"/>
  <c r="AA59" i="86" l="1"/>
  <c r="AA69" i="86"/>
  <c r="AA70" i="86"/>
  <c r="AA168" i="86"/>
  <c r="AA170" i="86" s="1"/>
  <c r="AA172" i="86" s="1"/>
  <c r="AA152" i="86" s="1"/>
  <c r="T12" i="95"/>
  <c r="T7" i="95" s="1"/>
  <c r="AA153" i="86" s="1"/>
  <c r="AB5" i="86"/>
  <c r="AB6" i="86" s="1"/>
  <c r="AA23" i="86"/>
  <c r="AA29" i="86" s="1"/>
  <c r="AB46" i="90"/>
  <c r="AB49" i="90" s="1"/>
  <c r="Z52" i="86"/>
  <c r="V12" i="94"/>
  <c r="Z7" i="94" s="1"/>
  <c r="AB26" i="90" a="1"/>
  <c r="AB26" i="90" s="1"/>
  <c r="AB27" i="90"/>
  <c r="AB22" i="90"/>
  <c r="AB23" i="90" s="1"/>
  <c r="AB69" i="90"/>
  <c r="AB71" i="90" s="1"/>
  <c r="AB73" i="90" s="1"/>
  <c r="AB24" i="89"/>
  <c r="AB17" i="90" s="1"/>
  <c r="AB78" i="90"/>
  <c r="AB83" i="90" s="1"/>
  <c r="AA89" i="90"/>
  <c r="AB11" i="90"/>
  <c r="AB53" i="90" s="1"/>
  <c r="AC6" i="89"/>
  <c r="AC9" i="89" s="1"/>
  <c r="AB66" i="90"/>
  <c r="AA88" i="90"/>
  <c r="AB35" i="90"/>
  <c r="AA154" i="86"/>
  <c r="AA86" i="86"/>
  <c r="AB86" i="90"/>
  <c r="AB74" i="90"/>
  <c r="AA27" i="86" l="1"/>
  <c r="AB8" i="86"/>
  <c r="AB22" i="86" s="1"/>
  <c r="AB95" i="90" s="1"/>
  <c r="AB29" i="89"/>
  <c r="AC21" i="89"/>
  <c r="AC14" i="90" s="1"/>
  <c r="AC7" i="89"/>
  <c r="W8" i="94" s="1"/>
  <c r="AC8" i="89"/>
  <c r="W9" i="94" s="1"/>
  <c r="AB79" i="90"/>
  <c r="AB80" i="90" s="1"/>
  <c r="AB81" i="90" s="1"/>
  <c r="AB82" i="90" s="1"/>
  <c r="AC6" i="90"/>
  <c r="AC10" i="89"/>
  <c r="AC10" i="90" s="1"/>
  <c r="AC34" i="90" s="1"/>
  <c r="AA52" i="86"/>
  <c r="AB83" i="86"/>
  <c r="AC9" i="90"/>
  <c r="W10" i="94"/>
  <c r="AA30" i="86"/>
  <c r="AB39" i="90"/>
  <c r="AB41" i="90" s="1"/>
  <c r="AB60" i="90"/>
  <c r="AB87" i="90"/>
  <c r="AB12" i="86" l="1"/>
  <c r="AB101" i="86"/>
  <c r="AB92" i="90"/>
  <c r="AB99" i="90" s="1"/>
  <c r="AB20" i="86"/>
  <c r="AB68" i="86"/>
  <c r="AB53" i="86" s="1"/>
  <c r="AB15" i="86"/>
  <c r="AB59" i="86" s="1"/>
  <c r="AB10" i="86"/>
  <c r="AB21" i="86"/>
  <c r="AB94" i="90" s="1"/>
  <c r="AB98" i="90" s="1"/>
  <c r="AB84" i="90"/>
  <c r="AB88" i="90" s="1"/>
  <c r="AC8" i="90"/>
  <c r="AC26" i="90" s="1" a="1"/>
  <c r="AC26" i="90" s="1"/>
  <c r="AC14" i="89"/>
  <c r="W11" i="94"/>
  <c r="W12" i="94" s="1"/>
  <c r="AA7" i="94" s="1"/>
  <c r="AC7" i="90"/>
  <c r="AC69" i="90" s="1"/>
  <c r="AC71" i="90" s="1"/>
  <c r="AC23" i="89"/>
  <c r="AC16" i="90" s="1"/>
  <c r="AC28" i="90" s="1"/>
  <c r="AC77" i="90" s="1"/>
  <c r="AC22" i="89"/>
  <c r="AC15" i="90" s="1"/>
  <c r="AC64" i="90" s="1"/>
  <c r="AC11" i="89"/>
  <c r="AB85" i="90"/>
  <c r="AB89" i="90" s="1"/>
  <c r="U12" i="95"/>
  <c r="U7" i="95" s="1"/>
  <c r="AB93" i="90"/>
  <c r="AB97" i="90" s="1"/>
  <c r="AC65" i="90"/>
  <c r="AC48" i="90"/>
  <c r="AB16" i="86"/>
  <c r="AB59" i="90" s="1"/>
  <c r="AB61" i="90" s="1"/>
  <c r="AC33" i="90"/>
  <c r="AC27" i="90"/>
  <c r="AB69" i="86" l="1"/>
  <c r="AB23" i="86"/>
  <c r="AB27" i="86" s="1"/>
  <c r="AB71" i="86"/>
  <c r="U52" i="95"/>
  <c r="U47" i="95" s="1"/>
  <c r="AB168" i="86"/>
  <c r="AB170" i="86" s="1"/>
  <c r="AB172" i="86" s="1"/>
  <c r="AB152" i="86" s="1"/>
  <c r="AB70" i="86"/>
  <c r="AC11" i="90"/>
  <c r="AC53" i="90" s="1"/>
  <c r="AB85" i="86"/>
  <c r="AB149" i="86" s="1"/>
  <c r="AB84" i="86"/>
  <c r="AB155" i="86" s="1"/>
  <c r="AC47" i="90"/>
  <c r="AC46" i="90"/>
  <c r="AC49" i="90" s="1"/>
  <c r="AC78" i="90"/>
  <c r="AC83" i="90" s="1"/>
  <c r="AC31" i="90"/>
  <c r="AC24" i="89"/>
  <c r="AC17" i="90" s="1"/>
  <c r="AC32" i="90"/>
  <c r="AC22" i="90"/>
  <c r="AC23" i="90" s="1"/>
  <c r="AC5" i="86"/>
  <c r="AD6" i="89"/>
  <c r="AD8" i="89" s="1"/>
  <c r="AB153" i="86"/>
  <c r="AC72" i="90"/>
  <c r="AC66" i="90"/>
  <c r="AB154" i="86"/>
  <c r="AB29" i="86" l="1"/>
  <c r="AB30" i="86" s="1"/>
  <c r="AB86" i="86"/>
  <c r="AC83" i="86" s="1"/>
  <c r="AC29" i="89"/>
  <c r="AD21" i="89"/>
  <c r="AD14" i="90" s="1"/>
  <c r="AC35" i="90"/>
  <c r="AC79" i="90"/>
  <c r="AC80" i="90" s="1"/>
  <c r="AC81" i="90" s="1"/>
  <c r="AC82" i="90" s="1"/>
  <c r="X9" i="94"/>
  <c r="AD8" i="90"/>
  <c r="AD32" i="90" s="1"/>
  <c r="AD9" i="89"/>
  <c r="AD10" i="89"/>
  <c r="AD7" i="89"/>
  <c r="AD6" i="90"/>
  <c r="AC6" i="86"/>
  <c r="AC8" i="86"/>
  <c r="AC86" i="90"/>
  <c r="AC87" i="90" s="1"/>
  <c r="AC73" i="90"/>
  <c r="AC74" i="90"/>
  <c r="AB52" i="86" l="1"/>
  <c r="AD11" i="89"/>
  <c r="AD47" i="90"/>
  <c r="AC85" i="90"/>
  <c r="AC89" i="90" s="1"/>
  <c r="AC84" i="90"/>
  <c r="AC88" i="90" s="1"/>
  <c r="AD14" i="89"/>
  <c r="AD7" i="90"/>
  <c r="AD22" i="89"/>
  <c r="X8" i="94"/>
  <c r="AD10" i="90"/>
  <c r="AD34" i="90" s="1"/>
  <c r="X11" i="94"/>
  <c r="AD23" i="89"/>
  <c r="AD16" i="90" s="1"/>
  <c r="AD28" i="90" s="1"/>
  <c r="AD77" i="90" s="1"/>
  <c r="X10" i="94"/>
  <c r="AD9" i="90"/>
  <c r="AC60" i="90"/>
  <c r="AC39" i="90"/>
  <c r="AC41" i="90" s="1"/>
  <c r="AC68" i="86"/>
  <c r="AC21" i="86"/>
  <c r="AC92" i="90"/>
  <c r="AC12" i="86"/>
  <c r="AC20" i="86"/>
  <c r="AC10" i="86"/>
  <c r="AC101" i="86"/>
  <c r="AC22" i="86"/>
  <c r="AC95" i="90" s="1"/>
  <c r="AC15" i="86"/>
  <c r="AE6" i="89" l="1"/>
  <c r="AE6" i="90" s="1"/>
  <c r="AD22" i="90"/>
  <c r="AD23" i="90" s="1"/>
  <c r="AD11" i="90"/>
  <c r="AD53" i="90" s="1"/>
  <c r="AD5" i="86"/>
  <c r="AD6" i="86" s="1"/>
  <c r="AC99" i="90"/>
  <c r="AC93" i="90"/>
  <c r="AC97" i="90" s="1"/>
  <c r="AC168" i="86"/>
  <c r="AC170" i="86" s="1"/>
  <c r="AC172" i="86" s="1"/>
  <c r="AC70" i="86"/>
  <c r="V12" i="95"/>
  <c r="V7" i="95" s="1"/>
  <c r="AD48" i="90"/>
  <c r="AD65" i="90"/>
  <c r="AC23" i="86"/>
  <c r="AC27" i="86" s="1"/>
  <c r="AC94" i="90"/>
  <c r="AC98" i="90" s="1"/>
  <c r="V52" i="95"/>
  <c r="V47" i="95" s="1"/>
  <c r="AC71" i="86"/>
  <c r="AC59" i="86"/>
  <c r="AC69" i="86"/>
  <c r="AC16" i="86"/>
  <c r="AC84" i="86"/>
  <c r="AC53" i="86"/>
  <c r="AC85" i="86"/>
  <c r="AC149" i="86" s="1"/>
  <c r="X12" i="94"/>
  <c r="AB7" i="94" s="1"/>
  <c r="AD15" i="90"/>
  <c r="AD64" i="90" s="1"/>
  <c r="AD24" i="89"/>
  <c r="AD26" i="90" a="1"/>
  <c r="AD26" i="90" s="1"/>
  <c r="AD33" i="90"/>
  <c r="AD27" i="90"/>
  <c r="AD78" i="90"/>
  <c r="AD46" i="90"/>
  <c r="AD69" i="90"/>
  <c r="AD71" i="90" s="1"/>
  <c r="AD31" i="90"/>
  <c r="AC154" i="86" l="1"/>
  <c r="AE8" i="89"/>
  <c r="Y9" i="94" s="1"/>
  <c r="AE7" i="89"/>
  <c r="Y8" i="94" s="1"/>
  <c r="AE10" i="89"/>
  <c r="Y11" i="94" s="1"/>
  <c r="AC153" i="86"/>
  <c r="AE9" i="89"/>
  <c r="AE9" i="90" s="1"/>
  <c r="AE33" i="90" s="1"/>
  <c r="AC152" i="86"/>
  <c r="AD8" i="86"/>
  <c r="AD21" i="86" s="1"/>
  <c r="W52" i="95" s="1"/>
  <c r="W47" i="95" s="1"/>
  <c r="AE8" i="90"/>
  <c r="AE47" i="90" s="1"/>
  <c r="AD49" i="90"/>
  <c r="AD79" i="90"/>
  <c r="AD80" i="90" s="1"/>
  <c r="AD81" i="90" s="1"/>
  <c r="AD82" i="90" s="1"/>
  <c r="AC59" i="90"/>
  <c r="AC61" i="90" s="1"/>
  <c r="AC29" i="86"/>
  <c r="AD17" i="90"/>
  <c r="AD29" i="89"/>
  <c r="AE21" i="89"/>
  <c r="AE14" i="90" s="1"/>
  <c r="AC155" i="86"/>
  <c r="AC86" i="86"/>
  <c r="AD66" i="90"/>
  <c r="AD72" i="90"/>
  <c r="AD35" i="90"/>
  <c r="AD83" i="90"/>
  <c r="AE23" i="89" l="1"/>
  <c r="AE16" i="90" s="1"/>
  <c r="AE10" i="90"/>
  <c r="AE34" i="90" s="1"/>
  <c r="Y10" i="94"/>
  <c r="Y12" i="94" s="1"/>
  <c r="AE22" i="89"/>
  <c r="AE15" i="90" s="1"/>
  <c r="AE64" i="90" s="1"/>
  <c r="AE11" i="89"/>
  <c r="AE7" i="90"/>
  <c r="AE69" i="90" s="1"/>
  <c r="AE71" i="90" s="1"/>
  <c r="AE14" i="89"/>
  <c r="AD94" i="90"/>
  <c r="AD68" i="86"/>
  <c r="AD84" i="86" s="1"/>
  <c r="AD155" i="86" s="1"/>
  <c r="AD60" i="90"/>
  <c r="AD71" i="86"/>
  <c r="AD22" i="86"/>
  <c r="AD95" i="90" s="1"/>
  <c r="AD10" i="86"/>
  <c r="AD39" i="90"/>
  <c r="AD41" i="90" s="1"/>
  <c r="AD20" i="86"/>
  <c r="AE48" i="90" s="1"/>
  <c r="AD12" i="86"/>
  <c r="AD15" i="86"/>
  <c r="AD69" i="86" s="1"/>
  <c r="AD101" i="86"/>
  <c r="AD92" i="90"/>
  <c r="AE26" i="90" a="1"/>
  <c r="AE26" i="90" s="1"/>
  <c r="AD84" i="90"/>
  <c r="AD85" i="90"/>
  <c r="AE32" i="90"/>
  <c r="AE46" i="90"/>
  <c r="AE11" i="90"/>
  <c r="AE53" i="90" s="1"/>
  <c r="AE28" i="90"/>
  <c r="AE77" i="90" s="1"/>
  <c r="AE24" i="89"/>
  <c r="AF21" i="89" s="1"/>
  <c r="AF14" i="90" s="1"/>
  <c r="AD83" i="86"/>
  <c r="AC52" i="86"/>
  <c r="AC30" i="86"/>
  <c r="AD73" i="90"/>
  <c r="AD86" i="90"/>
  <c r="AD87" i="90" s="1"/>
  <c r="AD74" i="90"/>
  <c r="AD154" i="86"/>
  <c r="AE27" i="90" l="1"/>
  <c r="AE78" i="90"/>
  <c r="AE79" i="90" s="1"/>
  <c r="AE80" i="90" s="1"/>
  <c r="AE81" i="90" s="1"/>
  <c r="AE82" i="90" s="1"/>
  <c r="AF6" i="89"/>
  <c r="AE31" i="90"/>
  <c r="AE22" i="90"/>
  <c r="AE23" i="90" s="1"/>
  <c r="AE5" i="86"/>
  <c r="AE8" i="86" s="1"/>
  <c r="AE60" i="90" s="1"/>
  <c r="AD53" i="86"/>
  <c r="AD85" i="86"/>
  <c r="AD149" i="86" s="1"/>
  <c r="W12" i="95"/>
  <c r="W7" i="95" s="1"/>
  <c r="AD23" i="86"/>
  <c r="AD27" i="86" s="1"/>
  <c r="AD93" i="90"/>
  <c r="AD97" i="90" s="1"/>
  <c r="AD70" i="86"/>
  <c r="AD16" i="86"/>
  <c r="AD59" i="90" s="1"/>
  <c r="AD61" i="90" s="1"/>
  <c r="AD59" i="86"/>
  <c r="AD168" i="86"/>
  <c r="AD170" i="86" s="1"/>
  <c r="AD172" i="86" s="1"/>
  <c r="AE49" i="90"/>
  <c r="AE65" i="90"/>
  <c r="AE66" i="90" s="1"/>
  <c r="AD99" i="90"/>
  <c r="AD98" i="90"/>
  <c r="AE35" i="90"/>
  <c r="AE17" i="90"/>
  <c r="AE29" i="89"/>
  <c r="AD89" i="90"/>
  <c r="AD88" i="90"/>
  <c r="AE20" i="86"/>
  <c r="AE12" i="86"/>
  <c r="AE68" i="86"/>
  <c r="AE10" i="86" l="1"/>
  <c r="AE39" i="90"/>
  <c r="AE41" i="90" s="1"/>
  <c r="AE83" i="90"/>
  <c r="AE21" i="86"/>
  <c r="AE94" i="90" s="1"/>
  <c r="AE15" i="86"/>
  <c r="AE59" i="86" s="1"/>
  <c r="AE22" i="86"/>
  <c r="AE95" i="90" s="1"/>
  <c r="AE101" i="86"/>
  <c r="AE92" i="90"/>
  <c r="AD153" i="86"/>
  <c r="AE6" i="86"/>
  <c r="AF10" i="89"/>
  <c r="AF7" i="89"/>
  <c r="AF8" i="89"/>
  <c r="AF6" i="90"/>
  <c r="AF9" i="89"/>
  <c r="AD152" i="86"/>
  <c r="AD86" i="86"/>
  <c r="AD52" i="86" s="1"/>
  <c r="AE72" i="90"/>
  <c r="AE86" i="90" s="1"/>
  <c r="AD29" i="86"/>
  <c r="AE85" i="90"/>
  <c r="AE84" i="90"/>
  <c r="AE69" i="86"/>
  <c r="AE71" i="86"/>
  <c r="X52" i="95"/>
  <c r="X47" i="95" s="1"/>
  <c r="AE93" i="90"/>
  <c r="AE70" i="86"/>
  <c r="X12" i="95"/>
  <c r="X7" i="95" s="1"/>
  <c r="AF48" i="90"/>
  <c r="AF65" i="90"/>
  <c r="AE84" i="86"/>
  <c r="AE155" i="86" s="1"/>
  <c r="AE53" i="86"/>
  <c r="AE85" i="86"/>
  <c r="AE149" i="86" s="1"/>
  <c r="AE16" i="86" l="1"/>
  <c r="AE23" i="86"/>
  <c r="AE27" i="86" s="1"/>
  <c r="AE168" i="86"/>
  <c r="AE170" i="86" s="1"/>
  <c r="AE172" i="86" s="1"/>
  <c r="AE98" i="90"/>
  <c r="AE99" i="90"/>
  <c r="AE97" i="90"/>
  <c r="AE87" i="90"/>
  <c r="Z10" i="94"/>
  <c r="AF9" i="90"/>
  <c r="Z9" i="94"/>
  <c r="AF8" i="90"/>
  <c r="AF14" i="89"/>
  <c r="AF11" i="89"/>
  <c r="AF7" i="90"/>
  <c r="AF22" i="89"/>
  <c r="Z8" i="94"/>
  <c r="AF10" i="90"/>
  <c r="AF34" i="90" s="1"/>
  <c r="AF23" i="89"/>
  <c r="AF16" i="90" s="1"/>
  <c r="AF28" i="90" s="1"/>
  <c r="AF77" i="90" s="1"/>
  <c r="Z11" i="94"/>
  <c r="AE152" i="86"/>
  <c r="AE88" i="90"/>
  <c r="AE89" i="90"/>
  <c r="AE83" i="86"/>
  <c r="AE86" i="86" s="1"/>
  <c r="AD30" i="86"/>
  <c r="AE73" i="90"/>
  <c r="AE74" i="90"/>
  <c r="AF72" i="90"/>
  <c r="AE59" i="90"/>
  <c r="AE61" i="90" s="1"/>
  <c r="AE29" i="86"/>
  <c r="AE154" i="86"/>
  <c r="AE153" i="86"/>
  <c r="AF78" i="90" l="1"/>
  <c r="AF46" i="90"/>
  <c r="AF49" i="90" s="1"/>
  <c r="AF31" i="90"/>
  <c r="AF69" i="90"/>
  <c r="AF71" i="90" s="1"/>
  <c r="AF26" i="90" a="1"/>
  <c r="AF26" i="90" s="1"/>
  <c r="AF47" i="90"/>
  <c r="AF32" i="90"/>
  <c r="AF33" i="90"/>
  <c r="AF27" i="90"/>
  <c r="AF5" i="86"/>
  <c r="AF22" i="90"/>
  <c r="AF23" i="90" s="1"/>
  <c r="AF11" i="90"/>
  <c r="AF53" i="90" s="1"/>
  <c r="AG6" i="89"/>
  <c r="Z12" i="94"/>
  <c r="AF15" i="90"/>
  <c r="AF64" i="90" s="1"/>
  <c r="AF66" i="90" s="1"/>
  <c r="AF24" i="89"/>
  <c r="AE52" i="86"/>
  <c r="AF83" i="86"/>
  <c r="AE30" i="86"/>
  <c r="AF86" i="90"/>
  <c r="AF73" i="90"/>
  <c r="AF74" i="90"/>
  <c r="AG9" i="89" l="1"/>
  <c r="AG10" i="89"/>
  <c r="AG8" i="89"/>
  <c r="AG6" i="90"/>
  <c r="AG7" i="89"/>
  <c r="AF17" i="90"/>
  <c r="AF29" i="89"/>
  <c r="AG21" i="89"/>
  <c r="AG14" i="90" s="1"/>
  <c r="AF35" i="90"/>
  <c r="AF8" i="86"/>
  <c r="AF6" i="86"/>
  <c r="AF83" i="90"/>
  <c r="AF87" i="90" s="1"/>
  <c r="AF79" i="90"/>
  <c r="AG11" i="89" l="1"/>
  <c r="AG22" i="89"/>
  <c r="AG7" i="90"/>
  <c r="AA8" i="94"/>
  <c r="AG8" i="90"/>
  <c r="AA9" i="94"/>
  <c r="AG14" i="89"/>
  <c r="AG23" i="89"/>
  <c r="AG16" i="90" s="1"/>
  <c r="AG28" i="90" s="1"/>
  <c r="AG77" i="90" s="1"/>
  <c r="AG10" i="90"/>
  <c r="AG34" i="90" s="1"/>
  <c r="AA11" i="94"/>
  <c r="AF80" i="90"/>
  <c r="AF81" i="90" s="1"/>
  <c r="AF82" i="90" s="1"/>
  <c r="AF85" i="90"/>
  <c r="AF89" i="90" s="1"/>
  <c r="AG9" i="90"/>
  <c r="AA10" i="94"/>
  <c r="AF92" i="90"/>
  <c r="AF22" i="86"/>
  <c r="AF95" i="90" s="1"/>
  <c r="AF99" i="90" s="1"/>
  <c r="AF60" i="90"/>
  <c r="AF10" i="86"/>
  <c r="AF21" i="86"/>
  <c r="AF20" i="86"/>
  <c r="AF39" i="90"/>
  <c r="AF41" i="90" s="1"/>
  <c r="AF15" i="86"/>
  <c r="AF101" i="86"/>
  <c r="AF12" i="86"/>
  <c r="AF68" i="86"/>
  <c r="AF84" i="90" l="1"/>
  <c r="AF88" i="90" s="1"/>
  <c r="AG31" i="90"/>
  <c r="AG78" i="90"/>
  <c r="AG46" i="90"/>
  <c r="AG69" i="90"/>
  <c r="AG71" i="90" s="1"/>
  <c r="AF16" i="86"/>
  <c r="AF59" i="86"/>
  <c r="AF69" i="86"/>
  <c r="AG15" i="90"/>
  <c r="AG64" i="90" s="1"/>
  <c r="AG24" i="89"/>
  <c r="AG27" i="90"/>
  <c r="AG33" i="90"/>
  <c r="AG5" i="86"/>
  <c r="AG11" i="90"/>
  <c r="AG53" i="90" s="1"/>
  <c r="AG22" i="90"/>
  <c r="AG23" i="90" s="1"/>
  <c r="AH6" i="89"/>
  <c r="AF70" i="86"/>
  <c r="AF93" i="90"/>
  <c r="AF97" i="90" s="1"/>
  <c r="Y12" i="95"/>
  <c r="Y7" i="95" s="1"/>
  <c r="AF23" i="86"/>
  <c r="AF27" i="86" s="1"/>
  <c r="AG65" i="90"/>
  <c r="AG48" i="90"/>
  <c r="AF168" i="86"/>
  <c r="AF170" i="86" s="1"/>
  <c r="AF172" i="86" s="1"/>
  <c r="AF152" i="86" s="1"/>
  <c r="AG47" i="90"/>
  <c r="AG32" i="90"/>
  <c r="AG26" i="90" a="1"/>
  <c r="AG26" i="90" s="1"/>
  <c r="AF53" i="86"/>
  <c r="AF84" i="86"/>
  <c r="AF85" i="86"/>
  <c r="AF149" i="86" s="1"/>
  <c r="AF94" i="90"/>
  <c r="AF98" i="90" s="1"/>
  <c r="Y52" i="95"/>
  <c r="Y47" i="95" s="1"/>
  <c r="AF71" i="86"/>
  <c r="AA12" i="94"/>
  <c r="AG29" i="89"/>
  <c r="AG49" i="90" l="1"/>
  <c r="AG8" i="86"/>
  <c r="AG6" i="86"/>
  <c r="AF153" i="86"/>
  <c r="AG35" i="90"/>
  <c r="AF154" i="86"/>
  <c r="AG66" i="90"/>
  <c r="AG72" i="90"/>
  <c r="AH8" i="89"/>
  <c r="AH7" i="89"/>
  <c r="AH6" i="90"/>
  <c r="AH9" i="89"/>
  <c r="AH10" i="89"/>
  <c r="AH21" i="89"/>
  <c r="AH14" i="90" s="1"/>
  <c r="AG17" i="90"/>
  <c r="AF155" i="86"/>
  <c r="AF86" i="86"/>
  <c r="AF59" i="90"/>
  <c r="AF61" i="90" s="1"/>
  <c r="AF29" i="86"/>
  <c r="AG79" i="90"/>
  <c r="AG80" i="90" s="1"/>
  <c r="AG81" i="90" s="1"/>
  <c r="AG82" i="90" s="1"/>
  <c r="AG83" i="90"/>
  <c r="AG85" i="90" l="1"/>
  <c r="AG84" i="90"/>
  <c r="AG86" i="90"/>
  <c r="AG73" i="90"/>
  <c r="AG74" i="90"/>
  <c r="AG60" i="90"/>
  <c r="AG15" i="86"/>
  <c r="AG92" i="90"/>
  <c r="AG21" i="86"/>
  <c r="AG39" i="90"/>
  <c r="AG41" i="90" s="1"/>
  <c r="AG12" i="86"/>
  <c r="AG101" i="86"/>
  <c r="AG20" i="86"/>
  <c r="AG22" i="86"/>
  <c r="AG95" i="90" s="1"/>
  <c r="AG68" i="86"/>
  <c r="AG10" i="86"/>
  <c r="AH9" i="90"/>
  <c r="AB10" i="94"/>
  <c r="AH8" i="90"/>
  <c r="AB9" i="94"/>
  <c r="AH14" i="89"/>
  <c r="AG83" i="86"/>
  <c r="AF52" i="86"/>
  <c r="AH22" i="89"/>
  <c r="AH15" i="90" s="1"/>
  <c r="AH64" i="90" s="1"/>
  <c r="AH11" i="89"/>
  <c r="AB8" i="94"/>
  <c r="AH7" i="90"/>
  <c r="AH10" i="90"/>
  <c r="AH34" i="90" s="1"/>
  <c r="AH23" i="89"/>
  <c r="AH16" i="90" s="1"/>
  <c r="AH28" i="90" s="1"/>
  <c r="AH77" i="90" s="1"/>
  <c r="AB11" i="94"/>
  <c r="AF30" i="86"/>
  <c r="AH32" i="90" l="1"/>
  <c r="AH26" i="90" a="1"/>
  <c r="AH26" i="90" s="1"/>
  <c r="AH47" i="90"/>
  <c r="AG85" i="86"/>
  <c r="AG149" i="86" s="1"/>
  <c r="AG84" i="86"/>
  <c r="AG155" i="86" s="1"/>
  <c r="AG53" i="86"/>
  <c r="AG16" i="86"/>
  <c r="AG59" i="86"/>
  <c r="AG69" i="86"/>
  <c r="AB12" i="94"/>
  <c r="C16" i="94" s="1" a="1"/>
  <c r="AH5" i="86"/>
  <c r="AH11" i="90"/>
  <c r="AH53" i="90" s="1"/>
  <c r="AH22" i="90"/>
  <c r="AH23" i="90" s="1"/>
  <c r="AH24" i="89"/>
  <c r="AH17" i="90" s="1"/>
  <c r="AG99" i="90"/>
  <c r="AG94" i="90"/>
  <c r="AG98" i="90" s="1"/>
  <c r="AG71" i="86"/>
  <c r="Z52" i="95"/>
  <c r="Z47" i="95" s="1"/>
  <c r="AG70" i="86"/>
  <c r="AH48" i="90"/>
  <c r="AG23" i="86"/>
  <c r="AG27" i="86" s="1"/>
  <c r="AG168" i="86"/>
  <c r="AG170" i="86" s="1"/>
  <c r="AG172" i="86" s="1"/>
  <c r="AG152" i="86" s="1"/>
  <c r="Z12" i="95"/>
  <c r="Z7" i="95" s="1"/>
  <c r="AH65" i="90"/>
  <c r="AG93" i="90"/>
  <c r="AG97" i="90" s="1"/>
  <c r="AH33" i="90"/>
  <c r="AH27" i="90"/>
  <c r="AH29" i="89"/>
  <c r="AH69" i="90"/>
  <c r="AH71" i="90" s="1"/>
  <c r="AH31" i="90"/>
  <c r="AH46" i="90"/>
  <c r="AH78" i="90"/>
  <c r="AG87" i="90"/>
  <c r="AG88" i="90"/>
  <c r="AG89" i="90"/>
  <c r="AH6" i="86" l="1"/>
  <c r="AH8" i="86"/>
  <c r="AH79" i="90"/>
  <c r="AH80" i="90" s="1"/>
  <c r="AH81" i="90" s="1"/>
  <c r="AH82" i="90" s="1"/>
  <c r="AH66" i="90"/>
  <c r="AH72" i="90"/>
  <c r="AG154" i="86"/>
  <c r="AH49" i="90"/>
  <c r="AG86" i="86"/>
  <c r="AG153" i="86"/>
  <c r="C55" i="94"/>
  <c r="C61" i="94"/>
  <c r="C51" i="94"/>
  <c r="C45" i="94"/>
  <c r="U32" i="94"/>
  <c r="C49" i="94"/>
  <c r="C52" i="94"/>
  <c r="Z37" i="94"/>
  <c r="C57" i="94"/>
  <c r="Q28" i="94"/>
  <c r="C47" i="94"/>
  <c r="C64" i="94"/>
  <c r="C50" i="94"/>
  <c r="X35" i="94"/>
  <c r="I20" i="94"/>
  <c r="G18" i="94"/>
  <c r="C53" i="94"/>
  <c r="C60" i="94"/>
  <c r="C67" i="94"/>
  <c r="AB67" i="94" s="1"/>
  <c r="T31" i="94"/>
  <c r="C59" i="94"/>
  <c r="C65" i="94"/>
  <c r="J21" i="94"/>
  <c r="C16" i="94"/>
  <c r="C62" i="94"/>
  <c r="C63" i="94"/>
  <c r="C66" i="94"/>
  <c r="L23" i="94"/>
  <c r="O26" i="94"/>
  <c r="P27" i="94"/>
  <c r="C54" i="94"/>
  <c r="C56" i="94"/>
  <c r="M24" i="94"/>
  <c r="N25" i="94"/>
  <c r="V33" i="94"/>
  <c r="AB39" i="94"/>
  <c r="C46" i="94"/>
  <c r="K22" i="94"/>
  <c r="AA38" i="94"/>
  <c r="Y36" i="94"/>
  <c r="W34" i="94"/>
  <c r="R29" i="94"/>
  <c r="S30" i="94"/>
  <c r="H19" i="94"/>
  <c r="C48" i="94"/>
  <c r="C58" i="94"/>
  <c r="F17" i="94"/>
  <c r="AH35" i="90"/>
  <c r="AG59" i="90"/>
  <c r="AG61" i="90" s="1"/>
  <c r="AG29" i="86"/>
  <c r="AH83" i="90"/>
  <c r="AH84" i="90" l="1"/>
  <c r="AH21" i="86"/>
  <c r="AH12" i="86"/>
  <c r="AH101" i="86"/>
  <c r="AH68" i="86"/>
  <c r="AH15" i="86"/>
  <c r="AH92" i="90"/>
  <c r="AH22" i="86"/>
  <c r="AH95" i="90" s="1"/>
  <c r="AH99" i="90" s="1"/>
  <c r="AH60" i="90"/>
  <c r="AH39" i="90"/>
  <c r="AH41" i="90" s="1"/>
  <c r="AH20" i="86"/>
  <c r="AH10" i="86"/>
  <c r="U58" i="94"/>
  <c r="V58" i="94"/>
  <c r="S58" i="94"/>
  <c r="T58" i="94"/>
  <c r="AB65" i="94"/>
  <c r="AA65" i="94"/>
  <c r="Z65" i="94"/>
  <c r="K49" i="94"/>
  <c r="L49" i="94"/>
  <c r="J49" i="94"/>
  <c r="M49" i="94"/>
  <c r="AG52" i="86"/>
  <c r="AH83" i="86"/>
  <c r="AH85" i="90"/>
  <c r="X62" i="94"/>
  <c r="Y62" i="94"/>
  <c r="Z62" i="94"/>
  <c r="W62" i="94"/>
  <c r="U57" i="94"/>
  <c r="T57" i="94"/>
  <c r="S57" i="94"/>
  <c r="R57" i="94"/>
  <c r="Q56" i="94"/>
  <c r="R56" i="94"/>
  <c r="T56" i="94"/>
  <c r="S56" i="94"/>
  <c r="E16" i="94"/>
  <c r="C44" i="94"/>
  <c r="P54" i="94"/>
  <c r="Q54" i="94"/>
  <c r="Q69" i="94" s="1"/>
  <c r="O54" i="94"/>
  <c r="R54" i="94"/>
  <c r="P52" i="94"/>
  <c r="N52" i="94"/>
  <c r="M52" i="94"/>
  <c r="O52" i="94"/>
  <c r="AG30" i="86"/>
  <c r="AB64" i="94"/>
  <c r="Z64" i="94"/>
  <c r="AA64" i="94"/>
  <c r="Y64" i="94"/>
  <c r="I45" i="94"/>
  <c r="F45" i="94"/>
  <c r="G45" i="94"/>
  <c r="H45" i="94"/>
  <c r="Q53" i="94"/>
  <c r="N53" i="94"/>
  <c r="O53" i="94"/>
  <c r="P53" i="94"/>
  <c r="R55" i="94"/>
  <c r="S55" i="94"/>
  <c r="Q55" i="94"/>
  <c r="P55" i="94"/>
  <c r="J48" i="94"/>
  <c r="K48" i="94"/>
  <c r="I48" i="94"/>
  <c r="L48" i="94"/>
  <c r="H46" i="94"/>
  <c r="I46" i="94"/>
  <c r="J46" i="94"/>
  <c r="G46" i="94"/>
  <c r="T59" i="94"/>
  <c r="U59" i="94"/>
  <c r="V59" i="94"/>
  <c r="W59" i="94"/>
  <c r="N50" i="94"/>
  <c r="K50" i="94"/>
  <c r="L50" i="94"/>
  <c r="M50" i="94"/>
  <c r="AB66" i="94"/>
  <c r="AA66" i="94"/>
  <c r="H47" i="94"/>
  <c r="I47" i="94"/>
  <c r="K47" i="94"/>
  <c r="J47" i="94"/>
  <c r="L51" i="94"/>
  <c r="M51" i="94"/>
  <c r="O51" i="94"/>
  <c r="N51" i="94"/>
  <c r="Y63" i="94"/>
  <c r="AA63" i="94"/>
  <c r="AA69" i="94" s="1"/>
  <c r="X63" i="94"/>
  <c r="Z63" i="94"/>
  <c r="V60" i="94"/>
  <c r="X60" i="94"/>
  <c r="W60" i="94"/>
  <c r="U60" i="94"/>
  <c r="X61" i="94"/>
  <c r="V61" i="94"/>
  <c r="Y61" i="94"/>
  <c r="W61" i="94"/>
  <c r="AH86" i="90"/>
  <c r="AH87" i="90" s="1"/>
  <c r="AH74" i="90"/>
  <c r="AH73" i="90"/>
  <c r="O69" i="94" l="1"/>
  <c r="U94" i="86" s="1"/>
  <c r="U100" i="86" s="1"/>
  <c r="W69" i="94"/>
  <c r="Y69" i="94"/>
  <c r="AE94" i="86" s="1"/>
  <c r="AE100" i="86" s="1"/>
  <c r="M69" i="94"/>
  <c r="S94" i="86" s="1"/>
  <c r="S100" i="86" s="1"/>
  <c r="AB69" i="94"/>
  <c r="AH94" i="86" s="1"/>
  <c r="AH100" i="86" s="1"/>
  <c r="N69" i="94"/>
  <c r="T94" i="86" s="1"/>
  <c r="T100" i="86" s="1"/>
  <c r="J69" i="94"/>
  <c r="P94" i="86" s="1"/>
  <c r="P100" i="86" s="1"/>
  <c r="AH89" i="90"/>
  <c r="AH88" i="90"/>
  <c r="AC94" i="86"/>
  <c r="AC100" i="86" s="1"/>
  <c r="AG94" i="86"/>
  <c r="AG100" i="86" s="1"/>
  <c r="W94" i="86"/>
  <c r="W100" i="86" s="1"/>
  <c r="K69" i="94"/>
  <c r="U69" i="94"/>
  <c r="L69" i="94"/>
  <c r="V69" i="94"/>
  <c r="AH16" i="86"/>
  <c r="AH59" i="86"/>
  <c r="AH69" i="86"/>
  <c r="I69" i="94"/>
  <c r="G44" i="94"/>
  <c r="G69" i="94" s="1"/>
  <c r="H44" i="94"/>
  <c r="H69" i="94" s="1"/>
  <c r="F44" i="94"/>
  <c r="F69" i="94" s="1"/>
  <c r="E44" i="94"/>
  <c r="E69" i="94" s="1"/>
  <c r="X69" i="94"/>
  <c r="S69" i="94"/>
  <c r="T69" i="94"/>
  <c r="Z69" i="94"/>
  <c r="AH85" i="86"/>
  <c r="AH149" i="86" s="1"/>
  <c r="AH53" i="86"/>
  <c r="AH84" i="86"/>
  <c r="AH155" i="86" s="1"/>
  <c r="R69" i="94"/>
  <c r="P69" i="94"/>
  <c r="AH168" i="86"/>
  <c r="AH170" i="86" s="1"/>
  <c r="AH172" i="86" s="1"/>
  <c r="AH152" i="86" s="1"/>
  <c r="AH70" i="86"/>
  <c r="AA12" i="95"/>
  <c r="AA7" i="95" s="1"/>
  <c r="AH23" i="86"/>
  <c r="AH27" i="86" s="1"/>
  <c r="AH93" i="90"/>
  <c r="AH97" i="90" s="1"/>
  <c r="AH71" i="86"/>
  <c r="AH94" i="90"/>
  <c r="AH98" i="90" s="1"/>
  <c r="AA52" i="95"/>
  <c r="AA47" i="95" s="1"/>
  <c r="AH59" i="90" l="1"/>
  <c r="AH61" i="90" s="1"/>
  <c r="AH29" i="86"/>
  <c r="AB94" i="86"/>
  <c r="AB100" i="86" s="1"/>
  <c r="C58" i="95" a="1"/>
  <c r="AH154" i="86"/>
  <c r="AF94" i="86"/>
  <c r="AF100" i="86" s="1"/>
  <c r="O94" i="86"/>
  <c r="O100" i="86" s="1"/>
  <c r="O102" i="86" s="1"/>
  <c r="R94" i="86"/>
  <c r="R100" i="86" s="1"/>
  <c r="AH86" i="86"/>
  <c r="AH52" i="86" s="1"/>
  <c r="Z94" i="86"/>
  <c r="Z100" i="86" s="1"/>
  <c r="AH153" i="86"/>
  <c r="C18" i="95" a="1"/>
  <c r="X94" i="86"/>
  <c r="X100" i="86" s="1"/>
  <c r="Y94" i="86"/>
  <c r="Y100" i="86" s="1"/>
  <c r="AD94" i="86"/>
  <c r="AD100" i="86" s="1"/>
  <c r="C74" i="94" a="1"/>
  <c r="AA94" i="86"/>
  <c r="AA100" i="86" s="1"/>
  <c r="V94" i="86"/>
  <c r="V100" i="86" s="1"/>
  <c r="Q94" i="86"/>
  <c r="Q100" i="86" s="1"/>
  <c r="Q26" i="95" l="1"/>
  <c r="AA24" i="95"/>
  <c r="R27" i="95"/>
  <c r="U22" i="95"/>
  <c r="P21" i="95"/>
  <c r="O22" i="95"/>
  <c r="V30" i="95"/>
  <c r="Z33" i="95"/>
  <c r="L20" i="95"/>
  <c r="X23" i="95"/>
  <c r="N20" i="95"/>
  <c r="U27" i="95"/>
  <c r="AA30" i="95"/>
  <c r="U20" i="95"/>
  <c r="AA36" i="95"/>
  <c r="AA35" i="95"/>
  <c r="O23" i="95"/>
  <c r="Z35" i="95"/>
  <c r="Y31" i="95"/>
  <c r="AA31" i="95"/>
  <c r="Y29" i="95"/>
  <c r="X29" i="95"/>
  <c r="T29" i="95"/>
  <c r="Q22" i="95"/>
  <c r="AA28" i="95"/>
  <c r="M19" i="95"/>
  <c r="X19" i="95"/>
  <c r="W30" i="95"/>
  <c r="U24" i="95"/>
  <c r="T21" i="95"/>
  <c r="S23" i="95"/>
  <c r="V21" i="95"/>
  <c r="Y27" i="95"/>
  <c r="Z21" i="95"/>
  <c r="O20" i="95"/>
  <c r="R20" i="95"/>
  <c r="X20" i="95"/>
  <c r="R25" i="95"/>
  <c r="V19" i="95"/>
  <c r="T20" i="95"/>
  <c r="Y33" i="95"/>
  <c r="S21" i="95"/>
  <c r="Z26" i="95"/>
  <c r="S26" i="95"/>
  <c r="P22" i="95"/>
  <c r="N19" i="95"/>
  <c r="Q21" i="95"/>
  <c r="Y26" i="95"/>
  <c r="U19" i="95"/>
  <c r="O19" i="95"/>
  <c r="AA21" i="95"/>
  <c r="W23" i="95"/>
  <c r="W21" i="95"/>
  <c r="P23" i="95"/>
  <c r="S19" i="95"/>
  <c r="P20" i="95"/>
  <c r="O21" i="95"/>
  <c r="Z34" i="95"/>
  <c r="AA33" i="95"/>
  <c r="Y34" i="95"/>
  <c r="X22" i="95"/>
  <c r="W26" i="95"/>
  <c r="P19" i="95"/>
  <c r="W27" i="95"/>
  <c r="N21" i="95"/>
  <c r="Z31" i="95"/>
  <c r="AA23" i="95"/>
  <c r="O24" i="95"/>
  <c r="S28" i="95"/>
  <c r="U30" i="95"/>
  <c r="Q19" i="95"/>
  <c r="M20" i="95"/>
  <c r="Q24" i="95"/>
  <c r="Y25" i="95"/>
  <c r="X28" i="95"/>
  <c r="R19" i="95"/>
  <c r="V28" i="95"/>
  <c r="X26" i="95"/>
  <c r="Y24" i="95"/>
  <c r="J19" i="95"/>
  <c r="U26" i="95"/>
  <c r="R26" i="95"/>
  <c r="Z20" i="95"/>
  <c r="S20" i="95"/>
  <c r="W32" i="95"/>
  <c r="Z25" i="95"/>
  <c r="X31" i="95"/>
  <c r="N23" i="95"/>
  <c r="AA34" i="95"/>
  <c r="U23" i="95"/>
  <c r="Y19" i="95"/>
  <c r="T27" i="95"/>
  <c r="C18" i="95"/>
  <c r="R21" i="95"/>
  <c r="W20" i="95"/>
  <c r="X30" i="95"/>
  <c r="AA27" i="95"/>
  <c r="W29" i="95"/>
  <c r="V27" i="95"/>
  <c r="X32" i="95"/>
  <c r="AA32" i="95"/>
  <c r="Z29" i="95"/>
  <c r="P25" i="95"/>
  <c r="Z32" i="95"/>
  <c r="M21" i="95"/>
  <c r="T19" i="95"/>
  <c r="Z28" i="95"/>
  <c r="V26" i="95"/>
  <c r="K20" i="95"/>
  <c r="S22" i="95"/>
  <c r="Y28" i="95"/>
  <c r="T26" i="95"/>
  <c r="M22" i="95"/>
  <c r="W28" i="95"/>
  <c r="AA25" i="95"/>
  <c r="U21" i="95"/>
  <c r="T23" i="95"/>
  <c r="V23" i="95"/>
  <c r="Y20" i="95"/>
  <c r="Z22" i="95"/>
  <c r="Z23" i="95"/>
  <c r="V22" i="95"/>
  <c r="Y22" i="95"/>
  <c r="R22" i="95"/>
  <c r="Y21" i="95"/>
  <c r="Y23" i="95"/>
  <c r="T25" i="95"/>
  <c r="S25" i="95"/>
  <c r="Y32" i="95"/>
  <c r="X21" i="95"/>
  <c r="T22" i="95"/>
  <c r="V24" i="95"/>
  <c r="W24" i="95"/>
  <c r="X25" i="95"/>
  <c r="W31" i="95"/>
  <c r="Z30" i="95"/>
  <c r="X33" i="95"/>
  <c r="X24" i="95"/>
  <c r="U28" i="95"/>
  <c r="Z24" i="95"/>
  <c r="K19" i="95"/>
  <c r="N22" i="95"/>
  <c r="L19" i="95"/>
  <c r="AA29" i="95"/>
  <c r="R24" i="95"/>
  <c r="T24" i="95"/>
  <c r="V29" i="95"/>
  <c r="V31" i="95"/>
  <c r="AA26" i="95"/>
  <c r="V25" i="95"/>
  <c r="Q23" i="95"/>
  <c r="W22" i="95"/>
  <c r="Q25" i="95"/>
  <c r="AA22" i="95"/>
  <c r="L21" i="95"/>
  <c r="U25" i="95"/>
  <c r="Z27" i="95"/>
  <c r="R23" i="95"/>
  <c r="Y30" i="95"/>
  <c r="P24" i="95"/>
  <c r="T28" i="95"/>
  <c r="U29" i="95"/>
  <c r="Q20" i="95"/>
  <c r="W25" i="95"/>
  <c r="W19" i="95"/>
  <c r="V20" i="95"/>
  <c r="X27" i="95"/>
  <c r="S27" i="95"/>
  <c r="S24" i="95"/>
  <c r="AB97" i="94"/>
  <c r="C107" i="94"/>
  <c r="L107" i="94" s="1"/>
  <c r="C114" i="94"/>
  <c r="S114" i="94" s="1"/>
  <c r="C120" i="94"/>
  <c r="Y120" i="94" s="1"/>
  <c r="C111" i="94"/>
  <c r="P111" i="94" s="1"/>
  <c r="T89" i="94"/>
  <c r="U90" i="94"/>
  <c r="U126" i="94" s="1"/>
  <c r="C109" i="94"/>
  <c r="N109" i="94" s="1"/>
  <c r="C116" i="94"/>
  <c r="U116" i="94" s="1"/>
  <c r="C118" i="94"/>
  <c r="W118" i="94" s="1"/>
  <c r="H77" i="94"/>
  <c r="R87" i="94"/>
  <c r="C106" i="94"/>
  <c r="K106" i="94" s="1"/>
  <c r="C122" i="94"/>
  <c r="AA122" i="94" s="1"/>
  <c r="C108" i="94"/>
  <c r="M108" i="94" s="1"/>
  <c r="S88" i="94"/>
  <c r="C124" i="94"/>
  <c r="Q86" i="94"/>
  <c r="V91" i="94"/>
  <c r="C113" i="94"/>
  <c r="R113" i="94" s="1"/>
  <c r="Z95" i="94"/>
  <c r="K80" i="94"/>
  <c r="L81" i="94"/>
  <c r="L126" i="94" s="1"/>
  <c r="G76" i="94"/>
  <c r="C123" i="94"/>
  <c r="AB123" i="94" s="1"/>
  <c r="AB126" i="94" s="1"/>
  <c r="C119" i="94"/>
  <c r="X119" i="94" s="1"/>
  <c r="C74" i="94"/>
  <c r="AA96" i="94"/>
  <c r="M82" i="94"/>
  <c r="W92" i="94"/>
  <c r="C103" i="94"/>
  <c r="H103" i="94" s="1"/>
  <c r="J79" i="94"/>
  <c r="C115" i="94"/>
  <c r="T115" i="94" s="1"/>
  <c r="I78" i="94"/>
  <c r="C110" i="94"/>
  <c r="O110" i="94" s="1"/>
  <c r="C102" i="94"/>
  <c r="G102" i="94" s="1"/>
  <c r="C112" i="94"/>
  <c r="Q112" i="94" s="1"/>
  <c r="P85" i="94"/>
  <c r="C121" i="94"/>
  <c r="Z121" i="94" s="1"/>
  <c r="C117" i="94"/>
  <c r="V117" i="94" s="1"/>
  <c r="F75" i="94"/>
  <c r="O84" i="94"/>
  <c r="C104" i="94"/>
  <c r="I104" i="94" s="1"/>
  <c r="X93" i="94"/>
  <c r="Y94" i="94"/>
  <c r="N83" i="94"/>
  <c r="N126" i="94" s="1"/>
  <c r="C105" i="94"/>
  <c r="J105" i="94" s="1"/>
  <c r="R62" i="95"/>
  <c r="M61" i="95"/>
  <c r="AA63" i="95"/>
  <c r="V63" i="95"/>
  <c r="X62" i="95"/>
  <c r="P61" i="95"/>
  <c r="R64" i="95"/>
  <c r="S63" i="95"/>
  <c r="U69" i="95"/>
  <c r="X69" i="95"/>
  <c r="U62" i="95"/>
  <c r="P62" i="95"/>
  <c r="V61" i="95"/>
  <c r="S62" i="95"/>
  <c r="P63" i="95"/>
  <c r="AA75" i="95"/>
  <c r="Q61" i="95"/>
  <c r="X71" i="95"/>
  <c r="Z67" i="95"/>
  <c r="W61" i="95"/>
  <c r="S66" i="95"/>
  <c r="Y73" i="95"/>
  <c r="X66" i="95"/>
  <c r="T65" i="95"/>
  <c r="AA66" i="95"/>
  <c r="Y62" i="95"/>
  <c r="Z65" i="95"/>
  <c r="Y64" i="95"/>
  <c r="J59" i="95"/>
  <c r="U61" i="95"/>
  <c r="X70" i="95"/>
  <c r="AA76" i="95"/>
  <c r="U60" i="95"/>
  <c r="X73" i="95"/>
  <c r="W70" i="95"/>
  <c r="S67" i="95"/>
  <c r="R67" i="95"/>
  <c r="X63" i="95"/>
  <c r="S68" i="95"/>
  <c r="Z64" i="95"/>
  <c r="R61" i="95"/>
  <c r="AA64" i="95"/>
  <c r="AA73" i="95"/>
  <c r="X67" i="95"/>
  <c r="V59" i="95"/>
  <c r="W67" i="95"/>
  <c r="S64" i="95"/>
  <c r="V66" i="95"/>
  <c r="R63" i="95"/>
  <c r="W59" i="95"/>
  <c r="Z66" i="95"/>
  <c r="AA67" i="95"/>
  <c r="X59" i="95"/>
  <c r="V60" i="95"/>
  <c r="Y72" i="95"/>
  <c r="Y69" i="95"/>
  <c r="P65" i="95"/>
  <c r="T59" i="95"/>
  <c r="U67" i="95"/>
  <c r="Z62" i="95"/>
  <c r="C58" i="95"/>
  <c r="X61" i="95"/>
  <c r="Y68" i="95"/>
  <c r="U66" i="95"/>
  <c r="Q66" i="95"/>
  <c r="V70" i="95"/>
  <c r="AA62" i="95"/>
  <c r="W64" i="95"/>
  <c r="Y71" i="95"/>
  <c r="U70" i="95"/>
  <c r="T60" i="95"/>
  <c r="Y65" i="95"/>
  <c r="Z70" i="95"/>
  <c r="X68" i="95"/>
  <c r="AA70" i="95"/>
  <c r="Z60" i="95"/>
  <c r="AA65" i="95"/>
  <c r="Y60" i="95"/>
  <c r="R60" i="95"/>
  <c r="Q60" i="95"/>
  <c r="V64" i="95"/>
  <c r="T68" i="95"/>
  <c r="Q62" i="95"/>
  <c r="V67" i="95"/>
  <c r="Z74" i="95"/>
  <c r="X60" i="95"/>
  <c r="R66" i="95"/>
  <c r="AA71" i="95"/>
  <c r="Z75" i="95"/>
  <c r="Z73" i="95"/>
  <c r="W68" i="95"/>
  <c r="O61" i="95"/>
  <c r="T67" i="95"/>
  <c r="Z63" i="95"/>
  <c r="K60" i="95"/>
  <c r="U64" i="95"/>
  <c r="N62" i="95"/>
  <c r="S60" i="95"/>
  <c r="Y67" i="95"/>
  <c r="S61" i="95"/>
  <c r="P59" i="95"/>
  <c r="T66" i="95"/>
  <c r="X72" i="95"/>
  <c r="W60" i="95"/>
  <c r="V62" i="95"/>
  <c r="T64" i="95"/>
  <c r="U59" i="95"/>
  <c r="AA68" i="95"/>
  <c r="S65" i="95"/>
  <c r="W72" i="95"/>
  <c r="U63" i="95"/>
  <c r="W66" i="95"/>
  <c r="N60" i="95"/>
  <c r="N63" i="95"/>
  <c r="Y61" i="95"/>
  <c r="W63" i="95"/>
  <c r="S59" i="95"/>
  <c r="L59" i="95"/>
  <c r="M59" i="95"/>
  <c r="W69" i="95"/>
  <c r="O59" i="95"/>
  <c r="Y59" i="95"/>
  <c r="R65" i="95"/>
  <c r="AA72" i="95"/>
  <c r="Q65" i="95"/>
  <c r="Q59" i="95"/>
  <c r="P60" i="95"/>
  <c r="Y74" i="95"/>
  <c r="N61" i="95"/>
  <c r="V69" i="95"/>
  <c r="Z61" i="95"/>
  <c r="O62" i="95"/>
  <c r="U65" i="95"/>
  <c r="Z71" i="95"/>
  <c r="Y63" i="95"/>
  <c r="Q63" i="95"/>
  <c r="W71" i="95"/>
  <c r="X65" i="95"/>
  <c r="T69" i="95"/>
  <c r="U68" i="95"/>
  <c r="R59" i="95"/>
  <c r="P64" i="95"/>
  <c r="Y66" i="95"/>
  <c r="AA69" i="95"/>
  <c r="Q64" i="95"/>
  <c r="W62" i="95"/>
  <c r="Z69" i="95"/>
  <c r="K59" i="95"/>
  <c r="L61" i="95"/>
  <c r="O60" i="95"/>
  <c r="O64" i="95"/>
  <c r="V71" i="95"/>
  <c r="V65" i="95"/>
  <c r="M60" i="95"/>
  <c r="T63" i="95"/>
  <c r="Y70" i="95"/>
  <c r="AA61" i="95"/>
  <c r="M62" i="95"/>
  <c r="L60" i="95"/>
  <c r="Z72" i="95"/>
  <c r="O63" i="95"/>
  <c r="N59" i="95"/>
  <c r="X64" i="95"/>
  <c r="T62" i="95"/>
  <c r="Z68" i="95"/>
  <c r="W65" i="95"/>
  <c r="AA74" i="95"/>
  <c r="V68" i="95"/>
  <c r="T61" i="95"/>
  <c r="P99" i="86"/>
  <c r="P102" i="86" s="1"/>
  <c r="O60" i="86"/>
  <c r="O80" i="86" s="1"/>
  <c r="AH30" i="86"/>
  <c r="Y126" i="94" l="1"/>
  <c r="W126" i="94"/>
  <c r="P126" i="94"/>
  <c r="V95" i="86" s="1"/>
  <c r="K126" i="94"/>
  <c r="Q95" i="86" s="1"/>
  <c r="T126" i="94"/>
  <c r="V126" i="94"/>
  <c r="AA78" i="95"/>
  <c r="AA48" i="95" s="1"/>
  <c r="X126" i="94"/>
  <c r="AD95" i="86" s="1"/>
  <c r="Q126" i="94"/>
  <c r="W95" i="86" s="1"/>
  <c r="O126" i="94"/>
  <c r="U95" i="86" s="1"/>
  <c r="I126" i="94"/>
  <c r="O95" i="86" s="1"/>
  <c r="O96" i="86" s="1"/>
  <c r="AA95" i="86"/>
  <c r="X58" i="95"/>
  <c r="X78" i="95" s="1"/>
  <c r="X48" i="95" s="1"/>
  <c r="V58" i="95"/>
  <c r="V78" i="95" s="1"/>
  <c r="V48" i="95" s="1"/>
  <c r="M58" i="95"/>
  <c r="M78" i="95" s="1"/>
  <c r="M48" i="95" s="1"/>
  <c r="K58" i="95"/>
  <c r="K78" i="95" s="1"/>
  <c r="K48" i="95" s="1"/>
  <c r="S58" i="95"/>
  <c r="S78" i="95" s="1"/>
  <c r="S48" i="95" s="1"/>
  <c r="L58" i="95"/>
  <c r="L78" i="95" s="1"/>
  <c r="L48" i="95" s="1"/>
  <c r="Q58" i="95"/>
  <c r="Q78" i="95" s="1"/>
  <c r="Q48" i="95" s="1"/>
  <c r="R58" i="95"/>
  <c r="R78" i="95" s="1"/>
  <c r="R48" i="95" s="1"/>
  <c r="U58" i="95"/>
  <c r="U78" i="95" s="1"/>
  <c r="U48" i="95" s="1"/>
  <c r="J58" i="95"/>
  <c r="J78" i="95" s="1"/>
  <c r="J48" i="95" s="1"/>
  <c r="T58" i="95"/>
  <c r="T78" i="95" s="1"/>
  <c r="T48" i="95" s="1"/>
  <c r="I58" i="95"/>
  <c r="I78" i="95" s="1"/>
  <c r="I48" i="95" s="1"/>
  <c r="I49" i="95" s="1"/>
  <c r="O58" i="95"/>
  <c r="O78" i="95" s="1"/>
  <c r="O48" i="95" s="1"/>
  <c r="W58" i="95"/>
  <c r="W78" i="95" s="1"/>
  <c r="W48" i="95" s="1"/>
  <c r="N58" i="95"/>
  <c r="N78" i="95" s="1"/>
  <c r="N48" i="95" s="1"/>
  <c r="P58" i="95"/>
  <c r="P78" i="95" s="1"/>
  <c r="P48" i="95" s="1"/>
  <c r="T95" i="86"/>
  <c r="AC95" i="86"/>
  <c r="Z95" i="86"/>
  <c r="Z78" i="95"/>
  <c r="Z48" i="95" s="1"/>
  <c r="AE95" i="86"/>
  <c r="M126" i="94"/>
  <c r="Z126" i="94"/>
  <c r="R95" i="86"/>
  <c r="AA126" i="94"/>
  <c r="R126" i="94"/>
  <c r="P18" i="95"/>
  <c r="P39" i="95" s="1"/>
  <c r="P8" i="95" s="1"/>
  <c r="K18" i="95"/>
  <c r="K39" i="95" s="1"/>
  <c r="K8" i="95" s="1"/>
  <c r="O18" i="95"/>
  <c r="O39" i="95" s="1"/>
  <c r="O8" i="95" s="1"/>
  <c r="M18" i="95"/>
  <c r="M39" i="95" s="1"/>
  <c r="M8" i="95" s="1"/>
  <c r="V18" i="95"/>
  <c r="V39" i="95" s="1"/>
  <c r="V8" i="95" s="1"/>
  <c r="X18" i="95"/>
  <c r="X39" i="95" s="1"/>
  <c r="X8" i="95" s="1"/>
  <c r="L18" i="95"/>
  <c r="L39" i="95" s="1"/>
  <c r="L8" i="95" s="1"/>
  <c r="J18" i="95"/>
  <c r="J39" i="95" s="1"/>
  <c r="J8" i="95" s="1"/>
  <c r="R18" i="95"/>
  <c r="R39" i="95" s="1"/>
  <c r="R8" i="95" s="1"/>
  <c r="T18" i="95"/>
  <c r="T39" i="95" s="1"/>
  <c r="T8" i="95" s="1"/>
  <c r="I18" i="95"/>
  <c r="I39" i="95" s="1"/>
  <c r="I8" i="95" s="1"/>
  <c r="S18" i="95"/>
  <c r="S39" i="95" s="1"/>
  <c r="S8" i="95" s="1"/>
  <c r="Q18" i="95"/>
  <c r="Q39" i="95" s="1"/>
  <c r="Q8" i="95" s="1"/>
  <c r="U18" i="95"/>
  <c r="U39" i="95" s="1"/>
  <c r="U8" i="95" s="1"/>
  <c r="N18" i="95"/>
  <c r="N39" i="95" s="1"/>
  <c r="N8" i="95" s="1"/>
  <c r="W18" i="95"/>
  <c r="W39" i="95" s="1"/>
  <c r="W8" i="95" s="1"/>
  <c r="P60" i="86"/>
  <c r="P80" i="86" s="1"/>
  <c r="Q99" i="86"/>
  <c r="Q102" i="86" s="1"/>
  <c r="Y78" i="95"/>
  <c r="Y48" i="95" s="1"/>
  <c r="E74" i="94"/>
  <c r="E126" i="94" s="1"/>
  <c r="C101" i="94"/>
  <c r="F101" i="94" s="1"/>
  <c r="F126" i="94" s="1"/>
  <c r="AB95" i="86"/>
  <c r="H126" i="94"/>
  <c r="Y39" i="95"/>
  <c r="Y8" i="95" s="1"/>
  <c r="Z39" i="95"/>
  <c r="Z8" i="95" s="1"/>
  <c r="AA39" i="95"/>
  <c r="AA8" i="95" s="1"/>
  <c r="AH95" i="86"/>
  <c r="J126" i="94"/>
  <c r="G126" i="94"/>
  <c r="S126" i="94"/>
  <c r="Z150" i="86" l="1"/>
  <c r="Z32" i="86" s="1"/>
  <c r="Z33" i="86" s="1"/>
  <c r="T150" i="86"/>
  <c r="T32" i="86" s="1"/>
  <c r="T33" i="86" s="1"/>
  <c r="P55" i="86"/>
  <c r="P79" i="86" s="1"/>
  <c r="J46" i="95"/>
  <c r="J49" i="95" s="1"/>
  <c r="O51" i="86"/>
  <c r="P93" i="86"/>
  <c r="P150" i="86"/>
  <c r="P32" i="86" s="1"/>
  <c r="P33" i="86" s="1"/>
  <c r="I9" i="95"/>
  <c r="V150" i="86"/>
  <c r="V32" i="86" s="1"/>
  <c r="V33" i="86" s="1"/>
  <c r="Q60" i="86"/>
  <c r="Q80" i="86" s="1"/>
  <c r="R99" i="86"/>
  <c r="R102" i="86" s="1"/>
  <c r="AA150" i="86"/>
  <c r="AA32" i="86" s="1"/>
  <c r="AA33" i="86" s="1"/>
  <c r="R150" i="86"/>
  <c r="R32" i="86" s="1"/>
  <c r="R33" i="86" s="1"/>
  <c r="AF95" i="86"/>
  <c r="Y150" i="86"/>
  <c r="Y32" i="86" s="1"/>
  <c r="Y33" i="86" s="1"/>
  <c r="W150" i="86"/>
  <c r="W32" i="86" s="1"/>
  <c r="W33" i="86" s="1"/>
  <c r="S95" i="86"/>
  <c r="AG150" i="86"/>
  <c r="AG32" i="86" s="1"/>
  <c r="AG33" i="86" s="1"/>
  <c r="AG34" i="86" s="1"/>
  <c r="AD150" i="86"/>
  <c r="AD32" i="86" s="1"/>
  <c r="AD33" i="86" s="1"/>
  <c r="Q150" i="86"/>
  <c r="Q32" i="86" s="1"/>
  <c r="Q33" i="86" s="1"/>
  <c r="X95" i="86"/>
  <c r="Y95" i="86"/>
  <c r="U150" i="86"/>
  <c r="U32" i="86" s="1"/>
  <c r="U33" i="86" s="1"/>
  <c r="AG95" i="86"/>
  <c r="AB150" i="86"/>
  <c r="AB32" i="86" s="1"/>
  <c r="AB33" i="86" s="1"/>
  <c r="AE150" i="86"/>
  <c r="AE32" i="86" s="1"/>
  <c r="AE33" i="86" s="1"/>
  <c r="AH150" i="86"/>
  <c r="AH32" i="86" s="1"/>
  <c r="AH33" i="86" s="1"/>
  <c r="AH34" i="86" s="1"/>
  <c r="P95" i="86"/>
  <c r="AF150" i="86"/>
  <c r="AF32" i="86" s="1"/>
  <c r="AF33" i="86" s="1"/>
  <c r="AF34" i="86" s="1"/>
  <c r="S150" i="86"/>
  <c r="S32" i="86" s="1"/>
  <c r="S33" i="86" s="1"/>
  <c r="X150" i="86"/>
  <c r="X32" i="86" s="1"/>
  <c r="X33" i="86" s="1"/>
  <c r="AC150" i="86"/>
  <c r="AC32" i="86" s="1"/>
  <c r="AC33" i="86" s="1"/>
  <c r="AF36" i="86" l="1"/>
  <c r="AF40" i="90"/>
  <c r="AF42" i="90" s="1"/>
  <c r="AF43" i="90" s="1"/>
  <c r="AC34" i="86"/>
  <c r="AE40" i="90"/>
  <c r="AE42" i="90" s="1"/>
  <c r="AE43" i="90" s="1"/>
  <c r="AB34" i="86"/>
  <c r="AE36" i="86"/>
  <c r="R60" i="86"/>
  <c r="R80" i="86" s="1"/>
  <c r="S99" i="86"/>
  <c r="S102" i="86" s="1"/>
  <c r="O75" i="86"/>
  <c r="O72" i="86"/>
  <c r="O151" i="86" s="1"/>
  <c r="Q55" i="86"/>
  <c r="Q79" i="86" s="1"/>
  <c r="K46" i="95"/>
  <c r="K49" i="95" s="1"/>
  <c r="AA40" i="90"/>
  <c r="AA42" i="90" s="1"/>
  <c r="AA43" i="90" s="1"/>
  <c r="AA36" i="86"/>
  <c r="X34" i="86"/>
  <c r="V34" i="86"/>
  <c r="Y40" i="90"/>
  <c r="Y42" i="90" s="1"/>
  <c r="Y43" i="90" s="1"/>
  <c r="Y36" i="86"/>
  <c r="Q34" i="86"/>
  <c r="T40" i="90"/>
  <c r="T42" i="90" s="1"/>
  <c r="T43" i="90" s="1"/>
  <c r="T36" i="86"/>
  <c r="Z40" i="90"/>
  <c r="Z42" i="90" s="1"/>
  <c r="Z43" i="90" s="1"/>
  <c r="Z36" i="86"/>
  <c r="W34" i="86"/>
  <c r="U40" i="90"/>
  <c r="U42" i="90" s="1"/>
  <c r="U43" i="90" s="1"/>
  <c r="R34" i="86"/>
  <c r="U36" i="86"/>
  <c r="P54" i="86"/>
  <c r="P78" i="86" s="1"/>
  <c r="J6" i="95"/>
  <c r="J9" i="95" s="1"/>
  <c r="W36" i="86"/>
  <c r="T34" i="86"/>
  <c r="W40" i="90"/>
  <c r="W42" i="90" s="1"/>
  <c r="W43" i="90" s="1"/>
  <c r="P36" i="86"/>
  <c r="P34" i="86"/>
  <c r="Q36" i="86"/>
  <c r="Q40" i="90"/>
  <c r="Q42" i="90" s="1"/>
  <c r="Q43" i="90" s="1"/>
  <c r="R40" i="90"/>
  <c r="R42" i="90" s="1"/>
  <c r="R43" i="90" s="1"/>
  <c r="S40" i="90"/>
  <c r="S42" i="90" s="1"/>
  <c r="S43" i="90" s="1"/>
  <c r="P40" i="90"/>
  <c r="P42" i="90" s="1"/>
  <c r="P43" i="90" s="1"/>
  <c r="S36" i="86"/>
  <c r="R36" i="86"/>
  <c r="V40" i="90"/>
  <c r="V42" i="90" s="1"/>
  <c r="V43" i="90" s="1"/>
  <c r="V36" i="86"/>
  <c r="S34" i="86"/>
  <c r="AE34" i="86"/>
  <c r="AH40" i="90"/>
  <c r="AH42" i="90" s="1"/>
  <c r="AH43" i="90" s="1"/>
  <c r="AH36" i="86"/>
  <c r="C26" i="93" s="1"/>
  <c r="C28" i="93" s="1"/>
  <c r="X40" i="90"/>
  <c r="X42" i="90" s="1"/>
  <c r="X43" i="90" s="1"/>
  <c r="U34" i="86"/>
  <c r="X36" i="86"/>
  <c r="AG40" i="90"/>
  <c r="AG42" i="90" s="1"/>
  <c r="AG43" i="90" s="1"/>
  <c r="AG36" i="86"/>
  <c r="AD34" i="86"/>
  <c r="AB36" i="86"/>
  <c r="Y34" i="86"/>
  <c r="AB40" i="90"/>
  <c r="AB42" i="90" s="1"/>
  <c r="AB43" i="90" s="1"/>
  <c r="AD40" i="90"/>
  <c r="AD42" i="90" s="1"/>
  <c r="AD43" i="90" s="1"/>
  <c r="AD36" i="86"/>
  <c r="AA34" i="86"/>
  <c r="Z34" i="86"/>
  <c r="AC40" i="90"/>
  <c r="AC42" i="90" s="1"/>
  <c r="AC43" i="90" s="1"/>
  <c r="AC36" i="86"/>
  <c r="P96" i="86"/>
  <c r="Q54" i="86" l="1"/>
  <c r="Q78" i="86" s="1"/>
  <c r="K6" i="95"/>
  <c r="K9" i="95" s="1"/>
  <c r="Q93" i="86"/>
  <c r="Q96" i="86" s="1"/>
  <c r="P51" i="86"/>
  <c r="S60" i="86"/>
  <c r="S80" i="86" s="1"/>
  <c r="T99" i="86"/>
  <c r="T102" i="86" s="1"/>
  <c r="R55" i="86"/>
  <c r="R79" i="86" s="1"/>
  <c r="L46" i="95"/>
  <c r="L49" i="95" s="1"/>
  <c r="P75" i="86" l="1"/>
  <c r="P72" i="86"/>
  <c r="P151" i="86" s="1"/>
  <c r="R93" i="86"/>
  <c r="R96" i="86" s="1"/>
  <c r="Q51" i="86"/>
  <c r="R54" i="86"/>
  <c r="R78" i="86" s="1"/>
  <c r="L6" i="95"/>
  <c r="L9" i="95" s="1"/>
  <c r="T60" i="86"/>
  <c r="T80" i="86" s="1"/>
  <c r="U99" i="86"/>
  <c r="U102" i="86" s="1"/>
  <c r="S55" i="86"/>
  <c r="S79" i="86" s="1"/>
  <c r="M46" i="95"/>
  <c r="M49" i="95" s="1"/>
  <c r="V99" i="86" l="1"/>
  <c r="V102" i="86" s="1"/>
  <c r="U60" i="86"/>
  <c r="U80" i="86" s="1"/>
  <c r="Q72" i="86"/>
  <c r="Q151" i="86" s="1"/>
  <c r="Q75" i="86"/>
  <c r="M6" i="95"/>
  <c r="M9" i="95" s="1"/>
  <c r="S54" i="86"/>
  <c r="S78" i="86" s="1"/>
  <c r="R51" i="86"/>
  <c r="S93" i="86"/>
  <c r="S96" i="86" s="1"/>
  <c r="N46" i="95"/>
  <c r="N49" i="95" s="1"/>
  <c r="T55" i="86"/>
  <c r="T79" i="86" s="1"/>
  <c r="U55" i="86" l="1"/>
  <c r="U79" i="86" s="1"/>
  <c r="O46" i="95"/>
  <c r="O49" i="95" s="1"/>
  <c r="S51" i="86"/>
  <c r="T93" i="86"/>
  <c r="T96" i="86" s="1"/>
  <c r="R72" i="86"/>
  <c r="R151" i="86" s="1"/>
  <c r="R75" i="86"/>
  <c r="W99" i="86"/>
  <c r="W102" i="86" s="1"/>
  <c r="V60" i="86"/>
  <c r="V80" i="86" s="1"/>
  <c r="T54" i="86"/>
  <c r="T78" i="86" s="1"/>
  <c r="N6" i="95"/>
  <c r="N9" i="95" s="1"/>
  <c r="T51" i="86" l="1"/>
  <c r="U93" i="86"/>
  <c r="U96" i="86" s="1"/>
  <c r="X99" i="86"/>
  <c r="X102" i="86" s="1"/>
  <c r="W60" i="86"/>
  <c r="W80" i="86" s="1"/>
  <c r="S72" i="86"/>
  <c r="S151" i="86" s="1"/>
  <c r="S75" i="86"/>
  <c r="P46" i="95"/>
  <c r="P49" i="95" s="1"/>
  <c r="V55" i="86"/>
  <c r="V79" i="86" s="1"/>
  <c r="U54" i="86"/>
  <c r="U78" i="86" s="1"/>
  <c r="O6" i="95"/>
  <c r="O9" i="95" s="1"/>
  <c r="W55" i="86" l="1"/>
  <c r="W79" i="86" s="1"/>
  <c r="Q46" i="95"/>
  <c r="Q49" i="95" s="1"/>
  <c r="T75" i="86"/>
  <c r="T72" i="86"/>
  <c r="U51" i="86"/>
  <c r="V93" i="86"/>
  <c r="V96" i="86" s="1"/>
  <c r="V54" i="86"/>
  <c r="V78" i="86" s="1"/>
  <c r="P6" i="95"/>
  <c r="P9" i="95" s="1"/>
  <c r="X60" i="86"/>
  <c r="X80" i="86" s="1"/>
  <c r="Y99" i="86"/>
  <c r="Y102" i="86" s="1"/>
  <c r="Q6" i="95" l="1"/>
  <c r="Q9" i="95" s="1"/>
  <c r="W54" i="86"/>
  <c r="W78" i="86" s="1"/>
  <c r="T151" i="86"/>
  <c r="Z99" i="86"/>
  <c r="Z102" i="86" s="1"/>
  <c r="Y60" i="86"/>
  <c r="Y80" i="86" s="1"/>
  <c r="V51" i="86"/>
  <c r="W93" i="86"/>
  <c r="W96" i="86" s="1"/>
  <c r="R46" i="95"/>
  <c r="R49" i="95" s="1"/>
  <c r="X55" i="86"/>
  <c r="X79" i="86" s="1"/>
  <c r="U72" i="86"/>
  <c r="U151" i="86" s="1"/>
  <c r="U75" i="86"/>
  <c r="X54" i="86" l="1"/>
  <c r="X78" i="86" s="1"/>
  <c r="R6" i="95"/>
  <c r="R9" i="95" s="1"/>
  <c r="W51" i="86"/>
  <c r="X93" i="86"/>
  <c r="X96" i="86" s="1"/>
  <c r="V75" i="86"/>
  <c r="V72" i="86"/>
  <c r="Z60" i="86"/>
  <c r="Z80" i="86" s="1"/>
  <c r="AA99" i="86"/>
  <c r="AA102" i="86" s="1"/>
  <c r="Y55" i="86"/>
  <c r="Y79" i="86" s="1"/>
  <c r="S46" i="95"/>
  <c r="S49" i="95" s="1"/>
  <c r="T46" i="95" l="1"/>
  <c r="T49" i="95" s="1"/>
  <c r="Z55" i="86"/>
  <c r="Z79" i="86" s="1"/>
  <c r="Y54" i="86"/>
  <c r="Y78" i="86" s="1"/>
  <c r="S6" i="95"/>
  <c r="S9" i="95" s="1"/>
  <c r="V151" i="86"/>
  <c r="AB99" i="86"/>
  <c r="AB102" i="86" s="1"/>
  <c r="AA60" i="86"/>
  <c r="AA80" i="86" s="1"/>
  <c r="Y93" i="86"/>
  <c r="Y96" i="86" s="1"/>
  <c r="X51" i="86"/>
  <c r="W75" i="86"/>
  <c r="W72" i="86"/>
  <c r="X72" i="86" l="1"/>
  <c r="X151" i="86" s="1"/>
  <c r="X75" i="86"/>
  <c r="T6" i="95"/>
  <c r="T9" i="95" s="1"/>
  <c r="Z54" i="86"/>
  <c r="Z78" i="86" s="1"/>
  <c r="AA55" i="86"/>
  <c r="AA79" i="86" s="1"/>
  <c r="U46" i="95"/>
  <c r="U49" i="95" s="1"/>
  <c r="Y51" i="86"/>
  <c r="Z93" i="86"/>
  <c r="Z96" i="86" s="1"/>
  <c r="AC99" i="86"/>
  <c r="AC102" i="86" s="1"/>
  <c r="AB60" i="86"/>
  <c r="AB80" i="86" s="1"/>
  <c r="W151" i="86"/>
  <c r="AA93" i="86" l="1"/>
  <c r="AA96" i="86" s="1"/>
  <c r="Z51" i="86"/>
  <c r="U6" i="95"/>
  <c r="U9" i="95" s="1"/>
  <c r="AA54" i="86"/>
  <c r="AA78" i="86" s="1"/>
  <c r="Y75" i="86"/>
  <c r="Y72" i="86"/>
  <c r="V46" i="95"/>
  <c r="V49" i="95" s="1"/>
  <c r="AB55" i="86"/>
  <c r="AB79" i="86" s="1"/>
  <c r="AD99" i="86"/>
  <c r="AD102" i="86" s="1"/>
  <c r="AC60" i="86"/>
  <c r="AC80" i="86" s="1"/>
  <c r="Z75" i="86" l="1"/>
  <c r="Z72" i="86"/>
  <c r="Z151" i="86" s="1"/>
  <c r="AB93" i="86"/>
  <c r="AB96" i="86" s="1"/>
  <c r="AA51" i="86"/>
  <c r="W46" i="95"/>
  <c r="W49" i="95" s="1"/>
  <c r="AC55" i="86"/>
  <c r="AC79" i="86" s="1"/>
  <c r="AE99" i="86"/>
  <c r="AE102" i="86" s="1"/>
  <c r="AD60" i="86"/>
  <c r="AD80" i="86" s="1"/>
  <c r="Y151" i="86"/>
  <c r="V6" i="95"/>
  <c r="V9" i="95" s="1"/>
  <c r="AB54" i="86"/>
  <c r="AB78" i="86" s="1"/>
  <c r="AA75" i="86" l="1"/>
  <c r="AA72" i="86"/>
  <c r="W6" i="95"/>
  <c r="W9" i="95" s="1"/>
  <c r="AC54" i="86"/>
  <c r="AC78" i="86" s="1"/>
  <c r="AC93" i="86"/>
  <c r="AC96" i="86" s="1"/>
  <c r="AB51" i="86"/>
  <c r="AE60" i="86"/>
  <c r="AE80" i="86" s="1"/>
  <c r="AF99" i="86"/>
  <c r="AF102" i="86" s="1"/>
  <c r="AD55" i="86"/>
  <c r="AD79" i="86" s="1"/>
  <c r="X46" i="95"/>
  <c r="X49" i="95" s="1"/>
  <c r="AG99" i="86" l="1"/>
  <c r="AG102" i="86" s="1"/>
  <c r="AF60" i="86"/>
  <c r="AF80" i="86" s="1"/>
  <c r="AA151" i="86"/>
  <c r="AB72" i="86"/>
  <c r="AB151" i="86" s="1"/>
  <c r="AB75" i="86"/>
  <c r="AC51" i="86"/>
  <c r="AD93" i="86"/>
  <c r="AD96" i="86" s="1"/>
  <c r="AE55" i="86"/>
  <c r="AE79" i="86" s="1"/>
  <c r="Y46" i="95"/>
  <c r="Y49" i="95" s="1"/>
  <c r="AD54" i="86"/>
  <c r="AD78" i="86" s="1"/>
  <c r="X6" i="95"/>
  <c r="X9" i="95" s="1"/>
  <c r="AC72" i="86" l="1"/>
  <c r="AC75" i="86"/>
  <c r="AH99" i="86"/>
  <c r="AH102" i="86" s="1"/>
  <c r="AH60" i="86" s="1"/>
  <c r="AH80" i="86" s="1"/>
  <c r="AG60" i="86"/>
  <c r="AG80" i="86" s="1"/>
  <c r="Y6" i="95"/>
  <c r="Y9" i="95" s="1"/>
  <c r="AE54" i="86"/>
  <c r="AE78" i="86" s="1"/>
  <c r="AE93" i="86"/>
  <c r="AE96" i="86" s="1"/>
  <c r="AD51" i="86"/>
  <c r="Z46" i="95"/>
  <c r="Z49" i="95" s="1"/>
  <c r="AF55" i="86"/>
  <c r="AF79" i="86" s="1"/>
  <c r="N174" i="86"/>
  <c r="O174" i="86" s="1"/>
  <c r="AD72" i="86" l="1"/>
  <c r="AD151" i="86" s="1"/>
  <c r="AD75" i="86"/>
  <c r="AG55" i="86"/>
  <c r="AG79" i="86" s="1"/>
  <c r="AA46" i="95"/>
  <c r="AA49" i="95" s="1"/>
  <c r="AC151" i="86"/>
  <c r="AF93" i="86"/>
  <c r="AF96" i="86" s="1"/>
  <c r="AE51" i="86"/>
  <c r="Z6" i="95"/>
  <c r="Z9" i="95" s="1"/>
  <c r="AF54" i="86"/>
  <c r="AF78" i="86" s="1"/>
  <c r="N181" i="86"/>
  <c r="O179" i="86" s="1"/>
  <c r="P174" i="86"/>
  <c r="O176" i="86"/>
  <c r="O180" i="86" s="1"/>
  <c r="AH55" i="86" l="1"/>
  <c r="AH79" i="86" s="1"/>
  <c r="AA6" i="95"/>
  <c r="AA9" i="95" s="1"/>
  <c r="AG54" i="86"/>
  <c r="AG78" i="86" s="1"/>
  <c r="AF51" i="86"/>
  <c r="AG93" i="86"/>
  <c r="AG96" i="86" s="1"/>
  <c r="AE75" i="86"/>
  <c r="AE72" i="86"/>
  <c r="O181" i="86"/>
  <c r="P179" i="86" s="1"/>
  <c r="P176" i="86"/>
  <c r="P180" i="86" s="1"/>
  <c r="Q174" i="86"/>
  <c r="AE151" i="86" l="1"/>
  <c r="AH54" i="86"/>
  <c r="AH78" i="86" s="1"/>
  <c r="AF75" i="86"/>
  <c r="AF72" i="86"/>
  <c r="AH93" i="86"/>
  <c r="AH96" i="86" s="1"/>
  <c r="AH51" i="86" s="1"/>
  <c r="AG51" i="86"/>
  <c r="O182" i="86"/>
  <c r="Q176" i="86"/>
  <c r="Q180" i="86" s="1"/>
  <c r="R174" i="86"/>
  <c r="P181" i="86"/>
  <c r="AH75" i="86" l="1"/>
  <c r="AH72" i="86"/>
  <c r="AG151" i="86"/>
  <c r="AF151" i="86"/>
  <c r="AG72" i="86"/>
  <c r="AG75" i="86"/>
  <c r="Q179" i="86"/>
  <c r="Q181" i="86" s="1"/>
  <c r="P182" i="86"/>
  <c r="R176" i="86"/>
  <c r="R180" i="86" s="1"/>
  <c r="S174" i="86"/>
  <c r="AH151" i="86" l="1"/>
  <c r="T174" i="86"/>
  <c r="S176" i="86"/>
  <c r="S180" i="86" s="1"/>
  <c r="R179" i="86"/>
  <c r="R181" i="86" s="1"/>
  <c r="Q182" i="86"/>
  <c r="R182" i="86" l="1"/>
  <c r="S179" i="86"/>
  <c r="S181" i="86" s="1"/>
  <c r="U174" i="86"/>
  <c r="T176" i="86"/>
  <c r="T180" i="86" s="1"/>
  <c r="V174" i="86" l="1"/>
  <c r="U176" i="86"/>
  <c r="U180" i="86" s="1"/>
  <c r="T179" i="86"/>
  <c r="T181" i="86" s="1"/>
  <c r="S182" i="86"/>
  <c r="T182" i="86" l="1"/>
  <c r="U179" i="86"/>
  <c r="U181" i="86" s="1"/>
  <c r="V176" i="86"/>
  <c r="V180" i="86" s="1"/>
  <c r="W174" i="86"/>
  <c r="X174" i="86" l="1"/>
  <c r="W176" i="86"/>
  <c r="W180" i="86" s="1"/>
  <c r="U182" i="86"/>
  <c r="V179" i="86"/>
  <c r="V181" i="86" s="1"/>
  <c r="W179" i="86" l="1"/>
  <c r="W181" i="86" s="1"/>
  <c r="V182" i="86"/>
  <c r="X176" i="86"/>
  <c r="X180" i="86" s="1"/>
  <c r="Y174" i="86"/>
  <c r="W182" i="86" l="1"/>
  <c r="X179" i="86"/>
  <c r="X181" i="86" s="1"/>
  <c r="Z174" i="86"/>
  <c r="Y176" i="86"/>
  <c r="Y180" i="86" s="1"/>
  <c r="Z176" i="86" l="1"/>
  <c r="Z180" i="86" s="1"/>
  <c r="AA174" i="86"/>
  <c r="X182" i="86"/>
  <c r="Y179" i="86"/>
  <c r="Y181" i="86" s="1"/>
  <c r="Y182" i="86" l="1"/>
  <c r="Z179" i="86"/>
  <c r="Z181" i="86" s="1"/>
  <c r="AB174" i="86"/>
  <c r="AA176" i="86"/>
  <c r="AA180" i="86" s="1"/>
  <c r="AA179" i="86" l="1"/>
  <c r="AA181" i="86" s="1"/>
  <c r="Z182" i="86"/>
  <c r="AB176" i="86"/>
  <c r="AB180" i="86" s="1"/>
  <c r="AC174" i="86"/>
  <c r="AB179" i="86" l="1"/>
  <c r="AB181" i="86" s="1"/>
  <c r="AA182" i="86"/>
  <c r="AD174" i="86"/>
  <c r="AC176" i="86"/>
  <c r="AC180" i="86" s="1"/>
  <c r="AC179" i="86" l="1"/>
  <c r="AC181" i="86" s="1"/>
  <c r="AB182" i="86"/>
  <c r="AE174" i="86"/>
  <c r="AD176" i="86"/>
  <c r="AD180" i="86" s="1"/>
  <c r="AD179" i="86" l="1"/>
  <c r="AD181" i="86" s="1"/>
  <c r="AC182" i="86"/>
  <c r="AF174" i="86"/>
  <c r="AE176" i="86"/>
  <c r="AE180" i="86" s="1"/>
  <c r="AD182" i="86" l="1"/>
  <c r="AE179" i="86"/>
  <c r="AE181" i="86" s="1"/>
  <c r="AF176" i="86"/>
  <c r="AF180" i="86" s="1"/>
  <c r="AG174" i="86"/>
  <c r="AG176" i="86" l="1"/>
  <c r="AG180" i="86" s="1"/>
  <c r="AH174" i="86"/>
  <c r="AH176" i="86" s="1"/>
  <c r="AH180" i="86" s="1"/>
  <c r="AE182" i="86"/>
  <c r="AF179" i="86"/>
  <c r="AF181" i="86" s="1"/>
  <c r="AG179" i="86" l="1"/>
  <c r="AG181" i="86" s="1"/>
  <c r="AF182" i="86"/>
  <c r="AH179" i="86" l="1"/>
  <c r="AH181" i="86" s="1"/>
  <c r="AH182" i="86" s="1"/>
  <c r="G27" i="93" s="1"/>
  <c r="AG182" i="86"/>
  <c r="G28" i="93" l="1"/>
  <c r="C32" i="93" s="1"/>
  <c r="A3" i="85"/>
  <c r="A4" i="85" s="1"/>
  <c r="A5" i="85" s="1"/>
  <c r="A6" i="85" s="1"/>
  <c r="A7" i="85" s="1"/>
  <c r="O38" i="86" l="1"/>
  <c r="P38" i="86"/>
  <c r="Q38" i="86"/>
  <c r="R38" i="86"/>
  <c r="S38" i="86"/>
  <c r="T38" i="86"/>
  <c r="U38" i="86"/>
  <c r="V38" i="86"/>
  <c r="W38" i="86"/>
  <c r="X38" i="86"/>
  <c r="Y38" i="86"/>
  <c r="Z38" i="86"/>
  <c r="AA38" i="86"/>
  <c r="AB38" i="86"/>
  <c r="AC38" i="86"/>
  <c r="AD38" i="86"/>
  <c r="AE38" i="86"/>
  <c r="AF38" i="86"/>
  <c r="AG38" i="86"/>
  <c r="AH38" i="86"/>
  <c r="O39" i="86"/>
  <c r="P39" i="86"/>
  <c r="Q39" i="86"/>
  <c r="R39" i="86"/>
  <c r="S39" i="86"/>
  <c r="T39" i="86"/>
  <c r="U39" i="86"/>
  <c r="V39" i="86"/>
  <c r="W39" i="86"/>
  <c r="X39" i="86"/>
  <c r="Y39" i="86"/>
  <c r="Z39" i="86"/>
  <c r="AA39" i="86"/>
  <c r="AB39" i="86"/>
  <c r="AC39" i="86"/>
  <c r="AD39" i="86"/>
  <c r="AE39" i="86"/>
  <c r="AF39" i="86"/>
  <c r="AG39" i="86"/>
  <c r="AH39" i="86"/>
  <c r="O41" i="86"/>
  <c r="P41" i="86"/>
  <c r="Q41" i="86"/>
  <c r="R41" i="86"/>
  <c r="S41" i="86"/>
  <c r="T41" i="86"/>
  <c r="U41" i="86"/>
  <c r="V41" i="86"/>
  <c r="W41" i="86"/>
  <c r="X41" i="86"/>
  <c r="Y41" i="86"/>
  <c r="Z41" i="86"/>
  <c r="AA41" i="86"/>
  <c r="AB41" i="86"/>
  <c r="AC41" i="86"/>
  <c r="AD41" i="86"/>
  <c r="AE41" i="86"/>
  <c r="AF41" i="86"/>
  <c r="AG41" i="86"/>
  <c r="AH41" i="86"/>
  <c r="O44" i="86"/>
  <c r="P44" i="86"/>
  <c r="Q44" i="86"/>
  <c r="R44" i="86"/>
  <c r="S44" i="86"/>
  <c r="T44" i="86"/>
  <c r="U44" i="86"/>
  <c r="V44" i="86"/>
  <c r="W44" i="86"/>
  <c r="X44" i="86"/>
  <c r="Y44" i="86"/>
  <c r="Z44" i="86"/>
  <c r="AA44" i="86"/>
  <c r="AB44" i="86"/>
  <c r="AC44" i="86"/>
  <c r="AD44" i="86"/>
  <c r="AE44" i="86"/>
  <c r="AF44" i="86"/>
  <c r="AG44" i="86"/>
  <c r="AH44" i="86"/>
  <c r="O45" i="86"/>
  <c r="P45" i="86"/>
  <c r="Q45" i="86"/>
  <c r="R45" i="86"/>
  <c r="S45" i="86"/>
  <c r="T45" i="86"/>
  <c r="U45" i="86"/>
  <c r="V45" i="86"/>
  <c r="W45" i="86"/>
  <c r="X45" i="86"/>
  <c r="Y45" i="86"/>
  <c r="Z45" i="86"/>
  <c r="AA45" i="86"/>
  <c r="AB45" i="86"/>
  <c r="AC45" i="86"/>
  <c r="AD45" i="86"/>
  <c r="AE45" i="86"/>
  <c r="AF45" i="86"/>
  <c r="AG45" i="86"/>
  <c r="AH45" i="86"/>
  <c r="O50" i="86"/>
  <c r="P50" i="86"/>
  <c r="Q50" i="86"/>
  <c r="R50" i="86"/>
  <c r="S50" i="86"/>
  <c r="T50" i="86"/>
  <c r="U50" i="86"/>
  <c r="V50" i="86"/>
  <c r="W50" i="86"/>
  <c r="X50" i="86"/>
  <c r="Y50" i="86"/>
  <c r="Z50" i="86"/>
  <c r="AA50" i="86"/>
  <c r="AB50" i="86"/>
  <c r="AC50" i="86"/>
  <c r="AD50" i="86"/>
  <c r="AE50" i="86"/>
  <c r="AF50" i="86"/>
  <c r="AG50" i="86"/>
  <c r="AH50" i="86"/>
  <c r="O57" i="86"/>
  <c r="P57" i="86"/>
  <c r="Q57" i="86"/>
  <c r="R57" i="86"/>
  <c r="S57" i="86"/>
  <c r="T57" i="86"/>
  <c r="U57" i="86"/>
  <c r="V57" i="86"/>
  <c r="W57" i="86"/>
  <c r="X57" i="86"/>
  <c r="Y57" i="86"/>
  <c r="Z57" i="86"/>
  <c r="AA57" i="86"/>
  <c r="AB57" i="86"/>
  <c r="AC57" i="86"/>
  <c r="AD57" i="86"/>
  <c r="AE57" i="86"/>
  <c r="AF57" i="86"/>
  <c r="AG57" i="86"/>
  <c r="AH57" i="86"/>
  <c r="O62" i="86"/>
  <c r="P62" i="86"/>
  <c r="Q62" i="86"/>
  <c r="R62" i="86"/>
  <c r="S62" i="86"/>
  <c r="T62" i="86"/>
  <c r="U62" i="86"/>
  <c r="V62" i="86"/>
  <c r="W62" i="86"/>
  <c r="X62" i="86"/>
  <c r="Y62" i="86"/>
  <c r="Z62" i="86"/>
  <c r="AA62" i="86"/>
  <c r="AB62" i="86"/>
  <c r="AC62" i="86"/>
  <c r="AD62" i="86"/>
  <c r="AE62" i="86"/>
  <c r="AF62" i="86"/>
  <c r="AG62" i="86"/>
  <c r="AH62" i="86"/>
  <c r="O63" i="86"/>
  <c r="P63" i="86"/>
  <c r="Q63" i="86"/>
  <c r="R63" i="86"/>
  <c r="S63" i="86"/>
  <c r="T63" i="86"/>
  <c r="U63" i="86"/>
  <c r="V63" i="86"/>
  <c r="W63" i="86"/>
  <c r="X63" i="86"/>
  <c r="Y63" i="86"/>
  <c r="Z63" i="86"/>
  <c r="AA63" i="86"/>
  <c r="AB63" i="86"/>
  <c r="AC63" i="86"/>
  <c r="AD63" i="86"/>
  <c r="AE63" i="86"/>
  <c r="AF63" i="86"/>
  <c r="AG63" i="86"/>
  <c r="AH63" i="86"/>
  <c r="O64" i="86"/>
  <c r="P64" i="86"/>
  <c r="Q64" i="86"/>
  <c r="R64" i="86"/>
  <c r="S64" i="86"/>
  <c r="T64" i="86"/>
  <c r="U64" i="86"/>
  <c r="V64" i="86"/>
  <c r="W64" i="86"/>
  <c r="X64" i="86"/>
  <c r="Y64" i="86"/>
  <c r="Z64" i="86"/>
  <c r="AA64" i="86"/>
  <c r="AB64" i="86"/>
  <c r="AC64" i="86"/>
  <c r="AD64" i="86"/>
  <c r="AE64" i="86"/>
  <c r="AF64" i="86"/>
  <c r="AG64" i="86"/>
  <c r="AH64" i="86"/>
  <c r="O65" i="86"/>
  <c r="P65" i="86"/>
  <c r="Q65" i="86"/>
  <c r="R65" i="86"/>
  <c r="S65" i="86"/>
  <c r="T65" i="86"/>
  <c r="U65" i="86"/>
  <c r="V65" i="86"/>
  <c r="W65" i="86"/>
  <c r="X65" i="86"/>
  <c r="Y65" i="86"/>
  <c r="Z65" i="86"/>
  <c r="AA65" i="86"/>
  <c r="AB65" i="86"/>
  <c r="AC65" i="86"/>
  <c r="AD65" i="86"/>
  <c r="AE65" i="86"/>
  <c r="AF65" i="86"/>
  <c r="AG65" i="86"/>
  <c r="AH65" i="86"/>
  <c r="P107" i="86"/>
  <c r="Q107" i="86"/>
  <c r="R107" i="86"/>
  <c r="S107" i="86"/>
  <c r="T107" i="86"/>
  <c r="U107" i="86"/>
  <c r="V107" i="86"/>
  <c r="W107" i="86"/>
  <c r="X107" i="86"/>
  <c r="Y107" i="86"/>
  <c r="Z107" i="86"/>
  <c r="AA107" i="86"/>
  <c r="AB107" i="86"/>
  <c r="AC107" i="86"/>
  <c r="AD107" i="86"/>
  <c r="AE107" i="86"/>
  <c r="AF107" i="86"/>
  <c r="AG107" i="86"/>
  <c r="AH107" i="86"/>
  <c r="O108" i="86"/>
  <c r="P108" i="86"/>
  <c r="Q108" i="86"/>
  <c r="R108" i="86"/>
  <c r="S108" i="86"/>
  <c r="T108" i="86"/>
  <c r="U108" i="86"/>
  <c r="V108" i="86"/>
  <c r="W108" i="86"/>
  <c r="X108" i="86"/>
  <c r="Y108" i="86"/>
  <c r="Z108" i="86"/>
  <c r="AA108" i="86"/>
  <c r="AB108" i="86"/>
  <c r="AC108" i="86"/>
  <c r="AD108" i="86"/>
  <c r="AE108" i="86"/>
  <c r="AF108" i="86"/>
  <c r="AG108" i="86"/>
  <c r="AH108" i="86"/>
  <c r="O110" i="86"/>
  <c r="P110" i="86"/>
  <c r="Q110" i="86"/>
  <c r="R110" i="86"/>
  <c r="S110" i="86"/>
  <c r="T110" i="86"/>
  <c r="U110" i="86"/>
  <c r="V110" i="86"/>
  <c r="W110" i="86"/>
  <c r="X110" i="86"/>
  <c r="Y110" i="86"/>
  <c r="Z110" i="86"/>
  <c r="AA110" i="86"/>
  <c r="AB110" i="86"/>
  <c r="AC110" i="86"/>
  <c r="AD110" i="86"/>
  <c r="AE110" i="86"/>
  <c r="AF110" i="86"/>
  <c r="AG110" i="86"/>
  <c r="AH110" i="86"/>
  <c r="P113" i="86"/>
  <c r="Q113" i="86"/>
  <c r="R113" i="86"/>
  <c r="S113" i="86"/>
  <c r="T113" i="86"/>
  <c r="U113" i="86"/>
  <c r="V113" i="86"/>
  <c r="W113" i="86"/>
  <c r="X113" i="86"/>
  <c r="Y113" i="86"/>
  <c r="Z113" i="86"/>
  <c r="AA113" i="86"/>
  <c r="AB113" i="86"/>
  <c r="AC113" i="86"/>
  <c r="AD113" i="86"/>
  <c r="AE113" i="86"/>
  <c r="AF113" i="86"/>
  <c r="AG113" i="86"/>
  <c r="AH113" i="86"/>
  <c r="O114" i="86"/>
  <c r="P114" i="86"/>
  <c r="Q114" i="86"/>
  <c r="R114" i="86"/>
  <c r="S114" i="86"/>
  <c r="T114" i="86"/>
  <c r="U114" i="86"/>
  <c r="V114" i="86"/>
  <c r="W114" i="86"/>
  <c r="X114" i="86"/>
  <c r="Y114" i="86"/>
  <c r="Z114" i="86"/>
  <c r="AA114" i="86"/>
  <c r="AB114" i="86"/>
  <c r="AC114" i="86"/>
  <c r="AD114" i="86"/>
  <c r="AE114" i="86"/>
  <c r="AF114" i="86"/>
  <c r="AG114" i="86"/>
  <c r="AH114" i="86"/>
  <c r="O115" i="86"/>
  <c r="P115" i="86"/>
  <c r="Q115" i="86"/>
  <c r="R115" i="86"/>
  <c r="S115" i="86"/>
  <c r="T115" i="86"/>
  <c r="U115" i="86"/>
  <c r="V115" i="86"/>
  <c r="W115" i="86"/>
  <c r="X115" i="86"/>
  <c r="Y115" i="86"/>
  <c r="Z115" i="86"/>
  <c r="AA115" i="86"/>
  <c r="AB115" i="86"/>
  <c r="AC115" i="86"/>
  <c r="AD115" i="86"/>
  <c r="AE115" i="86"/>
  <c r="AF115" i="86"/>
  <c r="AG115" i="86"/>
  <c r="AH115" i="86"/>
  <c r="O117" i="86"/>
  <c r="P117" i="86"/>
  <c r="Q117" i="86"/>
  <c r="R117" i="86"/>
  <c r="S117" i="86"/>
  <c r="T117" i="86"/>
  <c r="U117" i="86"/>
  <c r="V117" i="86"/>
  <c r="W117" i="86"/>
  <c r="X117" i="86"/>
  <c r="Y117" i="86"/>
  <c r="Z117" i="86"/>
  <c r="AA117" i="86"/>
  <c r="AB117" i="86"/>
  <c r="AC117" i="86"/>
  <c r="AD117" i="86"/>
  <c r="AE117" i="86"/>
  <c r="AF117" i="86"/>
  <c r="AG117" i="86"/>
  <c r="AH117" i="86"/>
  <c r="O119" i="86"/>
  <c r="P119" i="86"/>
  <c r="Q119" i="86"/>
  <c r="R119" i="86"/>
  <c r="S119" i="86"/>
  <c r="T119" i="86"/>
  <c r="U119" i="86"/>
  <c r="V119" i="86"/>
  <c r="W119" i="86"/>
  <c r="X119" i="86"/>
  <c r="Y119" i="86"/>
  <c r="Z119" i="86"/>
  <c r="AA119" i="86"/>
  <c r="AB119" i="86"/>
  <c r="AC119" i="86"/>
  <c r="AD119" i="86"/>
  <c r="AE119" i="86"/>
  <c r="AF119" i="86"/>
  <c r="AG119" i="86"/>
  <c r="AH119" i="86"/>
  <c r="P122" i="86"/>
  <c r="Q122" i="86"/>
  <c r="R122" i="86"/>
  <c r="S122" i="86"/>
  <c r="T122" i="86"/>
  <c r="U122" i="86"/>
  <c r="V122" i="86"/>
  <c r="W122" i="86"/>
  <c r="X122" i="86"/>
  <c r="Y122" i="86"/>
  <c r="Z122" i="86"/>
  <c r="AA122" i="86"/>
  <c r="AB122" i="86"/>
  <c r="AC122" i="86"/>
  <c r="AD122" i="86"/>
  <c r="AE122" i="86"/>
  <c r="AF122" i="86"/>
  <c r="AG122" i="86"/>
  <c r="AH122" i="86"/>
  <c r="O123" i="86"/>
  <c r="P123" i="86"/>
  <c r="Q123" i="86"/>
  <c r="R123" i="86"/>
  <c r="S123" i="86"/>
  <c r="T123" i="86"/>
  <c r="U123" i="86"/>
  <c r="V123" i="86"/>
  <c r="W123" i="86"/>
  <c r="X123" i="86"/>
  <c r="Y123" i="86"/>
  <c r="Z123" i="86"/>
  <c r="AA123" i="86"/>
  <c r="AB123" i="86"/>
  <c r="AC123" i="86"/>
  <c r="AD123" i="86"/>
  <c r="AE123" i="86"/>
  <c r="AF123" i="86"/>
  <c r="AG123" i="86"/>
  <c r="AH123" i="86"/>
  <c r="O124" i="86"/>
  <c r="P124" i="86"/>
  <c r="Q124" i="86"/>
  <c r="R124" i="86"/>
  <c r="S124" i="86"/>
  <c r="T124" i="86"/>
  <c r="U124" i="86"/>
  <c r="V124" i="86"/>
  <c r="W124" i="86"/>
  <c r="X124" i="86"/>
  <c r="Y124" i="86"/>
  <c r="Z124" i="86"/>
  <c r="AA124" i="86"/>
  <c r="AB124" i="86"/>
  <c r="AC124" i="86"/>
  <c r="AD124" i="86"/>
  <c r="AE124" i="86"/>
  <c r="AF124" i="86"/>
  <c r="AG124" i="86"/>
  <c r="AH124" i="86"/>
  <c r="O126" i="86"/>
  <c r="P126" i="86"/>
  <c r="Q126" i="86"/>
  <c r="R126" i="86"/>
  <c r="S126" i="86"/>
  <c r="T126" i="86"/>
  <c r="U126" i="86"/>
  <c r="V126" i="86"/>
  <c r="W126" i="86"/>
  <c r="X126" i="86"/>
  <c r="Y126" i="86"/>
  <c r="Z126" i="86"/>
  <c r="AA126" i="86"/>
  <c r="AB126" i="86"/>
  <c r="AC126" i="86"/>
  <c r="AD126" i="86"/>
  <c r="AE126" i="86"/>
  <c r="AF126" i="86"/>
  <c r="AG126" i="86"/>
  <c r="AH126" i="86"/>
  <c r="O128" i="86"/>
  <c r="P128" i="86"/>
  <c r="Q128" i="86"/>
  <c r="R128" i="86"/>
  <c r="S128" i="86"/>
  <c r="T128" i="86"/>
  <c r="U128" i="86"/>
  <c r="V128" i="86"/>
  <c r="W128" i="86"/>
  <c r="X128" i="86"/>
  <c r="Y128" i="86"/>
  <c r="Z128" i="86"/>
  <c r="AA128" i="86"/>
  <c r="AB128" i="86"/>
  <c r="AC128" i="86"/>
  <c r="AD128" i="86"/>
  <c r="AE128" i="86"/>
  <c r="AF128" i="86"/>
  <c r="AG128" i="86"/>
  <c r="AH128" i="86"/>
  <c r="O138" i="86"/>
  <c r="P138" i="86"/>
  <c r="Q138" i="86"/>
  <c r="R138" i="86"/>
  <c r="S138" i="86"/>
  <c r="T138" i="86"/>
  <c r="U138" i="86"/>
  <c r="V138" i="86"/>
  <c r="W138" i="86"/>
  <c r="X138" i="86"/>
  <c r="Y138" i="86"/>
  <c r="Z138" i="86"/>
  <c r="AA138" i="86"/>
  <c r="AB138" i="86"/>
  <c r="AC138" i="86"/>
  <c r="AD138" i="86"/>
  <c r="AE138" i="86"/>
  <c r="AF138" i="86"/>
  <c r="AG138" i="86"/>
  <c r="AH138" i="86"/>
  <c r="O139" i="86"/>
  <c r="P139" i="86"/>
  <c r="Q139" i="86"/>
  <c r="R139" i="86"/>
  <c r="S139" i="86"/>
  <c r="T139" i="86"/>
  <c r="U139" i="86"/>
  <c r="V139" i="86"/>
  <c r="W139" i="86"/>
  <c r="X139" i="86"/>
  <c r="Y139" i="86"/>
  <c r="Z139" i="86"/>
  <c r="AA139" i="86"/>
  <c r="AB139" i="86"/>
  <c r="AC139" i="86"/>
  <c r="AD139" i="86"/>
  <c r="AE139" i="86"/>
  <c r="AF139" i="86"/>
  <c r="AG139" i="86"/>
  <c r="AH139" i="86"/>
  <c r="O140" i="86"/>
  <c r="P140" i="86"/>
  <c r="Q140" i="86"/>
  <c r="R140" i="86"/>
  <c r="S140" i="86"/>
  <c r="T140" i="86"/>
  <c r="U140" i="86"/>
  <c r="V140" i="86"/>
  <c r="W140" i="86"/>
  <c r="X140" i="86"/>
  <c r="Y140" i="86"/>
  <c r="Z140" i="86"/>
  <c r="AA140" i="86"/>
  <c r="AB140" i="86"/>
  <c r="AC140" i="86"/>
  <c r="AD140" i="86"/>
  <c r="AE140" i="86"/>
  <c r="AF140" i="86"/>
  <c r="AG140" i="86"/>
  <c r="AH140" i="86"/>
  <c r="R141" i="86"/>
  <c r="S141" i="86"/>
  <c r="T141" i="86"/>
  <c r="U141" i="86"/>
  <c r="V141" i="86"/>
  <c r="W141" i="86"/>
  <c r="X141" i="86"/>
  <c r="Y141" i="86"/>
  <c r="Z141" i="86"/>
  <c r="AA141" i="86"/>
  <c r="AB141" i="86"/>
  <c r="AC141" i="86"/>
  <c r="AD141" i="86"/>
  <c r="AE141" i="86"/>
  <c r="AF141" i="86"/>
  <c r="AG141" i="86"/>
  <c r="AH141" i="86"/>
  <c r="O148" i="86"/>
  <c r="P148" i="86"/>
  <c r="Q148" i="86"/>
  <c r="R148" i="86"/>
  <c r="S148" i="86"/>
  <c r="T148" i="86"/>
  <c r="U148" i="86"/>
  <c r="V148" i="86"/>
  <c r="W148" i="86"/>
  <c r="X148" i="86"/>
  <c r="Y148" i="86"/>
  <c r="Z148" i="86"/>
  <c r="AA148" i="86"/>
  <c r="AB148" i="86"/>
  <c r="AC148" i="86"/>
  <c r="AD148" i="86"/>
  <c r="AE148" i="86"/>
  <c r="AF148" i="86"/>
  <c r="AG148" i="86"/>
  <c r="AH148" i="86"/>
  <c r="O156" i="86"/>
  <c r="P156" i="86"/>
  <c r="Q156" i="86"/>
  <c r="R156" i="86"/>
  <c r="S156" i="86"/>
  <c r="T156" i="86"/>
  <c r="U156" i="86"/>
  <c r="V156" i="86"/>
  <c r="W156" i="86"/>
  <c r="X156" i="86"/>
  <c r="Y156" i="86"/>
  <c r="Z156" i="86"/>
  <c r="AA156" i="86"/>
  <c r="AB156" i="86"/>
  <c r="AC156" i="86"/>
  <c r="AD156" i="86"/>
  <c r="AE156" i="86"/>
  <c r="AF156" i="86"/>
  <c r="AG156" i="86"/>
  <c r="AH156" i="86"/>
  <c r="O157" i="86"/>
  <c r="P157" i="86"/>
  <c r="Q157" i="86"/>
  <c r="R157" i="86"/>
  <c r="S157" i="86"/>
  <c r="T157" i="86"/>
  <c r="U157" i="86"/>
  <c r="V157" i="86"/>
  <c r="W157" i="86"/>
  <c r="X157" i="86"/>
  <c r="Y157" i="86"/>
  <c r="Z157" i="86"/>
  <c r="AA157" i="86"/>
  <c r="AB157" i="86"/>
  <c r="AC157" i="86"/>
  <c r="AD157" i="86"/>
  <c r="AE157" i="86"/>
  <c r="AF157" i="86"/>
  <c r="AG157" i="86"/>
  <c r="AH157" i="86"/>
  <c r="O159" i="86"/>
  <c r="P159" i="86"/>
  <c r="Q159" i="86"/>
  <c r="R159" i="86"/>
  <c r="S159" i="86"/>
  <c r="T159" i="86"/>
  <c r="U159" i="86"/>
  <c r="V159" i="86"/>
  <c r="W159" i="86"/>
  <c r="X159" i="86"/>
  <c r="Y159" i="86"/>
  <c r="Z159" i="86"/>
  <c r="AA159" i="86"/>
  <c r="AB159" i="86"/>
  <c r="AC159" i="86"/>
  <c r="AD159" i="86"/>
  <c r="AE159" i="86"/>
  <c r="AF159" i="86"/>
  <c r="AG159" i="86"/>
  <c r="AH159" i="86"/>
  <c r="O160" i="86"/>
  <c r="P160" i="86"/>
  <c r="Q160" i="86"/>
  <c r="R160" i="86"/>
  <c r="S160" i="86"/>
  <c r="T160" i="86"/>
  <c r="U160" i="86"/>
  <c r="V160" i="86"/>
  <c r="W160" i="86"/>
  <c r="X160" i="86"/>
  <c r="Y160" i="86"/>
  <c r="Z160" i="86"/>
  <c r="AA160" i="86"/>
  <c r="AB160" i="86"/>
  <c r="AC160" i="86"/>
  <c r="AD160" i="86"/>
  <c r="AE160" i="86"/>
  <c r="AF160" i="86"/>
  <c r="AG160" i="86"/>
  <c r="AH160" i="86"/>
  <c r="P163" i="86"/>
  <c r="Q163" i="86"/>
  <c r="R163" i="86"/>
  <c r="S163" i="86"/>
  <c r="T163" i="86"/>
  <c r="U163" i="86"/>
  <c r="V163" i="86"/>
  <c r="W163" i="86"/>
  <c r="X163" i="86"/>
  <c r="Y163" i="86"/>
  <c r="Z163" i="86"/>
  <c r="AA163" i="86"/>
  <c r="AB163" i="86"/>
  <c r="AC163" i="86"/>
  <c r="AD163" i="86"/>
  <c r="AE163" i="86"/>
  <c r="AF163" i="86"/>
  <c r="AG163" i="86"/>
  <c r="AH163" i="86"/>
  <c r="O164" i="86"/>
  <c r="P164" i="86"/>
  <c r="Q164" i="86"/>
  <c r="R164" i="86"/>
  <c r="S164" i="86"/>
  <c r="T164" i="86"/>
  <c r="U164" i="86"/>
  <c r="V164" i="86"/>
  <c r="W164" i="86"/>
  <c r="X164" i="86"/>
  <c r="Y164" i="86"/>
  <c r="Z164" i="86"/>
  <c r="AA164" i="86"/>
  <c r="AB164" i="86"/>
  <c r="AC164" i="86"/>
  <c r="AD164" i="86"/>
  <c r="AE164" i="86"/>
  <c r="AF164" i="86"/>
  <c r="AG164" i="86"/>
  <c r="AH164" i="86"/>
  <c r="O165" i="86"/>
  <c r="P165" i="86"/>
  <c r="Q165" i="86"/>
  <c r="R165" i="86"/>
  <c r="S165" i="86"/>
  <c r="T165" i="86"/>
  <c r="U165" i="86"/>
  <c r="V165" i="86"/>
  <c r="W165" i="86"/>
  <c r="X165" i="86"/>
  <c r="Y165" i="86"/>
  <c r="Z165" i="86"/>
  <c r="AA165" i="86"/>
  <c r="AB165" i="86"/>
  <c r="AC165" i="86"/>
  <c r="AD165" i="86"/>
  <c r="AE165" i="86"/>
  <c r="AF165" i="86"/>
  <c r="AG165" i="86"/>
  <c r="AH165" i="86"/>
  <c r="P52" i="90"/>
  <c r="Q52" i="90"/>
  <c r="R52" i="90"/>
  <c r="S52" i="90"/>
  <c r="T52" i="90"/>
  <c r="U52" i="90"/>
  <c r="V52" i="90"/>
  <c r="W52" i="90"/>
  <c r="X52" i="90"/>
  <c r="Y52" i="90"/>
  <c r="Z52" i="90"/>
  <c r="AA52" i="90"/>
  <c r="AB52" i="90"/>
  <c r="AC52" i="90"/>
  <c r="AD52" i="90"/>
  <c r="AE52" i="90"/>
  <c r="AF52" i="90"/>
  <c r="AG52" i="90"/>
  <c r="AH52" i="90"/>
  <c r="P54" i="90"/>
  <c r="Q54" i="90"/>
  <c r="R54" i="90"/>
  <c r="S54" i="90"/>
  <c r="T54" i="90"/>
  <c r="U54" i="90"/>
  <c r="V54" i="90"/>
  <c r="W54" i="90"/>
  <c r="X54" i="90"/>
  <c r="Y54" i="90"/>
  <c r="Z54" i="90"/>
  <c r="AA54" i="90"/>
  <c r="AB54" i="90"/>
  <c r="AC54" i="90"/>
  <c r="AD54" i="90"/>
  <c r="AE54" i="90"/>
  <c r="AF54" i="90"/>
  <c r="AG54" i="90"/>
  <c r="AH54" i="90"/>
  <c r="O96" i="90"/>
  <c r="P96" i="90"/>
  <c r="Q96" i="90"/>
  <c r="R96" i="90"/>
  <c r="S96" i="90"/>
  <c r="T96" i="90"/>
  <c r="U96" i="90"/>
  <c r="V96" i="90"/>
  <c r="W96" i="90"/>
  <c r="X96" i="90"/>
  <c r="Y96" i="90"/>
  <c r="Z96" i="90"/>
  <c r="AA96" i="90"/>
  <c r="AB96" i="90"/>
  <c r="AC96" i="90"/>
  <c r="AD96" i="90"/>
  <c r="AE96" i="90"/>
  <c r="AF96" i="90"/>
  <c r="AG96" i="90"/>
  <c r="AH96" i="90"/>
  <c r="R100" i="90"/>
  <c r="S100" i="90"/>
  <c r="T100" i="90"/>
  <c r="U100" i="90"/>
  <c r="V100" i="90"/>
  <c r="W100" i="90"/>
  <c r="X100" i="90"/>
  <c r="Y100" i="90"/>
  <c r="Z100" i="90"/>
  <c r="AA100" i="90"/>
  <c r="AB100" i="90"/>
  <c r="AC100" i="90"/>
  <c r="AD100" i="90"/>
  <c r="AE100" i="90"/>
  <c r="AF100" i="90"/>
  <c r="AG100" i="90"/>
  <c r="AH100" i="90"/>
  <c r="C29" i="93"/>
  <c r="C30" i="93"/>
  <c r="C31" i="93"/>
  <c r="C33" i="93"/>
  <c r="C35" i="93"/>
  <c r="C36" i="93"/>
  <c r="C40" i="9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<sst xmlns="http://schemas.openxmlformats.org/spreadsheetml/2006/main" count="413" uniqueCount="275">
  <si>
    <t>Rule of 40</t>
  </si>
  <si>
    <t>ARR Build</t>
  </si>
  <si>
    <t>Taxes</t>
  </si>
  <si>
    <t>Customer</t>
  </si>
  <si>
    <t>Cohort</t>
  </si>
  <si>
    <t>New Logo ARR</t>
  </si>
  <si>
    <t>Upsell ARR</t>
  </si>
  <si>
    <t>Downsell ARR</t>
  </si>
  <si>
    <t>Churn ARR</t>
  </si>
  <si>
    <t>Beginning ARR</t>
  </si>
  <si>
    <t>Ending ARR</t>
  </si>
  <si>
    <t>Check?</t>
  </si>
  <si>
    <t>Beginning Customers</t>
  </si>
  <si>
    <t>New Customers</t>
  </si>
  <si>
    <t>Ending Customers</t>
  </si>
  <si>
    <t>Churn Customers</t>
  </si>
  <si>
    <t>Customer Bridge</t>
  </si>
  <si>
    <t>Recognized Revenue</t>
  </si>
  <si>
    <t>Deferred Revenue</t>
  </si>
  <si>
    <t>Total Cash Collected</t>
  </si>
  <si>
    <t>ARR by Cohort</t>
  </si>
  <si>
    <t>S&amp;M</t>
  </si>
  <si>
    <t>CAC Payback by Cohort</t>
  </si>
  <si>
    <t>Cohorts</t>
  </si>
  <si>
    <t>GM%</t>
  </si>
  <si>
    <t>NRR</t>
  </si>
  <si>
    <t>Upsell as % of Beginning</t>
  </si>
  <si>
    <t>Downsell as % of Beginning</t>
  </si>
  <si>
    <t>Churn as % of Beginning</t>
  </si>
  <si>
    <t>New Logo as % of Beginning</t>
  </si>
  <si>
    <t>Total Billed Amount</t>
  </si>
  <si>
    <t>Cohort %</t>
  </si>
  <si>
    <t>Upfront (Annual) Billing</t>
  </si>
  <si>
    <t>Quarterly Billing</t>
  </si>
  <si>
    <t>Cash Collections in Same Quarter</t>
  </si>
  <si>
    <t>Cash Collections in Next Quarter</t>
  </si>
  <si>
    <t>Accounts Receivable</t>
  </si>
  <si>
    <t>New Billings</t>
  </si>
  <si>
    <t>Cash Collected</t>
  </si>
  <si>
    <t>Beginning Deferred Revenue</t>
  </si>
  <si>
    <t>Ending Deferred Revenue</t>
  </si>
  <si>
    <t>Beginning Accounts Receivable</t>
  </si>
  <si>
    <t>% YoY Growth</t>
  </si>
  <si>
    <t>Gross Profit</t>
  </si>
  <si>
    <t>GAAP Revenue</t>
  </si>
  <si>
    <t>R&amp;D</t>
  </si>
  <si>
    <t>G&amp;A</t>
  </si>
  <si>
    <t>Operating Expenses</t>
  </si>
  <si>
    <t>Interest Expense</t>
  </si>
  <si>
    <t>Taxable Income</t>
  </si>
  <si>
    <t>Tax Rate</t>
  </si>
  <si>
    <t>Net Income</t>
  </si>
  <si>
    <t>Operating Income</t>
  </si>
  <si>
    <t>Income Statement</t>
  </si>
  <si>
    <t>Balance Sheet</t>
  </si>
  <si>
    <t>Cash Flow Statement</t>
  </si>
  <si>
    <t>Cash</t>
  </si>
  <si>
    <t>Net PP&amp;E</t>
  </si>
  <si>
    <t>Equity</t>
  </si>
  <si>
    <t>Total Assets</t>
  </si>
  <si>
    <t>Total Liabilities &amp; Equity</t>
  </si>
  <si>
    <t>Accounts Payable</t>
  </si>
  <si>
    <t>Depreciation</t>
  </si>
  <si>
    <t>Capex as % of LTM Rev</t>
  </si>
  <si>
    <t>Depreciation as % of LTM Rev</t>
  </si>
  <si>
    <t>LTM COGS</t>
  </si>
  <si>
    <t>D&amp;A</t>
  </si>
  <si>
    <t>Capex</t>
  </si>
  <si>
    <t>Net Working Capital</t>
  </si>
  <si>
    <t>% Margin</t>
  </si>
  <si>
    <t>Deferred Commissions</t>
  </si>
  <si>
    <t>Prepaid Expenses</t>
  </si>
  <si>
    <t>Stock-Based Compensation Expense</t>
  </si>
  <si>
    <t>Adj.</t>
  </si>
  <si>
    <t>(+) Cash</t>
  </si>
  <si>
    <t>Sources</t>
  </si>
  <si>
    <t>Uses</t>
  </si>
  <si>
    <t>(-) Debt</t>
  </si>
  <si>
    <t>Entry Assumptions</t>
  </si>
  <si>
    <t>Entry</t>
  </si>
  <si>
    <t>Exit &amp; Returns</t>
  </si>
  <si>
    <t>Memo</t>
  </si>
  <si>
    <t>Beginning Shares Outstanding</t>
  </si>
  <si>
    <t>New Shares Issued</t>
  </si>
  <si>
    <t>Ending Shares Outstanding</t>
  </si>
  <si>
    <t>Shares Outstanding</t>
  </si>
  <si>
    <t>Cumulative Dilution</t>
  </si>
  <si>
    <t>Exit Date</t>
  </si>
  <si>
    <t>Entry Date</t>
  </si>
  <si>
    <t>Exit Multiple</t>
  </si>
  <si>
    <t>Exit Proceeds</t>
  </si>
  <si>
    <t>Exit Enterprise Value</t>
  </si>
  <si>
    <t>Exit Value</t>
  </si>
  <si>
    <t>Exit Equity value</t>
  </si>
  <si>
    <t>Initial Ownership</t>
  </si>
  <si>
    <t>Exit Ownership</t>
  </si>
  <si>
    <t>(x) Exit Ownership</t>
  </si>
  <si>
    <t>Exit Sponsor Value</t>
  </si>
  <si>
    <t>IRR</t>
  </si>
  <si>
    <t>Entry Investment</t>
  </si>
  <si>
    <t>M-o-M</t>
  </si>
  <si>
    <t>Net Change in WC</t>
  </si>
  <si>
    <t>$ Deferrals</t>
  </si>
  <si>
    <t>Years</t>
  </si>
  <si>
    <t>Quarters</t>
  </si>
  <si>
    <t>End</t>
  </si>
  <si>
    <t>New Deferred Commissions</t>
  </si>
  <si>
    <t>Amortization of Deferred Commissions</t>
  </si>
  <si>
    <t>Beginning Deferred Commissions</t>
  </si>
  <si>
    <t>Ending Deferred Commissions</t>
  </si>
  <si>
    <t>Capitalized Software Costs</t>
  </si>
  <si>
    <t>Beginning Capitalized Software Costs</t>
  </si>
  <si>
    <t>Amortization of Capitalized Software Costs</t>
  </si>
  <si>
    <t>New Capitalized Software Costs</t>
  </si>
  <si>
    <t>CAC</t>
  </si>
  <si>
    <t>Magic Number</t>
  </si>
  <si>
    <t>Gross Margin</t>
  </si>
  <si>
    <t>New Logo Gross Profit</t>
  </si>
  <si>
    <t>LTV / CAC</t>
  </si>
  <si>
    <t>3 Year LTV / CAC</t>
  </si>
  <si>
    <t>5 Year LTV / CAC</t>
  </si>
  <si>
    <t>EBITDA Margin</t>
  </si>
  <si>
    <t>LTM GAAP Revenue</t>
  </si>
  <si>
    <t>LTM EBITDA</t>
  </si>
  <si>
    <t>EBITDA</t>
  </si>
  <si>
    <t>YoY Growth</t>
  </si>
  <si>
    <t>CAC Payback</t>
  </si>
  <si>
    <t>Annualized Logo Retention</t>
  </si>
  <si>
    <t>Annualized Net Dollar Retention</t>
  </si>
  <si>
    <t>Customer Lifetime (Years)</t>
  </si>
  <si>
    <t>Overall LTV / CAC</t>
  </si>
  <si>
    <t>3 Year LTV</t>
  </si>
  <si>
    <t>5 Year LTV</t>
  </si>
  <si>
    <t>Overall LTV</t>
  </si>
  <si>
    <t>Key Metrics</t>
  </si>
  <si>
    <t>YoY ARR Growth</t>
  </si>
  <si>
    <t>Retention</t>
  </si>
  <si>
    <t>Annualized Gross Dollar Retention</t>
  </si>
  <si>
    <t>Efficiency</t>
  </si>
  <si>
    <t>Burn Multiple</t>
  </si>
  <si>
    <t>Unit Economics</t>
  </si>
  <si>
    <t>Net New ARR</t>
  </si>
  <si>
    <t>Cash Balance</t>
  </si>
  <si>
    <t>Beginning Cash Balance</t>
  </si>
  <si>
    <t>Change in Cash</t>
  </si>
  <si>
    <t>Ending Cash Balance</t>
  </si>
  <si>
    <t>GP Payback [Months]</t>
  </si>
  <si>
    <t>GP Payback w/ Upsell [Months]</t>
  </si>
  <si>
    <t>Acquisition Cost Per Customer</t>
  </si>
  <si>
    <t>Current Price Per Share</t>
  </si>
  <si>
    <t>COGS</t>
  </si>
  <si>
    <t>Total Compensation</t>
  </si>
  <si>
    <t>Stock-Based Compensation</t>
  </si>
  <si>
    <t>Total R&amp;D Expense</t>
  </si>
  <si>
    <t>Total S&amp;M Expense</t>
  </si>
  <si>
    <t>ARR per Ending Customer</t>
  </si>
  <si>
    <t>ARR per New Customer</t>
  </si>
  <si>
    <t>ARR per Churned Customer</t>
  </si>
  <si>
    <t>Prior Period S&amp;M</t>
  </si>
  <si>
    <t>Cumulative Realized LTV</t>
  </si>
  <si>
    <t>Max</t>
  </si>
  <si>
    <t>Sponsor Equity</t>
  </si>
  <si>
    <t>Entry Multiple</t>
  </si>
  <si>
    <t>Average</t>
  </si>
  <si>
    <t>Amortization Schedule</t>
  </si>
  <si>
    <t>ARR Waterfall</t>
  </si>
  <si>
    <t>Total Uses</t>
  </si>
  <si>
    <t>Total Sources</t>
  </si>
  <si>
    <t>Gross Margin Subscriptions</t>
  </si>
  <si>
    <t>$ Eligible</t>
  </si>
  <si>
    <t>Revenue &amp; Retention</t>
  </si>
  <si>
    <t>Quick Ratio</t>
  </si>
  <si>
    <t>Other Margin Profile</t>
  </si>
  <si>
    <t>Gross Profit - Total</t>
  </si>
  <si>
    <t>LTM Gross Margin %</t>
  </si>
  <si>
    <t>LTM S&amp;M, % of Revenue</t>
  </si>
  <si>
    <t>LTM R&amp;D, % of Revenue</t>
  </si>
  <si>
    <t>LTM G&amp;A, % of Revenue</t>
  </si>
  <si>
    <t>GAAP Revenue - Total</t>
  </si>
  <si>
    <t>LTM FCF, % Margin</t>
  </si>
  <si>
    <t>S&amp;M Prior Period</t>
  </si>
  <si>
    <t>New Logo Gross Profit - Year 1</t>
  </si>
  <si>
    <t>New Logo Gross Profit - Year 2</t>
  </si>
  <si>
    <t>New Logo Gross Profit - Year 3</t>
  </si>
  <si>
    <t>New Logo Gross Profit - Year 4</t>
  </si>
  <si>
    <t>New Logo Gross Profit - Year 5</t>
  </si>
  <si>
    <t>Free Cash Flow - (Negative) / Positive</t>
  </si>
  <si>
    <t>Net Revenue Retention by Cohort</t>
  </si>
  <si>
    <t>ARR by Cohort (Reordered)</t>
  </si>
  <si>
    <t>Prior Year Renewal ARR</t>
  </si>
  <si>
    <t>ARR Eligible for Billing</t>
  </si>
  <si>
    <t>ARR Eligible for Billings</t>
  </si>
  <si>
    <t>Actual</t>
  </si>
  <si>
    <t>PF</t>
  </si>
  <si>
    <t>Beginning Net PP&amp;E</t>
  </si>
  <si>
    <t>Ending Net PP&amp;E</t>
  </si>
  <si>
    <t>LTM R&amp;D Expense</t>
  </si>
  <si>
    <t>Metrics &amp; Drivers</t>
  </si>
  <si>
    <t>LTM S&amp;M Expense</t>
  </si>
  <si>
    <t>Deferred Commissions, % of LTM S&amp;M Expense</t>
  </si>
  <si>
    <t>Prepaid Expenses, % of LTM Rev</t>
  </si>
  <si>
    <t>Capitalized Software Costs, % of LTM R&amp;D Expense</t>
  </si>
  <si>
    <t>Payable Days Outstanding</t>
  </si>
  <si>
    <t>Deferred Revenue, % of ARR</t>
  </si>
  <si>
    <t>Amortization</t>
  </si>
  <si>
    <t>Drivers:</t>
  </si>
  <si>
    <t>Free Cash Flow</t>
  </si>
  <si>
    <t>y</t>
  </si>
  <si>
    <t>$ Billed</t>
  </si>
  <si>
    <t>Ending Capitalized Software Costs</t>
  </si>
  <si>
    <t>Memo/Drivers</t>
  </si>
  <si>
    <t>Amortization of Deferred Compensation</t>
  </si>
  <si>
    <t>Memo/Drivers:</t>
  </si>
  <si>
    <t>Deferred Commissions Paid</t>
  </si>
  <si>
    <t>$ Costs</t>
  </si>
  <si>
    <t>Capitalized Software Paid</t>
  </si>
  <si>
    <t>GO, GO, GO!</t>
  </si>
  <si>
    <t>Practice really does make perfect!</t>
  </si>
  <si>
    <t>You got this!  :-)</t>
  </si>
  <si>
    <t>For more video courses and tutorials:</t>
  </si>
  <si>
    <t>All rights reserved. Growth Equity Interview Guide.</t>
  </si>
  <si>
    <t xml:space="preserve">This template is part of a comprehensive course for SaaS investing roles &amp; interviews. </t>
  </si>
  <si>
    <t>Gross Margin %</t>
  </si>
  <si>
    <t>% of ARR</t>
  </si>
  <si>
    <t>Receivable Days Outstanding</t>
  </si>
  <si>
    <t>Ending Accounts Receivable</t>
  </si>
  <si>
    <t>Capitalized Software Costs as % of R&amp;D Expense</t>
  </si>
  <si>
    <t>Deferred Comp as % of Total S&amp;M Expense</t>
  </si>
  <si>
    <t>Compensation as % of Total Opex + COGS</t>
  </si>
  <si>
    <t>Total Opex + COGS</t>
  </si>
  <si>
    <t>% Stock Compensation</t>
  </si>
  <si>
    <t>% Q-o-Q Growth</t>
  </si>
  <si>
    <t>Post-Money Shares Outstanding</t>
  </si>
  <si>
    <t>Pre-Money Shares Outstanding</t>
  </si>
  <si>
    <t>Pre-Money Stock Price</t>
  </si>
  <si>
    <t>Note:</t>
  </si>
  <si>
    <t>Prior Year Renewal ARR for Billing</t>
  </si>
  <si>
    <t>Net Cash Burned</t>
  </si>
  <si>
    <t>Entry LTM EBITDA</t>
  </si>
  <si>
    <t>New Debt</t>
  </si>
  <si>
    <t>Exit LTM EBITDA</t>
  </si>
  <si>
    <t>`</t>
  </si>
  <si>
    <t>Purchase Enterprise Value</t>
  </si>
  <si>
    <t>Purchase Equity Value</t>
  </si>
  <si>
    <t>Transaction Fees</t>
  </si>
  <si>
    <t>Ending Cash to B/S</t>
  </si>
  <si>
    <t>xEBITDA</t>
  </si>
  <si>
    <t>$ Amount</t>
  </si>
  <si>
    <t>% Interest</t>
  </si>
  <si>
    <t>Revolver</t>
  </si>
  <si>
    <t>Dilution from SBC</t>
  </si>
  <si>
    <t>Goodwill</t>
  </si>
  <si>
    <t>Existing Debt</t>
  </si>
  <si>
    <t>$ in millions, except noted</t>
  </si>
  <si>
    <t>Debt Schedule</t>
  </si>
  <si>
    <t>Cash Available Before Revolver</t>
  </si>
  <si>
    <t>Required Minimum Cash Balance</t>
  </si>
  <si>
    <t>Beginning Balance</t>
  </si>
  <si>
    <t>Net Issuance / (Paydown)</t>
  </si>
  <si>
    <t>Ending Balance</t>
  </si>
  <si>
    <t>% Interest Rate</t>
  </si>
  <si>
    <t>Term Loan B</t>
  </si>
  <si>
    <t>Optional (Paydown)</t>
  </si>
  <si>
    <t>Cash Available Before Term Loan B</t>
  </si>
  <si>
    <t>Cash Remaining After Term Loan B</t>
  </si>
  <si>
    <t>Senior Notes</t>
  </si>
  <si>
    <t>Free Cash Flow Before Debt Paydown</t>
  </si>
  <si>
    <t>Debt Issuance / (Paydown)</t>
  </si>
  <si>
    <t>Cash From Financing</t>
  </si>
  <si>
    <t>Debt Metrics</t>
  </si>
  <si>
    <t>Total Debt</t>
  </si>
  <si>
    <t>Total Interest Expense</t>
  </si>
  <si>
    <t>Total Debt / LTM EBITDA</t>
  </si>
  <si>
    <t>LTM EBITDA / LTM Interest Expense</t>
  </si>
  <si>
    <t>Debt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</si>
</sst>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\x"/>
    <numFmt numFmtId="165" formatCode="0.0%"/>
    <numFmt numFmtId="166" formatCode="#,##0.000_);\(#,##0.000\)"/>
    <numFmt numFmtId="167" formatCode="&quot;$&quot;#,##0.000_);\(&quot;$&quot;#,##0.000\)"/>
    <numFmt numFmtId="168" formatCode="0.0"/>
    <numFmt numFmtId="169" formatCode="[$-409]mmm\-yy;@"/>
    <numFmt numFmtId="170" formatCode="#,##0.0000_);\(#,##0.0000\)"/>
    <numFmt numFmtId="171" formatCode="m/d/yy"/>
    <numFmt numFmtId="172" formatCode="m/d/yy;@"/>
    <numFmt numFmtId="173" formatCode="&quot;$&quot;#,##0_);\(&quot;$&quot;#,##0\);\ &quot;-&quot;_)"/>
    <numFmt numFmtId="174" formatCode="&quot;Q&quot;0"/>
    <numFmt numFmtId="175" formatCode="0%;\(0%\);&quot;-&quot;_%"/>
    <numFmt numFmtId="176" formatCode="0%_);\(0%\);&quot;-&quot;_)"/>
    <numFmt numFmtId="177" formatCode="#,##0_);\(#,##0\);\ &quot;-&quot;_)"/>
    <numFmt numFmtId="178" formatCode="0.0%_);\ \(0.0%\);\ &quot;-&quot;_%"/>
    <numFmt numFmtId="179" formatCode="&quot;$&quot;#,##0_);\(&quot;$&quot;#,##0\);&quot;-&quot;_)"/>
    <numFmt numFmtId="180" formatCode="#,##0.0\x_);\(#,##0.0\x\);\ &quot;-&quot;_)"/>
    <numFmt numFmtId="181" formatCode="#,##0.0_);\(#,##0.0\);\ &quot;-&quot;_)"/>
    <numFmt numFmtId="182" formatCode="0%_);\ \(0%\);\ &quot;-&quot;_%"/>
    <numFmt numFmtId="183" formatCode="&quot;$&quot;#,##0.0_);\(&quot;$&quot;#,##0.0\)"/>
    <numFmt numFmtId="184" formatCode="0.0%_);\(0.0%\);&quot;-&quot;_)"/>
    <numFmt numFmtId="185" formatCode="#,##0.0_);\(#,##0.0\)"/>
    <numFmt numFmtId="186" formatCode="&quot;$&quot;#,##0.0_);\(&quot;$&quot;#,##0.0\);\ &quot;-&quot;_)"/>
    <numFmt numFmtId="187" formatCode="&quot;$&quot;#,##0.0_);\(&quot;$&quot;#,##0.0\);&quot;-&quot;_)"/>
    <numFmt numFmtId="188" formatCode="0.0%;\(0.0%\);&quot;-&quot;_%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FF0000"/>
      <name val="Garamond"/>
      <family val="1"/>
    </font>
    <font>
      <i/>
      <sz val="10"/>
      <color theme="1"/>
      <name val="Garamond"/>
      <family val="1"/>
    </font>
    <font>
      <i/>
      <sz val="10"/>
      <name val="Garamond"/>
      <family val="1"/>
    </font>
    <font>
      <i/>
      <sz val="10"/>
      <color rgb="FF0000FF"/>
      <name val="Garamond"/>
      <family val="1"/>
    </font>
    <font>
      <b/>
      <sz val="10"/>
      <color rgb="FF0000FF"/>
      <name val="Garamond"/>
      <family val="1"/>
    </font>
    <font>
      <b/>
      <sz val="10"/>
      <color theme="1"/>
      <name val="Arial"/>
      <family val="2"/>
    </font>
    <font>
      <b/>
      <sz val="10"/>
      <name val="Garamond"/>
      <family val="1"/>
    </font>
    <font>
      <i/>
      <sz val="10"/>
      <color theme="1"/>
      <name val="Arial"/>
      <family val="2"/>
    </font>
    <font>
      <sz val="10"/>
      <color rgb="FF00B050"/>
      <name val="Garamond"/>
      <family val="1"/>
    </font>
    <font>
      <b/>
      <u/>
      <sz val="10"/>
      <color theme="1"/>
      <name val="Garamond"/>
      <family val="1"/>
    </font>
    <font>
      <sz val="10"/>
      <color rgb="FF000000"/>
      <name val="Calibri"/>
      <family val="2"/>
      <scheme val="minor"/>
    </font>
    <font>
      <sz val="10"/>
      <color theme="1"/>
      <name val="Book Antiqua"/>
      <family val="1"/>
    </font>
    <font>
      <sz val="10"/>
      <color rgb="FF000000"/>
      <name val="Book Antiqua"/>
      <family val="1"/>
    </font>
    <font>
      <sz val="8"/>
      <name val="Verdan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"/>
      <color indexed="12"/>
      <name val="Verdana"/>
      <family val="2"/>
    </font>
    <font>
      <b/>
      <sz val="10"/>
      <color rgb="FF00B050"/>
      <name val="Garamond"/>
      <family val="1"/>
    </font>
    <font>
      <u/>
      <sz val="10"/>
      <name val="Garamond"/>
      <family val="1"/>
    </font>
    <font>
      <u val="singleAccounting"/>
      <sz val="10"/>
      <color theme="1"/>
      <name val="Garamond"/>
      <family val="1"/>
    </font>
    <font>
      <b/>
      <sz val="10"/>
      <color rgb="FF000000"/>
      <name val="Calibri"/>
      <family val="2"/>
      <scheme val="minor"/>
    </font>
    <font>
      <b/>
      <u/>
      <sz val="10"/>
      <name val="Garamond"/>
      <family val="1"/>
    </font>
    <font>
      <b/>
      <u/>
      <sz val="10"/>
      <color rgb="FF00B050"/>
      <name val="Garamond"/>
      <family val="1"/>
    </font>
    <font>
      <b/>
      <sz val="10"/>
      <color rgb="FFFF0000"/>
      <name val="Garamond"/>
      <family val="1"/>
    </font>
    <font>
      <i/>
      <sz val="10"/>
      <color rgb="FFFF0000"/>
      <name val="Garamond"/>
      <family val="1"/>
    </font>
    <font>
      <sz val="10"/>
      <color rgb="FF000000"/>
      <name val="Garamond"/>
      <family val="1"/>
    </font>
    <font>
      <b/>
      <sz val="10"/>
      <color rgb="FF000000"/>
      <name val="Garamond"/>
      <family val="1"/>
    </font>
    <font>
      <b/>
      <u/>
      <sz val="10"/>
      <color rgb="FF000000"/>
      <name val="Garamond"/>
      <family val="1"/>
    </font>
    <font>
      <sz val="10"/>
      <color theme="0"/>
      <name val="Garamond"/>
      <family val="1"/>
    </font>
    <font>
      <sz val="10"/>
      <name val="Arial"/>
      <family val="2"/>
    </font>
    <font>
      <sz val="11"/>
      <color theme="1"/>
      <name val="Inter"/>
    </font>
    <font>
      <b/>
      <sz val="10"/>
      <color theme="7" tint="0.39997558519241921"/>
      <name val="Inter"/>
    </font>
    <font>
      <sz val="22"/>
      <color theme="0"/>
      <name val="Inter"/>
    </font>
    <font>
      <i/>
      <sz val="11"/>
      <color theme="7" tint="0.39997558519241921"/>
      <name val="Inter"/>
    </font>
    <font>
      <sz val="11"/>
      <color theme="0"/>
      <name val="Inter"/>
    </font>
    <font>
      <u/>
      <sz val="11"/>
      <color theme="10"/>
      <name val="Calibri"/>
      <family val="2"/>
      <scheme val="minor"/>
    </font>
    <font>
      <i/>
      <u/>
      <sz val="11"/>
      <color rgb="FF00B0F0"/>
      <name val="Inter"/>
    </font>
    <font>
      <u/>
      <sz val="30"/>
      <color theme="7" tint="0.39997558519241921"/>
      <name val="Inter"/>
    </font>
    <font>
      <i/>
      <sz val="9"/>
      <color theme="0"/>
      <name val="Inter"/>
    </font>
    <font>
      <sz val="8"/>
      <name val="Garamond"/>
      <family val="1"/>
    </font>
    <font>
      <b/>
      <sz val="11"/>
      <name val="Garamond"/>
      <family val="1"/>
    </font>
    <font>
      <i/>
      <sz val="10"/>
      <color theme="0"/>
      <name val="Garamond"/>
      <family val="1"/>
    </font>
    <font>
      <u/>
      <sz val="10"/>
      <color theme="1"/>
      <name val="Garamond"/>
      <family val="1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8FF"/>
        <bgColor rgb="FFF5F8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8" fillId="0" borderId="0"/>
    <xf numFmtId="0" fontId="2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44" fillId="0" borderId="0" applyNumberFormat="0" applyFill="0" applyBorder="0" applyAlignment="0" applyProtection="0"/>
  </cellStyleXfs>
  <cellXfs count="49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3" fillId="3" borderId="0" xfId="0" applyFont="1" applyFill="1"/>
    <xf numFmtId="0" fontId="7" fillId="0" borderId="0" xfId="0" applyFont="1"/>
    <xf numFmtId="0" fontId="9" fillId="0" borderId="0" xfId="0" applyFont="1" applyAlignment="1">
      <alignment horizontal="left" indent="1"/>
    </xf>
    <xf numFmtId="0" fontId="9" fillId="0" borderId="0" xfId="0" applyFont="1"/>
    <xf numFmtId="37" fontId="6" fillId="0" borderId="0" xfId="0" applyNumberFormat="1" applyFont="1"/>
    <xf numFmtId="0" fontId="7" fillId="0" borderId="1" xfId="0" applyFont="1" applyBorder="1"/>
    <xf numFmtId="0" fontId="13" fillId="0" borderId="0" xfId="0" applyFont="1"/>
    <xf numFmtId="0" fontId="3" fillId="0" borderId="0" xfId="0" applyFont="1" applyAlignment="1">
      <alignment horizontal="left"/>
    </xf>
    <xf numFmtId="37" fontId="14" fillId="0" borderId="1" xfId="0" applyNumberFormat="1" applyFont="1" applyBorder="1"/>
    <xf numFmtId="167" fontId="10" fillId="0" borderId="0" xfId="0" applyNumberFormat="1" applyFont="1"/>
    <xf numFmtId="166" fontId="10" fillId="0" borderId="0" xfId="0" applyNumberFormat="1" applyFont="1"/>
    <xf numFmtId="5" fontId="14" fillId="5" borderId="0" xfId="0" applyNumberFormat="1" applyFont="1" applyFill="1"/>
    <xf numFmtId="0" fontId="17" fillId="0" borderId="0" xfId="0" applyFont="1"/>
    <xf numFmtId="5" fontId="3" fillId="0" borderId="0" xfId="0" applyNumberFormat="1" applyFont="1"/>
    <xf numFmtId="5" fontId="7" fillId="0" borderId="1" xfId="0" applyNumberFormat="1" applyFont="1" applyBorder="1"/>
    <xf numFmtId="170" fontId="9" fillId="0" borderId="0" xfId="0" applyNumberFormat="1" applyFont="1"/>
    <xf numFmtId="0" fontId="15" fillId="0" borderId="0" xfId="0" applyFont="1"/>
    <xf numFmtId="169" fontId="3" fillId="3" borderId="0" xfId="0" applyNumberFormat="1" applyFont="1" applyFill="1" applyAlignment="1">
      <alignment horizontal="right"/>
    </xf>
    <xf numFmtId="5" fontId="14" fillId="0" borderId="1" xfId="0" applyNumberFormat="1" applyFont="1" applyBorder="1"/>
    <xf numFmtId="0" fontId="18" fillId="0" borderId="0" xfId="4"/>
    <xf numFmtId="169" fontId="3" fillId="0" borderId="0" xfId="0" applyNumberFormat="1" applyFont="1" applyAlignment="1">
      <alignment horizontal="left"/>
    </xf>
    <xf numFmtId="173" fontId="3" fillId="0" borderId="0" xfId="0" applyNumberFormat="1" applyFont="1"/>
    <xf numFmtId="174" fontId="3" fillId="3" borderId="0" xfId="0" applyNumberFormat="1" applyFont="1" applyFill="1"/>
    <xf numFmtId="175" fontId="3" fillId="0" borderId="0" xfId="0" applyNumberFormat="1" applyFont="1"/>
    <xf numFmtId="0" fontId="3" fillId="3" borderId="0" xfId="0" applyFont="1" applyFill="1" applyAlignment="1">
      <alignment horizontal="right"/>
    </xf>
    <xf numFmtId="171" fontId="6" fillId="2" borderId="0" xfId="0" applyNumberFormat="1" applyFont="1" applyFill="1"/>
    <xf numFmtId="171" fontId="5" fillId="9" borderId="0" xfId="0" applyNumberFormat="1" applyFont="1" applyFill="1"/>
    <xf numFmtId="171" fontId="6" fillId="9" borderId="0" xfId="0" applyNumberFormat="1" applyFont="1" applyFill="1"/>
    <xf numFmtId="0" fontId="22" fillId="5" borderId="0" xfId="5" applyFont="1" applyFill="1"/>
    <xf numFmtId="0" fontId="23" fillId="5" borderId="0" xfId="5" applyFont="1" applyFill="1"/>
    <xf numFmtId="0" fontId="1" fillId="5" borderId="0" xfId="5" applyFont="1" applyFill="1"/>
    <xf numFmtId="176" fontId="6" fillId="0" borderId="0" xfId="1" applyNumberFormat="1" applyFont="1" applyBorder="1"/>
    <xf numFmtId="176" fontId="10" fillId="0" borderId="0" xfId="1" applyNumberFormat="1" applyFont="1" applyBorder="1"/>
    <xf numFmtId="37" fontId="26" fillId="0" borderId="0" xfId="0" applyNumberFormat="1" applyFont="1"/>
    <xf numFmtId="173" fontId="16" fillId="0" borderId="0" xfId="0" applyNumberFormat="1" applyFont="1"/>
    <xf numFmtId="173" fontId="26" fillId="0" borderId="0" xfId="0" applyNumberFormat="1" applyFont="1"/>
    <xf numFmtId="173" fontId="6" fillId="0" borderId="0" xfId="0" applyNumberFormat="1" applyFont="1"/>
    <xf numFmtId="173" fontId="5" fillId="0" borderId="0" xfId="0" applyNumberFormat="1" applyFont="1"/>
    <xf numFmtId="5" fontId="14" fillId="0" borderId="0" xfId="0" applyNumberFormat="1" applyFont="1"/>
    <xf numFmtId="5" fontId="6" fillId="0" borderId="0" xfId="0" applyNumberFormat="1" applyFont="1"/>
    <xf numFmtId="169" fontId="8" fillId="3" borderId="0" xfId="0" applyNumberFormat="1" applyFont="1" applyFill="1" applyAlignment="1">
      <alignment horizontal="right"/>
    </xf>
    <xf numFmtId="5" fontId="6" fillId="0" borderId="0" xfId="0" applyNumberFormat="1" applyFont="1" applyAlignment="1">
      <alignment horizontal="right"/>
    </xf>
    <xf numFmtId="9" fontId="6" fillId="0" borderId="0" xfId="0" applyNumberFormat="1" applyFont="1"/>
    <xf numFmtId="5" fontId="14" fillId="8" borderId="0" xfId="0" applyNumberFormat="1" applyFont="1" applyFill="1"/>
    <xf numFmtId="0" fontId="7" fillId="8" borderId="0" xfId="0" applyFont="1" applyFill="1"/>
    <xf numFmtId="5" fontId="27" fillId="0" borderId="0" xfId="0" applyNumberFormat="1" applyFont="1" applyAlignment="1">
      <alignment horizontal="left"/>
    </xf>
    <xf numFmtId="5" fontId="27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5" fontId="14" fillId="0" borderId="7" xfId="0" applyNumberFormat="1" applyFont="1" applyBorder="1"/>
    <xf numFmtId="169" fontId="26" fillId="3" borderId="0" xfId="0" applyNumberFormat="1" applyFont="1" applyFill="1" applyAlignment="1">
      <alignment horizontal="right"/>
    </xf>
    <xf numFmtId="169" fontId="17" fillId="0" borderId="0" xfId="0" applyNumberFormat="1" applyFont="1" applyAlignment="1">
      <alignment horizontal="left"/>
    </xf>
    <xf numFmtId="169" fontId="7" fillId="0" borderId="1" xfId="0" applyNumberFormat="1" applyFont="1" applyBorder="1" applyAlignment="1">
      <alignment horizontal="left"/>
    </xf>
    <xf numFmtId="0" fontId="13" fillId="0" borderId="1" xfId="0" applyFont="1" applyBorder="1"/>
    <xf numFmtId="169" fontId="7" fillId="0" borderId="0" xfId="0" applyNumberFormat="1" applyFont="1" applyAlignment="1">
      <alignment horizontal="left"/>
    </xf>
    <xf numFmtId="5" fontId="7" fillId="0" borderId="0" xfId="0" applyNumberFormat="1" applyFont="1"/>
    <xf numFmtId="5" fontId="16" fillId="0" borderId="0" xfId="0" applyNumberFormat="1" applyFont="1"/>
    <xf numFmtId="176" fontId="10" fillId="0" borderId="0" xfId="1" applyNumberFormat="1" applyFont="1" applyFill="1" applyBorder="1"/>
    <xf numFmtId="5" fontId="5" fillId="0" borderId="0" xfId="0" applyNumberFormat="1" applyFont="1"/>
    <xf numFmtId="0" fontId="3" fillId="0" borderId="5" xfId="0" applyFont="1" applyBorder="1"/>
    <xf numFmtId="0" fontId="9" fillId="0" borderId="8" xfId="0" applyFont="1" applyBorder="1"/>
    <xf numFmtId="171" fontId="6" fillId="2" borderId="5" xfId="0" applyNumberFormat="1" applyFont="1" applyFill="1" applyBorder="1"/>
    <xf numFmtId="171" fontId="6" fillId="2" borderId="8" xfId="0" applyNumberFormat="1" applyFont="1" applyFill="1" applyBorder="1"/>
    <xf numFmtId="169" fontId="3" fillId="3" borderId="5" xfId="0" applyNumberFormat="1" applyFont="1" applyFill="1" applyBorder="1" applyAlignment="1">
      <alignment horizontal="right"/>
    </xf>
    <xf numFmtId="176" fontId="10" fillId="0" borderId="5" xfId="1" applyNumberFormat="1" applyFont="1" applyBorder="1"/>
    <xf numFmtId="5" fontId="14" fillId="0" borderId="4" xfId="0" applyNumberFormat="1" applyFont="1" applyBorder="1"/>
    <xf numFmtId="0" fontId="2" fillId="0" borderId="5" xfId="0" applyFont="1" applyBorder="1"/>
    <xf numFmtId="0" fontId="3" fillId="0" borderId="8" xfId="0" applyFont="1" applyBorder="1"/>
    <xf numFmtId="176" fontId="10" fillId="0" borderId="8" xfId="1" applyNumberFormat="1" applyFont="1" applyFill="1" applyBorder="1"/>
    <xf numFmtId="5" fontId="6" fillId="0" borderId="5" xfId="0" applyNumberFormat="1" applyFont="1" applyBorder="1"/>
    <xf numFmtId="5" fontId="6" fillId="0" borderId="8" xfId="0" applyNumberFormat="1" applyFont="1" applyBorder="1"/>
    <xf numFmtId="173" fontId="26" fillId="0" borderId="5" xfId="0" applyNumberFormat="1" applyFont="1" applyBorder="1"/>
    <xf numFmtId="173" fontId="26" fillId="0" borderId="8" xfId="0" applyNumberFormat="1" applyFont="1" applyBorder="1"/>
    <xf numFmtId="169" fontId="6" fillId="3" borderId="0" xfId="0" applyNumberFormat="1" applyFont="1" applyFill="1" applyAlignment="1">
      <alignment horizontal="right"/>
    </xf>
    <xf numFmtId="9" fontId="16" fillId="0" borderId="0" xfId="0" applyNumberFormat="1" applyFont="1"/>
    <xf numFmtId="177" fontId="6" fillId="0" borderId="0" xfId="0" applyNumberFormat="1" applyFont="1"/>
    <xf numFmtId="177" fontId="6" fillId="0" borderId="5" xfId="0" applyNumberFormat="1" applyFont="1" applyBorder="1"/>
    <xf numFmtId="177" fontId="6" fillId="0" borderId="8" xfId="0" applyNumberFormat="1" applyFont="1" applyBorder="1"/>
    <xf numFmtId="173" fontId="14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166" fontId="10" fillId="0" borderId="5" xfId="0" applyNumberFormat="1" applyFont="1" applyBorder="1"/>
    <xf numFmtId="37" fontId="6" fillId="0" borderId="5" xfId="0" applyNumberFormat="1" applyFont="1" applyBorder="1"/>
    <xf numFmtId="166" fontId="10" fillId="0" borderId="8" xfId="0" applyNumberFormat="1" applyFont="1" applyBorder="1"/>
    <xf numFmtId="5" fontId="5" fillId="0" borderId="5" xfId="0" applyNumberFormat="1" applyFont="1" applyBorder="1"/>
    <xf numFmtId="5" fontId="14" fillId="0" borderId="5" xfId="0" applyNumberFormat="1" applyFont="1" applyBorder="1"/>
    <xf numFmtId="5" fontId="14" fillId="0" borderId="8" xfId="0" applyNumberFormat="1" applyFont="1" applyBorder="1"/>
    <xf numFmtId="9" fontId="11" fillId="0" borderId="0" xfId="0" applyNumberFormat="1" applyFont="1"/>
    <xf numFmtId="169" fontId="6" fillId="3" borderId="5" xfId="0" applyNumberFormat="1" applyFont="1" applyFill="1" applyBorder="1" applyAlignment="1">
      <alignment horizontal="right"/>
    </xf>
    <xf numFmtId="169" fontId="6" fillId="3" borderId="8" xfId="0" applyNumberFormat="1" applyFont="1" applyFill="1" applyBorder="1" applyAlignment="1">
      <alignment horizontal="right"/>
    </xf>
    <xf numFmtId="165" fontId="2" fillId="0" borderId="5" xfId="1" applyNumberFormat="1" applyFont="1" applyBorder="1"/>
    <xf numFmtId="5" fontId="14" fillId="0" borderId="12" xfId="0" applyNumberFormat="1" applyFont="1" applyBorder="1"/>
    <xf numFmtId="169" fontId="6" fillId="3" borderId="10" xfId="0" quotePrefix="1" applyNumberFormat="1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3" fontId="28" fillId="0" borderId="0" xfId="2" applyNumberFormat="1" applyFont="1" applyAlignment="1">
      <alignment horizontal="center" vertical="center"/>
    </xf>
    <xf numFmtId="5" fontId="5" fillId="0" borderId="0" xfId="0" applyNumberFormat="1" applyFont="1" applyAlignment="1">
      <alignment vertical="center"/>
    </xf>
    <xf numFmtId="164" fontId="5" fillId="4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7" fillId="0" borderId="1" xfId="0" applyFont="1" applyBorder="1" applyAlignment="1">
      <alignment vertical="center"/>
    </xf>
    <xf numFmtId="165" fontId="5" fillId="0" borderId="0" xfId="0" applyNumberFormat="1" applyFont="1" applyAlignment="1">
      <alignment vertical="center"/>
    </xf>
    <xf numFmtId="0" fontId="3" fillId="0" borderId="0" xfId="2" applyFont="1" applyAlignment="1">
      <alignment horizontal="left" vertical="center" indent="1"/>
    </xf>
    <xf numFmtId="0" fontId="7" fillId="0" borderId="0" xfId="0" applyFont="1" applyAlignment="1">
      <alignment vertical="center"/>
    </xf>
    <xf numFmtId="37" fontId="7" fillId="0" borderId="1" xfId="0" applyNumberFormat="1" applyFont="1" applyBorder="1"/>
    <xf numFmtId="37" fontId="3" fillId="0" borderId="8" xfId="0" applyNumberFormat="1" applyFont="1" applyBorder="1"/>
    <xf numFmtId="37" fontId="14" fillId="0" borderId="4" xfId="0" applyNumberFormat="1" applyFont="1" applyBorder="1"/>
    <xf numFmtId="37" fontId="14" fillId="0" borderId="3" xfId="0" applyNumberFormat="1" applyFont="1" applyBorder="1"/>
    <xf numFmtId="37" fontId="26" fillId="0" borderId="4" xfId="0" applyNumberFormat="1" applyFont="1" applyBorder="1"/>
    <xf numFmtId="37" fontId="7" fillId="0" borderId="3" xfId="0" applyNumberFormat="1" applyFont="1" applyBorder="1"/>
    <xf numFmtId="7" fontId="6" fillId="0" borderId="0" xfId="0" applyNumberFormat="1" applyFont="1"/>
    <xf numFmtId="14" fontId="3" fillId="0" borderId="0" xfId="0" applyNumberFormat="1" applyFont="1"/>
    <xf numFmtId="0" fontId="17" fillId="0" borderId="1" xfId="0" applyFont="1" applyBorder="1"/>
    <xf numFmtId="165" fontId="3" fillId="0" borderId="0" xfId="0" applyNumberFormat="1" applyFont="1"/>
    <xf numFmtId="165" fontId="7" fillId="0" borderId="1" xfId="0" applyNumberFormat="1" applyFont="1" applyBorder="1"/>
    <xf numFmtId="0" fontId="7" fillId="0" borderId="14" xfId="0" applyFont="1" applyBorder="1"/>
    <xf numFmtId="165" fontId="7" fillId="0" borderId="15" xfId="0" applyNumberFormat="1" applyFont="1" applyBorder="1"/>
    <xf numFmtId="0" fontId="7" fillId="0" borderId="16" xfId="0" applyFont="1" applyBorder="1"/>
    <xf numFmtId="164" fontId="14" fillId="0" borderId="17" xfId="0" applyNumberFormat="1" applyFont="1" applyBorder="1" applyAlignment="1">
      <alignment vertical="center"/>
    </xf>
    <xf numFmtId="173" fontId="14" fillId="0" borderId="0" xfId="0" applyNumberFormat="1" applyFont="1"/>
    <xf numFmtId="0" fontId="29" fillId="0" borderId="1" xfId="4" applyFont="1" applyBorder="1"/>
    <xf numFmtId="168" fontId="5" fillId="4" borderId="0" xfId="3" applyNumberFormat="1" applyFont="1" applyFill="1" applyAlignment="1">
      <alignment horizontal="right"/>
    </xf>
    <xf numFmtId="168" fontId="6" fillId="0" borderId="0" xfId="3" applyNumberFormat="1" applyFont="1" applyFill="1" applyAlignment="1">
      <alignment horizontal="right"/>
    </xf>
    <xf numFmtId="169" fontId="3" fillId="0" borderId="0" xfId="0" applyNumberFormat="1" applyFont="1" applyAlignment="1">
      <alignment horizontal="right"/>
    </xf>
    <xf numFmtId="179" fontId="6" fillId="0" borderId="0" xfId="0" applyNumberFormat="1" applyFont="1"/>
    <xf numFmtId="5" fontId="14" fillId="0" borderId="1" xfId="0" applyNumberFormat="1" applyFont="1" applyBorder="1" applyAlignment="1">
      <alignment horizontal="right"/>
    </xf>
    <xf numFmtId="0" fontId="29" fillId="0" borderId="0" xfId="4" applyFont="1"/>
    <xf numFmtId="1" fontId="6" fillId="3" borderId="0" xfId="0" applyNumberFormat="1" applyFont="1" applyFill="1" applyAlignment="1">
      <alignment horizontal="right"/>
    </xf>
    <xf numFmtId="180" fontId="7" fillId="0" borderId="0" xfId="0" applyNumberFormat="1" applyFont="1"/>
    <xf numFmtId="180" fontId="7" fillId="0" borderId="1" xfId="0" applyNumberFormat="1" applyFont="1" applyBorder="1"/>
    <xf numFmtId="173" fontId="3" fillId="10" borderId="0" xfId="0" applyNumberFormat="1" applyFont="1" applyFill="1"/>
    <xf numFmtId="5" fontId="5" fillId="0" borderId="2" xfId="0" applyNumberFormat="1" applyFont="1" applyBorder="1"/>
    <xf numFmtId="173" fontId="3" fillId="10" borderId="1" xfId="0" applyNumberFormat="1" applyFont="1" applyFill="1" applyBorder="1"/>
    <xf numFmtId="181" fontId="7" fillId="0" borderId="0" xfId="0" applyNumberFormat="1" applyFont="1"/>
    <xf numFmtId="177" fontId="3" fillId="0" borderId="0" xfId="0" applyNumberFormat="1" applyFont="1"/>
    <xf numFmtId="169" fontId="16" fillId="0" borderId="0" xfId="0" applyNumberFormat="1" applyFont="1" applyAlignment="1">
      <alignment horizontal="left"/>
    </xf>
    <xf numFmtId="0" fontId="26" fillId="0" borderId="1" xfId="0" applyFont="1" applyBorder="1"/>
    <xf numFmtId="0" fontId="31" fillId="0" borderId="0" xfId="0" applyFont="1"/>
    <xf numFmtId="0" fontId="26" fillId="0" borderId="0" xfId="0" applyFont="1"/>
    <xf numFmtId="5" fontId="26" fillId="5" borderId="0" xfId="0" applyNumberFormat="1" applyFont="1" applyFill="1"/>
    <xf numFmtId="37" fontId="16" fillId="0" borderId="0" xfId="0" applyNumberFormat="1" applyFont="1"/>
    <xf numFmtId="37" fontId="26" fillId="0" borderId="1" xfId="0" applyNumberFormat="1" applyFont="1" applyBorder="1"/>
    <xf numFmtId="181" fontId="3" fillId="0" borderId="0" xfId="0" applyNumberFormat="1" applyFont="1"/>
    <xf numFmtId="176" fontId="14" fillId="0" borderId="0" xfId="1" applyNumberFormat="1" applyFont="1" applyFill="1" applyBorder="1"/>
    <xf numFmtId="169" fontId="7" fillId="8" borderId="0" xfId="0" applyNumberFormat="1" applyFont="1" applyFill="1" applyAlignment="1">
      <alignment horizontal="right"/>
    </xf>
    <xf numFmtId="0" fontId="19" fillId="0" borderId="0" xfId="0" applyFont="1"/>
    <xf numFmtId="5" fontId="12" fillId="0" borderId="1" xfId="0" applyNumberFormat="1" applyFont="1" applyBorder="1"/>
    <xf numFmtId="5" fontId="12" fillId="0" borderId="4" xfId="0" applyNumberFormat="1" applyFont="1" applyBorder="1"/>
    <xf numFmtId="181" fontId="7" fillId="0" borderId="1" xfId="0" applyNumberFormat="1" applyFont="1" applyBorder="1"/>
    <xf numFmtId="178" fontId="10" fillId="0" borderId="0" xfId="1" applyNumberFormat="1" applyFont="1" applyFill="1" applyBorder="1"/>
    <xf numFmtId="9" fontId="5" fillId="0" borderId="0" xfId="1" applyFont="1"/>
    <xf numFmtId="5" fontId="16" fillId="0" borderId="0" xfId="1" applyNumberFormat="1" applyFont="1"/>
    <xf numFmtId="0" fontId="17" fillId="0" borderId="0" xfId="0" applyFont="1" applyAlignment="1">
      <alignment horizontal="left"/>
    </xf>
    <xf numFmtId="180" fontId="3" fillId="0" borderId="0" xfId="0" applyNumberFormat="1" applyFont="1"/>
    <xf numFmtId="169" fontId="14" fillId="0" borderId="0" xfId="0" applyNumberFormat="1" applyFont="1" applyAlignment="1">
      <alignment horizontal="left"/>
    </xf>
    <xf numFmtId="1" fontId="6" fillId="3" borderId="8" xfId="0" applyNumberFormat="1" applyFont="1" applyFill="1" applyBorder="1" applyAlignment="1">
      <alignment horizontal="right"/>
    </xf>
    <xf numFmtId="0" fontId="13" fillId="0" borderId="8" xfId="0" applyFont="1" applyBorder="1"/>
    <xf numFmtId="176" fontId="6" fillId="0" borderId="5" xfId="1" applyNumberFormat="1" applyFont="1" applyBorder="1"/>
    <xf numFmtId="37" fontId="16" fillId="0" borderId="5" xfId="0" applyNumberFormat="1" applyFont="1" applyBorder="1"/>
    <xf numFmtId="37" fontId="16" fillId="0" borderId="8" xfId="0" applyNumberFormat="1" applyFont="1" applyBorder="1"/>
    <xf numFmtId="178" fontId="10" fillId="0" borderId="8" xfId="1" applyNumberFormat="1" applyFont="1" applyFill="1" applyBorder="1"/>
    <xf numFmtId="5" fontId="14" fillId="0" borderId="1" xfId="1" applyNumberFormat="1" applyFont="1" applyBorder="1"/>
    <xf numFmtId="5" fontId="14" fillId="8" borderId="5" xfId="0" applyNumberFormat="1" applyFont="1" applyFill="1" applyBorder="1"/>
    <xf numFmtId="5" fontId="14" fillId="8" borderId="8" xfId="0" applyNumberFormat="1" applyFont="1" applyFill="1" applyBorder="1"/>
    <xf numFmtId="173" fontId="14" fillId="0" borderId="8" xfId="0" applyNumberFormat="1" applyFont="1" applyBorder="1"/>
    <xf numFmtId="5" fontId="27" fillId="0" borderId="5" xfId="0" applyNumberFormat="1" applyFont="1" applyBorder="1" applyAlignment="1">
      <alignment horizontal="right"/>
    </xf>
    <xf numFmtId="0" fontId="18" fillId="0" borderId="8" xfId="4" applyBorder="1"/>
    <xf numFmtId="178" fontId="8" fillId="0" borderId="0" xfId="1" applyNumberFormat="1" applyFont="1" applyFill="1" applyBorder="1"/>
    <xf numFmtId="178" fontId="5" fillId="0" borderId="5" xfId="1" applyNumberFormat="1" applyFont="1" applyFill="1" applyBorder="1"/>
    <xf numFmtId="171" fontId="6" fillId="0" borderId="0" xfId="0" applyNumberFormat="1" applyFont="1"/>
    <xf numFmtId="1" fontId="6" fillId="0" borderId="0" xfId="0" applyNumberFormat="1" applyFont="1" applyAlignment="1">
      <alignment horizontal="right"/>
    </xf>
    <xf numFmtId="169" fontId="6" fillId="0" borderId="0" xfId="0" applyNumberFormat="1" applyFont="1" applyAlignment="1">
      <alignment horizontal="right"/>
    </xf>
    <xf numFmtId="176" fontId="14" fillId="0" borderId="0" xfId="1" applyNumberFormat="1" applyFont="1" applyBorder="1"/>
    <xf numFmtId="169" fontId="7" fillId="0" borderId="0" xfId="0" applyNumberFormat="1" applyFont="1" applyAlignment="1">
      <alignment horizontal="right"/>
    </xf>
    <xf numFmtId="180" fontId="7" fillId="10" borderId="1" xfId="0" applyNumberFormat="1" applyFont="1" applyFill="1" applyBorder="1"/>
    <xf numFmtId="180" fontId="7" fillId="10" borderId="0" xfId="0" applyNumberFormat="1" applyFont="1" applyFill="1"/>
    <xf numFmtId="173" fontId="7" fillId="0" borderId="0" xfId="0" applyNumberFormat="1" applyFont="1"/>
    <xf numFmtId="169" fontId="26" fillId="0" borderId="0" xfId="0" applyNumberFormat="1" applyFont="1" applyAlignment="1">
      <alignment horizontal="left"/>
    </xf>
    <xf numFmtId="173" fontId="16" fillId="10" borderId="0" xfId="0" applyNumberFormat="1" applyFont="1" applyFill="1"/>
    <xf numFmtId="0" fontId="34" fillId="0" borderId="0" xfId="5" applyFont="1"/>
    <xf numFmtId="37" fontId="34" fillId="0" borderId="0" xfId="5" applyNumberFormat="1" applyFont="1" applyAlignment="1">
      <alignment horizontal="left"/>
    </xf>
    <xf numFmtId="0" fontId="35" fillId="0" borderId="0" xfId="5" applyFont="1"/>
    <xf numFmtId="0" fontId="34" fillId="0" borderId="0" xfId="9" applyFont="1"/>
    <xf numFmtId="0" fontId="36" fillId="0" borderId="0" xfId="9" applyFont="1"/>
    <xf numFmtId="0" fontId="35" fillId="0" borderId="1" xfId="5" applyFont="1" applyBorder="1"/>
    <xf numFmtId="0" fontId="36" fillId="0" borderId="0" xfId="5" applyFont="1"/>
    <xf numFmtId="0" fontId="7" fillId="6" borderId="6" xfId="5" applyFont="1" applyFill="1" applyBorder="1" applyAlignment="1">
      <alignment horizontal="right"/>
    </xf>
    <xf numFmtId="0" fontId="3" fillId="5" borderId="0" xfId="5" applyFont="1" applyFill="1" applyAlignment="1">
      <alignment horizontal="right" vertical="top" wrapText="1"/>
    </xf>
    <xf numFmtId="0" fontId="6" fillId="5" borderId="0" xfId="5" applyFont="1" applyFill="1" applyAlignment="1">
      <alignment horizontal="right"/>
    </xf>
    <xf numFmtId="1" fontId="6" fillId="11" borderId="0" xfId="0" applyNumberFormat="1" applyFont="1" applyFill="1" applyAlignment="1">
      <alignment horizontal="right"/>
    </xf>
    <xf numFmtId="169" fontId="3" fillId="11" borderId="0" xfId="0" applyNumberFormat="1" applyFont="1" applyFill="1" applyAlignment="1">
      <alignment horizontal="right"/>
    </xf>
    <xf numFmtId="1" fontId="6" fillId="11" borderId="8" xfId="0" applyNumberFormat="1" applyFont="1" applyFill="1" applyBorder="1" applyAlignment="1">
      <alignment horizontal="right"/>
    </xf>
    <xf numFmtId="169" fontId="3" fillId="11" borderId="8" xfId="0" applyNumberFormat="1" applyFont="1" applyFill="1" applyBorder="1" applyAlignment="1">
      <alignment horizontal="right"/>
    </xf>
    <xf numFmtId="0" fontId="7" fillId="6" borderId="0" xfId="5" applyFont="1" applyFill="1" applyAlignment="1">
      <alignment horizontal="right"/>
    </xf>
    <xf numFmtId="172" fontId="3" fillId="5" borderId="0" xfId="5" applyNumberFormat="1" applyFont="1" applyFill="1" applyAlignment="1">
      <alignment horizontal="right" vertical="top" wrapText="1"/>
    </xf>
    <xf numFmtId="166" fontId="9" fillId="0" borderId="0" xfId="0" applyNumberFormat="1" applyFont="1"/>
    <xf numFmtId="0" fontId="7" fillId="0" borderId="5" xfId="0" applyFont="1" applyBorder="1"/>
    <xf numFmtId="167" fontId="10" fillId="0" borderId="5" xfId="0" applyNumberFormat="1" applyFont="1" applyBorder="1"/>
    <xf numFmtId="9" fontId="5" fillId="0" borderId="0" xfId="1" applyFont="1" applyFill="1" applyBorder="1"/>
    <xf numFmtId="5" fontId="7" fillId="0" borderId="0" xfId="0" applyNumberFormat="1" applyFont="1" applyAlignment="1">
      <alignment vertical="center"/>
    </xf>
    <xf numFmtId="0" fontId="37" fillId="5" borderId="0" xfId="0" applyFont="1" applyFill="1"/>
    <xf numFmtId="171" fontId="37" fillId="2" borderId="0" xfId="0" applyNumberFormat="1" applyFont="1" applyFill="1" applyAlignment="1">
      <alignment horizontal="right"/>
    </xf>
    <xf numFmtId="9" fontId="38" fillId="5" borderId="0" xfId="1" applyFont="1" applyFill="1"/>
    <xf numFmtId="0" fontId="38" fillId="0" borderId="0" xfId="0" applyFont="1"/>
    <xf numFmtId="9" fontId="5" fillId="0" borderId="5" xfId="1" applyFont="1" applyFill="1" applyBorder="1"/>
    <xf numFmtId="0" fontId="9" fillId="0" borderId="0" xfId="0" applyFont="1" applyAlignment="1">
      <alignment vertical="center"/>
    </xf>
    <xf numFmtId="37" fontId="5" fillId="4" borderId="0" xfId="0" applyNumberFormat="1" applyFont="1" applyFill="1" applyAlignment="1">
      <alignment vertical="center"/>
    </xf>
    <xf numFmtId="165" fontId="16" fillId="4" borderId="0" xfId="0" applyNumberFormat="1" applyFont="1" applyFill="1"/>
    <xf numFmtId="176" fontId="5" fillId="0" borderId="8" xfId="1" applyNumberFormat="1" applyFont="1" applyFill="1" applyBorder="1"/>
    <xf numFmtId="176" fontId="5" fillId="0" borderId="0" xfId="1" applyNumberFormat="1" applyFont="1" applyFill="1" applyBorder="1"/>
    <xf numFmtId="5" fontId="7" fillId="0" borderId="8" xfId="0" applyNumberFormat="1" applyFont="1" applyBorder="1"/>
    <xf numFmtId="9" fontId="38" fillId="0" borderId="0" xfId="1" applyFont="1" applyFill="1"/>
    <xf numFmtId="0" fontId="6" fillId="0" borderId="0" xfId="0" applyFont="1"/>
    <xf numFmtId="169" fontId="12" fillId="3" borderId="5" xfId="0" applyNumberFormat="1" applyFont="1" applyFill="1" applyBorder="1" applyAlignment="1">
      <alignment horizontal="right"/>
    </xf>
    <xf numFmtId="173" fontId="16" fillId="0" borderId="0" xfId="1" applyNumberFormat="1" applyFont="1" applyFill="1"/>
    <xf numFmtId="5" fontId="26" fillId="0" borderId="5" xfId="0" applyNumberFormat="1" applyFont="1" applyBorder="1"/>
    <xf numFmtId="9" fontId="6" fillId="0" borderId="5" xfId="0" applyNumberFormat="1" applyFont="1" applyBorder="1" applyAlignment="1">
      <alignment horizontal="right"/>
    </xf>
    <xf numFmtId="0" fontId="39" fillId="2" borderId="0" xfId="0" applyFont="1" applyFill="1"/>
    <xf numFmtId="0" fontId="0" fillId="2" borderId="0" xfId="0" applyFill="1"/>
    <xf numFmtId="0" fontId="40" fillId="2" borderId="0" xfId="0" applyFont="1" applyFill="1"/>
    <xf numFmtId="0" fontId="41" fillId="2" borderId="0" xfId="0" applyFont="1" applyFill="1"/>
    <xf numFmtId="0" fontId="42" fillId="2" borderId="0" xfId="0" applyFont="1" applyFill="1"/>
    <xf numFmtId="0" fontId="43" fillId="2" borderId="0" xfId="0" applyFont="1" applyFill="1"/>
    <xf numFmtId="0" fontId="45" fillId="2" borderId="0" xfId="10" applyFont="1" applyFill="1"/>
    <xf numFmtId="0" fontId="46" fillId="2" borderId="0" xfId="10" applyFont="1" applyFill="1"/>
    <xf numFmtId="0" fontId="47" fillId="2" borderId="0" xfId="0" applyFont="1" applyFill="1"/>
    <xf numFmtId="169" fontId="32" fillId="3" borderId="0" xfId="0" applyNumberFormat="1" applyFont="1" applyFill="1" applyAlignment="1">
      <alignment horizontal="right"/>
    </xf>
    <xf numFmtId="37" fontId="32" fillId="0" borderId="0" xfId="0" applyNumberFormat="1" applyFont="1"/>
    <xf numFmtId="0" fontId="48" fillId="5" borderId="0" xfId="5" applyFont="1" applyFill="1"/>
    <xf numFmtId="169" fontId="49" fillId="5" borderId="0" xfId="5" applyNumberFormat="1" applyFont="1" applyFill="1"/>
    <xf numFmtId="6" fontId="6" fillId="0" borderId="0" xfId="0" applyNumberFormat="1" applyFont="1" applyAlignment="1">
      <alignment horizontal="right" wrapText="1"/>
    </xf>
    <xf numFmtId="169" fontId="49" fillId="0" borderId="0" xfId="5" applyNumberFormat="1" applyFont="1"/>
    <xf numFmtId="0" fontId="6" fillId="0" borderId="0" xfId="5" applyFont="1" applyAlignment="1">
      <alignment horizontal="right"/>
    </xf>
    <xf numFmtId="176" fontId="14" fillId="9" borderId="1" xfId="1" applyNumberFormat="1" applyFont="1" applyFill="1" applyBorder="1"/>
    <xf numFmtId="165" fontId="10" fillId="0" borderId="0" xfId="0" applyNumberFormat="1" applyFont="1"/>
    <xf numFmtId="165" fontId="11" fillId="4" borderId="0" xfId="0" applyNumberFormat="1" applyFont="1" applyFill="1"/>
    <xf numFmtId="184" fontId="10" fillId="0" borderId="0" xfId="1" applyNumberFormat="1" applyFont="1" applyBorder="1"/>
    <xf numFmtId="184" fontId="10" fillId="0" borderId="8" xfId="1" applyNumberFormat="1" applyFont="1" applyFill="1" applyBorder="1"/>
    <xf numFmtId="184" fontId="10" fillId="0" borderId="0" xfId="1" applyNumberFormat="1" applyFont="1" applyFill="1" applyBorder="1"/>
    <xf numFmtId="184" fontId="10" fillId="0" borderId="5" xfId="1" applyNumberFormat="1" applyFont="1" applyBorder="1"/>
    <xf numFmtId="184" fontId="11" fillId="4" borderId="0" xfId="1" applyNumberFormat="1" applyFont="1" applyFill="1" applyBorder="1"/>
    <xf numFmtId="165" fontId="11" fillId="0" borderId="0" xfId="0" applyNumberFormat="1" applyFont="1"/>
    <xf numFmtId="165" fontId="11" fillId="4" borderId="8" xfId="0" applyNumberFormat="1" applyFont="1" applyFill="1" applyBorder="1"/>
    <xf numFmtId="185" fontId="6" fillId="0" borderId="5" xfId="0" applyNumberFormat="1" applyFont="1" applyBorder="1"/>
    <xf numFmtId="185" fontId="6" fillId="0" borderId="8" xfId="0" applyNumberFormat="1" applyFont="1" applyBorder="1"/>
    <xf numFmtId="185" fontId="6" fillId="0" borderId="0" xfId="0" applyNumberFormat="1" applyFont="1"/>
    <xf numFmtId="185" fontId="5" fillId="4" borderId="8" xfId="0" applyNumberFormat="1" applyFont="1" applyFill="1" applyBorder="1"/>
    <xf numFmtId="184" fontId="6" fillId="0" borderId="5" xfId="1" applyNumberFormat="1" applyFont="1" applyFill="1" applyBorder="1"/>
    <xf numFmtId="184" fontId="5" fillId="4" borderId="8" xfId="1" applyNumberFormat="1" applyFont="1" applyFill="1" applyBorder="1"/>
    <xf numFmtId="184" fontId="5" fillId="4" borderId="0" xfId="1" applyNumberFormat="1" applyFont="1" applyFill="1" applyBorder="1"/>
    <xf numFmtId="184" fontId="6" fillId="0" borderId="8" xfId="1" applyNumberFormat="1" applyFont="1" applyFill="1" applyBorder="1"/>
    <xf numFmtId="184" fontId="6" fillId="0" borderId="0" xfId="1" applyNumberFormat="1" applyFont="1" applyFill="1" applyBorder="1"/>
    <xf numFmtId="178" fontId="5" fillId="4" borderId="8" xfId="1" applyNumberFormat="1" applyFont="1" applyFill="1" applyBorder="1"/>
    <xf numFmtId="178" fontId="5" fillId="4" borderId="0" xfId="1" applyNumberFormat="1" applyFont="1" applyFill="1" applyBorder="1"/>
    <xf numFmtId="165" fontId="5" fillId="4" borderId="8" xfId="0" applyNumberFormat="1" applyFont="1" applyFill="1" applyBorder="1" applyAlignment="1">
      <alignment horizontal="right"/>
    </xf>
    <xf numFmtId="165" fontId="5" fillId="4" borderId="0" xfId="0" applyNumberFormat="1" applyFont="1" applyFill="1" applyAlignment="1">
      <alignment horizontal="right"/>
    </xf>
    <xf numFmtId="5" fontId="14" fillId="0" borderId="0" xfId="1" applyNumberFormat="1" applyFont="1" applyBorder="1"/>
    <xf numFmtId="5" fontId="14" fillId="0" borderId="0" xfId="1" applyNumberFormat="1" applyFont="1" applyFill="1" applyBorder="1"/>
    <xf numFmtId="5" fontId="14" fillId="0" borderId="8" xfId="1" applyNumberFormat="1" applyFont="1" applyFill="1" applyBorder="1"/>
    <xf numFmtId="7" fontId="16" fillId="0" borderId="5" xfId="0" applyNumberFormat="1" applyFont="1" applyBorder="1"/>
    <xf numFmtId="165" fontId="14" fillId="0" borderId="0" xfId="1" applyNumberFormat="1" applyFont="1"/>
    <xf numFmtId="184" fontId="14" fillId="0" borderId="1" xfId="1" applyNumberFormat="1" applyFont="1" applyBorder="1"/>
    <xf numFmtId="166" fontId="2" fillId="0" borderId="13" xfId="0" applyNumberFormat="1" applyFont="1" applyBorder="1"/>
    <xf numFmtId="173" fontId="16" fillId="10" borderId="1" xfId="0" applyNumberFormat="1" applyFont="1" applyFill="1" applyBorder="1"/>
    <xf numFmtId="181" fontId="3" fillId="10" borderId="0" xfId="0" applyNumberFormat="1" applyFont="1" applyFill="1"/>
    <xf numFmtId="7" fontId="26" fillId="0" borderId="0" xfId="0" applyNumberFormat="1" applyFont="1"/>
    <xf numFmtId="173" fontId="3" fillId="0" borderId="1" xfId="0" applyNumberFormat="1" applyFont="1" applyBorder="1"/>
    <xf numFmtId="1" fontId="6" fillId="3" borderId="5" xfId="0" applyNumberFormat="1" applyFont="1" applyFill="1" applyBorder="1" applyAlignment="1">
      <alignment horizontal="right"/>
    </xf>
    <xf numFmtId="165" fontId="10" fillId="0" borderId="5" xfId="0" applyNumberFormat="1" applyFont="1" applyBorder="1"/>
    <xf numFmtId="184" fontId="10" fillId="0" borderId="5" xfId="1" applyNumberFormat="1" applyFont="1" applyFill="1" applyBorder="1"/>
    <xf numFmtId="165" fontId="14" fillId="0" borderId="5" xfId="1" applyNumberFormat="1" applyFont="1" applyBorder="1"/>
    <xf numFmtId="165" fontId="14" fillId="0" borderId="8" xfId="1" applyNumberFormat="1" applyFont="1" applyBorder="1"/>
    <xf numFmtId="165" fontId="11" fillId="0" borderId="5" xfId="0" applyNumberFormat="1" applyFont="1" applyBorder="1"/>
    <xf numFmtId="171" fontId="37" fillId="2" borderId="5" xfId="0" applyNumberFormat="1" applyFont="1" applyFill="1" applyBorder="1" applyAlignment="1">
      <alignment horizontal="right"/>
    </xf>
    <xf numFmtId="182" fontId="5" fillId="0" borderId="5" xfId="1" applyNumberFormat="1" applyFont="1" applyFill="1" applyBorder="1"/>
    <xf numFmtId="5" fontId="16" fillId="0" borderId="5" xfId="1" applyNumberFormat="1" applyFont="1" applyFill="1" applyBorder="1"/>
    <xf numFmtId="5" fontId="14" fillId="0" borderId="4" xfId="1" applyNumberFormat="1" applyFont="1" applyFill="1" applyBorder="1"/>
    <xf numFmtId="5" fontId="14" fillId="0" borderId="5" xfId="1" applyNumberFormat="1" applyFont="1" applyFill="1" applyBorder="1"/>
    <xf numFmtId="165" fontId="14" fillId="0" borderId="0" xfId="1" applyNumberFormat="1" applyFont="1" applyBorder="1"/>
    <xf numFmtId="185" fontId="5" fillId="4" borderId="0" xfId="0" applyNumberFormat="1" applyFont="1" applyFill="1"/>
    <xf numFmtId="37" fontId="3" fillId="0" borderId="0" xfId="0" applyNumberFormat="1" applyFont="1"/>
    <xf numFmtId="1" fontId="3" fillId="11" borderId="8" xfId="0" applyNumberFormat="1" applyFont="1" applyFill="1" applyBorder="1" applyAlignment="1">
      <alignment horizontal="right"/>
    </xf>
    <xf numFmtId="1" fontId="3" fillId="11" borderId="0" xfId="0" applyNumberFormat="1" applyFont="1" applyFill="1" applyAlignment="1">
      <alignment horizontal="right"/>
    </xf>
    <xf numFmtId="37" fontId="6" fillId="0" borderId="0" xfId="0" applyNumberFormat="1" applyFont="1" applyAlignment="1">
      <alignment vertical="center"/>
    </xf>
    <xf numFmtId="0" fontId="9" fillId="3" borderId="0" xfId="0" applyFont="1" applyFill="1"/>
    <xf numFmtId="171" fontId="50" fillId="2" borderId="0" xfId="0" applyNumberFormat="1" applyFont="1" applyFill="1" applyAlignment="1">
      <alignment horizontal="right"/>
    </xf>
    <xf numFmtId="0" fontId="7" fillId="0" borderId="8" xfId="0" applyFont="1" applyBorder="1"/>
    <xf numFmtId="0" fontId="26" fillId="0" borderId="5" xfId="0" applyFont="1" applyBorder="1"/>
    <xf numFmtId="0" fontId="26" fillId="0" borderId="8" xfId="0" applyFont="1" applyBorder="1"/>
    <xf numFmtId="37" fontId="26" fillId="0" borderId="3" xfId="0" applyNumberFormat="1" applyFont="1" applyBorder="1"/>
    <xf numFmtId="37" fontId="26" fillId="0" borderId="5" xfId="0" applyNumberFormat="1" applyFont="1" applyBorder="1"/>
    <xf numFmtId="37" fontId="26" fillId="0" borderId="8" xfId="0" applyNumberFormat="1" applyFont="1" applyBorder="1"/>
    <xf numFmtId="169" fontId="7" fillId="8" borderId="5" xfId="0" applyNumberFormat="1" applyFont="1" applyFill="1" applyBorder="1" applyAlignment="1">
      <alignment horizontal="right"/>
    </xf>
    <xf numFmtId="169" fontId="7" fillId="8" borderId="8" xfId="0" applyNumberFormat="1" applyFont="1" applyFill="1" applyBorder="1" applyAlignment="1">
      <alignment horizontal="right"/>
    </xf>
    <xf numFmtId="176" fontId="14" fillId="0" borderId="5" xfId="1" applyNumberFormat="1" applyFont="1" applyFill="1" applyBorder="1"/>
    <xf numFmtId="176" fontId="14" fillId="0" borderId="8" xfId="1" applyNumberFormat="1" applyFont="1" applyFill="1" applyBorder="1"/>
    <xf numFmtId="180" fontId="7" fillId="0" borderId="4" xfId="0" applyNumberFormat="1" applyFont="1" applyBorder="1"/>
    <xf numFmtId="180" fontId="7" fillId="0" borderId="3" xfId="0" applyNumberFormat="1" applyFont="1" applyBorder="1"/>
    <xf numFmtId="176" fontId="14" fillId="0" borderId="5" xfId="1" applyNumberFormat="1" applyFont="1" applyBorder="1"/>
    <xf numFmtId="176" fontId="14" fillId="0" borderId="8" xfId="1" applyNumberFormat="1" applyFont="1" applyBorder="1"/>
    <xf numFmtId="180" fontId="7" fillId="0" borderId="5" xfId="0" applyNumberFormat="1" applyFont="1" applyBorder="1"/>
    <xf numFmtId="180" fontId="7" fillId="0" borderId="8" xfId="0" applyNumberFormat="1" applyFont="1" applyBorder="1"/>
    <xf numFmtId="173" fontId="16" fillId="10" borderId="5" xfId="0" applyNumberFormat="1" applyFont="1" applyFill="1" applyBorder="1"/>
    <xf numFmtId="173" fontId="16" fillId="10" borderId="8" xfId="0" applyNumberFormat="1" applyFont="1" applyFill="1" applyBorder="1"/>
    <xf numFmtId="173" fontId="16" fillId="10" borderId="4" xfId="0" applyNumberFormat="1" applyFont="1" applyFill="1" applyBorder="1"/>
    <xf numFmtId="173" fontId="16" fillId="10" borderId="3" xfId="0" applyNumberFormat="1" applyFont="1" applyFill="1" applyBorder="1"/>
    <xf numFmtId="173" fontId="7" fillId="0" borderId="5" xfId="0" applyNumberFormat="1" applyFont="1" applyBorder="1"/>
    <xf numFmtId="173" fontId="7" fillId="0" borderId="8" xfId="0" applyNumberFormat="1" applyFont="1" applyBorder="1"/>
    <xf numFmtId="184" fontId="14" fillId="0" borderId="4" xfId="1" applyNumberFormat="1" applyFont="1" applyBorder="1"/>
    <xf numFmtId="184" fontId="14" fillId="0" borderId="3" xfId="1" applyNumberFormat="1" applyFont="1" applyBorder="1"/>
    <xf numFmtId="169" fontId="7" fillId="0" borderId="5" xfId="0" applyNumberFormat="1" applyFont="1" applyBorder="1" applyAlignment="1">
      <alignment horizontal="right"/>
    </xf>
    <xf numFmtId="169" fontId="7" fillId="0" borderId="8" xfId="0" applyNumberFormat="1" applyFont="1" applyBorder="1" applyAlignment="1">
      <alignment horizontal="right"/>
    </xf>
    <xf numFmtId="177" fontId="3" fillId="0" borderId="5" xfId="0" applyNumberFormat="1" applyFont="1" applyBorder="1"/>
    <xf numFmtId="177" fontId="3" fillId="0" borderId="8" xfId="0" applyNumberFormat="1" applyFont="1" applyBorder="1"/>
    <xf numFmtId="181" fontId="7" fillId="0" borderId="4" xfId="0" applyNumberFormat="1" applyFont="1" applyBorder="1"/>
    <xf numFmtId="181" fontId="7" fillId="0" borderId="3" xfId="0" applyNumberFormat="1" applyFont="1" applyBorder="1"/>
    <xf numFmtId="181" fontId="7" fillId="0" borderId="5" xfId="0" applyNumberFormat="1" applyFont="1" applyBorder="1"/>
    <xf numFmtId="181" fontId="7" fillId="0" borderId="8" xfId="0" applyNumberFormat="1" applyFont="1" applyBorder="1"/>
    <xf numFmtId="181" fontId="3" fillId="0" borderId="5" xfId="0" applyNumberFormat="1" applyFont="1" applyBorder="1"/>
    <xf numFmtId="181" fontId="3" fillId="0" borderId="8" xfId="0" applyNumberFormat="1" applyFont="1" applyBorder="1"/>
    <xf numFmtId="169" fontId="16" fillId="11" borderId="0" xfId="0" applyNumberFormat="1" applyFont="1" applyFill="1" applyAlignment="1">
      <alignment horizontal="right"/>
    </xf>
    <xf numFmtId="183" fontId="16" fillId="0" borderId="5" xfId="0" applyNumberFormat="1" applyFont="1" applyBorder="1"/>
    <xf numFmtId="183" fontId="6" fillId="0" borderId="8" xfId="0" applyNumberFormat="1" applyFont="1" applyBorder="1"/>
    <xf numFmtId="183" fontId="6" fillId="0" borderId="0" xfId="0" applyNumberFormat="1" applyFont="1"/>
    <xf numFmtId="165" fontId="5" fillId="4" borderId="8" xfId="1" applyNumberFormat="1" applyFont="1" applyFill="1" applyBorder="1"/>
    <xf numFmtId="165" fontId="5" fillId="4" borderId="0" xfId="1" applyNumberFormat="1" applyFont="1" applyFill="1" applyBorder="1"/>
    <xf numFmtId="165" fontId="5" fillId="4" borderId="9" xfId="1" applyNumberFormat="1" applyFont="1" applyFill="1" applyBorder="1"/>
    <xf numFmtId="165" fontId="5" fillId="4" borderId="2" xfId="1" applyNumberFormat="1" applyFont="1" applyFill="1" applyBorder="1"/>
    <xf numFmtId="184" fontId="14" fillId="0" borderId="0" xfId="1" applyNumberFormat="1" applyFont="1" applyFill="1" applyBorder="1"/>
    <xf numFmtId="184" fontId="14" fillId="0" borderId="5" xfId="1" applyNumberFormat="1" applyFont="1" applyFill="1" applyBorder="1"/>
    <xf numFmtId="184" fontId="14" fillId="0" borderId="8" xfId="1" applyNumberFormat="1" applyFont="1" applyFill="1" applyBorder="1"/>
    <xf numFmtId="184" fontId="14" fillId="5" borderId="0" xfId="0" applyNumberFormat="1" applyFont="1" applyFill="1"/>
    <xf numFmtId="184" fontId="7" fillId="0" borderId="0" xfId="0" applyNumberFormat="1" applyFont="1"/>
    <xf numFmtId="184" fontId="7" fillId="0" borderId="5" xfId="0" applyNumberFormat="1" applyFont="1" applyBorder="1"/>
    <xf numFmtId="184" fontId="7" fillId="0" borderId="8" xfId="0" applyNumberFormat="1" applyFont="1" applyBorder="1"/>
    <xf numFmtId="184" fontId="6" fillId="0" borderId="0" xfId="1" applyNumberFormat="1" applyFont="1" applyBorder="1"/>
    <xf numFmtId="184" fontId="6" fillId="0" borderId="5" xfId="1" applyNumberFormat="1" applyFont="1" applyBorder="1"/>
    <xf numFmtId="184" fontId="6" fillId="0" borderId="8" xfId="1" applyNumberFormat="1" applyFont="1" applyBorder="1"/>
    <xf numFmtId="5" fontId="6" fillId="0" borderId="0" xfId="0" applyNumberFormat="1" applyFont="1" applyAlignment="1">
      <alignment vertical="center"/>
    </xf>
    <xf numFmtId="165" fontId="5" fillId="4" borderId="0" xfId="0" applyNumberFormat="1" applyFont="1" applyFill="1"/>
    <xf numFmtId="5" fontId="7" fillId="0" borderId="1" xfId="0" applyNumberFormat="1" applyFont="1" applyBorder="1" applyAlignment="1">
      <alignment vertical="center"/>
    </xf>
    <xf numFmtId="0" fontId="3" fillId="0" borderId="0" xfId="0" quotePrefix="1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164" fontId="5" fillId="4" borderId="0" xfId="0" applyNumberFormat="1" applyFont="1" applyFill="1"/>
    <xf numFmtId="183" fontId="3" fillId="0" borderId="0" xfId="0" applyNumberFormat="1" applyFont="1"/>
    <xf numFmtId="10" fontId="5" fillId="4" borderId="0" xfId="0" applyNumberFormat="1" applyFont="1" applyFill="1"/>
    <xf numFmtId="0" fontId="3" fillId="0" borderId="2" xfId="0" applyFont="1" applyBorder="1"/>
    <xf numFmtId="164" fontId="5" fillId="4" borderId="2" xfId="0" applyNumberFormat="1" applyFont="1" applyFill="1" applyBorder="1"/>
    <xf numFmtId="164" fontId="14" fillId="0" borderId="0" xfId="0" applyNumberFormat="1" applyFont="1"/>
    <xf numFmtId="183" fontId="7" fillId="0" borderId="1" xfId="0" applyNumberFormat="1" applyFont="1" applyBorder="1"/>
    <xf numFmtId="183" fontId="7" fillId="0" borderId="0" xfId="0" applyNumberFormat="1" applyFont="1"/>
    <xf numFmtId="183" fontId="32" fillId="0" borderId="0" xfId="0" applyNumberFormat="1" applyFont="1"/>
    <xf numFmtId="183" fontId="6" fillId="0" borderId="5" xfId="0" applyNumberFormat="1" applyFont="1" applyBorder="1"/>
    <xf numFmtId="183" fontId="16" fillId="0" borderId="0" xfId="0" applyNumberFormat="1" applyFont="1"/>
    <xf numFmtId="183" fontId="14" fillId="0" borderId="1" xfId="0" applyNumberFormat="1" applyFont="1" applyBorder="1"/>
    <xf numFmtId="183" fontId="14" fillId="0" borderId="4" xfId="0" applyNumberFormat="1" applyFont="1" applyBorder="1"/>
    <xf numFmtId="186" fontId="9" fillId="0" borderId="0" xfId="0" applyNumberFormat="1" applyFont="1"/>
    <xf numFmtId="186" fontId="9" fillId="0" borderId="5" xfId="0" applyNumberFormat="1" applyFont="1" applyBorder="1"/>
    <xf numFmtId="186" fontId="11" fillId="4" borderId="0" xfId="0" applyNumberFormat="1" applyFont="1" applyFill="1"/>
    <xf numFmtId="186" fontId="33" fillId="4" borderId="0" xfId="0" applyNumberFormat="1" applyFont="1" applyFill="1"/>
    <xf numFmtId="186" fontId="9" fillId="0" borderId="8" xfId="0" applyNumberFormat="1" applyFont="1" applyBorder="1"/>
    <xf numFmtId="183" fontId="5" fillId="0" borderId="0" xfId="0" applyNumberFormat="1" applyFont="1"/>
    <xf numFmtId="183" fontId="3" fillId="0" borderId="8" xfId="0" applyNumberFormat="1" applyFont="1" applyBorder="1"/>
    <xf numFmtId="183" fontId="16" fillId="0" borderId="8" xfId="0" applyNumberFormat="1" applyFont="1" applyBorder="1"/>
    <xf numFmtId="183" fontId="14" fillId="0" borderId="3" xfId="0" applyNumberFormat="1" applyFont="1" applyBorder="1"/>
    <xf numFmtId="183" fontId="5" fillId="4" borderId="8" xfId="0" applyNumberFormat="1" applyFont="1" applyFill="1" applyBorder="1"/>
    <xf numFmtId="183" fontId="5" fillId="4" borderId="0" xfId="0" applyNumberFormat="1" applyFont="1" applyFill="1"/>
    <xf numFmtId="183" fontId="3" fillId="0" borderId="9" xfId="0" applyNumberFormat="1" applyFont="1" applyBorder="1"/>
    <xf numFmtId="183" fontId="3" fillId="0" borderId="2" xfId="0" applyNumberFormat="1" applyFont="1" applyBorder="1"/>
    <xf numFmtId="183" fontId="6" fillId="0" borderId="9" xfId="0" applyNumberFormat="1" applyFont="1" applyBorder="1"/>
    <xf numFmtId="183" fontId="6" fillId="0" borderId="2" xfId="0" applyNumberFormat="1" applyFont="1" applyBorder="1"/>
    <xf numFmtId="9" fontId="10" fillId="0" borderId="8" xfId="1" applyFont="1" applyFill="1" applyBorder="1"/>
    <xf numFmtId="9" fontId="10" fillId="0" borderId="0" xfId="1" applyFont="1" applyFill="1" applyBorder="1"/>
    <xf numFmtId="183" fontId="16" fillId="0" borderId="8" xfId="1" applyNumberFormat="1" applyFont="1" applyFill="1" applyBorder="1"/>
    <xf numFmtId="183" fontId="16" fillId="0" borderId="0" xfId="1" applyNumberFormat="1" applyFont="1" applyFill="1" applyBorder="1"/>
    <xf numFmtId="183" fontId="14" fillId="0" borderId="3" xfId="1" applyNumberFormat="1" applyFont="1" applyFill="1" applyBorder="1"/>
    <xf numFmtId="183" fontId="14" fillId="0" borderId="1" xfId="1" applyNumberFormat="1" applyFont="1" applyFill="1" applyBorder="1"/>
    <xf numFmtId="183" fontId="12" fillId="0" borderId="0" xfId="0" applyNumberFormat="1" applyFont="1"/>
    <xf numFmtId="186" fontId="5" fillId="0" borderId="0" xfId="0" applyNumberFormat="1" applyFont="1"/>
    <xf numFmtId="186" fontId="6" fillId="0" borderId="9" xfId="0" applyNumberFormat="1" applyFont="1" applyBorder="1"/>
    <xf numFmtId="186" fontId="6" fillId="0" borderId="2" xfId="0" applyNumberFormat="1" applyFont="1" applyBorder="1"/>
    <xf numFmtId="183" fontId="14" fillId="0" borderId="0" xfId="0" applyNumberFormat="1" applyFont="1"/>
    <xf numFmtId="183" fontId="14" fillId="0" borderId="5" xfId="0" applyNumberFormat="1" applyFont="1" applyBorder="1"/>
    <xf numFmtId="183" fontId="14" fillId="0" borderId="8" xfId="0" applyNumberFormat="1" applyFont="1" applyBorder="1"/>
    <xf numFmtId="183" fontId="26" fillId="0" borderId="1" xfId="0" applyNumberFormat="1" applyFont="1" applyBorder="1"/>
    <xf numFmtId="183" fontId="26" fillId="0" borderId="4" xfId="0" applyNumberFormat="1" applyFont="1" applyBorder="1"/>
    <xf numFmtId="183" fontId="26" fillId="0" borderId="3" xfId="0" applyNumberFormat="1" applyFont="1" applyBorder="1"/>
    <xf numFmtId="186" fontId="6" fillId="0" borderId="8" xfId="0" applyNumberFormat="1" applyFont="1" applyBorder="1"/>
    <xf numFmtId="186" fontId="6" fillId="0" borderId="0" xfId="0" applyNumberFormat="1" applyFont="1"/>
    <xf numFmtId="183" fontId="2" fillId="0" borderId="0" xfId="0" applyNumberFormat="1" applyFont="1"/>
    <xf numFmtId="183" fontId="16" fillId="0" borderId="0" xfId="0" applyNumberFormat="1" applyFont="1" applyAlignment="1">
      <alignment vertical="center"/>
    </xf>
    <xf numFmtId="183" fontId="7" fillId="0" borderId="1" xfId="0" applyNumberFormat="1" applyFont="1" applyBorder="1" applyAlignment="1">
      <alignment vertical="center"/>
    </xf>
    <xf numFmtId="183" fontId="6" fillId="0" borderId="0" xfId="0" applyNumberFormat="1" applyFont="1" applyAlignment="1">
      <alignment vertical="center"/>
    </xf>
    <xf numFmtId="183" fontId="3" fillId="0" borderId="0" xfId="0" applyNumberFormat="1" applyFont="1" applyAlignment="1">
      <alignment vertical="center"/>
    </xf>
    <xf numFmtId="183" fontId="5" fillId="4" borderId="0" xfId="0" applyNumberFormat="1" applyFont="1" applyFill="1" applyAlignment="1">
      <alignment vertical="center"/>
    </xf>
    <xf numFmtId="183" fontId="8" fillId="4" borderId="0" xfId="0" applyNumberFormat="1" applyFont="1" applyFill="1" applyAlignment="1">
      <alignment vertical="center"/>
    </xf>
    <xf numFmtId="179" fontId="10" fillId="0" borderId="5" xfId="1" applyNumberFormat="1" applyFont="1" applyFill="1" applyBorder="1"/>
    <xf numFmtId="179" fontId="2" fillId="0" borderId="5" xfId="0" applyNumberFormat="1" applyFont="1" applyBorder="1"/>
    <xf numFmtId="187" fontId="32" fillId="0" borderId="4" xfId="0" applyNumberFormat="1" applyFont="1" applyBorder="1"/>
    <xf numFmtId="187" fontId="6" fillId="0" borderId="8" xfId="0" applyNumberFormat="1" applyFont="1" applyBorder="1"/>
    <xf numFmtId="187" fontId="6" fillId="0" borderId="0" xfId="0" applyNumberFormat="1" applyFont="1"/>
    <xf numFmtId="187" fontId="3" fillId="0" borderId="8" xfId="0" applyNumberFormat="1" applyFont="1" applyBorder="1"/>
    <xf numFmtId="187" fontId="3" fillId="0" borderId="0" xfId="0" applyNumberFormat="1" applyFont="1"/>
    <xf numFmtId="187" fontId="14" fillId="0" borderId="3" xfId="0" applyNumberFormat="1" applyFont="1" applyBorder="1"/>
    <xf numFmtId="187" fontId="14" fillId="0" borderId="1" xfId="0" applyNumberFormat="1" applyFont="1" applyBorder="1"/>
    <xf numFmtId="186" fontId="8" fillId="0" borderId="0" xfId="0" applyNumberFormat="1" applyFont="1"/>
    <xf numFmtId="186" fontId="16" fillId="0" borderId="0" xfId="0" applyNumberFormat="1" applyFont="1"/>
    <xf numFmtId="186" fontId="14" fillId="0" borderId="1" xfId="0" applyNumberFormat="1" applyFont="1" applyBorder="1"/>
    <xf numFmtId="183" fontId="6" fillId="0" borderId="0" xfId="0" applyNumberFormat="1" applyFont="1" applyAlignment="1">
      <alignment horizontal="right"/>
    </xf>
    <xf numFmtId="183" fontId="27" fillId="0" borderId="0" xfId="0" applyNumberFormat="1" applyFont="1" applyAlignment="1">
      <alignment horizontal="right"/>
    </xf>
    <xf numFmtId="183" fontId="18" fillId="0" borderId="0" xfId="4" applyNumberFormat="1"/>
    <xf numFmtId="183" fontId="5" fillId="0" borderId="0" xfId="0" applyNumberFormat="1" applyFont="1" applyAlignment="1">
      <alignment horizontal="right"/>
    </xf>
    <xf numFmtId="183" fontId="14" fillId="8" borderId="0" xfId="0" applyNumberFormat="1" applyFont="1" applyFill="1"/>
    <xf numFmtId="183" fontId="14" fillId="0" borderId="7" xfId="0" applyNumberFormat="1" applyFont="1" applyBorder="1"/>
    <xf numFmtId="183" fontId="20" fillId="7" borderId="0" xfId="4" applyNumberFormat="1" applyFont="1" applyFill="1" applyAlignment="1">
      <alignment horizontal="left" vertical="center"/>
    </xf>
    <xf numFmtId="183" fontId="18" fillId="0" borderId="7" xfId="4" applyNumberFormat="1" applyBorder="1"/>
    <xf numFmtId="178" fontId="14" fillId="0" borderId="1" xfId="0" applyNumberFormat="1" applyFont="1" applyBorder="1"/>
    <xf numFmtId="178" fontId="14" fillId="0" borderId="0" xfId="0" applyNumberFormat="1" applyFont="1"/>
    <xf numFmtId="178" fontId="14" fillId="8" borderId="0" xfId="0" applyNumberFormat="1" applyFont="1" applyFill="1"/>
    <xf numFmtId="178" fontId="27" fillId="0" borderId="0" xfId="0" applyNumberFormat="1" applyFont="1" applyAlignment="1">
      <alignment horizontal="right"/>
    </xf>
    <xf numFmtId="178" fontId="5" fillId="4" borderId="0" xfId="0" applyNumberFormat="1" applyFont="1" applyFill="1" applyAlignment="1">
      <alignment horizontal="right"/>
    </xf>
    <xf numFmtId="178" fontId="8" fillId="4" borderId="0" xfId="0" applyNumberFormat="1" applyFont="1" applyFill="1" applyAlignment="1">
      <alignment horizontal="right"/>
    </xf>
    <xf numFmtId="178" fontId="6" fillId="0" borderId="0" xfId="0" applyNumberFormat="1" applyFont="1" applyAlignment="1">
      <alignment horizontal="right"/>
    </xf>
    <xf numFmtId="178" fontId="5" fillId="0" borderId="0" xfId="0" applyNumberFormat="1" applyFont="1" applyAlignment="1">
      <alignment horizontal="right"/>
    </xf>
    <xf numFmtId="178" fontId="6" fillId="0" borderId="0" xfId="0" applyNumberFormat="1" applyFont="1"/>
    <xf numFmtId="178" fontId="3" fillId="0" borderId="0" xfId="0" applyNumberFormat="1" applyFont="1"/>
    <xf numFmtId="178" fontId="14" fillId="0" borderId="7" xfId="0" applyNumberFormat="1" applyFont="1" applyBorder="1"/>
    <xf numFmtId="178" fontId="2" fillId="0" borderId="0" xfId="0" applyNumberFormat="1" applyFont="1"/>
    <xf numFmtId="186" fontId="16" fillId="0" borderId="5" xfId="0" applyNumberFormat="1" applyFont="1" applyBorder="1"/>
    <xf numFmtId="186" fontId="16" fillId="0" borderId="8" xfId="0" applyNumberFormat="1" applyFont="1" applyBorder="1"/>
    <xf numFmtId="186" fontId="18" fillId="0" borderId="0" xfId="4" applyNumberFormat="1"/>
    <xf numFmtId="186" fontId="14" fillId="0" borderId="0" xfId="0" applyNumberFormat="1" applyFont="1"/>
    <xf numFmtId="186" fontId="8" fillId="0" borderId="5" xfId="0" applyNumberFormat="1" applyFont="1" applyBorder="1"/>
    <xf numFmtId="186" fontId="26" fillId="0" borderId="4" xfId="0" applyNumberFormat="1" applyFont="1" applyBorder="1"/>
    <xf numFmtId="186" fontId="14" fillId="0" borderId="3" xfId="0" applyNumberFormat="1" applyFont="1" applyBorder="1"/>
    <xf numFmtId="186" fontId="26" fillId="0" borderId="5" xfId="0" applyNumberFormat="1" applyFont="1" applyBorder="1"/>
    <xf numFmtId="186" fontId="14" fillId="0" borderId="8" xfId="0" applyNumberFormat="1" applyFont="1" applyBorder="1"/>
    <xf numFmtId="186" fontId="14" fillId="0" borderId="5" xfId="0" applyNumberFormat="1" applyFont="1" applyBorder="1"/>
    <xf numFmtId="186" fontId="16" fillId="0" borderId="5" xfId="1" applyNumberFormat="1" applyFont="1" applyFill="1" applyBorder="1"/>
    <xf numFmtId="186" fontId="16" fillId="0" borderId="8" xfId="1" applyNumberFormat="1" applyFont="1" applyFill="1" applyBorder="1"/>
    <xf numFmtId="186" fontId="16" fillId="0" borderId="0" xfId="1" applyNumberFormat="1" applyFont="1" applyFill="1" applyBorder="1"/>
    <xf numFmtId="183" fontId="27" fillId="0" borderId="5" xfId="0" applyNumberFormat="1" applyFont="1" applyBorder="1" applyAlignment="1">
      <alignment horizontal="right"/>
    </xf>
    <xf numFmtId="183" fontId="30" fillId="0" borderId="4" xfId="0" applyNumberFormat="1" applyFont="1" applyBorder="1" applyAlignment="1">
      <alignment horizontal="right"/>
    </xf>
    <xf numFmtId="183" fontId="18" fillId="0" borderId="8" xfId="4" applyNumberFormat="1" applyBorder="1"/>
    <xf numFmtId="183" fontId="2" fillId="0" borderId="5" xfId="0" applyNumberFormat="1" applyFont="1" applyBorder="1"/>
    <xf numFmtId="183" fontId="14" fillId="8" borderId="5" xfId="0" applyNumberFormat="1" applyFont="1" applyFill="1" applyBorder="1"/>
    <xf numFmtId="183" fontId="14" fillId="8" borderId="8" xfId="0" applyNumberFormat="1" applyFont="1" applyFill="1" applyBorder="1"/>
    <xf numFmtId="183" fontId="26" fillId="0" borderId="5" xfId="0" applyNumberFormat="1" applyFont="1" applyBorder="1"/>
    <xf numFmtId="183" fontId="8" fillId="0" borderId="0" xfId="0" applyNumberFormat="1" applyFont="1" applyAlignment="1">
      <alignment horizontal="right"/>
    </xf>
    <xf numFmtId="183" fontId="14" fillId="0" borderId="1" xfId="0" applyNumberFormat="1" applyFont="1" applyBorder="1" applyAlignment="1">
      <alignment horizontal="right"/>
    </xf>
    <xf numFmtId="186" fontId="26" fillId="0" borderId="1" xfId="0" applyNumberFormat="1" applyFont="1" applyBorder="1"/>
    <xf numFmtId="186" fontId="26" fillId="0" borderId="3" xfId="0" applyNumberFormat="1" applyFont="1" applyBorder="1"/>
    <xf numFmtId="184" fontId="14" fillId="0" borderId="1" xfId="1" applyNumberFormat="1" applyFont="1" applyFill="1" applyBorder="1"/>
    <xf numFmtId="184" fontId="14" fillId="0" borderId="4" xfId="1" applyNumberFormat="1" applyFont="1" applyFill="1" applyBorder="1"/>
    <xf numFmtId="184" fontId="14" fillId="0" borderId="3" xfId="1" applyNumberFormat="1" applyFont="1" applyFill="1" applyBorder="1"/>
    <xf numFmtId="186" fontId="3" fillId="0" borderId="0" xfId="0" applyNumberFormat="1" applyFont="1"/>
    <xf numFmtId="186" fontId="3" fillId="0" borderId="5" xfId="0" applyNumberFormat="1" applyFont="1" applyBorder="1"/>
    <xf numFmtId="186" fontId="3" fillId="0" borderId="8" xfId="0" applyNumberFormat="1" applyFont="1" applyBorder="1"/>
    <xf numFmtId="186" fontId="7" fillId="0" borderId="1" xfId="0" applyNumberFormat="1" applyFont="1" applyBorder="1"/>
    <xf numFmtId="186" fontId="7" fillId="0" borderId="4" xfId="0" applyNumberFormat="1" applyFont="1" applyBorder="1"/>
    <xf numFmtId="186" fontId="7" fillId="0" borderId="3" xfId="0" applyNumberFormat="1" applyFont="1" applyBorder="1"/>
    <xf numFmtId="184" fontId="16" fillId="0" borderId="0" xfId="1" applyNumberFormat="1" applyFont="1" applyBorder="1"/>
    <xf numFmtId="184" fontId="16" fillId="0" borderId="5" xfId="1" applyNumberFormat="1" applyFont="1" applyBorder="1"/>
    <xf numFmtId="184" fontId="16" fillId="0" borderId="8" xfId="1" applyNumberFormat="1" applyFont="1" applyBorder="1"/>
    <xf numFmtId="184" fontId="14" fillId="0" borderId="0" xfId="1" applyNumberFormat="1" applyFont="1" applyBorder="1"/>
    <xf numFmtId="184" fontId="14" fillId="0" borderId="5" xfId="1" applyNumberFormat="1" applyFont="1" applyBorder="1"/>
    <xf numFmtId="184" fontId="14" fillId="0" borderId="8" xfId="1" applyNumberFormat="1" applyFont="1" applyBorder="1"/>
    <xf numFmtId="184" fontId="16" fillId="10" borderId="0" xfId="0" applyNumberFormat="1" applyFont="1" applyFill="1"/>
    <xf numFmtId="184" fontId="16" fillId="10" borderId="5" xfId="0" applyNumberFormat="1" applyFont="1" applyFill="1" applyBorder="1"/>
    <xf numFmtId="184" fontId="16" fillId="10" borderId="8" xfId="0" applyNumberFormat="1" applyFont="1" applyFill="1" applyBorder="1"/>
    <xf numFmtId="188" fontId="3" fillId="0" borderId="0" xfId="0" applyNumberFormat="1" applyFont="1"/>
    <xf numFmtId="165" fontId="16" fillId="0" borderId="0" xfId="0" applyNumberFormat="1" applyFont="1"/>
    <xf numFmtId="165" fontId="6" fillId="0" borderId="0" xfId="0" applyNumberFormat="1" applyFont="1"/>
    <xf numFmtId="10" fontId="16" fillId="0" borderId="8" xfId="1" applyNumberFormat="1" applyFont="1" applyBorder="1"/>
    <xf numFmtId="10" fontId="16" fillId="0" borderId="0" xfId="1" applyNumberFormat="1" applyFont="1" applyBorder="1"/>
    <xf numFmtId="180" fontId="6" fillId="0" borderId="0" xfId="0" applyNumberFormat="1" applyFont="1"/>
    <xf numFmtId="183" fontId="6" fillId="10" borderId="8" xfId="0" applyNumberFormat="1" applyFont="1" applyFill="1" applyBorder="1"/>
    <xf numFmtId="183" fontId="6" fillId="10" borderId="0" xfId="0" applyNumberFormat="1" applyFont="1" applyFill="1"/>
    <xf numFmtId="180" fontId="6" fillId="0" borderId="5" xfId="0" applyNumberFormat="1" applyFont="1" applyBorder="1"/>
    <xf numFmtId="183" fontId="16" fillId="0" borderId="11" xfId="0" applyNumberFormat="1" applyFont="1" applyBorder="1"/>
    <xf numFmtId="183" fontId="6" fillId="0" borderId="11" xfId="0" applyNumberFormat="1" applyFont="1" applyBorder="1"/>
    <xf numFmtId="183" fontId="14" fillId="0" borderId="12" xfId="0" applyNumberFormat="1" applyFont="1" applyBorder="1"/>
    <xf numFmtId="183" fontId="8" fillId="0" borderId="11" xfId="0" applyNumberFormat="1" applyFont="1" applyBorder="1"/>
    <xf numFmtId="165" fontId="11" fillId="0" borderId="8" xfId="0" applyNumberFormat="1" applyFont="1" applyBorder="1"/>
    <xf numFmtId="183" fontId="5" fillId="0" borderId="8" xfId="0" applyNumberFormat="1" applyFont="1" applyBorder="1"/>
    <xf numFmtId="183" fontId="3" fillId="0" borderId="5" xfId="0" applyNumberFormat="1" applyFont="1" applyBorder="1"/>
    <xf numFmtId="183" fontId="7" fillId="0" borderId="3" xfId="0" applyNumberFormat="1" applyFont="1" applyBorder="1"/>
    <xf numFmtId="183" fontId="7" fillId="0" borderId="5" xfId="0" applyNumberFormat="1" applyFont="1" applyBorder="1"/>
    <xf numFmtId="183" fontId="7" fillId="0" borderId="8" xfId="0" applyNumberFormat="1" applyFont="1" applyBorder="1"/>
    <xf numFmtId="169" fontId="51" fillId="0" borderId="0" xfId="0" applyNumberFormat="1" applyFont="1" applyAlignment="1">
      <alignment horizontal="left"/>
    </xf>
  </cellXfs>
  <cellStyles count="11">
    <cellStyle name="Comma" xfId="3" builtinId="3"/>
    <cellStyle name="Comma 3" xfId="6" xr:uid="{7CDBA429-6087-4AF3-8976-7F423C9ED004}"/>
    <cellStyle name="Currency 2" xfId="7" xr:uid="{1CA0318B-91D4-48EC-B2A0-B8A6123BCAC5}"/>
    <cellStyle name="Hyperlink" xfId="10" builtinId="8"/>
    <cellStyle name="Hyperlink 2" xfId="8" xr:uid="{E9ADBCD8-CC82-4217-825D-699B90D9D76D}"/>
    <cellStyle name="Normal" xfId="0" builtinId="0"/>
    <cellStyle name="Normal 2" xfId="2" xr:uid="{FE34F453-BE46-4638-A718-6F04F1594BE6}"/>
    <cellStyle name="Normal 2 2" xfId="5" xr:uid="{2D6046CD-B46A-45DC-A207-46183422FDC3}"/>
    <cellStyle name="Normal 3" xfId="4" xr:uid="{C4C2660B-A95D-4D3F-80DF-AACE7148632D}"/>
    <cellStyle name="Normal 4" xfId="9" xr:uid="{3A510677-FB36-430B-9978-D756C309F239}"/>
    <cellStyle name="Percent" xfId="1" builtinId="5"/>
  </cellStyles>
  <dxfs count="0"/>
  <tableStyles count="0" defaultTableStyle="TableStyleMedium2" defaultPivotStyle="PivotStyleLight16"/>
  <colors>
    <mruColors>
      <color rgb="FF0000FF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7A26-2D6E-4295-99F5-02276544AE94}">
  <sheetPr>
    <tabColor theme="7"/>
  </sheetPr>
  <dimension ref="A1:AJ269"/>
  <sheetViews>
    <sheetView tabSelected="1" workbookViewId="0"/>
  </sheetViews>
  <sheetFormatPr defaultRowHeight="14.25"/>
  <sheetData>
    <row r="1" spans="1:36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21"/>
      <c r="AI1" s="221"/>
      <c r="AJ1" s="221"/>
    </row>
    <row r="2" spans="1:36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</row>
    <row r="3" spans="1:36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</row>
    <row r="4" spans="1:36" ht="13.15" customHeight="1">
      <c r="A4" s="220"/>
      <c r="B4" s="222" t="s">
        <v>216</v>
      </c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1"/>
      <c r="AE4" s="221"/>
      <c r="AF4" s="221"/>
      <c r="AG4" s="221"/>
      <c r="AH4" s="221"/>
      <c r="AI4" s="221"/>
      <c r="AJ4" s="221"/>
    </row>
    <row r="5" spans="1:36" ht="37.15" customHeight="1">
      <c r="A5" s="220"/>
      <c r="B5" s="223" t="s">
        <v>217</v>
      </c>
      <c r="C5" s="224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</row>
    <row r="6" spans="1:36" ht="27.4">
      <c r="A6" s="220"/>
      <c r="B6" s="223" t="s">
        <v>218</v>
      </c>
      <c r="C6" s="224"/>
      <c r="D6" s="220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1"/>
      <c r="U6" s="221"/>
      <c r="V6" s="221"/>
      <c r="W6" s="221"/>
      <c r="X6" s="221"/>
      <c r="Y6" s="221"/>
      <c r="Z6" s="221"/>
      <c r="AA6" s="221"/>
      <c r="AB6" s="221"/>
      <c r="AC6" s="221"/>
      <c r="AD6" s="221"/>
      <c r="AE6" s="221"/>
      <c r="AF6" s="221"/>
      <c r="AG6" s="221"/>
      <c r="AH6" s="221"/>
      <c r="AI6" s="221"/>
      <c r="AJ6" s="221"/>
    </row>
    <row r="7" spans="1:36">
      <c r="A7" s="220"/>
      <c r="B7" s="224"/>
      <c r="C7" s="224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</row>
    <row r="8" spans="1:36">
      <c r="A8" s="220"/>
      <c r="B8" s="225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</row>
    <row r="9" spans="1:36">
      <c r="A9" s="220"/>
      <c r="B9" s="225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</row>
    <row r="10" spans="1:36">
      <c r="A10" s="220"/>
      <c r="B10" s="225" t="s">
        <v>221</v>
      </c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</row>
    <row r="11" spans="1:36">
      <c r="A11" s="220"/>
      <c r="B11" s="225" t="s">
        <v>219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</row>
    <row r="12" spans="1:36" ht="8.75" customHeight="1">
      <c r="A12" s="220"/>
      <c r="B12" s="225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</row>
    <row r="13" spans="1:36">
      <c r="A13" s="220"/>
      <c r="B13" s="226" t="str">
        <f>HYPERLINK("https://GrowthEquityInterviewGuide.com", "GrowthEquityInterviewGuide.com")</f>
        <v>GrowthEquityInterviewGuide.com</v>
      </c>
      <c r="C13" s="220"/>
      <c r="D13" s="220"/>
      <c r="E13" s="220"/>
      <c r="F13" s="220"/>
      <c r="G13" s="220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</row>
    <row r="14" spans="1:36" ht="4.9000000000000004" customHeight="1">
      <c r="A14" s="220"/>
      <c r="B14" s="227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</row>
    <row r="15" spans="1:36" ht="14.65" customHeight="1">
      <c r="A15" s="220"/>
      <c r="B15" s="228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</row>
    <row r="16" spans="1:36">
      <c r="A16" s="22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</row>
    <row r="17" spans="1:36">
      <c r="A17" s="220"/>
      <c r="B17" s="220"/>
      <c r="C17" s="220"/>
      <c r="D17" s="220"/>
      <c r="E17" s="220"/>
      <c r="F17" s="220"/>
      <c r="G17" s="220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</row>
    <row r="18" spans="1:36">
      <c r="A18" s="22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</row>
    <row r="19" spans="1:36">
      <c r="A19" s="22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</row>
    <row r="20" spans="1:36">
      <c r="A20" s="220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</row>
    <row r="21" spans="1:36">
      <c r="A21" s="22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</row>
    <row r="22" spans="1:36">
      <c r="A22" s="220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</row>
    <row r="23" spans="1:36">
      <c r="A23" s="22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</row>
    <row r="24" spans="1:36">
      <c r="A24" s="220"/>
      <c r="B24" s="220"/>
      <c r="C24" s="220"/>
      <c r="D24" s="220"/>
      <c r="E24" s="220"/>
      <c r="F24" s="220"/>
      <c r="G24" s="220"/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</row>
    <row r="25" spans="1:36">
      <c r="A25" s="220"/>
      <c r="B25" s="228" t="s">
        <v>220</v>
      </c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</row>
    <row r="26" spans="1:36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</row>
    <row r="27" spans="1:36">
      <c r="A27" s="220"/>
      <c r="B27" s="220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</row>
    <row r="28" spans="1:36">
      <c r="A28" s="220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</row>
    <row r="29" spans="1:36">
      <c r="A29" s="22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</row>
    <row r="30" spans="1:36">
      <c r="A30" s="22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</row>
    <row r="31" spans="1:36">
      <c r="A31" s="22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</row>
    <row r="32" spans="1:36">
      <c r="A32" s="221"/>
      <c r="B32" s="221"/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1"/>
      <c r="O32" s="221"/>
      <c r="P32" s="221"/>
      <c r="Q32" s="221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</row>
    <row r="33" spans="1:36">
      <c r="A33" s="221"/>
      <c r="B33" s="221"/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1"/>
      <c r="O33" s="221"/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</row>
    <row r="34" spans="1:36">
      <c r="A34" s="221"/>
      <c r="B34" s="221"/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</row>
    <row r="35" spans="1:36">
      <c r="A35" s="221"/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</row>
    <row r="36" spans="1:36">
      <c r="A36" s="221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</row>
    <row r="37" spans="1:36">
      <c r="A37" s="221"/>
      <c r="B37" s="221"/>
      <c r="C37" s="221"/>
      <c r="D37" s="221"/>
      <c r="E37" s="221"/>
      <c r="F37" s="221"/>
      <c r="G37" s="221"/>
      <c r="H37" s="221"/>
      <c r="I37" s="221"/>
      <c r="J37" s="221"/>
      <c r="K37" s="221"/>
      <c r="L37" s="221"/>
      <c r="M37" s="221"/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</row>
    <row r="38" spans="1:36">
      <c r="A38" s="221"/>
      <c r="B38" s="221"/>
      <c r="C38" s="221"/>
      <c r="D38" s="221"/>
      <c r="E38" s="221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</row>
    <row r="39" spans="1:36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</row>
    <row r="40" spans="1:36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  <c r="L40" s="221"/>
      <c r="M40" s="221"/>
      <c r="N40" s="221"/>
      <c r="O40" s="221"/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</row>
    <row r="41" spans="1:36">
      <c r="A41" s="221"/>
      <c r="B41" s="221"/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</row>
    <row r="42" spans="1:36">
      <c r="A42" s="221"/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</row>
    <row r="43" spans="1:36">
      <c r="A43" s="221"/>
      <c r="B43" s="221"/>
      <c r="C43" s="221"/>
      <c r="D43" s="221"/>
      <c r="E43" s="221"/>
      <c r="F43" s="221"/>
      <c r="G43" s="221"/>
      <c r="H43" s="221"/>
      <c r="I43" s="221"/>
      <c r="J43" s="221"/>
      <c r="K43" s="221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</row>
    <row r="44" spans="1:36">
      <c r="A44" s="221"/>
      <c r="B44" s="221"/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</row>
    <row r="45" spans="1:36">
      <c r="A45" s="221"/>
      <c r="B45" s="221"/>
      <c r="C45" s="221"/>
      <c r="D45" s="221"/>
      <c r="E45" s="221"/>
      <c r="F45" s="221"/>
      <c r="G45" s="221"/>
      <c r="H45" s="221"/>
      <c r="I45" s="221"/>
      <c r="J45" s="221"/>
      <c r="K45" s="221"/>
      <c r="L45" s="221"/>
      <c r="M45" s="221"/>
      <c r="N45" s="221"/>
      <c r="O45" s="221"/>
      <c r="P45" s="221"/>
      <c r="Q45" s="221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</row>
    <row r="46" spans="1:36">
      <c r="A46" s="221"/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</row>
    <row r="47" spans="1:36">
      <c r="A47" s="221"/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</row>
    <row r="48" spans="1:36">
      <c r="A48" s="221"/>
      <c r="B48" s="221"/>
      <c r="C48" s="221"/>
      <c r="D48" s="221"/>
      <c r="E48" s="221"/>
      <c r="F48" s="221"/>
      <c r="G48" s="221"/>
      <c r="H48" s="221"/>
      <c r="I48" s="221"/>
      <c r="J48" s="221"/>
      <c r="K48" s="221"/>
      <c r="L48" s="221"/>
      <c r="M48" s="221"/>
      <c r="N48" s="221"/>
      <c r="O48" s="221"/>
      <c r="P48" s="221"/>
      <c r="Q48" s="221"/>
      <c r="R48" s="221"/>
      <c r="S48" s="221"/>
      <c r="T48" s="221"/>
      <c r="U48" s="221"/>
      <c r="V48" s="221"/>
      <c r="W48" s="221"/>
      <c r="X48" s="221"/>
      <c r="Y48" s="221"/>
      <c r="Z48" s="221"/>
      <c r="AA48" s="221"/>
      <c r="AB48" s="221"/>
      <c r="AC48" s="221"/>
      <c r="AD48" s="221"/>
      <c r="AE48" s="221"/>
      <c r="AF48" s="221"/>
      <c r="AG48" s="221"/>
      <c r="AH48" s="221"/>
      <c r="AI48" s="221"/>
      <c r="AJ48" s="221"/>
    </row>
    <row r="49" spans="1:36">
      <c r="A49" s="221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</row>
    <row r="50" spans="1:36">
      <c r="A50" s="221"/>
      <c r="B50" s="221"/>
      <c r="C50" s="221"/>
      <c r="D50" s="221"/>
      <c r="E50" s="221"/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</row>
    <row r="51" spans="1:36">
      <c r="A51" s="221"/>
      <c r="B51" s="221"/>
      <c r="C51" s="221"/>
      <c r="D51" s="221"/>
      <c r="E51" s="221"/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</row>
    <row r="52" spans="1:36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</row>
    <row r="53" spans="1:36">
      <c r="A53" s="221"/>
      <c r="B53" s="221"/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</row>
    <row r="54" spans="1:36">
      <c r="A54" s="221"/>
      <c r="B54" s="221"/>
      <c r="C54" s="221"/>
      <c r="D54" s="221"/>
      <c r="E54" s="221"/>
      <c r="F54" s="221"/>
      <c r="G54" s="221"/>
      <c r="H54" s="221"/>
      <c r="I54" s="221"/>
      <c r="J54" s="221"/>
      <c r="K54" s="221"/>
      <c r="L54" s="221"/>
      <c r="M54" s="221"/>
      <c r="N54" s="221"/>
      <c r="O54" s="221"/>
      <c r="P54" s="221"/>
      <c r="Q54" s="221"/>
      <c r="R54" s="221"/>
      <c r="S54" s="221"/>
      <c r="T54" s="221"/>
      <c r="U54" s="221"/>
      <c r="V54" s="221"/>
      <c r="W54" s="221"/>
      <c r="X54" s="221"/>
      <c r="Y54" s="221"/>
      <c r="Z54" s="221"/>
      <c r="AA54" s="221"/>
      <c r="AB54" s="221"/>
      <c r="AC54" s="221"/>
      <c r="AD54" s="221"/>
      <c r="AE54" s="221"/>
      <c r="AF54" s="221"/>
      <c r="AG54" s="221"/>
      <c r="AH54" s="221"/>
      <c r="AI54" s="221"/>
      <c r="AJ54" s="221"/>
    </row>
    <row r="55" spans="1:36">
      <c r="A55" s="221"/>
      <c r="B55" s="221"/>
      <c r="C55" s="221"/>
      <c r="D55" s="221"/>
      <c r="E55" s="221"/>
      <c r="F55" s="221"/>
      <c r="G55" s="221"/>
      <c r="H55" s="221"/>
      <c r="I55" s="221"/>
      <c r="J55" s="221"/>
      <c r="K55" s="221"/>
      <c r="L55" s="221"/>
      <c r="M55" s="221"/>
      <c r="N55" s="221"/>
      <c r="O55" s="221"/>
      <c r="P55" s="221"/>
      <c r="Q55" s="221"/>
      <c r="R55" s="221"/>
      <c r="S55" s="221"/>
      <c r="T55" s="221"/>
      <c r="U55" s="221"/>
      <c r="V55" s="221"/>
      <c r="W55" s="221"/>
      <c r="X55" s="221"/>
      <c r="Y55" s="221"/>
      <c r="Z55" s="221"/>
      <c r="AA55" s="221"/>
      <c r="AB55" s="221"/>
      <c r="AC55" s="221"/>
      <c r="AD55" s="221"/>
      <c r="AE55" s="221"/>
      <c r="AF55" s="221"/>
      <c r="AG55" s="221"/>
      <c r="AH55" s="221"/>
      <c r="AI55" s="221"/>
      <c r="AJ55" s="221"/>
    </row>
    <row r="56" spans="1:36">
      <c r="A56" s="221"/>
      <c r="B56" s="221"/>
      <c r="C56" s="221"/>
      <c r="D56" s="221"/>
      <c r="E56" s="221"/>
      <c r="F56" s="221"/>
      <c r="G56" s="221"/>
      <c r="H56" s="221"/>
      <c r="I56" s="221"/>
      <c r="J56" s="221"/>
      <c r="K56" s="221"/>
      <c r="L56" s="221"/>
      <c r="M56" s="221"/>
      <c r="N56" s="221"/>
      <c r="O56" s="221"/>
      <c r="P56" s="221"/>
      <c r="Q56" s="221"/>
      <c r="R56" s="221"/>
      <c r="S56" s="221"/>
      <c r="T56" s="221"/>
      <c r="U56" s="221"/>
      <c r="V56" s="221"/>
      <c r="W56" s="221"/>
      <c r="X56" s="221"/>
      <c r="Y56" s="221"/>
      <c r="Z56" s="221"/>
      <c r="AA56" s="221"/>
      <c r="AB56" s="221"/>
      <c r="AC56" s="221"/>
      <c r="AD56" s="221"/>
      <c r="AE56" s="221"/>
      <c r="AF56" s="221"/>
      <c r="AG56" s="221"/>
      <c r="AH56" s="221"/>
      <c r="AI56" s="221"/>
      <c r="AJ56" s="221"/>
    </row>
    <row r="57" spans="1:36">
      <c r="A57" s="221"/>
      <c r="B57" s="221"/>
      <c r="C57" s="221"/>
      <c r="D57" s="221"/>
      <c r="E57" s="221"/>
      <c r="F57" s="221"/>
      <c r="G57" s="221"/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1"/>
      <c r="AB57" s="221"/>
      <c r="AC57" s="221"/>
      <c r="AD57" s="221"/>
      <c r="AE57" s="221"/>
      <c r="AF57" s="221"/>
      <c r="AG57" s="221"/>
      <c r="AH57" s="221"/>
      <c r="AI57" s="221"/>
      <c r="AJ57" s="221"/>
    </row>
    <row r="58" spans="1:36">
      <c r="A58" s="221"/>
      <c r="B58" s="221"/>
      <c r="C58" s="221"/>
      <c r="D58" s="221"/>
      <c r="E58" s="221"/>
      <c r="F58" s="221"/>
      <c r="G58" s="221"/>
      <c r="H58" s="221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</row>
    <row r="59" spans="1:36">
      <c r="A59" s="221"/>
      <c r="B59" s="221"/>
      <c r="C59" s="221"/>
      <c r="D59" s="221"/>
      <c r="E59" s="221"/>
      <c r="F59" s="221"/>
      <c r="G59" s="221"/>
      <c r="H59" s="221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</row>
    <row r="60" spans="1:36">
      <c r="A60" s="221"/>
      <c r="B60" s="221"/>
      <c r="C60" s="221"/>
      <c r="D60" s="221"/>
      <c r="E60" s="221"/>
      <c r="F60" s="221"/>
      <c r="G60" s="221"/>
      <c r="H60" s="221"/>
      <c r="I60" s="221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</row>
    <row r="61" spans="1:36">
      <c r="A61" s="221"/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</row>
    <row r="62" spans="1:36">
      <c r="A62" s="221"/>
      <c r="B62" s="221"/>
      <c r="C62" s="221"/>
      <c r="D62" s="221"/>
      <c r="E62" s="221"/>
      <c r="F62" s="221"/>
      <c r="G62" s="221"/>
      <c r="H62" s="221"/>
      <c r="I62" s="221"/>
      <c r="J62" s="221"/>
      <c r="K62" s="221"/>
      <c r="L62" s="221"/>
      <c r="M62" s="221"/>
      <c r="N62" s="221"/>
      <c r="O62" s="221"/>
      <c r="P62" s="221"/>
      <c r="Q62" s="221"/>
      <c r="R62" s="221"/>
      <c r="S62" s="221"/>
      <c r="T62" s="221"/>
      <c r="U62" s="221"/>
      <c r="V62" s="221"/>
      <c r="W62" s="221"/>
      <c r="X62" s="221"/>
      <c r="Y62" s="221"/>
      <c r="Z62" s="221"/>
      <c r="AA62" s="221"/>
      <c r="AB62" s="221"/>
      <c r="AC62" s="221"/>
      <c r="AD62" s="221"/>
      <c r="AE62" s="221"/>
      <c r="AF62" s="221"/>
      <c r="AG62" s="221"/>
      <c r="AH62" s="221"/>
      <c r="AI62" s="221"/>
      <c r="AJ62" s="221"/>
    </row>
    <row r="63" spans="1:36">
      <c r="A63" s="221"/>
      <c r="B63" s="221"/>
      <c r="C63" s="221"/>
      <c r="D63" s="221"/>
      <c r="E63" s="221"/>
      <c r="F63" s="221"/>
      <c r="G63" s="221"/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1"/>
      <c r="AB63" s="221"/>
      <c r="AC63" s="221"/>
      <c r="AD63" s="221"/>
      <c r="AE63" s="221"/>
      <c r="AF63" s="221"/>
      <c r="AG63" s="221"/>
      <c r="AH63" s="221"/>
      <c r="AI63" s="221"/>
      <c r="AJ63" s="221"/>
    </row>
    <row r="64" spans="1:36">
      <c r="A64" s="221"/>
      <c r="B64" s="221"/>
      <c r="C64" s="221"/>
      <c r="D64" s="221"/>
      <c r="E64" s="221"/>
      <c r="F64" s="221"/>
      <c r="G64" s="221"/>
      <c r="H64" s="221"/>
      <c r="I64" s="221"/>
      <c r="J64" s="221"/>
      <c r="K64" s="221"/>
      <c r="L64" s="221"/>
      <c r="M64" s="221"/>
      <c r="N64" s="221"/>
      <c r="O64" s="221"/>
      <c r="P64" s="221"/>
      <c r="Q64" s="221"/>
      <c r="R64" s="221"/>
      <c r="S64" s="221"/>
      <c r="T64" s="221"/>
      <c r="U64" s="221"/>
      <c r="V64" s="221"/>
      <c r="W64" s="221"/>
      <c r="X64" s="221"/>
      <c r="Y64" s="221"/>
      <c r="Z64" s="221"/>
      <c r="AA64" s="221"/>
      <c r="AB64" s="221"/>
      <c r="AC64" s="221"/>
      <c r="AD64" s="221"/>
      <c r="AE64" s="221"/>
      <c r="AF64" s="221"/>
      <c r="AG64" s="221"/>
      <c r="AH64" s="221"/>
      <c r="AI64" s="221"/>
      <c r="AJ64" s="221"/>
    </row>
    <row r="65" spans="1:36">
      <c r="A65" s="221"/>
      <c r="B65" s="221"/>
      <c r="C65" s="221"/>
      <c r="D65" s="221"/>
      <c r="E65" s="221"/>
      <c r="F65" s="221"/>
      <c r="G65" s="221"/>
      <c r="H65" s="221"/>
      <c r="I65" s="221"/>
      <c r="J65" s="221"/>
      <c r="K65" s="221"/>
      <c r="L65" s="221"/>
      <c r="M65" s="221"/>
      <c r="N65" s="221"/>
      <c r="O65" s="221"/>
      <c r="P65" s="221"/>
      <c r="Q65" s="221"/>
      <c r="R65" s="221"/>
      <c r="S65" s="221"/>
      <c r="T65" s="221"/>
      <c r="U65" s="221"/>
      <c r="V65" s="221"/>
      <c r="W65" s="221"/>
      <c r="X65" s="221"/>
      <c r="Y65" s="221"/>
      <c r="Z65" s="221"/>
      <c r="AA65" s="221"/>
      <c r="AB65" s="221"/>
      <c r="AC65" s="221"/>
      <c r="AD65" s="221"/>
      <c r="AE65" s="221"/>
      <c r="AF65" s="221"/>
      <c r="AG65" s="221"/>
      <c r="AH65" s="221"/>
      <c r="AI65" s="221"/>
      <c r="AJ65" s="221"/>
    </row>
    <row r="66" spans="1:36">
      <c r="A66" s="221"/>
      <c r="B66" s="221"/>
      <c r="C66" s="221"/>
      <c r="D66" s="221"/>
      <c r="E66" s="221"/>
      <c r="F66" s="221"/>
      <c r="G66" s="221"/>
      <c r="H66" s="221"/>
      <c r="I66" s="221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1"/>
      <c r="U66" s="221"/>
      <c r="V66" s="221"/>
      <c r="W66" s="221"/>
      <c r="X66" s="221"/>
      <c r="Y66" s="221"/>
      <c r="Z66" s="221"/>
      <c r="AA66" s="221"/>
      <c r="AB66" s="221"/>
      <c r="AC66" s="221"/>
      <c r="AD66" s="221"/>
      <c r="AE66" s="221"/>
      <c r="AF66" s="221"/>
      <c r="AG66" s="221"/>
      <c r="AH66" s="221"/>
      <c r="AI66" s="221"/>
      <c r="AJ66" s="221"/>
    </row>
    <row r="67" spans="1:36">
      <c r="A67" s="221"/>
      <c r="B67" s="221"/>
      <c r="C67" s="221"/>
      <c r="D67" s="221"/>
      <c r="E67" s="221"/>
      <c r="F67" s="221"/>
      <c r="G67" s="221"/>
      <c r="H67" s="221"/>
      <c r="I67" s="221"/>
      <c r="J67" s="221"/>
      <c r="K67" s="221"/>
      <c r="L67" s="221"/>
      <c r="M67" s="221"/>
      <c r="N67" s="221"/>
      <c r="O67" s="221"/>
      <c r="P67" s="221"/>
      <c r="Q67" s="221"/>
      <c r="R67" s="221"/>
      <c r="S67" s="221"/>
      <c r="T67" s="221"/>
      <c r="U67" s="221"/>
      <c r="V67" s="221"/>
      <c r="W67" s="221"/>
      <c r="X67" s="221"/>
      <c r="Y67" s="221"/>
      <c r="Z67" s="221"/>
      <c r="AA67" s="221"/>
      <c r="AB67" s="221"/>
      <c r="AC67" s="221"/>
      <c r="AD67" s="221"/>
      <c r="AE67" s="221"/>
      <c r="AF67" s="221"/>
      <c r="AG67" s="221"/>
      <c r="AH67" s="221"/>
      <c r="AI67" s="221"/>
      <c r="AJ67" s="221"/>
    </row>
    <row r="68" spans="1:36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  <c r="AI68" s="221"/>
      <c r="AJ68" s="221"/>
    </row>
    <row r="69" spans="1:36">
      <c r="A69" s="221"/>
      <c r="B69" s="221"/>
      <c r="C69" s="221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</row>
    <row r="70" spans="1:36">
      <c r="A70" s="221"/>
      <c r="B70" s="221"/>
      <c r="C70" s="221"/>
      <c r="D70" s="221"/>
      <c r="E70" s="221"/>
      <c r="F70" s="221"/>
      <c r="G70" s="221"/>
      <c r="H70" s="221"/>
      <c r="I70" s="221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1"/>
      <c r="U70" s="221"/>
      <c r="V70" s="221"/>
      <c r="W70" s="221"/>
      <c r="X70" s="221"/>
      <c r="Y70" s="221"/>
      <c r="Z70" s="221"/>
      <c r="AA70" s="221"/>
      <c r="AB70" s="221"/>
      <c r="AC70" s="221"/>
      <c r="AD70" s="221"/>
      <c r="AE70" s="221"/>
      <c r="AF70" s="221"/>
      <c r="AG70" s="221"/>
      <c r="AH70" s="221"/>
      <c r="AI70" s="221"/>
      <c r="AJ70" s="221"/>
    </row>
    <row r="71" spans="1:36">
      <c r="A71" s="221"/>
      <c r="B71" s="221"/>
      <c r="C71" s="221"/>
      <c r="D71" s="221"/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</row>
    <row r="72" spans="1:36">
      <c r="A72" s="221"/>
      <c r="B72" s="221"/>
      <c r="C72" s="221"/>
      <c r="D72" s="221"/>
      <c r="E72" s="221"/>
      <c r="F72" s="221"/>
      <c r="G72" s="221"/>
      <c r="H72" s="221"/>
      <c r="I72" s="221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1"/>
      <c r="U72" s="221"/>
      <c r="V72" s="221"/>
      <c r="W72" s="221"/>
      <c r="X72" s="221"/>
      <c r="Y72" s="221"/>
      <c r="Z72" s="221"/>
      <c r="AA72" s="221"/>
      <c r="AB72" s="221"/>
      <c r="AC72" s="221"/>
      <c r="AD72" s="221"/>
      <c r="AE72" s="221"/>
      <c r="AF72" s="221"/>
      <c r="AG72" s="221"/>
      <c r="AH72" s="221"/>
      <c r="AI72" s="221"/>
      <c r="AJ72" s="221"/>
    </row>
    <row r="73" spans="1:36">
      <c r="A73" s="221"/>
      <c r="B73" s="221"/>
      <c r="C73" s="221"/>
      <c r="D73" s="221"/>
      <c r="E73" s="221"/>
      <c r="F73" s="221"/>
      <c r="G73" s="221"/>
      <c r="H73" s="221"/>
      <c r="I73" s="221"/>
      <c r="J73" s="221"/>
      <c r="K73" s="221"/>
      <c r="L73" s="221"/>
      <c r="M73" s="221"/>
      <c r="N73" s="221"/>
      <c r="O73" s="221"/>
      <c r="P73" s="221"/>
      <c r="Q73" s="221"/>
      <c r="R73" s="221"/>
      <c r="S73" s="221"/>
      <c r="T73" s="221"/>
      <c r="U73" s="221"/>
      <c r="V73" s="221"/>
      <c r="W73" s="221"/>
      <c r="X73" s="221"/>
      <c r="Y73" s="221"/>
      <c r="Z73" s="221"/>
      <c r="AA73" s="221"/>
      <c r="AB73" s="221"/>
      <c r="AC73" s="221"/>
      <c r="AD73" s="221"/>
      <c r="AE73" s="221"/>
      <c r="AF73" s="221"/>
      <c r="AG73" s="221"/>
      <c r="AH73" s="221"/>
      <c r="AI73" s="221"/>
      <c r="AJ73" s="221"/>
    </row>
    <row r="74" spans="1:36">
      <c r="A74" s="221"/>
      <c r="B74" s="221"/>
      <c r="C74" s="221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1"/>
      <c r="Q74" s="221"/>
      <c r="R74" s="221"/>
      <c r="S74" s="221"/>
      <c r="T74" s="221"/>
      <c r="U74" s="221"/>
      <c r="V74" s="221"/>
      <c r="W74" s="221"/>
      <c r="X74" s="221"/>
      <c r="Y74" s="221"/>
      <c r="Z74" s="221"/>
      <c r="AA74" s="221"/>
      <c r="AB74" s="221"/>
      <c r="AC74" s="221"/>
      <c r="AD74" s="221"/>
      <c r="AE74" s="221"/>
      <c r="AF74" s="221"/>
      <c r="AG74" s="221"/>
      <c r="AH74" s="221"/>
      <c r="AI74" s="221"/>
      <c r="AJ74" s="221"/>
    </row>
    <row r="75" spans="1:36">
      <c r="A75" s="221"/>
      <c r="B75" s="221"/>
      <c r="C75" s="221"/>
      <c r="D75" s="221"/>
      <c r="E75" s="221"/>
      <c r="F75" s="221"/>
      <c r="G75" s="221"/>
      <c r="H75" s="221"/>
      <c r="I75" s="221"/>
      <c r="J75" s="221"/>
      <c r="K75" s="221"/>
      <c r="L75" s="221"/>
      <c r="M75" s="221"/>
      <c r="N75" s="221"/>
      <c r="O75" s="221"/>
      <c r="P75" s="221"/>
      <c r="Q75" s="221"/>
      <c r="R75" s="221"/>
      <c r="S75" s="221"/>
      <c r="T75" s="221"/>
      <c r="U75" s="221"/>
      <c r="V75" s="221"/>
      <c r="W75" s="221"/>
      <c r="X75" s="221"/>
      <c r="Y75" s="221"/>
      <c r="Z75" s="221"/>
      <c r="AA75" s="221"/>
      <c r="AB75" s="221"/>
      <c r="AC75" s="221"/>
      <c r="AD75" s="221"/>
      <c r="AE75" s="221"/>
      <c r="AF75" s="221"/>
      <c r="AG75" s="221"/>
      <c r="AH75" s="221"/>
      <c r="AI75" s="221"/>
      <c r="AJ75" s="221"/>
    </row>
    <row r="76" spans="1:36">
      <c r="A76" s="221"/>
      <c r="B76" s="221"/>
      <c r="C76" s="221"/>
      <c r="D76" s="221"/>
      <c r="E76" s="221"/>
      <c r="F76" s="221"/>
      <c r="G76" s="221"/>
      <c r="H76" s="221"/>
      <c r="I76" s="221"/>
      <c r="J76" s="221"/>
      <c r="K76" s="221"/>
      <c r="L76" s="221"/>
      <c r="M76" s="221"/>
      <c r="N76" s="221"/>
      <c r="O76" s="221"/>
      <c r="P76" s="221"/>
      <c r="Q76" s="221"/>
      <c r="R76" s="221"/>
      <c r="S76" s="221"/>
      <c r="T76" s="221"/>
      <c r="U76" s="221"/>
      <c r="V76" s="221"/>
      <c r="W76" s="221"/>
      <c r="X76" s="221"/>
      <c r="Y76" s="221"/>
      <c r="Z76" s="221"/>
      <c r="AA76" s="221"/>
      <c r="AB76" s="221"/>
      <c r="AC76" s="221"/>
      <c r="AD76" s="221"/>
      <c r="AE76" s="221"/>
      <c r="AF76" s="221"/>
      <c r="AG76" s="221"/>
      <c r="AH76" s="221"/>
      <c r="AI76" s="221"/>
      <c r="AJ76" s="221"/>
    </row>
    <row r="77" spans="1:36">
      <c r="A77" s="221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</row>
    <row r="78" spans="1:36">
      <c r="A78" s="221"/>
      <c r="B78" s="221"/>
      <c r="C78" s="221"/>
      <c r="D78" s="221"/>
      <c r="E78" s="221"/>
      <c r="F78" s="221"/>
      <c r="G78" s="221"/>
      <c r="H78" s="221"/>
      <c r="I78" s="221"/>
      <c r="J78" s="221"/>
      <c r="K78" s="221"/>
      <c r="L78" s="221"/>
      <c r="M78" s="221"/>
      <c r="N78" s="221"/>
      <c r="O78" s="221"/>
      <c r="P78" s="221"/>
      <c r="Q78" s="221"/>
      <c r="R78" s="221"/>
      <c r="S78" s="221"/>
      <c r="T78" s="221"/>
      <c r="U78" s="221"/>
      <c r="V78" s="221"/>
      <c r="W78" s="221"/>
      <c r="X78" s="221"/>
      <c r="Y78" s="221"/>
      <c r="Z78" s="221"/>
      <c r="AA78" s="221"/>
      <c r="AB78" s="221"/>
      <c r="AC78" s="221"/>
      <c r="AD78" s="221"/>
      <c r="AE78" s="221"/>
      <c r="AF78" s="221"/>
      <c r="AG78" s="221"/>
      <c r="AH78" s="221"/>
      <c r="AI78" s="221"/>
      <c r="AJ78" s="221"/>
    </row>
    <row r="79" spans="1:36">
      <c r="A79" s="221"/>
      <c r="B79" s="221"/>
      <c r="C79" s="221"/>
      <c r="D79" s="221"/>
      <c r="E79" s="221"/>
      <c r="F79" s="221"/>
      <c r="G79" s="221"/>
      <c r="H79" s="221"/>
      <c r="I79" s="221"/>
      <c r="J79" s="221"/>
      <c r="K79" s="221"/>
      <c r="L79" s="221"/>
      <c r="M79" s="221"/>
      <c r="N79" s="221"/>
      <c r="O79" s="221"/>
      <c r="P79" s="221"/>
      <c r="Q79" s="221"/>
      <c r="R79" s="221"/>
      <c r="S79" s="221"/>
      <c r="T79" s="221"/>
      <c r="U79" s="221"/>
      <c r="V79" s="221"/>
      <c r="W79" s="221"/>
      <c r="X79" s="221"/>
      <c r="Y79" s="221"/>
      <c r="Z79" s="221"/>
      <c r="AA79" s="221"/>
      <c r="AB79" s="221"/>
      <c r="AC79" s="221"/>
      <c r="AD79" s="221"/>
      <c r="AE79" s="221"/>
      <c r="AF79" s="221"/>
      <c r="AG79" s="221"/>
      <c r="AH79" s="221"/>
      <c r="AI79" s="221"/>
      <c r="AJ79" s="221"/>
    </row>
    <row r="80" spans="1:36">
      <c r="A80" s="221"/>
      <c r="B80" s="221"/>
      <c r="C80" s="221"/>
      <c r="D80" s="221"/>
      <c r="E80" s="221"/>
      <c r="F80" s="221"/>
      <c r="G80" s="221"/>
      <c r="H80" s="221"/>
      <c r="I80" s="221"/>
      <c r="J80" s="221"/>
      <c r="K80" s="221"/>
      <c r="L80" s="221"/>
      <c r="M80" s="221"/>
      <c r="N80" s="221"/>
      <c r="O80" s="221"/>
      <c r="P80" s="221"/>
      <c r="Q80" s="221"/>
      <c r="R80" s="221"/>
      <c r="S80" s="221"/>
      <c r="T80" s="221"/>
      <c r="U80" s="221"/>
      <c r="V80" s="221"/>
      <c r="W80" s="221"/>
      <c r="X80" s="221"/>
      <c r="Y80" s="221"/>
      <c r="Z80" s="221"/>
      <c r="AA80" s="221"/>
      <c r="AB80" s="221"/>
      <c r="AC80" s="221"/>
      <c r="AD80" s="221"/>
      <c r="AE80" s="221"/>
      <c r="AF80" s="221"/>
      <c r="AG80" s="221"/>
      <c r="AH80" s="221"/>
      <c r="AI80" s="221"/>
      <c r="AJ80" s="221"/>
    </row>
    <row r="81" spans="1:36">
      <c r="A81" s="221"/>
      <c r="B81" s="221"/>
      <c r="C81" s="221"/>
      <c r="D81" s="221"/>
      <c r="E81" s="221"/>
      <c r="F81" s="221"/>
      <c r="G81" s="221"/>
      <c r="H81" s="221"/>
      <c r="I81" s="221"/>
      <c r="J81" s="221"/>
      <c r="K81" s="221"/>
      <c r="L81" s="221"/>
      <c r="M81" s="221"/>
      <c r="N81" s="221"/>
      <c r="O81" s="221"/>
      <c r="P81" s="221"/>
      <c r="Q81" s="221"/>
      <c r="R81" s="221"/>
      <c r="S81" s="221"/>
      <c r="T81" s="221"/>
      <c r="U81" s="221"/>
      <c r="V81" s="221"/>
      <c r="W81" s="221"/>
      <c r="X81" s="221"/>
      <c r="Y81" s="221"/>
      <c r="Z81" s="221"/>
      <c r="AA81" s="221"/>
      <c r="AB81" s="221"/>
      <c r="AC81" s="221"/>
      <c r="AD81" s="221"/>
      <c r="AE81" s="221"/>
      <c r="AF81" s="221"/>
      <c r="AG81" s="221"/>
      <c r="AH81" s="221"/>
      <c r="AI81" s="221"/>
      <c r="AJ81" s="221"/>
    </row>
    <row r="82" spans="1:36">
      <c r="A82" s="221"/>
      <c r="B82" s="221"/>
      <c r="C82" s="221"/>
      <c r="D82" s="221"/>
      <c r="E82" s="221"/>
      <c r="F82" s="221"/>
      <c r="G82" s="221"/>
      <c r="H82" s="221"/>
      <c r="I82" s="221"/>
      <c r="J82" s="221"/>
      <c r="K82" s="221"/>
      <c r="L82" s="221"/>
      <c r="M82" s="221"/>
      <c r="N82" s="221"/>
      <c r="O82" s="221"/>
      <c r="P82" s="221"/>
      <c r="Q82" s="221"/>
      <c r="R82" s="221"/>
      <c r="S82" s="221"/>
      <c r="T82" s="221"/>
      <c r="U82" s="221"/>
      <c r="V82" s="221"/>
      <c r="W82" s="221"/>
      <c r="X82" s="221"/>
      <c r="Y82" s="221"/>
      <c r="Z82" s="221"/>
      <c r="AA82" s="221"/>
      <c r="AB82" s="221"/>
      <c r="AC82" s="221"/>
      <c r="AD82" s="221"/>
      <c r="AE82" s="221"/>
      <c r="AF82" s="221"/>
      <c r="AG82" s="221"/>
      <c r="AH82" s="221"/>
      <c r="AI82" s="221"/>
      <c r="AJ82" s="221"/>
    </row>
    <row r="83" spans="1:36">
      <c r="A83" s="221"/>
      <c r="B83" s="221"/>
      <c r="C83" s="221"/>
      <c r="D83" s="221"/>
      <c r="E83" s="221"/>
      <c r="F83" s="221"/>
      <c r="G83" s="221"/>
      <c r="H83" s="221"/>
      <c r="I83" s="221"/>
      <c r="J83" s="221"/>
      <c r="K83" s="221"/>
      <c r="L83" s="221"/>
      <c r="M83" s="221"/>
      <c r="N83" s="221"/>
      <c r="O83" s="221"/>
      <c r="P83" s="221"/>
      <c r="Q83" s="221"/>
      <c r="R83" s="221"/>
      <c r="S83" s="221"/>
      <c r="T83" s="221"/>
      <c r="U83" s="221"/>
      <c r="V83" s="221"/>
      <c r="W83" s="221"/>
      <c r="X83" s="221"/>
      <c r="Y83" s="221"/>
      <c r="Z83" s="221"/>
      <c r="AA83" s="221"/>
      <c r="AB83" s="221"/>
      <c r="AC83" s="221"/>
      <c r="AD83" s="221"/>
      <c r="AE83" s="221"/>
      <c r="AF83" s="221"/>
      <c r="AG83" s="221"/>
      <c r="AH83" s="221"/>
      <c r="AI83" s="221"/>
      <c r="AJ83" s="221"/>
    </row>
    <row r="84" spans="1:36">
      <c r="A84" s="221"/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  <c r="Q84" s="221"/>
      <c r="R84" s="221"/>
      <c r="S84" s="221"/>
      <c r="T84" s="221"/>
      <c r="U84" s="221"/>
      <c r="V84" s="221"/>
      <c r="W84" s="221"/>
      <c r="X84" s="221"/>
      <c r="Y84" s="221"/>
      <c r="Z84" s="221"/>
      <c r="AA84" s="221"/>
      <c r="AB84" s="221"/>
      <c r="AC84" s="221"/>
      <c r="AD84" s="221"/>
      <c r="AE84" s="221"/>
      <c r="AF84" s="221"/>
      <c r="AG84" s="221"/>
      <c r="AH84" s="221"/>
      <c r="AI84" s="221"/>
      <c r="AJ84" s="221"/>
    </row>
    <row r="85" spans="1:36">
      <c r="A85" s="221"/>
      <c r="B85" s="221"/>
      <c r="C85" s="221"/>
      <c r="D85" s="221"/>
      <c r="E85" s="221"/>
      <c r="F85" s="221"/>
      <c r="G85" s="221"/>
      <c r="H85" s="221"/>
      <c r="I85" s="221"/>
      <c r="J85" s="221"/>
      <c r="K85" s="221"/>
      <c r="L85" s="221"/>
      <c r="M85" s="221"/>
      <c r="N85" s="221"/>
      <c r="O85" s="221"/>
      <c r="P85" s="221"/>
      <c r="Q85" s="221"/>
      <c r="R85" s="221"/>
      <c r="S85" s="221"/>
      <c r="T85" s="221"/>
      <c r="U85" s="221"/>
      <c r="V85" s="221"/>
      <c r="W85" s="221"/>
      <c r="X85" s="221"/>
      <c r="Y85" s="221"/>
      <c r="Z85" s="221"/>
      <c r="AA85" s="221"/>
      <c r="AB85" s="221"/>
      <c r="AC85" s="221"/>
      <c r="AD85" s="221"/>
      <c r="AE85" s="221"/>
      <c r="AF85" s="221"/>
      <c r="AG85" s="221"/>
      <c r="AH85" s="221"/>
      <c r="AI85" s="221"/>
      <c r="AJ85" s="221"/>
    </row>
    <row r="86" spans="1:36">
      <c r="A86" s="221"/>
      <c r="B86" s="221"/>
      <c r="C86" s="221"/>
      <c r="D86" s="221"/>
      <c r="E86" s="221"/>
      <c r="F86" s="221"/>
      <c r="G86" s="221"/>
      <c r="H86" s="221"/>
      <c r="I86" s="221"/>
      <c r="J86" s="221"/>
      <c r="K86" s="221"/>
      <c r="L86" s="221"/>
      <c r="M86" s="221"/>
      <c r="N86" s="221"/>
      <c r="O86" s="221"/>
      <c r="P86" s="221"/>
      <c r="Q86" s="221"/>
      <c r="R86" s="221"/>
      <c r="S86" s="221"/>
      <c r="T86" s="221"/>
      <c r="U86" s="221"/>
      <c r="V86" s="221"/>
      <c r="W86" s="221"/>
      <c r="X86" s="221"/>
      <c r="Y86" s="221"/>
      <c r="Z86" s="221"/>
      <c r="AA86" s="221"/>
      <c r="AB86" s="221"/>
      <c r="AC86" s="221"/>
      <c r="AD86" s="221"/>
      <c r="AE86" s="221"/>
      <c r="AF86" s="221"/>
      <c r="AG86" s="221"/>
      <c r="AH86" s="221"/>
      <c r="AI86" s="221"/>
      <c r="AJ86" s="221"/>
    </row>
    <row r="87" spans="1:36">
      <c r="A87" s="221"/>
      <c r="B87" s="221"/>
      <c r="C87" s="221"/>
      <c r="D87" s="221"/>
      <c r="E87" s="221"/>
      <c r="F87" s="221"/>
      <c r="G87" s="221"/>
      <c r="H87" s="221"/>
      <c r="I87" s="221"/>
      <c r="J87" s="221"/>
      <c r="K87" s="221"/>
      <c r="L87" s="221"/>
      <c r="M87" s="221"/>
      <c r="N87" s="221"/>
      <c r="O87" s="221"/>
      <c r="P87" s="221"/>
      <c r="Q87" s="221"/>
      <c r="R87" s="221"/>
      <c r="S87" s="221"/>
      <c r="T87" s="221"/>
      <c r="U87" s="221"/>
      <c r="V87" s="221"/>
      <c r="W87" s="221"/>
      <c r="X87" s="221"/>
      <c r="Y87" s="221"/>
      <c r="Z87" s="221"/>
      <c r="AA87" s="221"/>
      <c r="AB87" s="221"/>
      <c r="AC87" s="221"/>
      <c r="AD87" s="221"/>
      <c r="AE87" s="221"/>
      <c r="AF87" s="221"/>
      <c r="AG87" s="221"/>
      <c r="AH87" s="221"/>
      <c r="AI87" s="221"/>
      <c r="AJ87" s="221"/>
    </row>
    <row r="88" spans="1:36">
      <c r="A88" s="221"/>
      <c r="B88" s="221"/>
      <c r="C88" s="221"/>
      <c r="D88" s="221"/>
      <c r="E88" s="221"/>
      <c r="F88" s="221"/>
      <c r="G88" s="221"/>
      <c r="H88" s="221"/>
      <c r="I88" s="221"/>
      <c r="J88" s="221"/>
      <c r="K88" s="221"/>
      <c r="L88" s="221"/>
      <c r="M88" s="221"/>
      <c r="N88" s="221"/>
      <c r="O88" s="221"/>
      <c r="P88" s="221"/>
      <c r="Q88" s="221"/>
      <c r="R88" s="221"/>
      <c r="S88" s="221"/>
      <c r="T88" s="221"/>
      <c r="U88" s="221"/>
      <c r="V88" s="221"/>
      <c r="W88" s="221"/>
      <c r="X88" s="221"/>
      <c r="Y88" s="221"/>
      <c r="Z88" s="221"/>
      <c r="AA88" s="221"/>
      <c r="AB88" s="221"/>
      <c r="AC88" s="221"/>
      <c r="AD88" s="221"/>
      <c r="AE88" s="221"/>
      <c r="AF88" s="221"/>
      <c r="AG88" s="221"/>
      <c r="AH88" s="221"/>
      <c r="AI88" s="221"/>
      <c r="AJ88" s="221"/>
    </row>
    <row r="89" spans="1:36">
      <c r="A89" s="221"/>
      <c r="B89" s="221"/>
      <c r="C89" s="221"/>
      <c r="D89" s="221"/>
      <c r="E89" s="221"/>
      <c r="F89" s="221"/>
      <c r="G89" s="221"/>
      <c r="H89" s="221"/>
      <c r="I89" s="221"/>
      <c r="J89" s="221"/>
      <c r="K89" s="221"/>
      <c r="L89" s="221"/>
      <c r="M89" s="221"/>
      <c r="N89" s="221"/>
      <c r="O89" s="221"/>
      <c r="P89" s="221"/>
      <c r="Q89" s="221"/>
      <c r="R89" s="221"/>
      <c r="S89" s="221"/>
      <c r="T89" s="221"/>
      <c r="U89" s="221"/>
      <c r="V89" s="221"/>
      <c r="W89" s="221"/>
      <c r="X89" s="221"/>
      <c r="Y89" s="221"/>
      <c r="Z89" s="221"/>
      <c r="AA89" s="221"/>
      <c r="AB89" s="221"/>
      <c r="AC89" s="221"/>
      <c r="AD89" s="221"/>
      <c r="AE89" s="221"/>
      <c r="AF89" s="221"/>
      <c r="AG89" s="221"/>
      <c r="AH89" s="221"/>
      <c r="AI89" s="221"/>
      <c r="AJ89" s="221"/>
    </row>
    <row r="90" spans="1:36">
      <c r="A90" s="221"/>
      <c r="B90" s="221"/>
      <c r="C90" s="221"/>
      <c r="D90" s="221"/>
      <c r="E90" s="221"/>
      <c r="F90" s="221"/>
      <c r="G90" s="221"/>
      <c r="H90" s="221"/>
      <c r="I90" s="221"/>
      <c r="J90" s="221"/>
      <c r="K90" s="221"/>
      <c r="L90" s="221"/>
      <c r="M90" s="221"/>
      <c r="N90" s="221"/>
      <c r="O90" s="221"/>
      <c r="P90" s="221"/>
      <c r="Q90" s="221"/>
      <c r="R90" s="221"/>
      <c r="S90" s="221"/>
      <c r="T90" s="221"/>
      <c r="U90" s="221"/>
      <c r="V90" s="221"/>
      <c r="W90" s="221"/>
      <c r="X90" s="221"/>
      <c r="Y90" s="221"/>
      <c r="Z90" s="221"/>
      <c r="AA90" s="221"/>
      <c r="AB90" s="221"/>
      <c r="AC90" s="221"/>
      <c r="AD90" s="221"/>
      <c r="AE90" s="221"/>
      <c r="AF90" s="221"/>
      <c r="AG90" s="221"/>
      <c r="AH90" s="221"/>
      <c r="AI90" s="221"/>
      <c r="AJ90" s="221"/>
    </row>
    <row r="91" spans="1:36">
      <c r="A91" s="221"/>
      <c r="B91" s="221"/>
      <c r="C91" s="221"/>
      <c r="D91" s="221"/>
      <c r="E91" s="221"/>
      <c r="F91" s="221"/>
      <c r="G91" s="221"/>
      <c r="H91" s="221"/>
      <c r="I91" s="221"/>
      <c r="J91" s="221"/>
      <c r="K91" s="221"/>
      <c r="L91" s="221"/>
      <c r="M91" s="221"/>
      <c r="N91" s="221"/>
      <c r="O91" s="221"/>
      <c r="P91" s="221"/>
      <c r="Q91" s="221"/>
      <c r="R91" s="221"/>
      <c r="S91" s="221"/>
      <c r="T91" s="221"/>
      <c r="U91" s="221"/>
      <c r="V91" s="221"/>
      <c r="W91" s="221"/>
      <c r="X91" s="221"/>
      <c r="Y91" s="221"/>
      <c r="Z91" s="221"/>
      <c r="AA91" s="221"/>
      <c r="AB91" s="221"/>
      <c r="AC91" s="221"/>
      <c r="AD91" s="221"/>
      <c r="AE91" s="221"/>
      <c r="AF91" s="221"/>
      <c r="AG91" s="221"/>
      <c r="AH91" s="221"/>
      <c r="AI91" s="221"/>
      <c r="AJ91" s="221"/>
    </row>
    <row r="92" spans="1:36">
      <c r="A92" s="221"/>
      <c r="B92" s="221"/>
      <c r="C92" s="221"/>
      <c r="D92" s="221"/>
      <c r="E92" s="221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</row>
    <row r="93" spans="1:36">
      <c r="A93" s="221"/>
      <c r="B93" s="221"/>
      <c r="C93" s="221"/>
      <c r="D93" s="221"/>
      <c r="E93" s="221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</row>
    <row r="94" spans="1:36">
      <c r="A94" s="221"/>
      <c r="B94" s="221"/>
      <c r="C94" s="221"/>
      <c r="D94" s="221"/>
      <c r="E94" s="221"/>
      <c r="F94" s="221"/>
      <c r="G94" s="221"/>
      <c r="H94" s="221"/>
      <c r="I94" s="221"/>
      <c r="J94" s="221"/>
      <c r="K94" s="221"/>
      <c r="L94" s="221"/>
      <c r="M94" s="221"/>
      <c r="N94" s="221"/>
      <c r="O94" s="221"/>
      <c r="P94" s="221"/>
      <c r="Q94" s="221"/>
      <c r="R94" s="221"/>
      <c r="S94" s="221"/>
      <c r="T94" s="221"/>
      <c r="U94" s="221"/>
      <c r="V94" s="221"/>
      <c r="W94" s="221"/>
      <c r="X94" s="221"/>
      <c r="Y94" s="221"/>
      <c r="Z94" s="221"/>
      <c r="AA94" s="221"/>
      <c r="AB94" s="221"/>
      <c r="AC94" s="221"/>
      <c r="AD94" s="221"/>
      <c r="AE94" s="221"/>
      <c r="AF94" s="221"/>
      <c r="AG94" s="221"/>
      <c r="AH94" s="221"/>
      <c r="AI94" s="221"/>
      <c r="AJ94" s="221"/>
    </row>
    <row r="95" spans="1:36">
      <c r="A95" s="221"/>
      <c r="B95" s="221"/>
      <c r="C95" s="221"/>
      <c r="D95" s="221"/>
      <c r="E95" s="221"/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</row>
    <row r="96" spans="1:36">
      <c r="A96" s="221"/>
      <c r="B96" s="221"/>
      <c r="C96" s="221"/>
      <c r="D96" s="221"/>
      <c r="E96" s="221"/>
      <c r="F96" s="221"/>
      <c r="G96" s="221"/>
      <c r="H96" s="221"/>
      <c r="I96" s="221"/>
      <c r="J96" s="221"/>
      <c r="K96" s="221"/>
      <c r="L96" s="221"/>
      <c r="M96" s="221"/>
      <c r="N96" s="221"/>
      <c r="O96" s="221"/>
      <c r="P96" s="221"/>
      <c r="Q96" s="221"/>
      <c r="R96" s="221"/>
      <c r="S96" s="221"/>
      <c r="T96" s="221"/>
      <c r="U96" s="221"/>
      <c r="V96" s="221"/>
      <c r="W96" s="221"/>
      <c r="X96" s="221"/>
      <c r="Y96" s="221"/>
      <c r="Z96" s="221"/>
      <c r="AA96" s="221"/>
      <c r="AB96" s="221"/>
      <c r="AC96" s="221"/>
      <c r="AD96" s="221"/>
      <c r="AE96" s="221"/>
      <c r="AF96" s="221"/>
      <c r="AG96" s="221"/>
      <c r="AH96" s="221"/>
      <c r="AI96" s="221"/>
      <c r="AJ96" s="221"/>
    </row>
    <row r="97" spans="1:36">
      <c r="A97" s="221"/>
      <c r="B97" s="221"/>
      <c r="C97" s="221"/>
      <c r="D97" s="221"/>
      <c r="E97" s="221"/>
      <c r="F97" s="221"/>
      <c r="G97" s="221"/>
      <c r="H97" s="221"/>
      <c r="I97" s="221"/>
      <c r="J97" s="221"/>
      <c r="K97" s="221"/>
      <c r="L97" s="221"/>
      <c r="M97" s="221"/>
      <c r="N97" s="221"/>
      <c r="O97" s="221"/>
      <c r="P97" s="221"/>
      <c r="Q97" s="221"/>
      <c r="R97" s="221"/>
      <c r="S97" s="221"/>
      <c r="T97" s="221"/>
      <c r="U97" s="221"/>
      <c r="V97" s="221"/>
      <c r="W97" s="221"/>
      <c r="X97" s="221"/>
      <c r="Y97" s="221"/>
      <c r="Z97" s="221"/>
      <c r="AA97" s="221"/>
      <c r="AB97" s="221"/>
      <c r="AC97" s="221"/>
      <c r="AD97" s="221"/>
      <c r="AE97" s="221"/>
      <c r="AF97" s="221"/>
      <c r="AG97" s="221"/>
      <c r="AH97" s="221"/>
      <c r="AI97" s="221"/>
      <c r="AJ97" s="221"/>
    </row>
    <row r="98" spans="1:36">
      <c r="A98" s="221"/>
      <c r="B98" s="221"/>
      <c r="C98" s="221"/>
      <c r="D98" s="221"/>
      <c r="E98" s="221"/>
      <c r="F98" s="221"/>
      <c r="G98" s="221"/>
      <c r="H98" s="221"/>
      <c r="I98" s="221"/>
      <c r="J98" s="221"/>
      <c r="K98" s="221"/>
      <c r="L98" s="221"/>
      <c r="M98" s="221"/>
      <c r="N98" s="221"/>
      <c r="O98" s="221"/>
      <c r="P98" s="221"/>
      <c r="Q98" s="221"/>
      <c r="R98" s="221"/>
      <c r="S98" s="221"/>
      <c r="T98" s="221"/>
      <c r="U98" s="221"/>
      <c r="V98" s="221"/>
      <c r="W98" s="221"/>
      <c r="X98" s="221"/>
      <c r="Y98" s="221"/>
      <c r="Z98" s="221"/>
      <c r="AA98" s="221"/>
      <c r="AB98" s="221"/>
      <c r="AC98" s="221"/>
      <c r="AD98" s="221"/>
      <c r="AE98" s="221"/>
      <c r="AF98" s="221"/>
      <c r="AG98" s="221"/>
      <c r="AH98" s="221"/>
      <c r="AI98" s="221"/>
      <c r="AJ98" s="221"/>
    </row>
    <row r="99" spans="1:36">
      <c r="A99" s="221"/>
      <c r="B99" s="221"/>
      <c r="C99" s="221"/>
      <c r="D99" s="221"/>
      <c r="E99" s="221"/>
      <c r="F99" s="221"/>
      <c r="G99" s="221"/>
      <c r="H99" s="221"/>
      <c r="I99" s="221"/>
      <c r="J99" s="221"/>
      <c r="K99" s="221"/>
      <c r="L99" s="221"/>
      <c r="M99" s="221"/>
      <c r="N99" s="221"/>
      <c r="O99" s="221"/>
      <c r="P99" s="221"/>
      <c r="Q99" s="221"/>
      <c r="R99" s="221"/>
      <c r="S99" s="221"/>
      <c r="T99" s="221"/>
      <c r="U99" s="221"/>
      <c r="V99" s="221"/>
      <c r="W99" s="221"/>
      <c r="X99" s="221"/>
      <c r="Y99" s="221"/>
      <c r="Z99" s="221"/>
      <c r="AA99" s="221"/>
      <c r="AB99" s="221"/>
      <c r="AC99" s="221"/>
      <c r="AD99" s="221"/>
      <c r="AE99" s="221"/>
      <c r="AF99" s="221"/>
      <c r="AG99" s="221"/>
      <c r="AH99" s="221"/>
      <c r="AI99" s="221"/>
      <c r="AJ99" s="221"/>
    </row>
    <row r="100" spans="1:36">
      <c r="A100" s="221"/>
      <c r="B100" s="221"/>
      <c r="C100" s="221"/>
      <c r="D100" s="221"/>
      <c r="E100" s="221"/>
      <c r="F100" s="221"/>
      <c r="G100" s="221"/>
      <c r="H100" s="221"/>
      <c r="I100" s="221"/>
      <c r="J100" s="221"/>
      <c r="K100" s="221"/>
      <c r="L100" s="221"/>
      <c r="M100" s="221"/>
      <c r="N100" s="221"/>
      <c r="O100" s="221"/>
      <c r="P100" s="221"/>
      <c r="Q100" s="221"/>
      <c r="R100" s="221"/>
      <c r="S100" s="221"/>
      <c r="T100" s="221"/>
      <c r="U100" s="221"/>
      <c r="V100" s="221"/>
      <c r="W100" s="221"/>
      <c r="X100" s="221"/>
      <c r="Y100" s="221"/>
      <c r="Z100" s="221"/>
      <c r="AA100" s="221"/>
      <c r="AB100" s="221"/>
      <c r="AC100" s="221"/>
      <c r="AD100" s="221"/>
      <c r="AE100" s="221"/>
      <c r="AF100" s="221"/>
      <c r="AG100" s="221"/>
      <c r="AH100" s="221"/>
      <c r="AI100" s="221"/>
      <c r="AJ100" s="221"/>
    </row>
    <row r="101" spans="1:36">
      <c r="A101" s="221"/>
      <c r="B101" s="221"/>
      <c r="C101" s="221"/>
      <c r="D101" s="221"/>
      <c r="E101" s="221"/>
      <c r="F101" s="221"/>
      <c r="G101" s="221"/>
      <c r="H101" s="221"/>
      <c r="I101" s="221"/>
      <c r="J101" s="221"/>
      <c r="K101" s="221"/>
      <c r="L101" s="221"/>
      <c r="M101" s="221"/>
      <c r="N101" s="221"/>
      <c r="O101" s="221"/>
      <c r="P101" s="221"/>
      <c r="Q101" s="221"/>
      <c r="R101" s="221"/>
      <c r="S101" s="221"/>
      <c r="T101" s="221"/>
      <c r="U101" s="221"/>
      <c r="V101" s="221"/>
      <c r="W101" s="221"/>
      <c r="X101" s="221"/>
      <c r="Y101" s="221"/>
      <c r="Z101" s="221"/>
      <c r="AA101" s="221"/>
      <c r="AB101" s="221"/>
      <c r="AC101" s="221"/>
      <c r="AD101" s="221"/>
      <c r="AE101" s="221"/>
      <c r="AF101" s="221"/>
      <c r="AG101" s="221"/>
      <c r="AH101" s="221"/>
      <c r="AI101" s="221"/>
      <c r="AJ101" s="221"/>
    </row>
    <row r="102" spans="1:36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  <c r="S102" s="221"/>
      <c r="T102" s="221"/>
      <c r="U102" s="221"/>
      <c r="V102" s="221"/>
      <c r="W102" s="221"/>
      <c r="X102" s="221"/>
      <c r="Y102" s="221"/>
      <c r="Z102" s="221"/>
      <c r="AA102" s="221"/>
      <c r="AB102" s="221"/>
      <c r="AC102" s="221"/>
      <c r="AD102" s="221"/>
      <c r="AE102" s="221"/>
      <c r="AF102" s="221"/>
      <c r="AG102" s="221"/>
      <c r="AH102" s="221"/>
      <c r="AI102" s="221"/>
      <c r="AJ102" s="221"/>
    </row>
    <row r="103" spans="1:36">
      <c r="A103" s="221"/>
      <c r="B103" s="221"/>
      <c r="C103" s="221"/>
      <c r="D103" s="221"/>
      <c r="E103" s="221"/>
      <c r="F103" s="221"/>
      <c r="G103" s="221"/>
      <c r="H103" s="221"/>
      <c r="I103" s="221"/>
      <c r="J103" s="221"/>
      <c r="K103" s="221"/>
      <c r="L103" s="221"/>
      <c r="M103" s="221"/>
      <c r="N103" s="221"/>
      <c r="O103" s="221"/>
      <c r="P103" s="221"/>
      <c r="Q103" s="221"/>
      <c r="R103" s="221"/>
      <c r="S103" s="221"/>
      <c r="T103" s="221"/>
      <c r="U103" s="221"/>
      <c r="V103" s="221"/>
      <c r="W103" s="221"/>
      <c r="X103" s="221"/>
      <c r="Y103" s="221"/>
      <c r="Z103" s="221"/>
      <c r="AA103" s="221"/>
      <c r="AB103" s="221"/>
      <c r="AC103" s="221"/>
      <c r="AD103" s="221"/>
      <c r="AE103" s="221"/>
      <c r="AF103" s="221"/>
      <c r="AG103" s="221"/>
      <c r="AH103" s="221"/>
      <c r="AI103" s="221"/>
      <c r="AJ103" s="221"/>
    </row>
    <row r="104" spans="1:36">
      <c r="A104" s="221"/>
      <c r="B104" s="221"/>
      <c r="C104" s="221"/>
      <c r="D104" s="221"/>
      <c r="E104" s="221"/>
      <c r="F104" s="221"/>
      <c r="G104" s="221"/>
      <c r="H104" s="221"/>
      <c r="I104" s="221"/>
      <c r="J104" s="221"/>
      <c r="K104" s="221"/>
      <c r="L104" s="221"/>
      <c r="M104" s="221"/>
      <c r="N104" s="221"/>
      <c r="O104" s="221"/>
      <c r="P104" s="221"/>
      <c r="Q104" s="221"/>
      <c r="R104" s="221"/>
      <c r="S104" s="221"/>
      <c r="T104" s="221"/>
      <c r="U104" s="221"/>
      <c r="V104" s="221"/>
      <c r="W104" s="221"/>
      <c r="X104" s="221"/>
      <c r="Y104" s="221"/>
      <c r="Z104" s="221"/>
      <c r="AA104" s="221"/>
      <c r="AB104" s="221"/>
      <c r="AC104" s="221"/>
      <c r="AD104" s="221"/>
      <c r="AE104" s="221"/>
      <c r="AF104" s="221"/>
      <c r="AG104" s="221"/>
      <c r="AH104" s="221"/>
      <c r="AI104" s="221"/>
      <c r="AJ104" s="221"/>
    </row>
    <row r="105" spans="1:36">
      <c r="A105" s="221"/>
      <c r="B105" s="221"/>
      <c r="C105" s="221"/>
      <c r="D105" s="221"/>
      <c r="E105" s="221"/>
      <c r="F105" s="221"/>
      <c r="G105" s="221"/>
      <c r="H105" s="221"/>
      <c r="I105" s="221"/>
      <c r="J105" s="221"/>
      <c r="K105" s="221"/>
      <c r="L105" s="221"/>
      <c r="M105" s="221"/>
      <c r="N105" s="221"/>
      <c r="O105" s="221"/>
      <c r="P105" s="221"/>
      <c r="Q105" s="221"/>
      <c r="R105" s="221"/>
      <c r="S105" s="221"/>
      <c r="T105" s="221"/>
      <c r="U105" s="221"/>
      <c r="V105" s="221"/>
      <c r="W105" s="221"/>
      <c r="X105" s="221"/>
      <c r="Y105" s="221"/>
      <c r="Z105" s="221"/>
      <c r="AA105" s="221"/>
      <c r="AB105" s="221"/>
      <c r="AC105" s="221"/>
      <c r="AD105" s="221"/>
      <c r="AE105" s="221"/>
      <c r="AF105" s="221"/>
      <c r="AG105" s="221"/>
      <c r="AH105" s="221"/>
      <c r="AI105" s="221"/>
      <c r="AJ105" s="221"/>
    </row>
    <row r="106" spans="1:36">
      <c r="A106" s="221"/>
      <c r="B106" s="221"/>
      <c r="C106" s="221"/>
      <c r="D106" s="221"/>
      <c r="E106" s="221"/>
      <c r="F106" s="221"/>
      <c r="G106" s="221"/>
      <c r="H106" s="221"/>
      <c r="I106" s="221"/>
      <c r="J106" s="221"/>
      <c r="K106" s="221"/>
      <c r="L106" s="221"/>
      <c r="M106" s="221"/>
      <c r="N106" s="221"/>
      <c r="O106" s="221"/>
      <c r="P106" s="221"/>
      <c r="Q106" s="221"/>
      <c r="R106" s="221"/>
      <c r="S106" s="221"/>
      <c r="T106" s="221"/>
      <c r="U106" s="221"/>
      <c r="V106" s="221"/>
      <c r="W106" s="221"/>
      <c r="X106" s="221"/>
      <c r="Y106" s="221"/>
      <c r="Z106" s="221"/>
      <c r="AA106" s="221"/>
      <c r="AB106" s="221"/>
      <c r="AC106" s="221"/>
      <c r="AD106" s="221"/>
      <c r="AE106" s="221"/>
      <c r="AF106" s="221"/>
      <c r="AG106" s="221"/>
      <c r="AH106" s="221"/>
      <c r="AI106" s="221"/>
      <c r="AJ106" s="221"/>
    </row>
    <row r="107" spans="1:36">
      <c r="A107" s="221"/>
      <c r="B107" s="221"/>
      <c r="C107" s="221"/>
      <c r="D107" s="221"/>
      <c r="E107" s="221"/>
      <c r="F107" s="221"/>
      <c r="G107" s="221"/>
      <c r="H107" s="221"/>
      <c r="I107" s="221"/>
      <c r="J107" s="221"/>
      <c r="K107" s="221"/>
      <c r="L107" s="221"/>
      <c r="M107" s="221"/>
      <c r="N107" s="221"/>
      <c r="O107" s="221"/>
      <c r="P107" s="221"/>
      <c r="Q107" s="221"/>
      <c r="R107" s="221"/>
      <c r="S107" s="221"/>
      <c r="T107" s="221"/>
      <c r="U107" s="221"/>
      <c r="V107" s="221"/>
      <c r="W107" s="221"/>
      <c r="X107" s="221"/>
      <c r="Y107" s="221"/>
      <c r="Z107" s="221"/>
      <c r="AA107" s="221"/>
      <c r="AB107" s="221"/>
      <c r="AC107" s="221"/>
      <c r="AD107" s="221"/>
      <c r="AE107" s="221"/>
      <c r="AF107" s="221"/>
      <c r="AG107" s="221"/>
      <c r="AH107" s="221"/>
      <c r="AI107" s="221"/>
      <c r="AJ107" s="221"/>
    </row>
    <row r="108" spans="1:36">
      <c r="A108" s="221"/>
      <c r="B108" s="221"/>
      <c r="C108" s="221"/>
      <c r="D108" s="221"/>
      <c r="E108" s="221"/>
      <c r="F108" s="221"/>
      <c r="G108" s="221"/>
      <c r="H108" s="221"/>
      <c r="I108" s="221"/>
      <c r="J108" s="221"/>
      <c r="K108" s="221"/>
      <c r="L108" s="221"/>
      <c r="M108" s="221"/>
      <c r="N108" s="221"/>
      <c r="O108" s="221"/>
      <c r="P108" s="221"/>
      <c r="Q108" s="221"/>
      <c r="R108" s="221"/>
      <c r="S108" s="221"/>
      <c r="T108" s="221"/>
      <c r="U108" s="221"/>
      <c r="V108" s="221"/>
      <c r="W108" s="221"/>
      <c r="X108" s="221"/>
      <c r="Y108" s="221"/>
      <c r="Z108" s="221"/>
      <c r="AA108" s="221"/>
      <c r="AB108" s="221"/>
      <c r="AC108" s="221"/>
      <c r="AD108" s="221"/>
      <c r="AE108" s="221"/>
      <c r="AF108" s="221"/>
      <c r="AG108" s="221"/>
      <c r="AH108" s="221"/>
      <c r="AI108" s="221"/>
      <c r="AJ108" s="221"/>
    </row>
    <row r="109" spans="1:36">
      <c r="A109" s="221"/>
      <c r="B109" s="221"/>
      <c r="C109" s="221"/>
      <c r="D109" s="221"/>
      <c r="E109" s="221"/>
      <c r="F109" s="221"/>
      <c r="G109" s="221"/>
      <c r="H109" s="221"/>
      <c r="I109" s="221"/>
      <c r="J109" s="221"/>
      <c r="K109" s="221"/>
      <c r="L109" s="221"/>
      <c r="M109" s="221"/>
      <c r="N109" s="221"/>
      <c r="O109" s="221"/>
      <c r="P109" s="221"/>
      <c r="Q109" s="221"/>
      <c r="R109" s="221"/>
      <c r="S109" s="221"/>
      <c r="T109" s="221"/>
      <c r="U109" s="221"/>
      <c r="V109" s="221"/>
      <c r="W109" s="221"/>
      <c r="X109" s="221"/>
      <c r="Y109" s="221"/>
      <c r="Z109" s="221"/>
      <c r="AA109" s="221"/>
      <c r="AB109" s="221"/>
      <c r="AC109" s="221"/>
      <c r="AD109" s="221"/>
      <c r="AE109" s="221"/>
      <c r="AF109" s="221"/>
      <c r="AG109" s="221"/>
      <c r="AH109" s="221"/>
      <c r="AI109" s="221"/>
      <c r="AJ109" s="221"/>
    </row>
    <row r="110" spans="1:36">
      <c r="A110" s="221"/>
      <c r="B110" s="221"/>
      <c r="C110" s="221"/>
      <c r="D110" s="221"/>
      <c r="E110" s="221"/>
      <c r="F110" s="221"/>
      <c r="G110" s="221"/>
      <c r="H110" s="221"/>
      <c r="I110" s="221"/>
      <c r="J110" s="221"/>
      <c r="K110" s="221"/>
      <c r="L110" s="221"/>
      <c r="M110" s="221"/>
      <c r="N110" s="221"/>
      <c r="O110" s="221"/>
      <c r="P110" s="221"/>
      <c r="Q110" s="221"/>
      <c r="R110" s="221"/>
      <c r="S110" s="221"/>
      <c r="T110" s="221"/>
      <c r="U110" s="221"/>
      <c r="V110" s="221"/>
      <c r="W110" s="221"/>
      <c r="X110" s="221"/>
      <c r="Y110" s="221"/>
      <c r="Z110" s="221"/>
      <c r="AA110" s="221"/>
      <c r="AB110" s="221"/>
      <c r="AC110" s="221"/>
      <c r="AD110" s="221"/>
      <c r="AE110" s="221"/>
      <c r="AF110" s="221"/>
      <c r="AG110" s="221"/>
      <c r="AH110" s="221"/>
      <c r="AI110" s="221"/>
      <c r="AJ110" s="221"/>
    </row>
    <row r="111" spans="1:36">
      <c r="A111" s="221"/>
      <c r="B111" s="221"/>
      <c r="C111" s="221"/>
      <c r="D111" s="221"/>
      <c r="E111" s="221"/>
      <c r="F111" s="221"/>
      <c r="G111" s="221"/>
      <c r="H111" s="221"/>
      <c r="I111" s="221"/>
      <c r="J111" s="221"/>
      <c r="K111" s="221"/>
      <c r="L111" s="221"/>
      <c r="M111" s="221"/>
      <c r="N111" s="221"/>
      <c r="O111" s="221"/>
      <c r="P111" s="221"/>
      <c r="Q111" s="221"/>
      <c r="R111" s="221"/>
      <c r="S111" s="221"/>
      <c r="T111" s="221"/>
      <c r="U111" s="221"/>
      <c r="V111" s="221"/>
      <c r="W111" s="221"/>
      <c r="X111" s="221"/>
      <c r="Y111" s="221"/>
      <c r="Z111" s="221"/>
      <c r="AA111" s="221"/>
      <c r="AB111" s="221"/>
      <c r="AC111" s="221"/>
      <c r="AD111" s="221"/>
      <c r="AE111" s="221"/>
      <c r="AF111" s="221"/>
      <c r="AG111" s="221"/>
      <c r="AH111" s="221"/>
      <c r="AI111" s="221"/>
      <c r="AJ111" s="221"/>
    </row>
    <row r="112" spans="1:36">
      <c r="A112" s="221"/>
      <c r="B112" s="221"/>
      <c r="C112" s="221"/>
      <c r="D112" s="221"/>
      <c r="E112" s="221"/>
      <c r="F112" s="221"/>
      <c r="G112" s="221"/>
      <c r="H112" s="221"/>
      <c r="I112" s="221"/>
      <c r="J112" s="221"/>
      <c r="K112" s="221"/>
      <c r="L112" s="221"/>
      <c r="M112" s="221"/>
      <c r="N112" s="221"/>
      <c r="O112" s="221"/>
      <c r="P112" s="221"/>
      <c r="Q112" s="221"/>
      <c r="R112" s="221"/>
      <c r="S112" s="221"/>
      <c r="T112" s="221"/>
      <c r="U112" s="221"/>
      <c r="V112" s="221"/>
      <c r="W112" s="221"/>
      <c r="X112" s="221"/>
      <c r="Y112" s="221"/>
      <c r="Z112" s="221"/>
      <c r="AA112" s="221"/>
      <c r="AB112" s="221"/>
      <c r="AC112" s="221"/>
      <c r="AD112" s="221"/>
      <c r="AE112" s="221"/>
      <c r="AF112" s="221"/>
      <c r="AG112" s="221"/>
      <c r="AH112" s="221"/>
      <c r="AI112" s="221"/>
      <c r="AJ112" s="221"/>
    </row>
    <row r="113" spans="1:36">
      <c r="A113" s="221"/>
      <c r="B113" s="221"/>
      <c r="C113" s="221"/>
      <c r="D113" s="221"/>
      <c r="E113" s="221"/>
      <c r="F113" s="221"/>
      <c r="G113" s="221"/>
      <c r="H113" s="221"/>
      <c r="I113" s="221"/>
      <c r="J113" s="221"/>
      <c r="K113" s="221"/>
      <c r="L113" s="221"/>
      <c r="M113" s="221"/>
      <c r="N113" s="221"/>
      <c r="O113" s="221"/>
      <c r="P113" s="221"/>
      <c r="Q113" s="221"/>
      <c r="R113" s="221"/>
      <c r="S113" s="221"/>
      <c r="T113" s="221"/>
      <c r="U113" s="221"/>
      <c r="V113" s="221"/>
      <c r="W113" s="221"/>
      <c r="X113" s="221"/>
      <c r="Y113" s="221"/>
      <c r="Z113" s="221"/>
      <c r="AA113" s="221"/>
      <c r="AB113" s="221"/>
      <c r="AC113" s="221"/>
      <c r="AD113" s="221"/>
      <c r="AE113" s="221"/>
      <c r="AF113" s="221"/>
      <c r="AG113" s="221"/>
      <c r="AH113" s="221"/>
      <c r="AI113" s="221"/>
      <c r="AJ113" s="221"/>
    </row>
    <row r="114" spans="1:36">
      <c r="A114" s="221"/>
      <c r="B114" s="221"/>
      <c r="C114" s="221"/>
      <c r="D114" s="221"/>
      <c r="E114" s="221"/>
      <c r="F114" s="221"/>
      <c r="G114" s="221"/>
      <c r="H114" s="221"/>
      <c r="I114" s="221"/>
      <c r="J114" s="221"/>
      <c r="K114" s="221"/>
      <c r="L114" s="221"/>
      <c r="M114" s="221"/>
      <c r="N114" s="221"/>
      <c r="O114" s="221"/>
      <c r="P114" s="221"/>
      <c r="Q114" s="221"/>
      <c r="R114" s="221"/>
      <c r="S114" s="221"/>
      <c r="T114" s="221"/>
      <c r="U114" s="221"/>
      <c r="V114" s="221"/>
      <c r="W114" s="221"/>
      <c r="X114" s="221"/>
      <c r="Y114" s="221"/>
      <c r="Z114" s="221"/>
      <c r="AA114" s="221"/>
      <c r="AB114" s="221"/>
      <c r="AC114" s="221"/>
      <c r="AD114" s="221"/>
      <c r="AE114" s="221"/>
      <c r="AF114" s="221"/>
      <c r="AG114" s="221"/>
      <c r="AH114" s="221"/>
      <c r="AI114" s="221"/>
      <c r="AJ114" s="221"/>
    </row>
    <row r="115" spans="1:36">
      <c r="A115" s="221"/>
      <c r="B115" s="221"/>
      <c r="C115" s="221"/>
      <c r="D115" s="221"/>
      <c r="E115" s="221"/>
      <c r="F115" s="221"/>
      <c r="G115" s="221"/>
      <c r="H115" s="221"/>
      <c r="I115" s="221"/>
      <c r="J115" s="221"/>
      <c r="K115" s="221"/>
      <c r="L115" s="221"/>
      <c r="M115" s="221"/>
      <c r="N115" s="221"/>
      <c r="O115" s="221"/>
      <c r="P115" s="221"/>
      <c r="Q115" s="221"/>
      <c r="R115" s="221"/>
      <c r="S115" s="221"/>
      <c r="T115" s="221"/>
      <c r="U115" s="221"/>
      <c r="V115" s="221"/>
      <c r="W115" s="221"/>
      <c r="X115" s="221"/>
      <c r="Y115" s="221"/>
      <c r="Z115" s="221"/>
      <c r="AA115" s="221"/>
      <c r="AB115" s="221"/>
      <c r="AC115" s="221"/>
      <c r="AD115" s="221"/>
      <c r="AE115" s="221"/>
      <c r="AF115" s="221"/>
      <c r="AG115" s="221"/>
      <c r="AH115" s="221"/>
      <c r="AI115" s="221"/>
      <c r="AJ115" s="221"/>
    </row>
    <row r="116" spans="1:36">
      <c r="A116" s="221"/>
      <c r="B116" s="221"/>
      <c r="C116" s="221"/>
      <c r="D116" s="221"/>
      <c r="E116" s="221"/>
      <c r="F116" s="221"/>
      <c r="G116" s="221"/>
      <c r="H116" s="221"/>
      <c r="I116" s="221"/>
      <c r="J116" s="221"/>
      <c r="K116" s="221"/>
      <c r="L116" s="221"/>
      <c r="M116" s="221"/>
      <c r="N116" s="221"/>
      <c r="O116" s="221"/>
      <c r="P116" s="221"/>
      <c r="Q116" s="221"/>
      <c r="R116" s="221"/>
      <c r="S116" s="221"/>
      <c r="T116" s="221"/>
      <c r="U116" s="221"/>
      <c r="V116" s="221"/>
      <c r="W116" s="221"/>
      <c r="X116" s="221"/>
      <c r="Y116" s="221"/>
      <c r="Z116" s="221"/>
      <c r="AA116" s="221"/>
      <c r="AB116" s="221"/>
      <c r="AC116" s="221"/>
      <c r="AD116" s="221"/>
      <c r="AE116" s="221"/>
      <c r="AF116" s="221"/>
      <c r="AG116" s="221"/>
      <c r="AH116" s="221"/>
      <c r="AI116" s="221"/>
      <c r="AJ116" s="221"/>
    </row>
    <row r="117" spans="1:36">
      <c r="A117" s="221"/>
      <c r="B117" s="221"/>
      <c r="C117" s="221"/>
      <c r="D117" s="221"/>
      <c r="E117" s="221"/>
      <c r="F117" s="221"/>
      <c r="G117" s="221"/>
      <c r="H117" s="221"/>
      <c r="I117" s="221"/>
      <c r="J117" s="221"/>
      <c r="K117" s="221"/>
      <c r="L117" s="221"/>
      <c r="M117" s="221"/>
      <c r="N117" s="221"/>
      <c r="O117" s="221"/>
      <c r="P117" s="221"/>
      <c r="Q117" s="221"/>
      <c r="R117" s="221"/>
      <c r="S117" s="221"/>
      <c r="T117" s="221"/>
      <c r="U117" s="221"/>
      <c r="V117" s="221"/>
      <c r="W117" s="221"/>
      <c r="X117" s="221"/>
      <c r="Y117" s="221"/>
      <c r="Z117" s="221"/>
      <c r="AA117" s="221"/>
      <c r="AB117" s="221"/>
      <c r="AC117" s="221"/>
      <c r="AD117" s="221"/>
      <c r="AE117" s="221"/>
      <c r="AF117" s="221"/>
      <c r="AG117" s="221"/>
      <c r="AH117" s="221"/>
      <c r="AI117" s="221"/>
      <c r="AJ117" s="221"/>
    </row>
    <row r="118" spans="1:36">
      <c r="A118" s="221"/>
      <c r="B118" s="221"/>
      <c r="C118" s="221"/>
      <c r="D118" s="221"/>
      <c r="E118" s="221"/>
      <c r="F118" s="221"/>
      <c r="G118" s="221"/>
      <c r="H118" s="221"/>
      <c r="I118" s="221"/>
      <c r="J118" s="221"/>
      <c r="K118" s="221"/>
      <c r="L118" s="221"/>
      <c r="M118" s="221"/>
      <c r="N118" s="221"/>
      <c r="O118" s="221"/>
      <c r="P118" s="221"/>
      <c r="Q118" s="221"/>
      <c r="R118" s="221"/>
      <c r="S118" s="221"/>
      <c r="T118" s="221"/>
      <c r="U118" s="221"/>
      <c r="V118" s="221"/>
      <c r="W118" s="221"/>
      <c r="X118" s="221"/>
      <c r="Y118" s="221"/>
      <c r="Z118" s="221"/>
      <c r="AA118" s="221"/>
      <c r="AB118" s="221"/>
      <c r="AC118" s="221"/>
      <c r="AD118" s="221"/>
      <c r="AE118" s="221"/>
      <c r="AF118" s="221"/>
      <c r="AG118" s="221"/>
      <c r="AH118" s="221"/>
      <c r="AI118" s="221"/>
      <c r="AJ118" s="221"/>
    </row>
    <row r="119" spans="1:36">
      <c r="A119" s="221"/>
      <c r="B119" s="221"/>
      <c r="C119" s="221"/>
      <c r="D119" s="221"/>
      <c r="E119" s="221"/>
      <c r="F119" s="221"/>
      <c r="G119" s="221"/>
      <c r="H119" s="221"/>
      <c r="I119" s="221"/>
      <c r="J119" s="221"/>
      <c r="K119" s="221"/>
      <c r="L119" s="221"/>
      <c r="M119" s="221"/>
      <c r="N119" s="221"/>
      <c r="O119" s="221"/>
      <c r="P119" s="221"/>
      <c r="Q119" s="221"/>
      <c r="R119" s="221"/>
      <c r="S119" s="221"/>
      <c r="T119" s="221"/>
      <c r="U119" s="221"/>
      <c r="V119" s="221"/>
      <c r="W119" s="221"/>
      <c r="X119" s="221"/>
      <c r="Y119" s="221"/>
      <c r="Z119" s="221"/>
      <c r="AA119" s="221"/>
      <c r="AB119" s="221"/>
      <c r="AC119" s="221"/>
      <c r="AD119" s="221"/>
      <c r="AE119" s="221"/>
      <c r="AF119" s="221"/>
      <c r="AG119" s="221"/>
      <c r="AH119" s="221"/>
      <c r="AI119" s="221"/>
      <c r="AJ119" s="221"/>
    </row>
    <row r="120" spans="1:36">
      <c r="A120" s="221"/>
      <c r="B120" s="221"/>
      <c r="C120" s="221"/>
      <c r="D120" s="221"/>
      <c r="E120" s="221"/>
      <c r="F120" s="221"/>
      <c r="G120" s="221"/>
      <c r="H120" s="221"/>
      <c r="I120" s="221"/>
      <c r="J120" s="221"/>
      <c r="K120" s="221"/>
      <c r="L120" s="221"/>
      <c r="M120" s="221"/>
      <c r="N120" s="221"/>
      <c r="O120" s="221"/>
      <c r="P120" s="221"/>
      <c r="Q120" s="221"/>
      <c r="R120" s="221"/>
      <c r="S120" s="221"/>
      <c r="T120" s="221"/>
      <c r="U120" s="221"/>
      <c r="V120" s="221"/>
      <c r="W120" s="221"/>
      <c r="X120" s="221"/>
      <c r="Y120" s="221"/>
      <c r="Z120" s="221"/>
      <c r="AA120" s="221"/>
      <c r="AB120" s="221"/>
      <c r="AC120" s="221"/>
      <c r="AD120" s="221"/>
      <c r="AE120" s="221"/>
      <c r="AF120" s="221"/>
      <c r="AG120" s="221"/>
      <c r="AH120" s="221"/>
      <c r="AI120" s="221"/>
      <c r="AJ120" s="221"/>
    </row>
    <row r="121" spans="1:36">
      <c r="A121" s="221"/>
      <c r="B121" s="221"/>
      <c r="C121" s="221"/>
      <c r="D121" s="221"/>
      <c r="E121" s="221"/>
      <c r="F121" s="221"/>
      <c r="G121" s="221"/>
      <c r="H121" s="221"/>
      <c r="I121" s="221"/>
      <c r="J121" s="221"/>
      <c r="K121" s="221"/>
      <c r="L121" s="221"/>
      <c r="M121" s="221"/>
      <c r="N121" s="221"/>
      <c r="O121" s="221"/>
      <c r="P121" s="221"/>
      <c r="Q121" s="221"/>
      <c r="R121" s="221"/>
      <c r="S121" s="221"/>
      <c r="T121" s="221"/>
      <c r="U121" s="221"/>
      <c r="V121" s="221"/>
      <c r="W121" s="221"/>
      <c r="X121" s="221"/>
      <c r="Y121" s="221"/>
      <c r="Z121" s="221"/>
      <c r="AA121" s="221"/>
      <c r="AB121" s="221"/>
      <c r="AC121" s="221"/>
      <c r="AD121" s="221"/>
      <c r="AE121" s="221"/>
      <c r="AF121" s="221"/>
      <c r="AG121" s="221"/>
      <c r="AH121" s="221"/>
      <c r="AI121" s="221"/>
      <c r="AJ121" s="221"/>
    </row>
    <row r="122" spans="1:36">
      <c r="A122" s="221"/>
      <c r="B122" s="221"/>
      <c r="C122" s="221"/>
      <c r="D122" s="221"/>
      <c r="E122" s="221"/>
      <c r="F122" s="221"/>
      <c r="G122" s="221"/>
      <c r="H122" s="221"/>
      <c r="I122" s="221"/>
      <c r="J122" s="221"/>
      <c r="K122" s="221"/>
      <c r="L122" s="221"/>
      <c r="M122" s="221"/>
      <c r="N122" s="221"/>
      <c r="O122" s="221"/>
      <c r="P122" s="221"/>
      <c r="Q122" s="221"/>
      <c r="R122" s="221"/>
      <c r="S122" s="221"/>
      <c r="T122" s="221"/>
      <c r="U122" s="221"/>
      <c r="V122" s="221"/>
      <c r="W122" s="221"/>
      <c r="X122" s="221"/>
      <c r="Y122" s="221"/>
      <c r="Z122" s="221"/>
      <c r="AA122" s="221"/>
      <c r="AB122" s="221"/>
      <c r="AC122" s="221"/>
      <c r="AD122" s="221"/>
      <c r="AE122" s="221"/>
      <c r="AF122" s="221"/>
      <c r="AG122" s="221"/>
      <c r="AH122" s="221"/>
      <c r="AI122" s="221"/>
      <c r="AJ122" s="221"/>
    </row>
    <row r="123" spans="1:36">
      <c r="A123" s="221"/>
      <c r="B123" s="221"/>
      <c r="C123" s="221"/>
      <c r="D123" s="221"/>
      <c r="E123" s="221"/>
      <c r="F123" s="221"/>
      <c r="G123" s="221"/>
      <c r="H123" s="221"/>
      <c r="I123" s="221"/>
      <c r="J123" s="221"/>
      <c r="K123" s="221"/>
      <c r="L123" s="221"/>
      <c r="M123" s="221"/>
      <c r="N123" s="221"/>
      <c r="O123" s="221"/>
      <c r="P123" s="221"/>
      <c r="Q123" s="221"/>
      <c r="R123" s="221"/>
      <c r="S123" s="221"/>
      <c r="T123" s="221"/>
      <c r="U123" s="221"/>
      <c r="V123" s="221"/>
      <c r="W123" s="221"/>
      <c r="X123" s="221"/>
      <c r="Y123" s="221"/>
      <c r="Z123" s="221"/>
      <c r="AA123" s="221"/>
      <c r="AB123" s="221"/>
      <c r="AC123" s="221"/>
      <c r="AD123" s="221"/>
      <c r="AE123" s="221"/>
      <c r="AF123" s="221"/>
      <c r="AG123" s="221"/>
      <c r="AH123" s="221"/>
      <c r="AI123" s="221"/>
      <c r="AJ123" s="221"/>
    </row>
    <row r="124" spans="1:36">
      <c r="A124" s="221"/>
      <c r="B124" s="221"/>
      <c r="C124" s="221"/>
      <c r="D124" s="221"/>
      <c r="E124" s="221"/>
      <c r="F124" s="221"/>
      <c r="G124" s="221"/>
      <c r="H124" s="221"/>
      <c r="I124" s="221"/>
      <c r="J124" s="221"/>
      <c r="K124" s="221"/>
      <c r="L124" s="221"/>
      <c r="M124" s="221"/>
      <c r="N124" s="221"/>
      <c r="O124" s="221"/>
      <c r="P124" s="221"/>
      <c r="Q124" s="221"/>
      <c r="R124" s="221"/>
      <c r="S124" s="221"/>
      <c r="T124" s="221"/>
      <c r="U124" s="221"/>
      <c r="V124" s="221"/>
      <c r="W124" s="221"/>
      <c r="X124" s="221"/>
      <c r="Y124" s="221"/>
      <c r="Z124" s="221"/>
      <c r="AA124" s="221"/>
      <c r="AB124" s="221"/>
      <c r="AC124" s="221"/>
      <c r="AD124" s="221"/>
      <c r="AE124" s="221"/>
      <c r="AF124" s="221"/>
      <c r="AG124" s="221"/>
      <c r="AH124" s="221"/>
      <c r="AI124" s="221"/>
      <c r="AJ124" s="221"/>
    </row>
    <row r="125" spans="1:36">
      <c r="A125" s="221"/>
      <c r="B125" s="221"/>
      <c r="C125" s="221"/>
      <c r="D125" s="221"/>
      <c r="E125" s="221"/>
      <c r="F125" s="221"/>
      <c r="G125" s="221"/>
      <c r="H125" s="221"/>
      <c r="I125" s="221"/>
      <c r="J125" s="221"/>
      <c r="K125" s="221"/>
      <c r="L125" s="221"/>
      <c r="M125" s="221"/>
      <c r="N125" s="221"/>
      <c r="O125" s="221"/>
      <c r="P125" s="221"/>
      <c r="Q125" s="221"/>
      <c r="R125" s="221"/>
      <c r="S125" s="221"/>
      <c r="T125" s="221"/>
      <c r="U125" s="221"/>
      <c r="V125" s="221"/>
      <c r="W125" s="221"/>
      <c r="X125" s="221"/>
      <c r="Y125" s="221"/>
      <c r="Z125" s="221"/>
      <c r="AA125" s="221"/>
      <c r="AB125" s="221"/>
      <c r="AC125" s="221"/>
      <c r="AD125" s="221"/>
      <c r="AE125" s="221"/>
      <c r="AF125" s="221"/>
      <c r="AG125" s="221"/>
      <c r="AH125" s="221"/>
      <c r="AI125" s="221"/>
      <c r="AJ125" s="221"/>
    </row>
    <row r="126" spans="1:36">
      <c r="A126" s="221"/>
      <c r="B126" s="221"/>
      <c r="C126" s="221"/>
      <c r="D126" s="221"/>
      <c r="E126" s="221"/>
      <c r="F126" s="221"/>
      <c r="G126" s="221"/>
      <c r="H126" s="221"/>
      <c r="I126" s="221"/>
      <c r="J126" s="221"/>
      <c r="K126" s="221"/>
      <c r="L126" s="221"/>
      <c r="M126" s="221"/>
      <c r="N126" s="221"/>
      <c r="O126" s="221"/>
      <c r="P126" s="221"/>
      <c r="Q126" s="221"/>
      <c r="R126" s="221"/>
      <c r="S126" s="221"/>
      <c r="T126" s="221"/>
      <c r="U126" s="221"/>
      <c r="V126" s="221"/>
      <c r="W126" s="221"/>
      <c r="X126" s="221"/>
      <c r="Y126" s="221"/>
      <c r="Z126" s="221"/>
      <c r="AA126" s="221"/>
      <c r="AB126" s="221"/>
      <c r="AC126" s="221"/>
      <c r="AD126" s="221"/>
      <c r="AE126" s="221"/>
      <c r="AF126" s="221"/>
      <c r="AG126" s="221"/>
      <c r="AH126" s="221"/>
      <c r="AI126" s="221"/>
      <c r="AJ126" s="221"/>
    </row>
    <row r="127" spans="1:36">
      <c r="A127" s="221"/>
      <c r="B127" s="221"/>
      <c r="C127" s="221"/>
      <c r="D127" s="221"/>
      <c r="E127" s="221"/>
      <c r="F127" s="221"/>
      <c r="G127" s="221"/>
      <c r="H127" s="221"/>
      <c r="I127" s="221"/>
      <c r="J127" s="221"/>
      <c r="K127" s="221"/>
      <c r="L127" s="221"/>
      <c r="M127" s="221"/>
      <c r="N127" s="221"/>
      <c r="O127" s="221"/>
      <c r="P127" s="221"/>
      <c r="Q127" s="221"/>
      <c r="R127" s="221"/>
      <c r="S127" s="221"/>
      <c r="T127" s="221"/>
      <c r="U127" s="221"/>
      <c r="V127" s="221"/>
      <c r="W127" s="221"/>
      <c r="X127" s="221"/>
      <c r="Y127" s="221"/>
      <c r="Z127" s="221"/>
      <c r="AA127" s="221"/>
      <c r="AB127" s="221"/>
      <c r="AC127" s="221"/>
      <c r="AD127" s="221"/>
      <c r="AE127" s="221"/>
      <c r="AF127" s="221"/>
      <c r="AG127" s="221"/>
      <c r="AH127" s="221"/>
      <c r="AI127" s="221"/>
      <c r="AJ127" s="221"/>
    </row>
    <row r="128" spans="1:36">
      <c r="A128" s="221"/>
      <c r="B128" s="221"/>
      <c r="C128" s="221"/>
      <c r="D128" s="221"/>
      <c r="E128" s="221"/>
      <c r="F128" s="221"/>
      <c r="G128" s="221"/>
      <c r="H128" s="221"/>
      <c r="I128" s="221"/>
      <c r="J128" s="221"/>
      <c r="K128" s="221"/>
      <c r="L128" s="221"/>
      <c r="M128" s="221"/>
      <c r="N128" s="221"/>
      <c r="O128" s="221"/>
      <c r="P128" s="221"/>
      <c r="Q128" s="221"/>
      <c r="R128" s="221"/>
      <c r="S128" s="221"/>
      <c r="T128" s="221"/>
      <c r="U128" s="221"/>
      <c r="V128" s="221"/>
      <c r="W128" s="221"/>
      <c r="X128" s="221"/>
      <c r="Y128" s="221"/>
      <c r="Z128" s="221"/>
      <c r="AA128" s="221"/>
      <c r="AB128" s="221"/>
      <c r="AC128" s="221"/>
      <c r="AD128" s="221"/>
      <c r="AE128" s="221"/>
      <c r="AF128" s="221"/>
      <c r="AG128" s="221"/>
      <c r="AH128" s="221"/>
      <c r="AI128" s="221"/>
      <c r="AJ128" s="221"/>
    </row>
    <row r="129" spans="1:36">
      <c r="A129" s="221"/>
      <c r="B129" s="221"/>
      <c r="C129" s="221"/>
      <c r="D129" s="221"/>
      <c r="E129" s="221"/>
      <c r="F129" s="221"/>
      <c r="G129" s="221"/>
      <c r="H129" s="221"/>
      <c r="I129" s="221"/>
      <c r="J129" s="221"/>
      <c r="K129" s="221"/>
      <c r="L129" s="221"/>
      <c r="M129" s="221"/>
      <c r="N129" s="221"/>
      <c r="O129" s="221"/>
      <c r="P129" s="221"/>
      <c r="Q129" s="221"/>
      <c r="R129" s="221"/>
      <c r="S129" s="221"/>
      <c r="T129" s="221"/>
      <c r="U129" s="221"/>
      <c r="V129" s="221"/>
      <c r="W129" s="221"/>
      <c r="X129" s="221"/>
      <c r="Y129" s="221"/>
      <c r="Z129" s="221"/>
      <c r="AA129" s="221"/>
      <c r="AB129" s="221"/>
      <c r="AC129" s="221"/>
      <c r="AD129" s="221"/>
      <c r="AE129" s="221"/>
      <c r="AF129" s="221"/>
      <c r="AG129" s="221"/>
      <c r="AH129" s="221"/>
      <c r="AI129" s="221"/>
      <c r="AJ129" s="221"/>
    </row>
    <row r="130" spans="1:36">
      <c r="A130" s="221"/>
      <c r="B130" s="221"/>
      <c r="C130" s="221"/>
      <c r="D130" s="221"/>
      <c r="E130" s="221"/>
      <c r="F130" s="221"/>
      <c r="G130" s="221"/>
      <c r="H130" s="221"/>
      <c r="I130" s="221"/>
      <c r="J130" s="221"/>
      <c r="K130" s="221"/>
      <c r="L130" s="221"/>
      <c r="M130" s="221"/>
      <c r="N130" s="221"/>
      <c r="O130" s="221"/>
      <c r="P130" s="221"/>
      <c r="Q130" s="221"/>
      <c r="R130" s="221"/>
      <c r="S130" s="221"/>
      <c r="T130" s="221"/>
      <c r="U130" s="221"/>
      <c r="V130" s="221"/>
      <c r="W130" s="221"/>
      <c r="X130" s="221"/>
      <c r="Y130" s="221"/>
      <c r="Z130" s="221"/>
      <c r="AA130" s="221"/>
      <c r="AB130" s="221"/>
      <c r="AC130" s="221"/>
      <c r="AD130" s="221"/>
      <c r="AE130" s="221"/>
      <c r="AF130" s="221"/>
      <c r="AG130" s="221"/>
      <c r="AH130" s="221"/>
      <c r="AI130" s="221"/>
      <c r="AJ130" s="221"/>
    </row>
    <row r="131" spans="1:36">
      <c r="A131" s="221"/>
      <c r="B131" s="221"/>
      <c r="C131" s="221"/>
      <c r="D131" s="221"/>
      <c r="E131" s="221"/>
      <c r="F131" s="221"/>
      <c r="G131" s="221"/>
      <c r="H131" s="221"/>
      <c r="I131" s="221"/>
      <c r="J131" s="221"/>
      <c r="K131" s="221"/>
      <c r="L131" s="221"/>
      <c r="M131" s="221"/>
      <c r="N131" s="221"/>
      <c r="O131" s="221"/>
      <c r="P131" s="221"/>
      <c r="Q131" s="221"/>
      <c r="R131" s="221"/>
      <c r="S131" s="221"/>
      <c r="T131" s="221"/>
      <c r="U131" s="221"/>
      <c r="V131" s="221"/>
      <c r="W131" s="221"/>
      <c r="X131" s="221"/>
      <c r="Y131" s="221"/>
      <c r="Z131" s="221"/>
      <c r="AA131" s="221"/>
      <c r="AB131" s="221"/>
      <c r="AC131" s="221"/>
      <c r="AD131" s="221"/>
      <c r="AE131" s="221"/>
      <c r="AF131" s="221"/>
      <c r="AG131" s="221"/>
      <c r="AH131" s="221"/>
      <c r="AI131" s="221"/>
      <c r="AJ131" s="221"/>
    </row>
    <row r="132" spans="1:36">
      <c r="A132" s="221"/>
      <c r="B132" s="221"/>
      <c r="C132" s="221"/>
      <c r="D132" s="221"/>
      <c r="E132" s="221"/>
      <c r="F132" s="221"/>
      <c r="G132" s="221"/>
      <c r="H132" s="221"/>
      <c r="I132" s="221"/>
      <c r="J132" s="221"/>
      <c r="K132" s="221"/>
      <c r="L132" s="221"/>
      <c r="M132" s="221"/>
      <c r="N132" s="221"/>
      <c r="O132" s="221"/>
      <c r="P132" s="221"/>
      <c r="Q132" s="221"/>
      <c r="R132" s="221"/>
      <c r="S132" s="221"/>
      <c r="T132" s="221"/>
      <c r="U132" s="221"/>
      <c r="V132" s="221"/>
      <c r="W132" s="221"/>
      <c r="X132" s="221"/>
      <c r="Y132" s="221"/>
      <c r="Z132" s="221"/>
      <c r="AA132" s="221"/>
      <c r="AB132" s="221"/>
      <c r="AC132" s="221"/>
      <c r="AD132" s="221"/>
      <c r="AE132" s="221"/>
      <c r="AF132" s="221"/>
      <c r="AG132" s="221"/>
      <c r="AH132" s="221"/>
      <c r="AI132" s="221"/>
      <c r="AJ132" s="221"/>
    </row>
    <row r="133" spans="1:36">
      <c r="A133" s="221"/>
      <c r="B133" s="221"/>
      <c r="C133" s="221"/>
      <c r="D133" s="221"/>
      <c r="E133" s="221"/>
      <c r="F133" s="221"/>
      <c r="G133" s="221"/>
      <c r="H133" s="221"/>
      <c r="I133" s="221"/>
      <c r="J133" s="221"/>
      <c r="K133" s="221"/>
      <c r="L133" s="221"/>
      <c r="M133" s="221"/>
      <c r="N133" s="221"/>
      <c r="O133" s="221"/>
      <c r="P133" s="221"/>
      <c r="Q133" s="221"/>
      <c r="R133" s="221"/>
      <c r="S133" s="221"/>
      <c r="T133" s="221"/>
      <c r="U133" s="221"/>
      <c r="V133" s="221"/>
      <c r="W133" s="221"/>
      <c r="X133" s="221"/>
      <c r="Y133" s="221"/>
      <c r="Z133" s="221"/>
      <c r="AA133" s="221"/>
      <c r="AB133" s="221"/>
      <c r="AC133" s="221"/>
      <c r="AD133" s="221"/>
      <c r="AE133" s="221"/>
      <c r="AF133" s="221"/>
      <c r="AG133" s="221"/>
      <c r="AH133" s="221"/>
      <c r="AI133" s="221"/>
      <c r="AJ133" s="221"/>
    </row>
    <row r="134" spans="1:36">
      <c r="A134" s="221"/>
      <c r="B134" s="221"/>
      <c r="C134" s="221"/>
      <c r="D134" s="221"/>
      <c r="E134" s="221"/>
      <c r="F134" s="221"/>
      <c r="G134" s="221"/>
      <c r="H134" s="221"/>
      <c r="I134" s="221"/>
      <c r="J134" s="221"/>
      <c r="K134" s="221"/>
      <c r="L134" s="221"/>
      <c r="M134" s="221"/>
      <c r="N134" s="221"/>
      <c r="O134" s="221"/>
      <c r="P134" s="221"/>
      <c r="Q134" s="221"/>
      <c r="R134" s="221"/>
      <c r="S134" s="221"/>
      <c r="T134" s="221"/>
      <c r="U134" s="221"/>
      <c r="V134" s="221"/>
      <c r="W134" s="221"/>
      <c r="X134" s="221"/>
      <c r="Y134" s="221"/>
      <c r="Z134" s="221"/>
      <c r="AA134" s="221"/>
      <c r="AB134" s="221"/>
      <c r="AC134" s="221"/>
      <c r="AD134" s="221"/>
      <c r="AE134" s="221"/>
      <c r="AF134" s="221"/>
      <c r="AG134" s="221"/>
      <c r="AH134" s="221"/>
      <c r="AI134" s="221"/>
      <c r="AJ134" s="221"/>
    </row>
    <row r="135" spans="1:36">
      <c r="A135" s="221"/>
      <c r="B135" s="221"/>
      <c r="C135" s="221"/>
      <c r="D135" s="221"/>
      <c r="E135" s="221"/>
      <c r="F135" s="221"/>
      <c r="G135" s="221"/>
      <c r="H135" s="221"/>
      <c r="I135" s="221"/>
      <c r="J135" s="221"/>
      <c r="K135" s="221"/>
      <c r="L135" s="221"/>
      <c r="M135" s="221"/>
      <c r="N135" s="221"/>
      <c r="O135" s="221"/>
      <c r="P135" s="221"/>
      <c r="Q135" s="221"/>
      <c r="R135" s="221"/>
      <c r="S135" s="221"/>
      <c r="T135" s="221"/>
      <c r="U135" s="221"/>
      <c r="V135" s="221"/>
      <c r="W135" s="221"/>
      <c r="X135" s="221"/>
      <c r="Y135" s="221"/>
      <c r="Z135" s="221"/>
      <c r="AA135" s="221"/>
      <c r="AB135" s="221"/>
      <c r="AC135" s="221"/>
      <c r="AD135" s="221"/>
      <c r="AE135" s="221"/>
      <c r="AF135" s="221"/>
      <c r="AG135" s="221"/>
      <c r="AH135" s="221"/>
      <c r="AI135" s="221"/>
      <c r="AJ135" s="221"/>
    </row>
    <row r="136" spans="1:36">
      <c r="A136" s="221"/>
      <c r="B136" s="221"/>
      <c r="C136" s="221"/>
      <c r="D136" s="221"/>
      <c r="E136" s="221"/>
      <c r="F136" s="221"/>
      <c r="G136" s="221"/>
      <c r="H136" s="221"/>
      <c r="I136" s="221"/>
      <c r="J136" s="221"/>
      <c r="K136" s="221"/>
      <c r="L136" s="221"/>
      <c r="M136" s="221"/>
      <c r="N136" s="221"/>
      <c r="O136" s="221"/>
      <c r="P136" s="221"/>
      <c r="Q136" s="221"/>
      <c r="R136" s="221"/>
      <c r="S136" s="221"/>
      <c r="T136" s="221"/>
      <c r="U136" s="221"/>
      <c r="V136" s="221"/>
      <c r="W136" s="221"/>
      <c r="X136" s="221"/>
      <c r="Y136" s="221"/>
      <c r="Z136" s="221"/>
      <c r="AA136" s="221"/>
      <c r="AB136" s="221"/>
      <c r="AC136" s="221"/>
      <c r="AD136" s="221"/>
      <c r="AE136" s="221"/>
      <c r="AF136" s="221"/>
      <c r="AG136" s="221"/>
      <c r="AH136" s="221"/>
      <c r="AI136" s="221"/>
      <c r="AJ136" s="221"/>
    </row>
    <row r="137" spans="1:36">
      <c r="A137" s="221"/>
      <c r="B137" s="221"/>
      <c r="C137" s="221"/>
      <c r="D137" s="221"/>
      <c r="E137" s="221"/>
      <c r="F137" s="221"/>
      <c r="G137" s="221"/>
      <c r="H137" s="221"/>
      <c r="I137" s="221"/>
      <c r="J137" s="221"/>
      <c r="K137" s="221"/>
      <c r="L137" s="221"/>
      <c r="M137" s="221"/>
      <c r="N137" s="221"/>
      <c r="O137" s="221"/>
      <c r="P137" s="221"/>
      <c r="Q137" s="221"/>
      <c r="R137" s="221"/>
      <c r="S137" s="221"/>
      <c r="T137" s="221"/>
      <c r="U137" s="221"/>
      <c r="V137" s="221"/>
      <c r="W137" s="221"/>
      <c r="X137" s="221"/>
      <c r="Y137" s="221"/>
      <c r="Z137" s="221"/>
      <c r="AA137" s="221"/>
      <c r="AB137" s="221"/>
      <c r="AC137" s="221"/>
      <c r="AD137" s="221"/>
      <c r="AE137" s="221"/>
      <c r="AF137" s="221"/>
      <c r="AG137" s="221"/>
      <c r="AH137" s="221"/>
      <c r="AI137" s="221"/>
      <c r="AJ137" s="221"/>
    </row>
    <row r="138" spans="1:36">
      <c r="A138" s="221"/>
      <c r="B138" s="221"/>
      <c r="C138" s="221"/>
      <c r="D138" s="221"/>
      <c r="E138" s="221"/>
      <c r="F138" s="221"/>
      <c r="G138" s="221"/>
      <c r="H138" s="221"/>
      <c r="I138" s="221"/>
      <c r="J138" s="221"/>
      <c r="K138" s="221"/>
      <c r="L138" s="221"/>
      <c r="M138" s="221"/>
      <c r="N138" s="221"/>
      <c r="O138" s="221"/>
      <c r="P138" s="221"/>
      <c r="Q138" s="221"/>
      <c r="R138" s="221"/>
      <c r="S138" s="221"/>
      <c r="T138" s="221"/>
      <c r="U138" s="221"/>
      <c r="V138" s="221"/>
      <c r="W138" s="221"/>
      <c r="X138" s="221"/>
      <c r="Y138" s="221"/>
      <c r="Z138" s="221"/>
      <c r="AA138" s="221"/>
      <c r="AB138" s="221"/>
      <c r="AC138" s="221"/>
      <c r="AD138" s="221"/>
      <c r="AE138" s="221"/>
      <c r="AF138" s="221"/>
      <c r="AG138" s="221"/>
      <c r="AH138" s="221"/>
      <c r="AI138" s="221"/>
      <c r="AJ138" s="221"/>
    </row>
    <row r="139" spans="1:36">
      <c r="A139" s="221"/>
      <c r="B139" s="221"/>
      <c r="C139" s="221"/>
      <c r="D139" s="221"/>
      <c r="E139" s="221"/>
      <c r="F139" s="221"/>
      <c r="G139" s="221"/>
      <c r="H139" s="221"/>
      <c r="I139" s="221"/>
      <c r="J139" s="221"/>
      <c r="K139" s="221"/>
      <c r="L139" s="221"/>
      <c r="M139" s="221"/>
      <c r="N139" s="221"/>
      <c r="O139" s="221"/>
      <c r="P139" s="221"/>
      <c r="Q139" s="221"/>
      <c r="R139" s="221"/>
      <c r="S139" s="221"/>
      <c r="T139" s="221"/>
      <c r="U139" s="221"/>
      <c r="V139" s="221"/>
      <c r="W139" s="221"/>
      <c r="X139" s="221"/>
      <c r="Y139" s="221"/>
      <c r="Z139" s="221"/>
      <c r="AA139" s="221"/>
      <c r="AB139" s="221"/>
      <c r="AC139" s="221"/>
      <c r="AD139" s="221"/>
      <c r="AE139" s="221"/>
      <c r="AF139" s="221"/>
      <c r="AG139" s="221"/>
      <c r="AH139" s="221"/>
      <c r="AI139" s="221"/>
      <c r="AJ139" s="221"/>
    </row>
    <row r="140" spans="1:36">
      <c r="A140" s="221"/>
      <c r="B140" s="221"/>
      <c r="C140" s="221"/>
      <c r="D140" s="221"/>
      <c r="E140" s="221"/>
      <c r="F140" s="221"/>
      <c r="G140" s="221"/>
      <c r="H140" s="221"/>
      <c r="I140" s="221"/>
      <c r="J140" s="221"/>
      <c r="K140" s="221"/>
      <c r="L140" s="221"/>
      <c r="M140" s="221"/>
      <c r="N140" s="221"/>
      <c r="O140" s="221"/>
      <c r="P140" s="221"/>
      <c r="Q140" s="221"/>
      <c r="R140" s="221"/>
      <c r="S140" s="221"/>
      <c r="T140" s="221"/>
      <c r="U140" s="221"/>
      <c r="V140" s="221"/>
      <c r="W140" s="221"/>
      <c r="X140" s="221"/>
      <c r="Y140" s="221"/>
      <c r="Z140" s="221"/>
      <c r="AA140" s="221"/>
      <c r="AB140" s="221"/>
      <c r="AC140" s="221"/>
      <c r="AD140" s="221"/>
      <c r="AE140" s="221"/>
      <c r="AF140" s="221"/>
      <c r="AG140" s="221"/>
      <c r="AH140" s="221"/>
      <c r="AI140" s="221"/>
      <c r="AJ140" s="221"/>
    </row>
    <row r="141" spans="1:36">
      <c r="A141" s="221"/>
      <c r="B141" s="221"/>
      <c r="C141" s="221"/>
      <c r="D141" s="221"/>
      <c r="E141" s="221"/>
      <c r="F141" s="221"/>
      <c r="G141" s="221"/>
      <c r="H141" s="221"/>
      <c r="I141" s="221"/>
      <c r="J141" s="221"/>
      <c r="K141" s="221"/>
      <c r="L141" s="221"/>
      <c r="M141" s="221"/>
      <c r="N141" s="221"/>
      <c r="O141" s="221"/>
      <c r="P141" s="221"/>
      <c r="Q141" s="221"/>
      <c r="R141" s="221"/>
      <c r="S141" s="221"/>
      <c r="T141" s="221"/>
      <c r="U141" s="221"/>
      <c r="V141" s="221"/>
      <c r="W141" s="221"/>
      <c r="X141" s="221"/>
      <c r="Y141" s="221"/>
      <c r="Z141" s="221"/>
      <c r="AA141" s="221"/>
      <c r="AB141" s="221"/>
      <c r="AC141" s="221"/>
      <c r="AD141" s="221"/>
      <c r="AE141" s="221"/>
      <c r="AF141" s="221"/>
      <c r="AG141" s="221"/>
      <c r="AH141" s="221"/>
      <c r="AI141" s="221"/>
      <c r="AJ141" s="221"/>
    </row>
    <row r="142" spans="1:36">
      <c r="A142" s="221"/>
      <c r="B142" s="221"/>
      <c r="C142" s="221"/>
      <c r="D142" s="221"/>
      <c r="E142" s="221"/>
      <c r="F142" s="221"/>
      <c r="G142" s="221"/>
      <c r="H142" s="221"/>
      <c r="I142" s="221"/>
      <c r="J142" s="221"/>
      <c r="K142" s="221"/>
      <c r="L142" s="221"/>
      <c r="M142" s="221"/>
      <c r="N142" s="221"/>
      <c r="O142" s="221"/>
      <c r="P142" s="221"/>
      <c r="Q142" s="221"/>
      <c r="R142" s="221"/>
      <c r="S142" s="221"/>
      <c r="T142" s="221"/>
      <c r="U142" s="221"/>
      <c r="V142" s="221"/>
      <c r="W142" s="221"/>
      <c r="X142" s="221"/>
      <c r="Y142" s="221"/>
      <c r="Z142" s="221"/>
      <c r="AA142" s="221"/>
      <c r="AB142" s="221"/>
      <c r="AC142" s="221"/>
      <c r="AD142" s="221"/>
      <c r="AE142" s="221"/>
      <c r="AF142" s="221"/>
      <c r="AG142" s="221"/>
      <c r="AH142" s="221"/>
      <c r="AI142" s="221"/>
      <c r="AJ142" s="221"/>
    </row>
    <row r="143" spans="1:36">
      <c r="A143" s="221"/>
      <c r="B143" s="221"/>
      <c r="C143" s="221"/>
      <c r="D143" s="221"/>
      <c r="E143" s="221"/>
      <c r="F143" s="221"/>
      <c r="G143" s="221"/>
      <c r="H143" s="221"/>
      <c r="I143" s="221"/>
      <c r="J143" s="221"/>
      <c r="K143" s="221"/>
      <c r="L143" s="221"/>
      <c r="M143" s="221"/>
      <c r="N143" s="221"/>
      <c r="O143" s="221"/>
      <c r="P143" s="221"/>
      <c r="Q143" s="221"/>
      <c r="R143" s="221"/>
      <c r="S143" s="221"/>
      <c r="T143" s="221"/>
      <c r="U143" s="221"/>
      <c r="V143" s="221"/>
      <c r="W143" s="221"/>
      <c r="X143" s="221"/>
      <c r="Y143" s="221"/>
      <c r="Z143" s="221"/>
      <c r="AA143" s="221"/>
      <c r="AB143" s="221"/>
      <c r="AC143" s="221"/>
      <c r="AD143" s="221"/>
      <c r="AE143" s="221"/>
      <c r="AF143" s="221"/>
      <c r="AG143" s="221"/>
      <c r="AH143" s="221"/>
      <c r="AI143" s="221"/>
      <c r="AJ143" s="221"/>
    </row>
    <row r="144" spans="1:36">
      <c r="A144" s="221"/>
      <c r="B144" s="221"/>
      <c r="C144" s="221"/>
      <c r="D144" s="221"/>
      <c r="E144" s="221"/>
      <c r="F144" s="221"/>
      <c r="G144" s="221"/>
      <c r="H144" s="221"/>
      <c r="I144" s="221"/>
      <c r="J144" s="221"/>
      <c r="K144" s="221"/>
      <c r="L144" s="221"/>
      <c r="M144" s="221"/>
      <c r="N144" s="221"/>
      <c r="O144" s="221"/>
      <c r="P144" s="221"/>
      <c r="Q144" s="221"/>
      <c r="R144" s="221"/>
      <c r="S144" s="221"/>
      <c r="T144" s="221"/>
      <c r="U144" s="221"/>
      <c r="V144" s="221"/>
      <c r="W144" s="221"/>
      <c r="X144" s="221"/>
      <c r="Y144" s="221"/>
      <c r="Z144" s="221"/>
      <c r="AA144" s="221"/>
      <c r="AB144" s="221"/>
      <c r="AC144" s="221"/>
      <c r="AD144" s="221"/>
      <c r="AE144" s="221"/>
      <c r="AF144" s="221"/>
      <c r="AG144" s="221"/>
      <c r="AH144" s="221"/>
      <c r="AI144" s="221"/>
      <c r="AJ144" s="221"/>
    </row>
    <row r="145" spans="1:36">
      <c r="A145" s="221"/>
      <c r="B145" s="221"/>
      <c r="C145" s="221"/>
      <c r="D145" s="221"/>
      <c r="E145" s="221"/>
      <c r="F145" s="221"/>
      <c r="G145" s="221"/>
      <c r="H145" s="221"/>
      <c r="I145" s="221"/>
      <c r="J145" s="221"/>
      <c r="K145" s="221"/>
      <c r="L145" s="221"/>
      <c r="M145" s="221"/>
      <c r="N145" s="221"/>
      <c r="O145" s="221"/>
      <c r="P145" s="221"/>
      <c r="Q145" s="221"/>
      <c r="R145" s="221"/>
      <c r="S145" s="221"/>
      <c r="T145" s="221"/>
      <c r="U145" s="221"/>
      <c r="V145" s="221"/>
      <c r="W145" s="221"/>
      <c r="X145" s="221"/>
      <c r="Y145" s="221"/>
      <c r="Z145" s="221"/>
      <c r="AA145" s="221"/>
      <c r="AB145" s="221"/>
      <c r="AC145" s="221"/>
      <c r="AD145" s="221"/>
      <c r="AE145" s="221"/>
      <c r="AF145" s="221"/>
      <c r="AG145" s="221"/>
      <c r="AH145" s="221"/>
      <c r="AI145" s="221"/>
      <c r="AJ145" s="221"/>
    </row>
    <row r="146" spans="1:36">
      <c r="A146" s="221"/>
      <c r="B146" s="221"/>
      <c r="C146" s="221"/>
      <c r="D146" s="221"/>
      <c r="E146" s="221"/>
      <c r="F146" s="221"/>
      <c r="G146" s="221"/>
      <c r="H146" s="221"/>
      <c r="I146" s="221"/>
      <c r="J146" s="221"/>
      <c r="K146" s="221"/>
      <c r="L146" s="221"/>
      <c r="M146" s="221"/>
      <c r="N146" s="221"/>
      <c r="O146" s="221"/>
      <c r="P146" s="221"/>
      <c r="Q146" s="221"/>
      <c r="R146" s="221"/>
      <c r="S146" s="221"/>
      <c r="T146" s="221"/>
      <c r="U146" s="221"/>
      <c r="V146" s="221"/>
      <c r="W146" s="221"/>
      <c r="X146" s="221"/>
      <c r="Y146" s="221"/>
      <c r="Z146" s="221"/>
      <c r="AA146" s="221"/>
      <c r="AB146" s="221"/>
      <c r="AC146" s="221"/>
      <c r="AD146" s="221"/>
      <c r="AE146" s="221"/>
      <c r="AF146" s="221"/>
      <c r="AG146" s="221"/>
      <c r="AH146" s="221"/>
      <c r="AI146" s="221"/>
      <c r="AJ146" s="221"/>
    </row>
    <row r="147" spans="1:36">
      <c r="A147" s="221"/>
      <c r="B147" s="221"/>
      <c r="C147" s="221"/>
      <c r="D147" s="221"/>
      <c r="E147" s="221"/>
      <c r="F147" s="221"/>
      <c r="G147" s="221"/>
      <c r="H147" s="221"/>
      <c r="I147" s="221"/>
      <c r="J147" s="221"/>
      <c r="K147" s="221"/>
      <c r="L147" s="221"/>
      <c r="M147" s="221"/>
      <c r="N147" s="221"/>
      <c r="O147" s="221"/>
      <c r="P147" s="221"/>
      <c r="Q147" s="221"/>
      <c r="R147" s="221"/>
      <c r="S147" s="221"/>
      <c r="T147" s="221"/>
      <c r="U147" s="221"/>
      <c r="V147" s="221"/>
      <c r="W147" s="221"/>
      <c r="X147" s="221"/>
      <c r="Y147" s="221"/>
      <c r="Z147" s="221"/>
      <c r="AA147" s="221"/>
      <c r="AB147" s="221"/>
      <c r="AC147" s="221"/>
      <c r="AD147" s="221"/>
      <c r="AE147" s="221"/>
      <c r="AF147" s="221"/>
      <c r="AG147" s="221"/>
      <c r="AH147" s="221"/>
      <c r="AI147" s="221"/>
      <c r="AJ147" s="221"/>
    </row>
    <row r="148" spans="1:36">
      <c r="A148" s="221"/>
      <c r="B148" s="221"/>
      <c r="C148" s="221"/>
      <c r="D148" s="221"/>
      <c r="E148" s="221"/>
      <c r="F148" s="221"/>
      <c r="G148" s="221"/>
      <c r="H148" s="221"/>
      <c r="I148" s="221"/>
      <c r="J148" s="221"/>
      <c r="K148" s="221"/>
      <c r="L148" s="221"/>
      <c r="M148" s="221"/>
      <c r="N148" s="221"/>
      <c r="O148" s="221"/>
      <c r="P148" s="221"/>
      <c r="Q148" s="221"/>
      <c r="R148" s="221"/>
      <c r="S148" s="221"/>
      <c r="T148" s="221"/>
      <c r="U148" s="221"/>
      <c r="V148" s="221"/>
      <c r="W148" s="221"/>
      <c r="X148" s="221"/>
      <c r="Y148" s="221"/>
      <c r="Z148" s="221"/>
      <c r="AA148" s="221"/>
      <c r="AB148" s="221"/>
      <c r="AC148" s="221"/>
      <c r="AD148" s="221"/>
      <c r="AE148" s="221"/>
      <c r="AF148" s="221"/>
      <c r="AG148" s="221"/>
      <c r="AH148" s="221"/>
      <c r="AI148" s="221"/>
      <c r="AJ148" s="221"/>
    </row>
    <row r="149" spans="1:36">
      <c r="A149" s="221"/>
      <c r="B149" s="221"/>
      <c r="C149" s="221"/>
      <c r="D149" s="221"/>
      <c r="E149" s="221"/>
      <c r="F149" s="221"/>
      <c r="G149" s="221"/>
      <c r="H149" s="221"/>
      <c r="I149" s="221"/>
      <c r="J149" s="221"/>
      <c r="K149" s="221"/>
      <c r="L149" s="221"/>
      <c r="M149" s="221"/>
      <c r="N149" s="221"/>
      <c r="O149" s="221"/>
      <c r="P149" s="221"/>
      <c r="Q149" s="221"/>
      <c r="R149" s="221"/>
      <c r="S149" s="221"/>
      <c r="T149" s="221"/>
      <c r="U149" s="221"/>
      <c r="V149" s="221"/>
      <c r="W149" s="221"/>
      <c r="X149" s="221"/>
      <c r="Y149" s="221"/>
      <c r="Z149" s="221"/>
      <c r="AA149" s="221"/>
      <c r="AB149" s="221"/>
      <c r="AC149" s="221"/>
      <c r="AD149" s="221"/>
      <c r="AE149" s="221"/>
      <c r="AF149" s="221"/>
      <c r="AG149" s="221"/>
      <c r="AH149" s="221"/>
      <c r="AI149" s="221"/>
      <c r="AJ149" s="221"/>
    </row>
    <row r="150" spans="1:36">
      <c r="A150" s="221"/>
      <c r="B150" s="221"/>
      <c r="C150" s="221"/>
      <c r="D150" s="221"/>
      <c r="E150" s="221"/>
      <c r="F150" s="221"/>
      <c r="G150" s="221"/>
      <c r="H150" s="221"/>
      <c r="I150" s="221"/>
      <c r="J150" s="221"/>
      <c r="K150" s="221"/>
      <c r="L150" s="221"/>
      <c r="M150" s="221"/>
      <c r="N150" s="221"/>
      <c r="O150" s="221"/>
      <c r="P150" s="221"/>
      <c r="Q150" s="221"/>
      <c r="R150" s="221"/>
      <c r="S150" s="221"/>
      <c r="T150" s="221"/>
      <c r="U150" s="221"/>
      <c r="V150" s="221"/>
      <c r="W150" s="221"/>
      <c r="X150" s="221"/>
      <c r="Y150" s="221"/>
      <c r="Z150" s="221"/>
      <c r="AA150" s="221"/>
      <c r="AB150" s="221"/>
      <c r="AC150" s="221"/>
      <c r="AD150" s="221"/>
      <c r="AE150" s="221"/>
      <c r="AF150" s="221"/>
      <c r="AG150" s="221"/>
      <c r="AH150" s="221"/>
      <c r="AI150" s="221"/>
      <c r="AJ150" s="221"/>
    </row>
    <row r="151" spans="1:36">
      <c r="A151" s="221"/>
      <c r="B151" s="221"/>
      <c r="C151" s="221"/>
      <c r="D151" s="221"/>
      <c r="E151" s="221"/>
      <c r="F151" s="221"/>
      <c r="G151" s="221"/>
      <c r="H151" s="221"/>
      <c r="I151" s="221"/>
      <c r="J151" s="221"/>
      <c r="K151" s="221"/>
      <c r="L151" s="221"/>
      <c r="M151" s="221"/>
      <c r="N151" s="221"/>
      <c r="O151" s="221"/>
      <c r="P151" s="221"/>
      <c r="Q151" s="221"/>
      <c r="R151" s="221"/>
      <c r="S151" s="221"/>
      <c r="T151" s="221"/>
      <c r="U151" s="221"/>
      <c r="V151" s="221"/>
      <c r="W151" s="221"/>
      <c r="X151" s="221"/>
      <c r="Y151" s="221"/>
      <c r="Z151" s="221"/>
      <c r="AA151" s="221"/>
      <c r="AB151" s="221"/>
      <c r="AC151" s="221"/>
      <c r="AD151" s="221"/>
      <c r="AE151" s="221"/>
      <c r="AF151" s="221"/>
      <c r="AG151" s="221"/>
      <c r="AH151" s="221"/>
      <c r="AI151" s="221"/>
      <c r="AJ151" s="221"/>
    </row>
    <row r="152" spans="1:36">
      <c r="A152" s="221"/>
      <c r="B152" s="221"/>
      <c r="C152" s="221"/>
      <c r="D152" s="221"/>
      <c r="E152" s="221"/>
      <c r="F152" s="221"/>
      <c r="G152" s="221"/>
      <c r="H152" s="221"/>
      <c r="I152" s="221"/>
      <c r="J152" s="221"/>
      <c r="K152" s="221"/>
      <c r="L152" s="221"/>
      <c r="M152" s="221"/>
      <c r="N152" s="221"/>
      <c r="O152" s="221"/>
      <c r="P152" s="221"/>
      <c r="Q152" s="221"/>
      <c r="R152" s="221"/>
      <c r="S152" s="221"/>
      <c r="T152" s="221"/>
      <c r="U152" s="221"/>
      <c r="V152" s="221"/>
      <c r="W152" s="221"/>
      <c r="X152" s="221"/>
      <c r="Y152" s="221"/>
      <c r="Z152" s="221"/>
      <c r="AA152" s="221"/>
      <c r="AB152" s="221"/>
      <c r="AC152" s="221"/>
      <c r="AD152" s="221"/>
      <c r="AE152" s="221"/>
      <c r="AF152" s="221"/>
      <c r="AG152" s="221"/>
      <c r="AH152" s="221"/>
      <c r="AI152" s="221"/>
      <c r="AJ152" s="221"/>
    </row>
    <row r="153" spans="1:36">
      <c r="A153" s="221"/>
      <c r="B153" s="221"/>
      <c r="C153" s="221"/>
      <c r="D153" s="221"/>
      <c r="E153" s="221"/>
      <c r="F153" s="221"/>
      <c r="G153" s="221"/>
      <c r="H153" s="221"/>
      <c r="I153" s="221"/>
      <c r="J153" s="221"/>
      <c r="K153" s="221"/>
      <c r="L153" s="221"/>
      <c r="M153" s="221"/>
      <c r="N153" s="221"/>
      <c r="O153" s="221"/>
      <c r="P153" s="221"/>
      <c r="Q153" s="221"/>
      <c r="R153" s="221"/>
      <c r="S153" s="221"/>
      <c r="T153" s="221"/>
      <c r="U153" s="221"/>
      <c r="V153" s="221"/>
      <c r="W153" s="221"/>
      <c r="X153" s="221"/>
      <c r="Y153" s="221"/>
      <c r="Z153" s="221"/>
      <c r="AA153" s="221"/>
      <c r="AB153" s="221"/>
      <c r="AC153" s="221"/>
      <c r="AD153" s="221"/>
      <c r="AE153" s="221"/>
      <c r="AF153" s="221"/>
      <c r="AG153" s="221"/>
      <c r="AH153" s="221"/>
      <c r="AI153" s="221"/>
      <c r="AJ153" s="221"/>
    </row>
    <row r="154" spans="1:36">
      <c r="A154" s="221"/>
      <c r="B154" s="221"/>
      <c r="C154" s="221"/>
      <c r="D154" s="221"/>
      <c r="E154" s="221"/>
      <c r="F154" s="221"/>
      <c r="G154" s="221"/>
      <c r="H154" s="221"/>
      <c r="I154" s="221"/>
      <c r="J154" s="221"/>
      <c r="K154" s="221"/>
      <c r="L154" s="221"/>
      <c r="M154" s="221"/>
      <c r="N154" s="221"/>
      <c r="O154" s="221"/>
      <c r="P154" s="221"/>
      <c r="Q154" s="221"/>
      <c r="R154" s="221"/>
      <c r="S154" s="221"/>
      <c r="T154" s="221"/>
      <c r="U154" s="221"/>
      <c r="V154" s="221"/>
      <c r="W154" s="221"/>
      <c r="X154" s="221"/>
      <c r="Y154" s="221"/>
      <c r="Z154" s="221"/>
      <c r="AA154" s="221"/>
      <c r="AB154" s="221"/>
      <c r="AC154" s="221"/>
      <c r="AD154" s="221"/>
      <c r="AE154" s="221"/>
      <c r="AF154" s="221"/>
      <c r="AG154" s="221"/>
      <c r="AH154" s="221"/>
      <c r="AI154" s="221"/>
      <c r="AJ154" s="221"/>
    </row>
    <row r="155" spans="1:36">
      <c r="A155" s="221"/>
      <c r="B155" s="221"/>
      <c r="C155" s="221"/>
      <c r="D155" s="221"/>
      <c r="E155" s="221"/>
      <c r="F155" s="221"/>
      <c r="G155" s="221"/>
      <c r="H155" s="221"/>
      <c r="I155" s="221"/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221"/>
      <c r="X155" s="221"/>
      <c r="Y155" s="221"/>
      <c r="Z155" s="221"/>
      <c r="AA155" s="221"/>
      <c r="AB155" s="221"/>
      <c r="AC155" s="221"/>
      <c r="AD155" s="221"/>
      <c r="AE155" s="221"/>
      <c r="AF155" s="221"/>
      <c r="AG155" s="221"/>
      <c r="AH155" s="221"/>
      <c r="AI155" s="221"/>
      <c r="AJ155" s="221"/>
    </row>
    <row r="156" spans="1:36">
      <c r="A156" s="221"/>
      <c r="B156" s="221"/>
      <c r="C156" s="221"/>
      <c r="D156" s="221"/>
      <c r="E156" s="221"/>
      <c r="F156" s="221"/>
      <c r="G156" s="221"/>
      <c r="H156" s="221"/>
      <c r="I156" s="221"/>
      <c r="J156" s="221"/>
      <c r="K156" s="221"/>
      <c r="L156" s="221"/>
      <c r="M156" s="221"/>
      <c r="N156" s="221"/>
      <c r="O156" s="221"/>
      <c r="P156" s="221"/>
      <c r="Q156" s="221"/>
      <c r="R156" s="221"/>
      <c r="S156" s="221"/>
      <c r="T156" s="221"/>
      <c r="U156" s="221"/>
      <c r="V156" s="221"/>
      <c r="W156" s="221"/>
      <c r="X156" s="221"/>
      <c r="Y156" s="221"/>
      <c r="Z156" s="221"/>
      <c r="AA156" s="221"/>
      <c r="AB156" s="221"/>
      <c r="AC156" s="221"/>
      <c r="AD156" s="221"/>
      <c r="AE156" s="221"/>
      <c r="AF156" s="221"/>
      <c r="AG156" s="221"/>
      <c r="AH156" s="221"/>
      <c r="AI156" s="221"/>
      <c r="AJ156" s="221"/>
    </row>
    <row r="157" spans="1:36">
      <c r="A157" s="221"/>
      <c r="B157" s="221"/>
      <c r="C157" s="221"/>
      <c r="D157" s="221"/>
      <c r="E157" s="221"/>
      <c r="F157" s="221"/>
      <c r="G157" s="221"/>
      <c r="H157" s="221"/>
      <c r="I157" s="221"/>
      <c r="J157" s="221"/>
      <c r="K157" s="221"/>
      <c r="L157" s="221"/>
      <c r="M157" s="221"/>
      <c r="N157" s="221"/>
      <c r="O157" s="221"/>
      <c r="P157" s="221"/>
      <c r="Q157" s="221"/>
      <c r="R157" s="221"/>
      <c r="S157" s="221"/>
      <c r="T157" s="221"/>
      <c r="U157" s="221"/>
      <c r="V157" s="221"/>
      <c r="W157" s="221"/>
      <c r="X157" s="221"/>
      <c r="Y157" s="221"/>
      <c r="Z157" s="221"/>
      <c r="AA157" s="221"/>
      <c r="AB157" s="221"/>
      <c r="AC157" s="221"/>
      <c r="AD157" s="221"/>
      <c r="AE157" s="221"/>
      <c r="AF157" s="221"/>
      <c r="AG157" s="221"/>
      <c r="AH157" s="221"/>
      <c r="AI157" s="221"/>
      <c r="AJ157" s="221"/>
    </row>
    <row r="158" spans="1:36">
      <c r="A158" s="221"/>
      <c r="B158" s="221"/>
      <c r="C158" s="221"/>
      <c r="D158" s="221"/>
      <c r="E158" s="221"/>
      <c r="F158" s="221"/>
      <c r="G158" s="221"/>
      <c r="H158" s="221"/>
      <c r="I158" s="221"/>
      <c r="J158" s="221"/>
      <c r="K158" s="221"/>
      <c r="L158" s="221"/>
      <c r="M158" s="221"/>
      <c r="N158" s="221"/>
      <c r="O158" s="221"/>
      <c r="P158" s="221"/>
      <c r="Q158" s="221"/>
      <c r="R158" s="221"/>
      <c r="S158" s="221"/>
      <c r="T158" s="221"/>
      <c r="U158" s="221"/>
      <c r="V158" s="221"/>
      <c r="W158" s="221"/>
      <c r="X158" s="221"/>
      <c r="Y158" s="221"/>
      <c r="Z158" s="221"/>
      <c r="AA158" s="221"/>
      <c r="AB158" s="221"/>
      <c r="AC158" s="221"/>
      <c r="AD158" s="221"/>
      <c r="AE158" s="221"/>
      <c r="AF158" s="221"/>
      <c r="AG158" s="221"/>
      <c r="AH158" s="221"/>
      <c r="AI158" s="221"/>
      <c r="AJ158" s="221"/>
    </row>
    <row r="159" spans="1:36">
      <c r="A159" s="221"/>
      <c r="B159" s="221"/>
      <c r="C159" s="221"/>
      <c r="D159" s="221"/>
      <c r="E159" s="221"/>
      <c r="F159" s="221"/>
      <c r="G159" s="221"/>
      <c r="H159" s="221"/>
      <c r="I159" s="221"/>
      <c r="J159" s="221"/>
      <c r="K159" s="221"/>
      <c r="L159" s="221"/>
      <c r="M159" s="221"/>
      <c r="N159" s="221"/>
      <c r="O159" s="221"/>
      <c r="P159" s="221"/>
      <c r="Q159" s="221"/>
      <c r="R159" s="221"/>
      <c r="S159" s="221"/>
      <c r="T159" s="221"/>
      <c r="U159" s="221"/>
      <c r="V159" s="221"/>
      <c r="W159" s="221"/>
      <c r="X159" s="221"/>
      <c r="Y159" s="221"/>
      <c r="Z159" s="221"/>
      <c r="AA159" s="221"/>
      <c r="AB159" s="221"/>
      <c r="AC159" s="221"/>
      <c r="AD159" s="221"/>
      <c r="AE159" s="221"/>
      <c r="AF159" s="221"/>
      <c r="AG159" s="221"/>
      <c r="AH159" s="221"/>
      <c r="AI159" s="221"/>
      <c r="AJ159" s="221"/>
    </row>
    <row r="160" spans="1:36">
      <c r="A160" s="221"/>
      <c r="B160" s="221"/>
      <c r="C160" s="221"/>
      <c r="D160" s="221"/>
      <c r="E160" s="221"/>
      <c r="F160" s="221"/>
      <c r="G160" s="221"/>
      <c r="H160" s="221"/>
      <c r="I160" s="221"/>
      <c r="J160" s="221"/>
      <c r="K160" s="221"/>
      <c r="L160" s="221"/>
      <c r="M160" s="221"/>
      <c r="N160" s="221"/>
      <c r="O160" s="221"/>
      <c r="P160" s="221"/>
      <c r="Q160" s="221"/>
      <c r="R160" s="221"/>
      <c r="S160" s="221"/>
      <c r="T160" s="221"/>
      <c r="U160" s="221"/>
      <c r="V160" s="221"/>
      <c r="W160" s="221"/>
      <c r="X160" s="221"/>
      <c r="Y160" s="221"/>
      <c r="Z160" s="221"/>
      <c r="AA160" s="221"/>
      <c r="AB160" s="221"/>
      <c r="AC160" s="221"/>
      <c r="AD160" s="221"/>
      <c r="AE160" s="221"/>
      <c r="AF160" s="221"/>
      <c r="AG160" s="221"/>
      <c r="AH160" s="221"/>
      <c r="AI160" s="221"/>
      <c r="AJ160" s="221"/>
    </row>
    <row r="161" spans="1:36">
      <c r="A161" s="221"/>
      <c r="B161" s="221"/>
      <c r="C161" s="221"/>
      <c r="D161" s="221"/>
      <c r="E161" s="221"/>
      <c r="F161" s="221"/>
      <c r="G161" s="221"/>
      <c r="H161" s="221"/>
      <c r="I161" s="221"/>
      <c r="J161" s="221"/>
      <c r="K161" s="221"/>
      <c r="L161" s="221"/>
      <c r="M161" s="221"/>
      <c r="N161" s="221"/>
      <c r="O161" s="221"/>
      <c r="P161" s="221"/>
      <c r="Q161" s="221"/>
      <c r="R161" s="221"/>
      <c r="S161" s="221"/>
      <c r="T161" s="221"/>
      <c r="U161" s="221"/>
      <c r="V161" s="221"/>
      <c r="W161" s="221"/>
      <c r="X161" s="221"/>
      <c r="Y161" s="221"/>
      <c r="Z161" s="221"/>
      <c r="AA161" s="221"/>
      <c r="AB161" s="221"/>
      <c r="AC161" s="221"/>
      <c r="AD161" s="221"/>
      <c r="AE161" s="221"/>
      <c r="AF161" s="221"/>
      <c r="AG161" s="221"/>
      <c r="AH161" s="221"/>
      <c r="AI161" s="221"/>
      <c r="AJ161" s="221"/>
    </row>
    <row r="162" spans="1:36">
      <c r="A162" s="221"/>
      <c r="B162" s="221"/>
      <c r="C162" s="221"/>
      <c r="D162" s="221"/>
      <c r="E162" s="221"/>
      <c r="F162" s="221"/>
      <c r="G162" s="221"/>
      <c r="H162" s="221"/>
      <c r="I162" s="221"/>
      <c r="J162" s="221"/>
      <c r="K162" s="221"/>
      <c r="L162" s="221"/>
      <c r="M162" s="221"/>
      <c r="N162" s="221"/>
      <c r="O162" s="221"/>
      <c r="P162" s="221"/>
      <c r="Q162" s="221"/>
      <c r="R162" s="221"/>
      <c r="S162" s="221"/>
      <c r="T162" s="221"/>
      <c r="U162" s="221"/>
      <c r="V162" s="221"/>
      <c r="W162" s="221"/>
      <c r="X162" s="221"/>
      <c r="Y162" s="221"/>
      <c r="Z162" s="221"/>
      <c r="AA162" s="221"/>
      <c r="AB162" s="221"/>
      <c r="AC162" s="221"/>
      <c r="AD162" s="221"/>
      <c r="AE162" s="221"/>
      <c r="AF162" s="221"/>
      <c r="AG162" s="221"/>
      <c r="AH162" s="221"/>
      <c r="AI162" s="221"/>
      <c r="AJ162" s="221"/>
    </row>
    <row r="163" spans="1:36">
      <c r="A163" s="221"/>
      <c r="B163" s="221"/>
      <c r="C163" s="221"/>
      <c r="D163" s="221"/>
      <c r="E163" s="221"/>
      <c r="F163" s="221"/>
      <c r="G163" s="221"/>
      <c r="H163" s="221"/>
      <c r="I163" s="221"/>
      <c r="J163" s="221"/>
      <c r="K163" s="221"/>
      <c r="L163" s="221"/>
      <c r="M163" s="221"/>
      <c r="N163" s="221"/>
      <c r="O163" s="221"/>
      <c r="P163" s="221"/>
      <c r="Q163" s="221"/>
      <c r="R163" s="221"/>
      <c r="S163" s="221"/>
      <c r="T163" s="221"/>
      <c r="U163" s="221"/>
      <c r="V163" s="221"/>
      <c r="W163" s="221"/>
      <c r="X163" s="221"/>
      <c r="Y163" s="221"/>
      <c r="Z163" s="221"/>
      <c r="AA163" s="221"/>
      <c r="AB163" s="221"/>
      <c r="AC163" s="221"/>
      <c r="AD163" s="221"/>
      <c r="AE163" s="221"/>
      <c r="AF163" s="221"/>
      <c r="AG163" s="221"/>
      <c r="AH163" s="221"/>
      <c r="AI163" s="221"/>
      <c r="AJ163" s="221"/>
    </row>
    <row r="164" spans="1:36">
      <c r="A164" s="221"/>
      <c r="B164" s="221"/>
      <c r="C164" s="221"/>
      <c r="D164" s="221"/>
      <c r="E164" s="221"/>
      <c r="F164" s="221"/>
      <c r="G164" s="221"/>
      <c r="H164" s="221"/>
      <c r="I164" s="221"/>
      <c r="J164" s="221"/>
      <c r="K164" s="221"/>
      <c r="L164" s="221"/>
      <c r="M164" s="221"/>
      <c r="N164" s="221"/>
      <c r="O164" s="221"/>
      <c r="P164" s="221"/>
      <c r="Q164" s="221"/>
      <c r="R164" s="221"/>
      <c r="S164" s="221"/>
      <c r="T164" s="221"/>
      <c r="U164" s="221"/>
      <c r="V164" s="221"/>
      <c r="W164" s="221"/>
      <c r="X164" s="221"/>
      <c r="Y164" s="221"/>
      <c r="Z164" s="221"/>
      <c r="AA164" s="221"/>
      <c r="AB164" s="221"/>
      <c r="AC164" s="221"/>
      <c r="AD164" s="221"/>
      <c r="AE164" s="221"/>
      <c r="AF164" s="221"/>
      <c r="AG164" s="221"/>
      <c r="AH164" s="221"/>
      <c r="AI164" s="221"/>
      <c r="AJ164" s="221"/>
    </row>
    <row r="165" spans="1:36">
      <c r="A165" s="221"/>
      <c r="B165" s="221"/>
      <c r="C165" s="221"/>
      <c r="D165" s="221"/>
      <c r="E165" s="221"/>
      <c r="F165" s="221"/>
      <c r="G165" s="221"/>
      <c r="H165" s="221"/>
      <c r="I165" s="221"/>
      <c r="J165" s="221"/>
      <c r="K165" s="221"/>
      <c r="L165" s="221"/>
      <c r="M165" s="221"/>
      <c r="N165" s="221"/>
      <c r="O165" s="221"/>
      <c r="P165" s="221"/>
      <c r="Q165" s="221"/>
      <c r="R165" s="221"/>
      <c r="S165" s="221"/>
      <c r="T165" s="221"/>
      <c r="U165" s="221"/>
      <c r="V165" s="221"/>
      <c r="W165" s="221"/>
      <c r="X165" s="221"/>
      <c r="Y165" s="221"/>
      <c r="Z165" s="221"/>
      <c r="AA165" s="221"/>
      <c r="AB165" s="221"/>
      <c r="AC165" s="221"/>
      <c r="AD165" s="221"/>
      <c r="AE165" s="221"/>
      <c r="AF165" s="221"/>
      <c r="AG165" s="221"/>
      <c r="AH165" s="221"/>
      <c r="AI165" s="221"/>
      <c r="AJ165" s="221"/>
    </row>
    <row r="166" spans="1:36">
      <c r="A166" s="221"/>
      <c r="B166" s="221"/>
      <c r="C166" s="221"/>
      <c r="D166" s="221"/>
      <c r="E166" s="221"/>
      <c r="F166" s="221"/>
      <c r="G166" s="221"/>
      <c r="H166" s="221"/>
      <c r="I166" s="221"/>
      <c r="J166" s="221"/>
      <c r="K166" s="221"/>
      <c r="L166" s="221"/>
      <c r="M166" s="221"/>
      <c r="N166" s="221"/>
      <c r="O166" s="221"/>
      <c r="P166" s="221"/>
      <c r="Q166" s="221"/>
      <c r="R166" s="221"/>
      <c r="S166" s="221"/>
      <c r="T166" s="221"/>
      <c r="U166" s="221"/>
      <c r="V166" s="221"/>
      <c r="W166" s="221"/>
      <c r="X166" s="221"/>
      <c r="Y166" s="221"/>
      <c r="Z166" s="221"/>
      <c r="AA166" s="221"/>
      <c r="AB166" s="221"/>
      <c r="AC166" s="221"/>
      <c r="AD166" s="221"/>
      <c r="AE166" s="221"/>
      <c r="AF166" s="221"/>
      <c r="AG166" s="221"/>
      <c r="AH166" s="221"/>
      <c r="AI166" s="221"/>
      <c r="AJ166" s="221"/>
    </row>
    <row r="167" spans="1:36">
      <c r="A167" s="221"/>
      <c r="B167" s="221"/>
      <c r="C167" s="221"/>
      <c r="D167" s="221"/>
      <c r="E167" s="221"/>
      <c r="F167" s="221"/>
      <c r="G167" s="221"/>
      <c r="H167" s="221"/>
      <c r="I167" s="221"/>
      <c r="J167" s="221"/>
      <c r="K167" s="221"/>
      <c r="L167" s="221"/>
      <c r="M167" s="221"/>
      <c r="N167" s="221"/>
      <c r="O167" s="221"/>
      <c r="P167" s="221"/>
      <c r="Q167" s="221"/>
      <c r="R167" s="221"/>
      <c r="S167" s="221"/>
      <c r="T167" s="221"/>
      <c r="U167" s="221"/>
      <c r="V167" s="221"/>
      <c r="W167" s="221"/>
      <c r="X167" s="221"/>
      <c r="Y167" s="221"/>
      <c r="Z167" s="221"/>
      <c r="AA167" s="221"/>
      <c r="AB167" s="221"/>
      <c r="AC167" s="221"/>
      <c r="AD167" s="221"/>
      <c r="AE167" s="221"/>
      <c r="AF167" s="221"/>
      <c r="AG167" s="221"/>
      <c r="AH167" s="221"/>
      <c r="AI167" s="221"/>
      <c r="AJ167" s="221"/>
    </row>
    <row r="168" spans="1:36">
      <c r="A168" s="221"/>
      <c r="B168" s="221"/>
      <c r="C168" s="221"/>
      <c r="D168" s="221"/>
      <c r="E168" s="221"/>
      <c r="F168" s="221"/>
      <c r="G168" s="221"/>
      <c r="H168" s="221"/>
      <c r="I168" s="221"/>
      <c r="J168" s="221"/>
      <c r="K168" s="221"/>
      <c r="L168" s="221"/>
      <c r="M168" s="221"/>
      <c r="N168" s="221"/>
      <c r="O168" s="221"/>
      <c r="P168" s="221"/>
      <c r="Q168" s="221"/>
      <c r="R168" s="221"/>
      <c r="S168" s="221"/>
      <c r="T168" s="221"/>
      <c r="U168" s="221"/>
      <c r="V168" s="221"/>
      <c r="W168" s="221"/>
      <c r="X168" s="221"/>
      <c r="Y168" s="221"/>
      <c r="Z168" s="221"/>
      <c r="AA168" s="221"/>
      <c r="AB168" s="221"/>
      <c r="AC168" s="221"/>
      <c r="AD168" s="221"/>
      <c r="AE168" s="221"/>
      <c r="AF168" s="221"/>
      <c r="AG168" s="221"/>
      <c r="AH168" s="221"/>
      <c r="AI168" s="221"/>
      <c r="AJ168" s="221"/>
    </row>
    <row r="169" spans="1:36">
      <c r="A169" s="221"/>
      <c r="B169" s="221"/>
      <c r="C169" s="221"/>
      <c r="D169" s="221"/>
      <c r="E169" s="221"/>
      <c r="F169" s="221"/>
      <c r="G169" s="221"/>
      <c r="H169" s="221"/>
      <c r="I169" s="221"/>
      <c r="J169" s="221"/>
      <c r="K169" s="221"/>
      <c r="L169" s="221"/>
      <c r="M169" s="221"/>
      <c r="N169" s="221"/>
      <c r="O169" s="221"/>
      <c r="P169" s="221"/>
      <c r="Q169" s="221"/>
      <c r="R169" s="221"/>
      <c r="S169" s="221"/>
      <c r="T169" s="221"/>
      <c r="U169" s="221"/>
      <c r="V169" s="221"/>
      <c r="W169" s="221"/>
      <c r="X169" s="221"/>
      <c r="Y169" s="221"/>
      <c r="Z169" s="221"/>
      <c r="AA169" s="221"/>
      <c r="AB169" s="221"/>
      <c r="AC169" s="221"/>
      <c r="AD169" s="221"/>
      <c r="AE169" s="221"/>
      <c r="AF169" s="221"/>
      <c r="AG169" s="221"/>
      <c r="AH169" s="221"/>
      <c r="AI169" s="221"/>
      <c r="AJ169" s="221"/>
    </row>
    <row r="170" spans="1:36">
      <c r="A170" s="221"/>
      <c r="B170" s="221"/>
      <c r="C170" s="221"/>
      <c r="D170" s="221"/>
      <c r="E170" s="221"/>
      <c r="F170" s="221"/>
      <c r="G170" s="221"/>
      <c r="H170" s="221"/>
      <c r="I170" s="221"/>
      <c r="J170" s="221"/>
      <c r="K170" s="221"/>
      <c r="L170" s="221"/>
      <c r="M170" s="221"/>
      <c r="N170" s="221"/>
      <c r="O170" s="221"/>
      <c r="P170" s="221"/>
      <c r="Q170" s="221"/>
      <c r="R170" s="221"/>
      <c r="S170" s="221"/>
      <c r="T170" s="221"/>
      <c r="U170" s="221"/>
      <c r="V170" s="221"/>
      <c r="W170" s="221"/>
      <c r="X170" s="221"/>
      <c r="Y170" s="221"/>
      <c r="Z170" s="221"/>
      <c r="AA170" s="221"/>
      <c r="AB170" s="221"/>
      <c r="AC170" s="221"/>
      <c r="AD170" s="221"/>
      <c r="AE170" s="221"/>
      <c r="AF170" s="221"/>
      <c r="AG170" s="221"/>
      <c r="AH170" s="221"/>
      <c r="AI170" s="221"/>
      <c r="AJ170" s="221"/>
    </row>
    <row r="171" spans="1:36">
      <c r="A171" s="221"/>
      <c r="B171" s="221"/>
      <c r="C171" s="221"/>
      <c r="D171" s="221"/>
      <c r="E171" s="221"/>
      <c r="F171" s="221"/>
      <c r="G171" s="221"/>
      <c r="H171" s="221"/>
      <c r="I171" s="221"/>
      <c r="J171" s="221"/>
      <c r="K171" s="221"/>
      <c r="L171" s="221"/>
      <c r="M171" s="221"/>
      <c r="N171" s="221"/>
      <c r="O171" s="221"/>
      <c r="P171" s="221"/>
      <c r="Q171" s="221"/>
      <c r="R171" s="221"/>
      <c r="S171" s="221"/>
      <c r="T171" s="221"/>
      <c r="U171" s="221"/>
      <c r="V171" s="221"/>
      <c r="W171" s="221"/>
      <c r="X171" s="221"/>
      <c r="Y171" s="221"/>
      <c r="Z171" s="221"/>
      <c r="AA171" s="221"/>
      <c r="AB171" s="221"/>
      <c r="AC171" s="221"/>
      <c r="AD171" s="221"/>
      <c r="AE171" s="221"/>
      <c r="AF171" s="221"/>
      <c r="AG171" s="221"/>
      <c r="AH171" s="221"/>
      <c r="AI171" s="221"/>
      <c r="AJ171" s="221"/>
    </row>
    <row r="172" spans="1:36">
      <c r="A172" s="221"/>
      <c r="B172" s="221"/>
      <c r="C172" s="221"/>
      <c r="D172" s="221"/>
      <c r="E172" s="221"/>
      <c r="F172" s="221"/>
      <c r="G172" s="221"/>
      <c r="H172" s="221"/>
      <c r="I172" s="221"/>
      <c r="J172" s="221"/>
      <c r="K172" s="221"/>
      <c r="L172" s="221"/>
      <c r="M172" s="221"/>
      <c r="N172" s="221"/>
      <c r="O172" s="221"/>
      <c r="P172" s="221"/>
      <c r="Q172" s="221"/>
      <c r="R172" s="221"/>
      <c r="S172" s="221"/>
      <c r="T172" s="221"/>
      <c r="U172" s="221"/>
      <c r="V172" s="221"/>
      <c r="W172" s="221"/>
      <c r="X172" s="221"/>
      <c r="Y172" s="221"/>
      <c r="Z172" s="221"/>
      <c r="AA172" s="221"/>
      <c r="AB172" s="221"/>
      <c r="AC172" s="221"/>
      <c r="AD172" s="221"/>
      <c r="AE172" s="221"/>
      <c r="AF172" s="221"/>
      <c r="AG172" s="221"/>
      <c r="AH172" s="221"/>
      <c r="AI172" s="221"/>
      <c r="AJ172" s="221"/>
    </row>
    <row r="173" spans="1:36">
      <c r="A173" s="221"/>
      <c r="B173" s="221"/>
      <c r="C173" s="221"/>
      <c r="D173" s="221"/>
      <c r="E173" s="221"/>
      <c r="F173" s="221"/>
      <c r="G173" s="221"/>
      <c r="H173" s="221"/>
      <c r="I173" s="221"/>
      <c r="J173" s="221"/>
      <c r="K173" s="221"/>
      <c r="L173" s="221"/>
      <c r="M173" s="221"/>
      <c r="N173" s="221"/>
      <c r="O173" s="221"/>
      <c r="P173" s="221"/>
      <c r="Q173" s="221"/>
      <c r="R173" s="221"/>
      <c r="S173" s="221"/>
      <c r="T173" s="221"/>
      <c r="U173" s="221"/>
      <c r="V173" s="221"/>
      <c r="W173" s="221"/>
      <c r="X173" s="221"/>
      <c r="Y173" s="221"/>
      <c r="Z173" s="221"/>
      <c r="AA173" s="221"/>
      <c r="AB173" s="221"/>
      <c r="AC173" s="221"/>
      <c r="AD173" s="221"/>
      <c r="AE173" s="221"/>
      <c r="AF173" s="221"/>
      <c r="AG173" s="221"/>
      <c r="AH173" s="221"/>
      <c r="AI173" s="221"/>
      <c r="AJ173" s="221"/>
    </row>
    <row r="174" spans="1:36">
      <c r="A174" s="221"/>
      <c r="B174" s="221"/>
      <c r="C174" s="221"/>
      <c r="D174" s="221"/>
      <c r="E174" s="221"/>
      <c r="F174" s="221"/>
      <c r="G174" s="221"/>
      <c r="H174" s="221"/>
      <c r="I174" s="221"/>
      <c r="J174" s="221"/>
      <c r="K174" s="221"/>
      <c r="L174" s="221"/>
      <c r="M174" s="221"/>
      <c r="N174" s="221"/>
      <c r="O174" s="221"/>
      <c r="P174" s="221"/>
      <c r="Q174" s="221"/>
      <c r="R174" s="221"/>
      <c r="S174" s="221"/>
      <c r="T174" s="221"/>
      <c r="U174" s="221"/>
      <c r="V174" s="221"/>
      <c r="W174" s="221"/>
      <c r="X174" s="221"/>
      <c r="Y174" s="221"/>
      <c r="Z174" s="221"/>
      <c r="AA174" s="221"/>
      <c r="AB174" s="221"/>
      <c r="AC174" s="221"/>
      <c r="AD174" s="221"/>
      <c r="AE174" s="221"/>
      <c r="AF174" s="221"/>
      <c r="AG174" s="221"/>
      <c r="AH174" s="221"/>
      <c r="AI174" s="221"/>
      <c r="AJ174" s="221"/>
    </row>
    <row r="175" spans="1:36">
      <c r="A175" s="221"/>
      <c r="B175" s="221"/>
      <c r="C175" s="221"/>
      <c r="D175" s="221"/>
      <c r="E175" s="221"/>
      <c r="F175" s="221"/>
      <c r="G175" s="221"/>
      <c r="H175" s="221"/>
      <c r="I175" s="221"/>
      <c r="J175" s="221"/>
      <c r="K175" s="221"/>
      <c r="L175" s="221"/>
      <c r="M175" s="221"/>
      <c r="N175" s="221"/>
      <c r="O175" s="221"/>
      <c r="P175" s="221"/>
      <c r="Q175" s="221"/>
      <c r="R175" s="221"/>
      <c r="S175" s="221"/>
      <c r="T175" s="221"/>
      <c r="U175" s="221"/>
      <c r="V175" s="221"/>
      <c r="W175" s="221"/>
      <c r="X175" s="221"/>
      <c r="Y175" s="221"/>
      <c r="Z175" s="221"/>
      <c r="AA175" s="221"/>
      <c r="AB175" s="221"/>
      <c r="AC175" s="221"/>
      <c r="AD175" s="221"/>
      <c r="AE175" s="221"/>
      <c r="AF175" s="221"/>
      <c r="AG175" s="221"/>
      <c r="AH175" s="221"/>
      <c r="AI175" s="221"/>
      <c r="AJ175" s="221"/>
    </row>
    <row r="176" spans="1:36">
      <c r="A176" s="221"/>
      <c r="B176" s="221"/>
      <c r="C176" s="221"/>
      <c r="D176" s="221"/>
      <c r="E176" s="221"/>
      <c r="F176" s="221"/>
      <c r="G176" s="221"/>
      <c r="H176" s="221"/>
      <c r="I176" s="221"/>
      <c r="J176" s="221"/>
      <c r="K176" s="221"/>
      <c r="L176" s="221"/>
      <c r="M176" s="221"/>
      <c r="N176" s="221"/>
      <c r="O176" s="221"/>
      <c r="P176" s="221"/>
      <c r="Q176" s="221"/>
      <c r="R176" s="221"/>
      <c r="S176" s="221"/>
      <c r="T176" s="221"/>
      <c r="U176" s="221"/>
      <c r="V176" s="221"/>
      <c r="W176" s="221"/>
      <c r="X176" s="221"/>
      <c r="Y176" s="221"/>
      <c r="Z176" s="221"/>
      <c r="AA176" s="221"/>
      <c r="AB176" s="221"/>
      <c r="AC176" s="221"/>
      <c r="AD176" s="221"/>
      <c r="AE176" s="221"/>
      <c r="AF176" s="221"/>
      <c r="AG176" s="221"/>
      <c r="AH176" s="221"/>
      <c r="AI176" s="221"/>
      <c r="AJ176" s="221"/>
    </row>
    <row r="177" spans="1:36">
      <c r="A177" s="221"/>
      <c r="B177" s="221"/>
      <c r="C177" s="221"/>
      <c r="D177" s="221"/>
      <c r="E177" s="221"/>
      <c r="F177" s="221"/>
      <c r="G177" s="221"/>
      <c r="H177" s="221"/>
      <c r="I177" s="221"/>
      <c r="J177" s="221"/>
      <c r="K177" s="221"/>
      <c r="L177" s="221"/>
      <c r="M177" s="221"/>
      <c r="N177" s="221"/>
      <c r="O177" s="221"/>
      <c r="P177" s="221"/>
      <c r="Q177" s="221"/>
      <c r="R177" s="221"/>
      <c r="S177" s="221"/>
      <c r="T177" s="221"/>
      <c r="U177" s="221"/>
      <c r="V177" s="221"/>
      <c r="W177" s="221"/>
      <c r="X177" s="221"/>
      <c r="Y177" s="221"/>
      <c r="Z177" s="221"/>
      <c r="AA177" s="221"/>
      <c r="AB177" s="221"/>
      <c r="AC177" s="221"/>
      <c r="AD177" s="221"/>
      <c r="AE177" s="221"/>
      <c r="AF177" s="221"/>
      <c r="AG177" s="221"/>
      <c r="AH177" s="221"/>
      <c r="AI177" s="221"/>
      <c r="AJ177" s="221"/>
    </row>
    <row r="178" spans="1:36">
      <c r="A178" s="221"/>
      <c r="B178" s="221"/>
      <c r="C178" s="221"/>
      <c r="D178" s="221"/>
      <c r="E178" s="221"/>
      <c r="F178" s="221"/>
      <c r="G178" s="221"/>
      <c r="H178" s="221"/>
      <c r="I178" s="221"/>
      <c r="J178" s="221"/>
      <c r="K178" s="221"/>
      <c r="L178" s="221"/>
      <c r="M178" s="221"/>
      <c r="N178" s="221"/>
      <c r="O178" s="221"/>
      <c r="P178" s="221"/>
      <c r="Q178" s="221"/>
      <c r="R178" s="221"/>
      <c r="S178" s="221"/>
      <c r="T178" s="221"/>
      <c r="U178" s="221"/>
      <c r="V178" s="221"/>
      <c r="W178" s="221"/>
      <c r="X178" s="221"/>
      <c r="Y178" s="221"/>
      <c r="Z178" s="221"/>
      <c r="AA178" s="221"/>
      <c r="AB178" s="221"/>
      <c r="AC178" s="221"/>
      <c r="AD178" s="221"/>
      <c r="AE178" s="221"/>
      <c r="AF178" s="221"/>
      <c r="AG178" s="221"/>
      <c r="AH178" s="221"/>
      <c r="AI178" s="221"/>
      <c r="AJ178" s="221"/>
    </row>
    <row r="179" spans="1:36">
      <c r="A179" s="221"/>
      <c r="B179" s="221"/>
      <c r="C179" s="221"/>
      <c r="D179" s="221"/>
      <c r="E179" s="221"/>
      <c r="F179" s="221"/>
      <c r="G179" s="221"/>
      <c r="H179" s="221"/>
      <c r="I179" s="221"/>
      <c r="J179" s="221"/>
      <c r="K179" s="221"/>
      <c r="L179" s="221"/>
      <c r="M179" s="221"/>
      <c r="N179" s="221"/>
      <c r="O179" s="221"/>
      <c r="P179" s="221"/>
      <c r="Q179" s="221"/>
      <c r="R179" s="221"/>
      <c r="S179" s="221"/>
      <c r="T179" s="221"/>
      <c r="U179" s="221"/>
      <c r="V179" s="221"/>
      <c r="W179" s="221"/>
      <c r="X179" s="221"/>
      <c r="Y179" s="221"/>
      <c r="Z179" s="221"/>
      <c r="AA179" s="221"/>
      <c r="AB179" s="221"/>
      <c r="AC179" s="221"/>
      <c r="AD179" s="221"/>
      <c r="AE179" s="221"/>
      <c r="AF179" s="221"/>
      <c r="AG179" s="221"/>
      <c r="AH179" s="221"/>
      <c r="AI179" s="221"/>
      <c r="AJ179" s="221"/>
    </row>
    <row r="180" spans="1:36">
      <c r="A180" s="221"/>
      <c r="B180" s="221"/>
      <c r="C180" s="221"/>
      <c r="D180" s="221"/>
      <c r="E180" s="221"/>
      <c r="F180" s="221"/>
      <c r="G180" s="221"/>
      <c r="H180" s="221"/>
      <c r="I180" s="221"/>
      <c r="J180" s="221"/>
      <c r="K180" s="221"/>
      <c r="L180" s="221"/>
      <c r="M180" s="221"/>
      <c r="N180" s="221"/>
      <c r="O180" s="221"/>
      <c r="P180" s="221"/>
      <c r="Q180" s="221"/>
      <c r="R180" s="221"/>
      <c r="S180" s="221"/>
      <c r="T180" s="221"/>
      <c r="U180" s="221"/>
      <c r="V180" s="221"/>
      <c r="W180" s="221"/>
      <c r="X180" s="221"/>
      <c r="Y180" s="221"/>
      <c r="Z180" s="221"/>
      <c r="AA180" s="221"/>
      <c r="AB180" s="221"/>
      <c r="AC180" s="221"/>
      <c r="AD180" s="221"/>
      <c r="AE180" s="221"/>
      <c r="AF180" s="221"/>
      <c r="AG180" s="221"/>
      <c r="AH180" s="221"/>
      <c r="AI180" s="221"/>
      <c r="AJ180" s="221"/>
    </row>
    <row r="181" spans="1:36">
      <c r="A181" s="221"/>
      <c r="B181" s="221"/>
      <c r="C181" s="221"/>
      <c r="D181" s="221"/>
      <c r="E181" s="221"/>
      <c r="F181" s="221"/>
      <c r="G181" s="221"/>
      <c r="H181" s="221"/>
      <c r="I181" s="221"/>
      <c r="J181" s="221"/>
      <c r="K181" s="221"/>
      <c r="L181" s="221"/>
      <c r="M181" s="221"/>
      <c r="N181" s="221"/>
      <c r="O181" s="221"/>
      <c r="P181" s="221"/>
      <c r="Q181" s="221"/>
      <c r="R181" s="221"/>
      <c r="S181" s="221"/>
      <c r="T181" s="221"/>
      <c r="U181" s="221"/>
      <c r="V181" s="221"/>
      <c r="W181" s="221"/>
      <c r="X181" s="221"/>
      <c r="Y181" s="221"/>
      <c r="Z181" s="221"/>
      <c r="AA181" s="221"/>
      <c r="AB181" s="221"/>
      <c r="AC181" s="221"/>
      <c r="AD181" s="221"/>
      <c r="AE181" s="221"/>
      <c r="AF181" s="221"/>
      <c r="AG181" s="221"/>
      <c r="AH181" s="221"/>
      <c r="AI181" s="221"/>
      <c r="AJ181" s="221"/>
    </row>
    <row r="182" spans="1:36">
      <c r="A182" s="221"/>
      <c r="B182" s="221"/>
      <c r="C182" s="221"/>
      <c r="D182" s="221"/>
      <c r="E182" s="221"/>
      <c r="F182" s="221"/>
      <c r="G182" s="221"/>
      <c r="H182" s="221"/>
      <c r="I182" s="221"/>
      <c r="J182" s="221"/>
      <c r="K182" s="221"/>
      <c r="L182" s="221"/>
      <c r="M182" s="221"/>
      <c r="N182" s="221"/>
      <c r="O182" s="221"/>
      <c r="P182" s="221"/>
      <c r="Q182" s="221"/>
      <c r="R182" s="221"/>
      <c r="S182" s="221"/>
      <c r="T182" s="221"/>
      <c r="U182" s="221"/>
      <c r="V182" s="221"/>
      <c r="W182" s="221"/>
      <c r="X182" s="221"/>
      <c r="Y182" s="221"/>
      <c r="Z182" s="221"/>
      <c r="AA182" s="221"/>
      <c r="AB182" s="221"/>
      <c r="AC182" s="221"/>
      <c r="AD182" s="221"/>
      <c r="AE182" s="221"/>
      <c r="AF182" s="221"/>
      <c r="AG182" s="221"/>
      <c r="AH182" s="221"/>
      <c r="AI182" s="221"/>
      <c r="AJ182" s="221"/>
    </row>
    <row r="183" spans="1:36">
      <c r="A183" s="221"/>
      <c r="B183" s="221"/>
      <c r="C183" s="221"/>
      <c r="D183" s="221"/>
      <c r="E183" s="221"/>
      <c r="F183" s="221"/>
      <c r="G183" s="221"/>
      <c r="H183" s="221"/>
      <c r="I183" s="221"/>
      <c r="J183" s="221"/>
      <c r="K183" s="221"/>
      <c r="L183" s="221"/>
      <c r="M183" s="221"/>
      <c r="N183" s="221"/>
      <c r="O183" s="221"/>
      <c r="P183" s="221"/>
      <c r="Q183" s="221"/>
      <c r="R183" s="221"/>
      <c r="S183" s="221"/>
      <c r="T183" s="221"/>
      <c r="U183" s="221"/>
      <c r="V183" s="221"/>
      <c r="W183" s="221"/>
      <c r="X183" s="221"/>
      <c r="Y183" s="221"/>
      <c r="Z183" s="221"/>
      <c r="AA183" s="221"/>
      <c r="AB183" s="221"/>
      <c r="AC183" s="221"/>
      <c r="AD183" s="221"/>
      <c r="AE183" s="221"/>
      <c r="AF183" s="221"/>
      <c r="AG183" s="221"/>
      <c r="AH183" s="221"/>
      <c r="AI183" s="221"/>
      <c r="AJ183" s="221"/>
    </row>
    <row r="184" spans="1:36">
      <c r="A184" s="221"/>
      <c r="B184" s="221"/>
      <c r="C184" s="221"/>
      <c r="D184" s="221"/>
      <c r="E184" s="221"/>
      <c r="F184" s="221"/>
      <c r="G184" s="221"/>
      <c r="H184" s="221"/>
      <c r="I184" s="221"/>
      <c r="J184" s="221"/>
      <c r="K184" s="221"/>
      <c r="L184" s="221"/>
      <c r="M184" s="221"/>
      <c r="N184" s="221"/>
      <c r="O184" s="221"/>
      <c r="P184" s="221"/>
      <c r="Q184" s="221"/>
      <c r="R184" s="221"/>
      <c r="S184" s="221"/>
      <c r="T184" s="221"/>
      <c r="U184" s="221"/>
      <c r="V184" s="221"/>
      <c r="W184" s="221"/>
      <c r="X184" s="221"/>
      <c r="Y184" s="221"/>
      <c r="Z184" s="221"/>
      <c r="AA184" s="221"/>
      <c r="AB184" s="221"/>
      <c r="AC184" s="221"/>
      <c r="AD184" s="221"/>
      <c r="AE184" s="221"/>
      <c r="AF184" s="221"/>
      <c r="AG184" s="221"/>
      <c r="AH184" s="221"/>
      <c r="AI184" s="221"/>
      <c r="AJ184" s="221"/>
    </row>
    <row r="185" spans="1:36">
      <c r="A185" s="221"/>
      <c r="B185" s="221"/>
      <c r="C185" s="221"/>
      <c r="D185" s="221"/>
      <c r="E185" s="221"/>
      <c r="F185" s="221"/>
      <c r="G185" s="221"/>
      <c r="H185" s="221"/>
      <c r="I185" s="221"/>
      <c r="J185" s="221"/>
      <c r="K185" s="221"/>
      <c r="L185" s="221"/>
      <c r="M185" s="221"/>
      <c r="N185" s="221"/>
      <c r="O185" s="221"/>
      <c r="P185" s="221"/>
      <c r="Q185" s="221"/>
      <c r="R185" s="221"/>
      <c r="S185" s="221"/>
      <c r="T185" s="221"/>
      <c r="U185" s="221"/>
      <c r="V185" s="221"/>
      <c r="W185" s="221"/>
      <c r="X185" s="221"/>
      <c r="Y185" s="221"/>
      <c r="Z185" s="221"/>
      <c r="AA185" s="221"/>
      <c r="AB185" s="221"/>
      <c r="AC185" s="221"/>
      <c r="AD185" s="221"/>
      <c r="AE185" s="221"/>
      <c r="AF185" s="221"/>
      <c r="AG185" s="221"/>
      <c r="AH185" s="221"/>
      <c r="AI185" s="221"/>
      <c r="AJ185" s="221"/>
    </row>
    <row r="186" spans="1:36">
      <c r="A186" s="221"/>
      <c r="B186" s="221"/>
      <c r="C186" s="221"/>
      <c r="D186" s="221"/>
      <c r="E186" s="221"/>
      <c r="F186" s="221"/>
      <c r="G186" s="221"/>
      <c r="H186" s="221"/>
      <c r="I186" s="221"/>
      <c r="J186" s="221"/>
      <c r="K186" s="221"/>
      <c r="L186" s="221"/>
      <c r="M186" s="221"/>
      <c r="N186" s="221"/>
      <c r="O186" s="221"/>
      <c r="P186" s="221"/>
      <c r="Q186" s="221"/>
      <c r="R186" s="221"/>
      <c r="S186" s="221"/>
      <c r="T186" s="221"/>
      <c r="U186" s="221"/>
      <c r="V186" s="221"/>
      <c r="W186" s="221"/>
      <c r="X186" s="221"/>
      <c r="Y186" s="221"/>
      <c r="Z186" s="221"/>
      <c r="AA186" s="221"/>
      <c r="AB186" s="221"/>
      <c r="AC186" s="221"/>
      <c r="AD186" s="221"/>
      <c r="AE186" s="221"/>
      <c r="AF186" s="221"/>
      <c r="AG186" s="221"/>
      <c r="AH186" s="221"/>
      <c r="AI186" s="221"/>
      <c r="AJ186" s="221"/>
    </row>
    <row r="187" spans="1:36">
      <c r="A187" s="221"/>
      <c r="B187" s="221"/>
      <c r="C187" s="221"/>
      <c r="D187" s="221"/>
      <c r="E187" s="221"/>
      <c r="F187" s="221"/>
      <c r="G187" s="221"/>
      <c r="H187" s="221"/>
      <c r="I187" s="221"/>
      <c r="J187" s="221"/>
      <c r="K187" s="221"/>
      <c r="L187" s="221"/>
      <c r="M187" s="221"/>
      <c r="N187" s="221"/>
      <c r="O187" s="221"/>
      <c r="P187" s="221"/>
      <c r="Q187" s="221"/>
      <c r="R187" s="221"/>
      <c r="S187" s="221"/>
      <c r="T187" s="221"/>
      <c r="U187" s="221"/>
      <c r="V187" s="221"/>
      <c r="W187" s="221"/>
      <c r="X187" s="221"/>
      <c r="Y187" s="221"/>
      <c r="Z187" s="221"/>
      <c r="AA187" s="221"/>
      <c r="AB187" s="221"/>
      <c r="AC187" s="221"/>
      <c r="AD187" s="221"/>
      <c r="AE187" s="221"/>
      <c r="AF187" s="221"/>
      <c r="AG187" s="221"/>
      <c r="AH187" s="221"/>
      <c r="AI187" s="221"/>
      <c r="AJ187" s="221"/>
    </row>
    <row r="188" spans="1:36">
      <c r="A188" s="221"/>
      <c r="B188" s="221"/>
      <c r="C188" s="221"/>
      <c r="D188" s="221"/>
      <c r="E188" s="221"/>
      <c r="F188" s="221"/>
      <c r="G188" s="221"/>
      <c r="H188" s="221"/>
      <c r="I188" s="221"/>
      <c r="J188" s="221"/>
      <c r="K188" s="221"/>
      <c r="L188" s="221"/>
      <c r="M188" s="221"/>
      <c r="N188" s="221"/>
      <c r="O188" s="221"/>
      <c r="P188" s="221"/>
      <c r="Q188" s="221"/>
      <c r="R188" s="221"/>
      <c r="S188" s="221"/>
      <c r="T188" s="221"/>
      <c r="U188" s="221"/>
      <c r="V188" s="221"/>
      <c r="W188" s="221"/>
      <c r="X188" s="221"/>
      <c r="Y188" s="221"/>
      <c r="Z188" s="221"/>
      <c r="AA188" s="221"/>
      <c r="AB188" s="221"/>
      <c r="AC188" s="221"/>
      <c r="AD188" s="221"/>
      <c r="AE188" s="221"/>
      <c r="AF188" s="221"/>
      <c r="AG188" s="221"/>
      <c r="AH188" s="221"/>
      <c r="AI188" s="221"/>
      <c r="AJ188" s="221"/>
    </row>
    <row r="189" spans="1:36">
      <c r="A189" s="221"/>
      <c r="B189" s="221"/>
      <c r="C189" s="221"/>
      <c r="D189" s="221"/>
      <c r="E189" s="221"/>
      <c r="F189" s="221"/>
      <c r="G189" s="221"/>
      <c r="H189" s="221"/>
      <c r="I189" s="221"/>
      <c r="J189" s="221"/>
      <c r="K189" s="221"/>
      <c r="L189" s="221"/>
      <c r="M189" s="221"/>
      <c r="N189" s="221"/>
      <c r="O189" s="221"/>
      <c r="P189" s="221"/>
      <c r="Q189" s="221"/>
      <c r="R189" s="221"/>
      <c r="S189" s="221"/>
      <c r="T189" s="221"/>
      <c r="U189" s="221"/>
      <c r="V189" s="221"/>
      <c r="W189" s="221"/>
      <c r="X189" s="221"/>
      <c r="Y189" s="221"/>
      <c r="Z189" s="221"/>
      <c r="AA189" s="221"/>
      <c r="AB189" s="221"/>
      <c r="AC189" s="221"/>
      <c r="AD189" s="221"/>
      <c r="AE189" s="221"/>
      <c r="AF189" s="221"/>
      <c r="AG189" s="221"/>
      <c r="AH189" s="221"/>
      <c r="AI189" s="221"/>
      <c r="AJ189" s="221"/>
    </row>
    <row r="190" spans="1:36">
      <c r="A190" s="221"/>
      <c r="B190" s="221"/>
      <c r="C190" s="221"/>
      <c r="D190" s="221"/>
      <c r="E190" s="221"/>
      <c r="F190" s="221"/>
      <c r="G190" s="221"/>
      <c r="H190" s="221"/>
      <c r="I190" s="221"/>
      <c r="J190" s="221"/>
      <c r="K190" s="221"/>
      <c r="L190" s="221"/>
      <c r="M190" s="221"/>
      <c r="N190" s="221"/>
      <c r="O190" s="221"/>
      <c r="P190" s="221"/>
      <c r="Q190" s="221"/>
      <c r="R190" s="221"/>
      <c r="S190" s="221"/>
      <c r="T190" s="221"/>
      <c r="U190" s="221"/>
      <c r="V190" s="221"/>
      <c r="W190" s="221"/>
      <c r="X190" s="221"/>
      <c r="Y190" s="221"/>
      <c r="Z190" s="221"/>
      <c r="AA190" s="221"/>
      <c r="AB190" s="221"/>
      <c r="AC190" s="221"/>
      <c r="AD190" s="221"/>
      <c r="AE190" s="221"/>
      <c r="AF190" s="221"/>
      <c r="AG190" s="221"/>
      <c r="AH190" s="221"/>
      <c r="AI190" s="221"/>
      <c r="AJ190" s="221"/>
    </row>
    <row r="191" spans="1:36">
      <c r="A191" s="221"/>
      <c r="B191" s="221"/>
      <c r="C191" s="221"/>
      <c r="D191" s="221"/>
      <c r="E191" s="221"/>
      <c r="F191" s="221"/>
      <c r="G191" s="221"/>
      <c r="H191" s="221"/>
      <c r="I191" s="221"/>
      <c r="J191" s="221"/>
      <c r="K191" s="221"/>
      <c r="L191" s="221"/>
      <c r="M191" s="221"/>
      <c r="N191" s="221"/>
      <c r="O191" s="221"/>
      <c r="P191" s="221"/>
      <c r="Q191" s="221"/>
      <c r="R191" s="221"/>
      <c r="S191" s="221"/>
      <c r="T191" s="221"/>
      <c r="U191" s="221"/>
      <c r="V191" s="221"/>
      <c r="W191" s="221"/>
      <c r="X191" s="221"/>
      <c r="Y191" s="221"/>
      <c r="Z191" s="221"/>
      <c r="AA191" s="221"/>
      <c r="AB191" s="221"/>
      <c r="AC191" s="221"/>
      <c r="AD191" s="221"/>
      <c r="AE191" s="221"/>
      <c r="AF191" s="221"/>
      <c r="AG191" s="221"/>
      <c r="AH191" s="221"/>
      <c r="AI191" s="221"/>
      <c r="AJ191" s="221"/>
    </row>
    <row r="192" spans="1:36">
      <c r="A192" s="221"/>
      <c r="B192" s="221"/>
      <c r="C192" s="221"/>
      <c r="D192" s="221"/>
      <c r="E192" s="221"/>
      <c r="F192" s="221"/>
      <c r="G192" s="221"/>
      <c r="H192" s="221"/>
      <c r="I192" s="221"/>
      <c r="J192" s="221"/>
      <c r="K192" s="221"/>
      <c r="L192" s="221"/>
      <c r="M192" s="221"/>
      <c r="N192" s="221"/>
      <c r="O192" s="221"/>
      <c r="P192" s="221"/>
      <c r="Q192" s="221"/>
      <c r="R192" s="221"/>
      <c r="S192" s="221"/>
      <c r="T192" s="221"/>
      <c r="U192" s="221"/>
      <c r="V192" s="221"/>
      <c r="W192" s="221"/>
      <c r="X192" s="221"/>
      <c r="Y192" s="221"/>
      <c r="Z192" s="221"/>
      <c r="AA192" s="221"/>
      <c r="AB192" s="221"/>
      <c r="AC192" s="221"/>
      <c r="AD192" s="221"/>
      <c r="AE192" s="221"/>
      <c r="AF192" s="221"/>
      <c r="AG192" s="221"/>
      <c r="AH192" s="221"/>
      <c r="AI192" s="221"/>
      <c r="AJ192" s="221"/>
    </row>
    <row r="193" spans="1:36">
      <c r="A193" s="221"/>
      <c r="B193" s="221"/>
      <c r="C193" s="221"/>
      <c r="D193" s="221"/>
      <c r="E193" s="221"/>
      <c r="F193" s="221"/>
      <c r="G193" s="221"/>
      <c r="H193" s="221"/>
      <c r="I193" s="221"/>
      <c r="J193" s="221"/>
      <c r="K193" s="221"/>
      <c r="L193" s="221"/>
      <c r="M193" s="221"/>
      <c r="N193" s="221"/>
      <c r="O193" s="221"/>
      <c r="P193" s="221"/>
      <c r="Q193" s="221"/>
      <c r="R193" s="221"/>
      <c r="S193" s="221"/>
      <c r="T193" s="221"/>
      <c r="U193" s="221"/>
      <c r="V193" s="221"/>
      <c r="W193" s="221"/>
      <c r="X193" s="221"/>
      <c r="Y193" s="221"/>
      <c r="Z193" s="221"/>
      <c r="AA193" s="221"/>
      <c r="AB193" s="221"/>
      <c r="AC193" s="221"/>
      <c r="AD193" s="221"/>
      <c r="AE193" s="221"/>
      <c r="AF193" s="221"/>
      <c r="AG193" s="221"/>
      <c r="AH193" s="221"/>
      <c r="AI193" s="221"/>
      <c r="AJ193" s="221"/>
    </row>
    <row r="194" spans="1:36">
      <c r="A194" s="221"/>
      <c r="B194" s="221"/>
      <c r="C194" s="221"/>
      <c r="D194" s="221"/>
      <c r="E194" s="221"/>
      <c r="F194" s="221"/>
      <c r="G194" s="221"/>
      <c r="H194" s="221"/>
      <c r="I194" s="221"/>
      <c r="J194" s="221"/>
      <c r="K194" s="221"/>
      <c r="L194" s="221"/>
      <c r="M194" s="221"/>
      <c r="N194" s="221"/>
      <c r="O194" s="221"/>
      <c r="P194" s="221"/>
      <c r="Q194" s="221"/>
      <c r="R194" s="221"/>
      <c r="S194" s="221"/>
      <c r="T194" s="221"/>
      <c r="U194" s="221"/>
      <c r="V194" s="221"/>
      <c r="W194" s="221"/>
      <c r="X194" s="221"/>
      <c r="Y194" s="221"/>
      <c r="Z194" s="221"/>
      <c r="AA194" s="221"/>
      <c r="AB194" s="221"/>
      <c r="AC194" s="221"/>
      <c r="AD194" s="221"/>
      <c r="AE194" s="221"/>
      <c r="AF194" s="221"/>
      <c r="AG194" s="221"/>
      <c r="AH194" s="221"/>
      <c r="AI194" s="221"/>
      <c r="AJ194" s="221"/>
    </row>
    <row r="195" spans="1:36">
      <c r="A195" s="221"/>
      <c r="B195" s="221"/>
      <c r="C195" s="221"/>
      <c r="D195" s="221"/>
      <c r="E195" s="221"/>
      <c r="F195" s="221"/>
      <c r="G195" s="221"/>
      <c r="H195" s="221"/>
      <c r="I195" s="221"/>
      <c r="J195" s="221"/>
      <c r="K195" s="221"/>
      <c r="L195" s="221"/>
      <c r="M195" s="221"/>
      <c r="N195" s="221"/>
      <c r="O195" s="221"/>
      <c r="P195" s="221"/>
      <c r="Q195" s="221"/>
      <c r="R195" s="221"/>
      <c r="S195" s="221"/>
      <c r="T195" s="221"/>
      <c r="U195" s="221"/>
      <c r="V195" s="221"/>
      <c r="W195" s="221"/>
      <c r="X195" s="221"/>
      <c r="Y195" s="221"/>
      <c r="Z195" s="221"/>
      <c r="AA195" s="221"/>
      <c r="AB195" s="221"/>
      <c r="AC195" s="221"/>
      <c r="AD195" s="221"/>
      <c r="AE195" s="221"/>
      <c r="AF195" s="221"/>
      <c r="AG195" s="221"/>
      <c r="AH195" s="221"/>
      <c r="AI195" s="221"/>
      <c r="AJ195" s="221"/>
    </row>
    <row r="196" spans="1:36">
      <c r="A196" s="221"/>
      <c r="B196" s="221"/>
      <c r="C196" s="221"/>
      <c r="D196" s="221"/>
      <c r="E196" s="221"/>
      <c r="F196" s="221"/>
      <c r="G196" s="221"/>
      <c r="H196" s="221"/>
      <c r="I196" s="221"/>
      <c r="J196" s="221"/>
      <c r="K196" s="221"/>
      <c r="L196" s="221"/>
      <c r="M196" s="221"/>
      <c r="N196" s="221"/>
      <c r="O196" s="221"/>
      <c r="P196" s="221"/>
      <c r="Q196" s="221"/>
      <c r="R196" s="221"/>
      <c r="S196" s="221"/>
      <c r="T196" s="221"/>
      <c r="U196" s="221"/>
      <c r="V196" s="221"/>
      <c r="W196" s="221"/>
      <c r="X196" s="221"/>
      <c r="Y196" s="221"/>
      <c r="Z196" s="221"/>
      <c r="AA196" s="221"/>
      <c r="AB196" s="221"/>
      <c r="AC196" s="221"/>
      <c r="AD196" s="221"/>
      <c r="AE196" s="221"/>
      <c r="AF196" s="221"/>
      <c r="AG196" s="221"/>
      <c r="AH196" s="221"/>
      <c r="AI196" s="221"/>
      <c r="AJ196" s="221"/>
    </row>
    <row r="197" spans="1:36">
      <c r="A197" s="221"/>
      <c r="B197" s="221"/>
      <c r="C197" s="221"/>
      <c r="D197" s="221"/>
      <c r="E197" s="221"/>
      <c r="F197" s="221"/>
      <c r="G197" s="221"/>
      <c r="H197" s="221"/>
      <c r="I197" s="221"/>
      <c r="J197" s="221"/>
      <c r="K197" s="221"/>
      <c r="L197" s="221"/>
      <c r="M197" s="221"/>
      <c r="N197" s="221"/>
      <c r="O197" s="221"/>
      <c r="P197" s="221"/>
      <c r="Q197" s="221"/>
      <c r="R197" s="221"/>
      <c r="S197" s="221"/>
      <c r="T197" s="221"/>
      <c r="U197" s="221"/>
      <c r="V197" s="221"/>
      <c r="W197" s="221"/>
      <c r="X197" s="221"/>
      <c r="Y197" s="221"/>
      <c r="Z197" s="221"/>
      <c r="AA197" s="221"/>
      <c r="AB197" s="221"/>
      <c r="AC197" s="221"/>
      <c r="AD197" s="221"/>
      <c r="AE197" s="221"/>
      <c r="AF197" s="221"/>
      <c r="AG197" s="221"/>
      <c r="AH197" s="221"/>
      <c r="AI197" s="221"/>
      <c r="AJ197" s="221"/>
    </row>
    <row r="198" spans="1:36">
      <c r="A198" s="221"/>
      <c r="B198" s="221"/>
      <c r="C198" s="221"/>
      <c r="D198" s="221"/>
      <c r="E198" s="221"/>
      <c r="F198" s="221"/>
      <c r="G198" s="221"/>
      <c r="H198" s="221"/>
      <c r="I198" s="221"/>
      <c r="J198" s="221"/>
      <c r="K198" s="221"/>
      <c r="L198" s="221"/>
      <c r="M198" s="221"/>
      <c r="N198" s="221"/>
      <c r="O198" s="221"/>
      <c r="P198" s="221"/>
      <c r="Q198" s="221"/>
      <c r="R198" s="221"/>
      <c r="S198" s="221"/>
      <c r="T198" s="221"/>
      <c r="U198" s="221"/>
      <c r="V198" s="221"/>
      <c r="W198" s="221"/>
      <c r="X198" s="221"/>
      <c r="Y198" s="221"/>
      <c r="Z198" s="221"/>
      <c r="AA198" s="221"/>
      <c r="AB198" s="221"/>
      <c r="AC198" s="221"/>
      <c r="AD198" s="221"/>
      <c r="AE198" s="221"/>
      <c r="AF198" s="221"/>
      <c r="AG198" s="221"/>
      <c r="AH198" s="221"/>
      <c r="AI198" s="221"/>
      <c r="AJ198" s="221"/>
    </row>
    <row r="199" spans="1:36">
      <c r="A199" s="221"/>
      <c r="B199" s="221"/>
      <c r="C199" s="221"/>
      <c r="D199" s="221"/>
      <c r="E199" s="221"/>
      <c r="F199" s="221"/>
      <c r="G199" s="221"/>
      <c r="H199" s="221"/>
      <c r="I199" s="221"/>
      <c r="J199" s="221"/>
      <c r="K199" s="221"/>
      <c r="L199" s="221"/>
      <c r="M199" s="221"/>
      <c r="N199" s="221"/>
      <c r="O199" s="221"/>
      <c r="P199" s="221"/>
      <c r="Q199" s="221"/>
      <c r="R199" s="221"/>
      <c r="S199" s="221"/>
      <c r="T199" s="221"/>
      <c r="U199" s="221"/>
      <c r="V199" s="221"/>
      <c r="W199" s="221"/>
      <c r="X199" s="221"/>
      <c r="Y199" s="221"/>
      <c r="Z199" s="221"/>
      <c r="AA199" s="221"/>
      <c r="AB199" s="221"/>
      <c r="AC199" s="221"/>
      <c r="AD199" s="221"/>
      <c r="AE199" s="221"/>
      <c r="AF199" s="221"/>
      <c r="AG199" s="221"/>
      <c r="AH199" s="221"/>
      <c r="AI199" s="221"/>
      <c r="AJ199" s="221"/>
    </row>
    <row r="200" spans="1:36">
      <c r="A200" s="221"/>
      <c r="B200" s="221"/>
      <c r="C200" s="221"/>
      <c r="D200" s="221"/>
      <c r="E200" s="221"/>
      <c r="F200" s="221"/>
      <c r="G200" s="221"/>
      <c r="H200" s="221"/>
      <c r="I200" s="221"/>
      <c r="J200" s="221"/>
      <c r="K200" s="221"/>
      <c r="L200" s="221"/>
      <c r="M200" s="221"/>
      <c r="N200" s="221"/>
      <c r="O200" s="221"/>
      <c r="P200" s="221"/>
      <c r="Q200" s="221"/>
      <c r="R200" s="221"/>
      <c r="S200" s="221"/>
      <c r="T200" s="221"/>
      <c r="U200" s="221"/>
      <c r="V200" s="221"/>
      <c r="W200" s="221"/>
      <c r="X200" s="221"/>
      <c r="Y200" s="221"/>
      <c r="Z200" s="221"/>
      <c r="AA200" s="221"/>
      <c r="AB200" s="221"/>
      <c r="AC200" s="221"/>
      <c r="AD200" s="221"/>
      <c r="AE200" s="221"/>
      <c r="AF200" s="221"/>
      <c r="AG200" s="221"/>
      <c r="AH200" s="221"/>
      <c r="AI200" s="221"/>
      <c r="AJ200" s="221"/>
    </row>
    <row r="201" spans="1:36">
      <c r="A201" s="221"/>
      <c r="B201" s="221"/>
      <c r="C201" s="221"/>
      <c r="D201" s="221"/>
      <c r="E201" s="221"/>
      <c r="F201" s="221"/>
      <c r="G201" s="221"/>
      <c r="H201" s="221"/>
      <c r="I201" s="221"/>
      <c r="J201" s="221"/>
      <c r="K201" s="221"/>
      <c r="L201" s="221"/>
      <c r="M201" s="221"/>
      <c r="N201" s="221"/>
      <c r="O201" s="221"/>
      <c r="P201" s="221"/>
      <c r="Q201" s="221"/>
      <c r="R201" s="221"/>
      <c r="S201" s="221"/>
      <c r="T201" s="221"/>
      <c r="U201" s="221"/>
      <c r="V201" s="221"/>
      <c r="W201" s="221"/>
      <c r="X201" s="221"/>
      <c r="Y201" s="221"/>
      <c r="Z201" s="221"/>
      <c r="AA201" s="221"/>
      <c r="AB201" s="221"/>
      <c r="AC201" s="221"/>
      <c r="AD201" s="221"/>
      <c r="AE201" s="221"/>
      <c r="AF201" s="221"/>
      <c r="AG201" s="221"/>
      <c r="AH201" s="221"/>
      <c r="AI201" s="221"/>
      <c r="AJ201" s="221"/>
    </row>
    <row r="202" spans="1:36">
      <c r="A202" s="221"/>
      <c r="B202" s="221"/>
      <c r="C202" s="221"/>
      <c r="D202" s="221"/>
      <c r="E202" s="221"/>
      <c r="F202" s="221"/>
      <c r="G202" s="221"/>
      <c r="H202" s="221"/>
      <c r="I202" s="221"/>
      <c r="J202" s="221"/>
      <c r="K202" s="221"/>
      <c r="L202" s="221"/>
      <c r="M202" s="221"/>
      <c r="N202" s="221"/>
      <c r="O202" s="221"/>
      <c r="P202" s="221"/>
      <c r="Q202" s="221"/>
      <c r="R202" s="221"/>
      <c r="S202" s="221"/>
      <c r="T202" s="221"/>
      <c r="U202" s="221"/>
      <c r="V202" s="221"/>
      <c r="W202" s="221"/>
      <c r="X202" s="221"/>
      <c r="Y202" s="221"/>
      <c r="Z202" s="221"/>
      <c r="AA202" s="221"/>
      <c r="AB202" s="221"/>
      <c r="AC202" s="221"/>
      <c r="AD202" s="221"/>
      <c r="AE202" s="221"/>
      <c r="AF202" s="221"/>
      <c r="AG202" s="221"/>
      <c r="AH202" s="221"/>
      <c r="AI202" s="221"/>
      <c r="AJ202" s="221"/>
    </row>
    <row r="203" spans="1:36">
      <c r="A203" s="221"/>
      <c r="B203" s="221"/>
      <c r="C203" s="221"/>
      <c r="D203" s="221"/>
      <c r="E203" s="221"/>
      <c r="F203" s="221"/>
      <c r="G203" s="221"/>
      <c r="H203" s="221"/>
      <c r="I203" s="221"/>
      <c r="J203" s="221"/>
      <c r="K203" s="221"/>
      <c r="L203" s="221"/>
      <c r="M203" s="221"/>
      <c r="N203" s="221"/>
      <c r="O203" s="221"/>
      <c r="P203" s="221"/>
      <c r="Q203" s="221"/>
      <c r="R203" s="221"/>
      <c r="S203" s="221"/>
      <c r="T203" s="221"/>
      <c r="U203" s="221"/>
      <c r="V203" s="221"/>
      <c r="W203" s="221"/>
      <c r="X203" s="221"/>
      <c r="Y203" s="221"/>
      <c r="Z203" s="221"/>
      <c r="AA203" s="221"/>
      <c r="AB203" s="221"/>
      <c r="AC203" s="221"/>
      <c r="AD203" s="221"/>
      <c r="AE203" s="221"/>
      <c r="AF203" s="221"/>
      <c r="AG203" s="221"/>
      <c r="AH203" s="221"/>
      <c r="AI203" s="221"/>
      <c r="AJ203" s="221"/>
    </row>
    <row r="204" spans="1:36">
      <c r="A204" s="221"/>
      <c r="B204" s="221"/>
      <c r="C204" s="221"/>
      <c r="D204" s="221"/>
      <c r="E204" s="221"/>
      <c r="F204" s="221"/>
      <c r="G204" s="221"/>
      <c r="H204" s="221"/>
      <c r="I204" s="221"/>
      <c r="J204" s="221"/>
      <c r="K204" s="221"/>
      <c r="L204" s="221"/>
      <c r="M204" s="221"/>
      <c r="N204" s="221"/>
      <c r="O204" s="221"/>
      <c r="P204" s="221"/>
      <c r="Q204" s="221"/>
      <c r="R204" s="221"/>
      <c r="S204" s="221"/>
      <c r="T204" s="221"/>
      <c r="U204" s="221"/>
      <c r="V204" s="221"/>
      <c r="W204" s="221"/>
      <c r="X204" s="221"/>
      <c r="Y204" s="221"/>
      <c r="Z204" s="221"/>
      <c r="AA204" s="221"/>
      <c r="AB204" s="221"/>
      <c r="AC204" s="221"/>
      <c r="AD204" s="221"/>
      <c r="AE204" s="221"/>
      <c r="AF204" s="221"/>
      <c r="AG204" s="221"/>
      <c r="AH204" s="221"/>
      <c r="AI204" s="221"/>
      <c r="AJ204" s="221"/>
    </row>
    <row r="205" spans="1:36">
      <c r="A205" s="221"/>
      <c r="B205" s="221"/>
      <c r="C205" s="221"/>
      <c r="D205" s="221"/>
      <c r="E205" s="221"/>
      <c r="F205" s="221"/>
      <c r="G205" s="221"/>
      <c r="H205" s="221"/>
      <c r="I205" s="221"/>
      <c r="J205" s="221"/>
      <c r="K205" s="221"/>
      <c r="L205" s="221"/>
      <c r="M205" s="221"/>
      <c r="N205" s="221"/>
      <c r="O205" s="221"/>
      <c r="P205" s="221"/>
      <c r="Q205" s="221"/>
      <c r="R205" s="221"/>
      <c r="S205" s="221"/>
      <c r="T205" s="221"/>
      <c r="U205" s="221"/>
      <c r="V205" s="221"/>
      <c r="W205" s="221"/>
      <c r="X205" s="221"/>
      <c r="Y205" s="221"/>
      <c r="Z205" s="221"/>
      <c r="AA205" s="221"/>
      <c r="AB205" s="221"/>
      <c r="AC205" s="221"/>
      <c r="AD205" s="221"/>
      <c r="AE205" s="221"/>
      <c r="AF205" s="221"/>
      <c r="AG205" s="221"/>
      <c r="AH205" s="221"/>
      <c r="AI205" s="221"/>
      <c r="AJ205" s="221"/>
    </row>
    <row r="206" spans="1:36">
      <c r="A206" s="221"/>
      <c r="B206" s="221"/>
      <c r="C206" s="221"/>
      <c r="D206" s="221"/>
      <c r="E206" s="221"/>
      <c r="F206" s="221"/>
      <c r="G206" s="221"/>
      <c r="H206" s="221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</row>
    <row r="207" spans="1:36">
      <c r="A207" s="221"/>
      <c r="B207" s="221"/>
      <c r="C207" s="221"/>
      <c r="D207" s="221"/>
      <c r="E207" s="221"/>
      <c r="F207" s="221"/>
      <c r="G207" s="221"/>
      <c r="H207" s="221"/>
      <c r="I207" s="221"/>
      <c r="J207" s="221"/>
      <c r="K207" s="221"/>
      <c r="L207" s="221"/>
      <c r="M207" s="221"/>
      <c r="N207" s="221"/>
      <c r="O207" s="221"/>
      <c r="P207" s="221"/>
      <c r="Q207" s="221"/>
      <c r="R207" s="221"/>
      <c r="S207" s="221"/>
      <c r="T207" s="221"/>
      <c r="U207" s="221"/>
      <c r="V207" s="221"/>
      <c r="W207" s="221"/>
      <c r="X207" s="221"/>
      <c r="Y207" s="221"/>
      <c r="Z207" s="221"/>
      <c r="AA207" s="221"/>
      <c r="AB207" s="221"/>
      <c r="AC207" s="221"/>
      <c r="AD207" s="221"/>
      <c r="AE207" s="221"/>
      <c r="AF207" s="221"/>
      <c r="AG207" s="221"/>
      <c r="AH207" s="221"/>
      <c r="AI207" s="221"/>
      <c r="AJ207" s="221"/>
    </row>
    <row r="208" spans="1:36">
      <c r="A208" s="221"/>
      <c r="B208" s="221"/>
      <c r="C208" s="221"/>
      <c r="D208" s="221"/>
      <c r="E208" s="221"/>
      <c r="F208" s="221"/>
      <c r="G208" s="221"/>
      <c r="H208" s="221"/>
      <c r="I208" s="221"/>
      <c r="J208" s="221"/>
      <c r="K208" s="221"/>
      <c r="L208" s="221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</row>
    <row r="209" spans="1:36">
      <c r="A209" s="221"/>
      <c r="B209" s="221"/>
      <c r="C209" s="221"/>
      <c r="D209" s="221"/>
      <c r="E209" s="221"/>
      <c r="F209" s="221"/>
      <c r="G209" s="221"/>
      <c r="H209" s="221"/>
      <c r="I209" s="221"/>
      <c r="J209" s="221"/>
      <c r="K209" s="221"/>
      <c r="L209" s="221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</row>
    <row r="210" spans="1:36">
      <c r="A210" s="221"/>
      <c r="B210" s="221"/>
      <c r="C210" s="221"/>
      <c r="D210" s="221"/>
      <c r="E210" s="221"/>
      <c r="F210" s="221"/>
      <c r="G210" s="221"/>
      <c r="H210" s="221"/>
      <c r="I210" s="221"/>
      <c r="J210" s="221"/>
      <c r="K210" s="221"/>
      <c r="L210" s="221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</row>
    <row r="211" spans="1:36">
      <c r="A211" s="221"/>
      <c r="B211" s="221"/>
      <c r="C211" s="221"/>
      <c r="D211" s="221"/>
      <c r="E211" s="221"/>
      <c r="F211" s="221"/>
      <c r="G211" s="221"/>
      <c r="H211" s="221"/>
      <c r="I211" s="221"/>
      <c r="J211" s="221"/>
      <c r="K211" s="221"/>
      <c r="L211" s="221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</row>
    <row r="212" spans="1:36">
      <c r="A212" s="221"/>
      <c r="B212" s="221"/>
      <c r="C212" s="221"/>
      <c r="D212" s="221"/>
      <c r="E212" s="221"/>
      <c r="F212" s="221"/>
      <c r="G212" s="221"/>
      <c r="H212" s="221"/>
      <c r="I212" s="221"/>
      <c r="J212" s="221"/>
      <c r="K212" s="221"/>
      <c r="L212" s="221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</row>
    <row r="213" spans="1:36">
      <c r="A213" s="221"/>
      <c r="B213" s="221"/>
      <c r="C213" s="221"/>
      <c r="D213" s="221"/>
      <c r="E213" s="221"/>
      <c r="F213" s="221"/>
      <c r="G213" s="221"/>
      <c r="H213" s="221"/>
      <c r="I213" s="221"/>
      <c r="J213" s="221"/>
      <c r="K213" s="221"/>
      <c r="L213" s="221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</row>
    <row r="214" spans="1:36">
      <c r="A214" s="221"/>
      <c r="B214" s="221"/>
      <c r="C214" s="221"/>
      <c r="D214" s="221"/>
      <c r="E214" s="221"/>
      <c r="F214" s="221"/>
      <c r="G214" s="221"/>
      <c r="H214" s="221"/>
      <c r="I214" s="221"/>
      <c r="J214" s="221"/>
      <c r="K214" s="221"/>
      <c r="L214" s="221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</row>
    <row r="215" spans="1:36">
      <c r="A215" s="221"/>
      <c r="B215" s="221"/>
      <c r="C215" s="221"/>
      <c r="D215" s="221"/>
      <c r="E215" s="221"/>
      <c r="F215" s="221"/>
      <c r="G215" s="221"/>
      <c r="H215" s="221"/>
      <c r="I215" s="221"/>
      <c r="J215" s="221"/>
      <c r="K215" s="221"/>
      <c r="L215" s="221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</row>
    <row r="216" spans="1:36">
      <c r="A216" s="221"/>
      <c r="B216" s="221"/>
      <c r="C216" s="221"/>
      <c r="D216" s="221"/>
      <c r="E216" s="221"/>
      <c r="F216" s="221"/>
      <c r="G216" s="221"/>
      <c r="H216" s="221"/>
      <c r="I216" s="221"/>
      <c r="J216" s="221"/>
      <c r="K216" s="221"/>
      <c r="L216" s="221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</row>
    <row r="217" spans="1:36">
      <c r="A217" s="221"/>
      <c r="B217" s="221"/>
      <c r="C217" s="221"/>
      <c r="D217" s="221"/>
      <c r="E217" s="221"/>
      <c r="F217" s="221"/>
      <c r="G217" s="221"/>
      <c r="H217" s="221"/>
      <c r="I217" s="221"/>
      <c r="J217" s="221"/>
      <c r="K217" s="221"/>
      <c r="L217" s="221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</row>
    <row r="218" spans="1:36">
      <c r="A218" s="221"/>
      <c r="B218" s="221"/>
      <c r="C218" s="221"/>
      <c r="D218" s="221"/>
      <c r="E218" s="221"/>
      <c r="F218" s="221"/>
      <c r="G218" s="221"/>
      <c r="H218" s="221"/>
      <c r="I218" s="221"/>
      <c r="J218" s="221"/>
      <c r="K218" s="221"/>
      <c r="L218" s="221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</row>
    <row r="219" spans="1:36">
      <c r="A219" s="221"/>
      <c r="B219" s="221"/>
      <c r="C219" s="221"/>
      <c r="D219" s="221"/>
      <c r="E219" s="221"/>
      <c r="F219" s="221"/>
      <c r="G219" s="221"/>
      <c r="H219" s="221"/>
      <c r="I219" s="221"/>
      <c r="J219" s="221"/>
      <c r="K219" s="221"/>
      <c r="L219" s="221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</row>
    <row r="220" spans="1:36">
      <c r="A220" s="221"/>
      <c r="B220" s="221"/>
      <c r="C220" s="221"/>
      <c r="D220" s="221"/>
      <c r="E220" s="221"/>
      <c r="F220" s="221"/>
      <c r="G220" s="221"/>
      <c r="H220" s="221"/>
      <c r="I220" s="221"/>
      <c r="J220" s="221"/>
      <c r="K220" s="221"/>
      <c r="L220" s="221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</row>
    <row r="221" spans="1:36">
      <c r="A221" s="221"/>
      <c r="B221" s="221"/>
      <c r="C221" s="221"/>
      <c r="D221" s="221"/>
      <c r="E221" s="221"/>
      <c r="F221" s="221"/>
      <c r="G221" s="221"/>
      <c r="H221" s="221"/>
      <c r="I221" s="221"/>
      <c r="J221" s="221"/>
      <c r="K221" s="221"/>
      <c r="L221" s="221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</row>
    <row r="222" spans="1:36">
      <c r="A222" s="221"/>
      <c r="B222" s="221"/>
      <c r="C222" s="221"/>
      <c r="D222" s="221"/>
      <c r="E222" s="221"/>
      <c r="F222" s="221"/>
      <c r="G222" s="221"/>
      <c r="H222" s="221"/>
      <c r="I222" s="221"/>
      <c r="J222" s="221"/>
      <c r="K222" s="221"/>
      <c r="L222" s="221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</row>
    <row r="223" spans="1:36">
      <c r="A223" s="221"/>
      <c r="B223" s="221"/>
      <c r="C223" s="221"/>
      <c r="D223" s="221"/>
      <c r="E223" s="221"/>
      <c r="F223" s="221"/>
      <c r="G223" s="221"/>
      <c r="H223" s="221"/>
      <c r="I223" s="221"/>
      <c r="J223" s="221"/>
      <c r="K223" s="221"/>
      <c r="L223" s="221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</row>
    <row r="224" spans="1:36">
      <c r="A224" s="221"/>
      <c r="B224" s="221"/>
      <c r="C224" s="221"/>
      <c r="D224" s="221"/>
      <c r="E224" s="221"/>
      <c r="F224" s="221"/>
      <c r="G224" s="221"/>
      <c r="H224" s="221"/>
      <c r="I224" s="221"/>
      <c r="J224" s="221"/>
      <c r="K224" s="221"/>
      <c r="L224" s="221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</row>
    <row r="225" spans="1:36">
      <c r="A225" s="221"/>
      <c r="B225" s="221"/>
      <c r="C225" s="221"/>
      <c r="D225" s="221"/>
      <c r="E225" s="221"/>
      <c r="F225" s="221"/>
      <c r="G225" s="221"/>
      <c r="H225" s="221"/>
      <c r="I225" s="221"/>
      <c r="J225" s="221"/>
      <c r="K225" s="221"/>
      <c r="L225" s="221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</row>
    <row r="226" spans="1:36">
      <c r="A226" s="221"/>
      <c r="B226" s="221"/>
      <c r="C226" s="221"/>
      <c r="D226" s="221"/>
      <c r="E226" s="221"/>
      <c r="F226" s="221"/>
      <c r="G226" s="221"/>
      <c r="H226" s="221"/>
      <c r="I226" s="221"/>
      <c r="J226" s="221"/>
      <c r="K226" s="221"/>
      <c r="L226" s="221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</row>
    <row r="227" spans="1:36">
      <c r="A227" s="221"/>
      <c r="B227" s="221"/>
      <c r="C227" s="221"/>
      <c r="D227" s="221"/>
      <c r="E227" s="221"/>
      <c r="F227" s="221"/>
      <c r="G227" s="221"/>
      <c r="H227" s="221"/>
      <c r="I227" s="221"/>
      <c r="J227" s="221"/>
      <c r="K227" s="221"/>
      <c r="L227" s="221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</row>
    <row r="228" spans="1:36">
      <c r="A228" s="221"/>
      <c r="B228" s="221"/>
      <c r="C228" s="221"/>
      <c r="D228" s="221"/>
      <c r="E228" s="221"/>
      <c r="F228" s="221"/>
      <c r="G228" s="221"/>
      <c r="H228" s="221"/>
      <c r="I228" s="221"/>
      <c r="J228" s="221"/>
      <c r="K228" s="221"/>
      <c r="L228" s="221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</row>
    <row r="229" spans="1:36">
      <c r="A229" s="221"/>
      <c r="B229" s="221"/>
      <c r="C229" s="221"/>
      <c r="D229" s="221"/>
      <c r="E229" s="221"/>
      <c r="F229" s="221"/>
      <c r="G229" s="221"/>
      <c r="H229" s="221"/>
      <c r="I229" s="221"/>
      <c r="J229" s="221"/>
      <c r="K229" s="221"/>
      <c r="L229" s="221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</row>
    <row r="230" spans="1:36">
      <c r="A230" s="221"/>
      <c r="B230" s="221"/>
      <c r="C230" s="221"/>
      <c r="D230" s="221"/>
      <c r="E230" s="221"/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</row>
    <row r="231" spans="1:36">
      <c r="A231" s="221"/>
      <c r="B231" s="221"/>
      <c r="C231" s="221"/>
      <c r="D231" s="221"/>
      <c r="E231" s="221"/>
      <c r="F231" s="221"/>
      <c r="G231" s="221"/>
      <c r="H231" s="221"/>
      <c r="I231" s="221"/>
      <c r="J231" s="221"/>
      <c r="K231" s="221"/>
      <c r="L231" s="221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</row>
    <row r="232" spans="1:36">
      <c r="A232" s="221"/>
      <c r="B232" s="221"/>
      <c r="C232" s="221"/>
      <c r="D232" s="221"/>
      <c r="E232" s="221"/>
      <c r="F232" s="221"/>
      <c r="G232" s="221"/>
      <c r="H232" s="221"/>
      <c r="I232" s="221"/>
      <c r="J232" s="221"/>
      <c r="K232" s="221"/>
      <c r="L232" s="221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</row>
    <row r="233" spans="1:36">
      <c r="A233" s="221"/>
      <c r="B233" s="221"/>
      <c r="C233" s="221"/>
      <c r="D233" s="221"/>
      <c r="E233" s="221"/>
      <c r="F233" s="221"/>
      <c r="G233" s="221"/>
      <c r="H233" s="221"/>
      <c r="I233" s="221"/>
      <c r="J233" s="221"/>
      <c r="K233" s="221"/>
      <c r="L233" s="221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</row>
    <row r="234" spans="1:36">
      <c r="A234" s="221"/>
      <c r="B234" s="221"/>
      <c r="C234" s="221"/>
      <c r="D234" s="221"/>
      <c r="E234" s="221"/>
      <c r="F234" s="221"/>
      <c r="G234" s="221"/>
      <c r="H234" s="221"/>
      <c r="I234" s="221"/>
      <c r="J234" s="221"/>
      <c r="K234" s="221"/>
      <c r="L234" s="221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</row>
    <row r="235" spans="1:36">
      <c r="A235" s="221"/>
      <c r="B235" s="221"/>
      <c r="C235" s="221"/>
      <c r="D235" s="221"/>
      <c r="E235" s="221"/>
      <c r="F235" s="221"/>
      <c r="G235" s="221"/>
      <c r="H235" s="221"/>
      <c r="I235" s="221"/>
      <c r="J235" s="221"/>
      <c r="K235" s="221"/>
      <c r="L235" s="221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</row>
    <row r="236" spans="1:36">
      <c r="A236" s="221"/>
      <c r="B236" s="221"/>
      <c r="C236" s="221"/>
      <c r="D236" s="221"/>
      <c r="E236" s="221"/>
      <c r="F236" s="221"/>
      <c r="G236" s="221"/>
      <c r="H236" s="221"/>
      <c r="I236" s="221"/>
      <c r="J236" s="221"/>
      <c r="K236" s="221"/>
      <c r="L236" s="221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</row>
    <row r="237" spans="1:36">
      <c r="A237" s="221"/>
      <c r="B237" s="221"/>
      <c r="C237" s="221"/>
      <c r="D237" s="221"/>
      <c r="E237" s="221"/>
      <c r="F237" s="221"/>
      <c r="G237" s="221"/>
      <c r="H237" s="221"/>
      <c r="I237" s="221"/>
      <c r="J237" s="221"/>
      <c r="K237" s="221"/>
      <c r="L237" s="221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</row>
    <row r="238" spans="1:36">
      <c r="A238" s="221"/>
      <c r="B238" s="221"/>
      <c r="C238" s="221"/>
      <c r="D238" s="221"/>
      <c r="E238" s="221"/>
      <c r="F238" s="221"/>
      <c r="G238" s="221"/>
      <c r="H238" s="221"/>
      <c r="I238" s="221"/>
      <c r="J238" s="221"/>
      <c r="K238" s="221"/>
      <c r="L238" s="221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</row>
    <row r="239" spans="1:36">
      <c r="A239" s="221"/>
      <c r="B239" s="221"/>
      <c r="C239" s="221"/>
      <c r="D239" s="221"/>
      <c r="E239" s="221"/>
      <c r="F239" s="221"/>
      <c r="G239" s="221"/>
      <c r="H239" s="221"/>
      <c r="I239" s="221"/>
      <c r="J239" s="221"/>
      <c r="K239" s="221"/>
      <c r="L239" s="221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</row>
    <row r="240" spans="1:36">
      <c r="A240" s="221"/>
      <c r="B240" s="221"/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</row>
    <row r="241" spans="1:36">
      <c r="A241" s="221"/>
      <c r="B241" s="221"/>
      <c r="C241" s="221"/>
      <c r="D241" s="221"/>
      <c r="E241" s="221"/>
      <c r="F241" s="221"/>
      <c r="G241" s="221"/>
      <c r="H241" s="221"/>
      <c r="I241" s="221"/>
      <c r="J241" s="221"/>
      <c r="K241" s="221"/>
      <c r="L241" s="221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</row>
    <row r="242" spans="1:36">
      <c r="A242" s="221"/>
      <c r="B242" s="221"/>
      <c r="C242" s="221"/>
      <c r="D242" s="221"/>
      <c r="E242" s="221"/>
      <c r="F242" s="221"/>
      <c r="G242" s="221"/>
      <c r="H242" s="221"/>
      <c r="I242" s="221"/>
      <c r="J242" s="221"/>
      <c r="K242" s="221"/>
      <c r="L242" s="221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</row>
    <row r="243" spans="1:36">
      <c r="A243" s="221"/>
      <c r="B243" s="221"/>
      <c r="C243" s="221"/>
      <c r="D243" s="221"/>
      <c r="E243" s="221"/>
      <c r="F243" s="221"/>
      <c r="G243" s="221"/>
      <c r="H243" s="221"/>
      <c r="I243" s="221"/>
      <c r="J243" s="221"/>
      <c r="K243" s="221"/>
      <c r="L243" s="221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</row>
    <row r="244" spans="1:36">
      <c r="A244" s="221"/>
      <c r="B244" s="221"/>
      <c r="C244" s="221"/>
      <c r="D244" s="221"/>
      <c r="E244" s="221"/>
      <c r="F244" s="221"/>
      <c r="G244" s="221"/>
      <c r="H244" s="221"/>
      <c r="I244" s="221"/>
      <c r="J244" s="221"/>
      <c r="K244" s="221"/>
      <c r="L244" s="221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</row>
    <row r="245" spans="1:36">
      <c r="A245" s="221"/>
      <c r="B245" s="221"/>
      <c r="C245" s="221"/>
      <c r="D245" s="221"/>
      <c r="E245" s="221"/>
      <c r="F245" s="221"/>
      <c r="G245" s="221"/>
      <c r="H245" s="221"/>
      <c r="I245" s="221"/>
      <c r="J245" s="221"/>
      <c r="K245" s="221"/>
      <c r="L245" s="221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</row>
    <row r="246" spans="1:36">
      <c r="A246" s="221"/>
      <c r="B246" s="221"/>
      <c r="C246" s="221"/>
      <c r="D246" s="221"/>
      <c r="E246" s="221"/>
      <c r="F246" s="221"/>
      <c r="G246" s="221"/>
      <c r="H246" s="221"/>
      <c r="I246" s="221"/>
      <c r="J246" s="221"/>
      <c r="K246" s="221"/>
      <c r="L246" s="221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</row>
    <row r="247" spans="1:36">
      <c r="A247" s="221"/>
      <c r="B247" s="221"/>
      <c r="C247" s="221"/>
      <c r="D247" s="221"/>
      <c r="E247" s="221"/>
      <c r="F247" s="221"/>
      <c r="G247" s="221"/>
      <c r="H247" s="221"/>
      <c r="I247" s="221"/>
      <c r="J247" s="221"/>
      <c r="K247" s="221"/>
      <c r="L247" s="221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</row>
    <row r="248" spans="1:36">
      <c r="A248" s="221"/>
      <c r="B248" s="221"/>
      <c r="C248" s="221"/>
      <c r="D248" s="221"/>
      <c r="E248" s="221"/>
      <c r="F248" s="221"/>
      <c r="G248" s="221"/>
      <c r="H248" s="221"/>
      <c r="I248" s="221"/>
      <c r="J248" s="221"/>
      <c r="K248" s="221"/>
      <c r="L248" s="221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</row>
    <row r="249" spans="1:36">
      <c r="A249" s="221"/>
      <c r="B249" s="221"/>
      <c r="C249" s="221"/>
      <c r="D249" s="221"/>
      <c r="E249" s="221"/>
      <c r="F249" s="221"/>
      <c r="G249" s="221"/>
      <c r="H249" s="221"/>
      <c r="I249" s="221"/>
      <c r="J249" s="221"/>
      <c r="K249" s="221"/>
      <c r="L249" s="221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</row>
    <row r="250" spans="1:36">
      <c r="A250" s="221"/>
      <c r="B250" s="221"/>
      <c r="C250" s="221"/>
      <c r="D250" s="221"/>
      <c r="E250" s="221"/>
      <c r="F250" s="221"/>
      <c r="G250" s="221"/>
      <c r="H250" s="221"/>
      <c r="I250" s="221"/>
      <c r="J250" s="221"/>
      <c r="K250" s="221"/>
      <c r="L250" s="221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</row>
    <row r="251" spans="1:36">
      <c r="A251" s="221"/>
      <c r="B251" s="221"/>
      <c r="C251" s="221"/>
      <c r="D251" s="221"/>
      <c r="E251" s="221"/>
      <c r="F251" s="221"/>
      <c r="G251" s="221"/>
      <c r="H251" s="221"/>
      <c r="I251" s="221"/>
      <c r="J251" s="221"/>
      <c r="K251" s="221"/>
      <c r="L251" s="221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</row>
    <row r="252" spans="1:36">
      <c r="A252" s="221"/>
      <c r="B252" s="221"/>
      <c r="C252" s="221"/>
      <c r="D252" s="221"/>
      <c r="E252" s="221"/>
      <c r="F252" s="221"/>
      <c r="G252" s="221"/>
      <c r="H252" s="221"/>
      <c r="I252" s="221"/>
      <c r="J252" s="221"/>
      <c r="K252" s="221"/>
      <c r="L252" s="221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</row>
    <row r="253" spans="1:36">
      <c r="A253" s="221"/>
      <c r="B253" s="221"/>
      <c r="C253" s="221"/>
      <c r="D253" s="221"/>
      <c r="E253" s="221"/>
      <c r="F253" s="221"/>
      <c r="G253" s="221"/>
      <c r="H253" s="221"/>
      <c r="I253" s="221"/>
      <c r="J253" s="221"/>
      <c r="K253" s="221"/>
      <c r="L253" s="221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</row>
    <row r="254" spans="1:36">
      <c r="A254" s="221"/>
      <c r="B254" s="221"/>
      <c r="C254" s="221"/>
      <c r="D254" s="221"/>
      <c r="E254" s="221"/>
      <c r="F254" s="221"/>
      <c r="G254" s="221"/>
      <c r="H254" s="221"/>
      <c r="I254" s="221"/>
      <c r="J254" s="221"/>
      <c r="K254" s="221"/>
      <c r="L254" s="221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</row>
    <row r="255" spans="1:36">
      <c r="A255" s="221"/>
      <c r="B255" s="221"/>
      <c r="C255" s="221"/>
      <c r="D255" s="221"/>
      <c r="E255" s="221"/>
      <c r="F255" s="221"/>
      <c r="G255" s="221"/>
      <c r="H255" s="221"/>
      <c r="I255" s="221"/>
      <c r="J255" s="221"/>
      <c r="K255" s="221"/>
      <c r="L255" s="221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</row>
    <row r="256" spans="1:36">
      <c r="A256" s="221"/>
      <c r="B256" s="221"/>
      <c r="C256" s="221"/>
      <c r="D256" s="221"/>
      <c r="E256" s="221"/>
      <c r="F256" s="221"/>
      <c r="G256" s="221"/>
      <c r="H256" s="221"/>
      <c r="I256" s="221"/>
      <c r="J256" s="221"/>
      <c r="K256" s="221"/>
      <c r="L256" s="221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</row>
    <row r="257" spans="1:36">
      <c r="A257" s="221"/>
      <c r="B257" s="221"/>
      <c r="C257" s="221"/>
      <c r="D257" s="221"/>
      <c r="E257" s="221"/>
      <c r="F257" s="221"/>
      <c r="G257" s="221"/>
      <c r="H257" s="221"/>
      <c r="I257" s="221"/>
      <c r="J257" s="221"/>
      <c r="K257" s="221"/>
      <c r="L257" s="221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</row>
    <row r="258" spans="1:36">
      <c r="A258" s="221"/>
      <c r="B258" s="221"/>
      <c r="C258" s="221"/>
      <c r="D258" s="221"/>
      <c r="E258" s="221"/>
      <c r="F258" s="221"/>
      <c r="G258" s="221"/>
      <c r="H258" s="221"/>
      <c r="I258" s="221"/>
      <c r="J258" s="221"/>
      <c r="K258" s="221"/>
      <c r="L258" s="221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</row>
    <row r="259" spans="1:36">
      <c r="A259" s="221"/>
      <c r="B259" s="221"/>
      <c r="C259" s="221"/>
      <c r="D259" s="221"/>
      <c r="E259" s="221"/>
      <c r="F259" s="221"/>
      <c r="G259" s="221"/>
      <c r="H259" s="221"/>
      <c r="I259" s="221"/>
      <c r="J259" s="221"/>
      <c r="K259" s="221"/>
      <c r="L259" s="221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</row>
    <row r="260" spans="1:36">
      <c r="A260" s="221"/>
      <c r="B260" s="221"/>
      <c r="C260" s="221"/>
      <c r="D260" s="221"/>
      <c r="E260" s="221"/>
      <c r="F260" s="221"/>
      <c r="G260" s="221"/>
      <c r="H260" s="221"/>
      <c r="I260" s="221"/>
      <c r="J260" s="221"/>
      <c r="K260" s="221"/>
      <c r="L260" s="221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</row>
    <row r="261" spans="1:36">
      <c r="A261" s="221"/>
      <c r="B261" s="221"/>
      <c r="C261" s="221"/>
      <c r="D261" s="221"/>
      <c r="E261" s="221"/>
      <c r="F261" s="221"/>
      <c r="G261" s="221"/>
      <c r="H261" s="221"/>
      <c r="I261" s="221"/>
      <c r="J261" s="221"/>
      <c r="K261" s="221"/>
      <c r="L261" s="221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</row>
    <row r="262" spans="1:36">
      <c r="A262" s="221"/>
      <c r="B262" s="221"/>
      <c r="C262" s="221"/>
      <c r="D262" s="221"/>
      <c r="E262" s="221"/>
      <c r="F262" s="221"/>
      <c r="G262" s="221"/>
      <c r="H262" s="221"/>
      <c r="I262" s="221"/>
      <c r="J262" s="221"/>
      <c r="K262" s="221"/>
      <c r="L262" s="221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</row>
    <row r="263" spans="1:36">
      <c r="A263" s="221"/>
      <c r="B263" s="221"/>
      <c r="C263" s="221"/>
      <c r="D263" s="221"/>
      <c r="E263" s="221"/>
      <c r="F263" s="221"/>
      <c r="G263" s="221"/>
      <c r="H263" s="221"/>
      <c r="I263" s="221"/>
      <c r="J263" s="221"/>
      <c r="K263" s="221"/>
      <c r="L263" s="221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</row>
    <row r="264" spans="1:36">
      <c r="A264" s="221"/>
      <c r="B264" s="221"/>
      <c r="C264" s="221"/>
      <c r="D264" s="221"/>
      <c r="E264" s="221"/>
      <c r="F264" s="221"/>
      <c r="G264" s="221"/>
      <c r="H264" s="221"/>
      <c r="I264" s="221"/>
      <c r="J264" s="221"/>
      <c r="K264" s="221"/>
      <c r="L264" s="221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</row>
    <row r="265" spans="1:36">
      <c r="A265" s="221"/>
      <c r="B265" s="221"/>
      <c r="C265" s="221"/>
      <c r="D265" s="221"/>
      <c r="E265" s="221"/>
      <c r="F265" s="221"/>
      <c r="G265" s="221"/>
      <c r="H265" s="221"/>
      <c r="I265" s="221"/>
      <c r="J265" s="221"/>
      <c r="K265" s="221"/>
      <c r="L265" s="221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</row>
    <row r="266" spans="1:36">
      <c r="A266" s="221"/>
      <c r="B266" s="221"/>
      <c r="C266" s="221"/>
      <c r="D266" s="221"/>
      <c r="E266" s="221"/>
      <c r="F266" s="221"/>
      <c r="G266" s="221"/>
      <c r="H266" s="221"/>
      <c r="I266" s="221"/>
      <c r="J266" s="221"/>
      <c r="K266" s="221"/>
      <c r="L266" s="221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</row>
    <row r="267" spans="1:36">
      <c r="A267" s="221"/>
      <c r="B267" s="221"/>
      <c r="C267" s="221"/>
      <c r="D267" s="221"/>
      <c r="E267" s="221"/>
      <c r="F267" s="221"/>
      <c r="G267" s="221"/>
      <c r="H267" s="221"/>
      <c r="I267" s="221"/>
      <c r="J267" s="221"/>
      <c r="K267" s="221"/>
      <c r="L267" s="221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</row>
    <row r="268" spans="1:36">
      <c r="A268" s="221"/>
      <c r="B268" s="221"/>
      <c r="C268" s="221"/>
      <c r="D268" s="221"/>
      <c r="E268" s="221"/>
      <c r="F268" s="221"/>
      <c r="G268" s="221"/>
      <c r="H268" s="221"/>
      <c r="I268" s="221"/>
      <c r="J268" s="221"/>
      <c r="K268" s="221"/>
      <c r="L268" s="221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</row>
    <row r="269" spans="1:36">
      <c r="A269" s="221"/>
      <c r="B269" s="221"/>
      <c r="C269" s="221"/>
      <c r="D269" s="221"/>
      <c r="E269" s="221"/>
      <c r="F269" s="221"/>
      <c r="G269" s="221"/>
      <c r="H269" s="221"/>
      <c r="I269" s="221"/>
      <c r="J269" s="221"/>
      <c r="K269" s="221"/>
      <c r="L269" s="221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8AC2-EF9F-4BE1-9393-8A303ED8A321}">
  <sheetPr>
    <tabColor theme="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1276-4168-40A1-A6D9-E5799C303DCA}">
  <dimension ref="A1:AI53"/>
  <sheetViews>
    <sheetView showGridLines="0" zoomScale="145" zoomScaleNormal="145" zoomScaleSheetLayoutView="130" workbookViewId="0"/>
  </sheetViews>
  <sheetFormatPr defaultColWidth="9.1328125" defaultRowHeight="13.15"/>
  <cols>
    <col min="1" max="1" width="3.59765625" style="1" customWidth="1"/>
    <col min="2" max="2" width="38.6640625" style="2" customWidth="1"/>
    <col min="3" max="13" width="7.796875" style="2" customWidth="1"/>
    <col min="14" max="14" width="7.9296875" style="62" customWidth="1"/>
    <col min="15" max="15" width="7.796875" style="70" customWidth="1"/>
    <col min="16" max="34" width="7.796875" style="1" customWidth="1"/>
    <col min="35" max="35" width="7.86328125" style="1" customWidth="1"/>
    <col min="36" max="16384" width="9.1328125" style="1"/>
  </cols>
  <sheetData>
    <row r="1" spans="2:35" s="2" customFormat="1">
      <c r="B1" s="7"/>
      <c r="N1" s="62"/>
      <c r="O1" s="63"/>
    </row>
    <row r="2" spans="2:35" s="2" customFormat="1">
      <c r="B2" s="3" t="s">
        <v>53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64"/>
      <c r="O2" s="65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88" t="s">
        <v>253</v>
      </c>
      <c r="AI2" s="172"/>
    </row>
    <row r="3" spans="2:35" s="2" customFormat="1">
      <c r="B3" s="4"/>
      <c r="C3" s="130">
        <f t="shared" ref="C3:AH3" si="0">YEAR(C4)</f>
        <v>2020</v>
      </c>
      <c r="D3" s="130">
        <f t="shared" si="0"/>
        <v>2020</v>
      </c>
      <c r="E3" s="130">
        <f t="shared" si="0"/>
        <v>2020</v>
      </c>
      <c r="F3" s="130">
        <f t="shared" si="0"/>
        <v>2020</v>
      </c>
      <c r="G3" s="130">
        <f t="shared" si="0"/>
        <v>2021</v>
      </c>
      <c r="H3" s="130">
        <f t="shared" si="0"/>
        <v>2021</v>
      </c>
      <c r="I3" s="130">
        <f t="shared" si="0"/>
        <v>2021</v>
      </c>
      <c r="J3" s="130">
        <f t="shared" si="0"/>
        <v>2021</v>
      </c>
      <c r="K3" s="130">
        <f t="shared" si="0"/>
        <v>2022</v>
      </c>
      <c r="L3" s="130">
        <f t="shared" si="0"/>
        <v>2022</v>
      </c>
      <c r="M3" s="130">
        <f t="shared" si="0"/>
        <v>2022</v>
      </c>
      <c r="N3" s="270">
        <f t="shared" si="0"/>
        <v>2022</v>
      </c>
      <c r="O3" s="194">
        <f t="shared" si="0"/>
        <v>2023</v>
      </c>
      <c r="P3" s="192">
        <f t="shared" si="0"/>
        <v>2023</v>
      </c>
      <c r="Q3" s="192">
        <f t="shared" si="0"/>
        <v>2023</v>
      </c>
      <c r="R3" s="192">
        <f t="shared" si="0"/>
        <v>2023</v>
      </c>
      <c r="S3" s="192">
        <f t="shared" si="0"/>
        <v>2024</v>
      </c>
      <c r="T3" s="192">
        <f t="shared" si="0"/>
        <v>2024</v>
      </c>
      <c r="U3" s="192">
        <f t="shared" si="0"/>
        <v>2024</v>
      </c>
      <c r="V3" s="192">
        <f t="shared" si="0"/>
        <v>2024</v>
      </c>
      <c r="W3" s="192">
        <f t="shared" si="0"/>
        <v>2025</v>
      </c>
      <c r="X3" s="192">
        <f t="shared" si="0"/>
        <v>2025</v>
      </c>
      <c r="Y3" s="192">
        <f t="shared" si="0"/>
        <v>2025</v>
      </c>
      <c r="Z3" s="192">
        <f t="shared" si="0"/>
        <v>2025</v>
      </c>
      <c r="AA3" s="192">
        <f t="shared" si="0"/>
        <v>2026</v>
      </c>
      <c r="AB3" s="192">
        <f t="shared" si="0"/>
        <v>2026</v>
      </c>
      <c r="AC3" s="192">
        <f t="shared" si="0"/>
        <v>2026</v>
      </c>
      <c r="AD3" s="192">
        <f t="shared" si="0"/>
        <v>2026</v>
      </c>
      <c r="AE3" s="192">
        <f t="shared" si="0"/>
        <v>2027</v>
      </c>
      <c r="AF3" s="192">
        <f t="shared" si="0"/>
        <v>2027</v>
      </c>
      <c r="AG3" s="192">
        <f t="shared" si="0"/>
        <v>2027</v>
      </c>
      <c r="AH3" s="192">
        <f t="shared" si="0"/>
        <v>2027</v>
      </c>
      <c r="AI3" s="173"/>
    </row>
    <row r="4" spans="2:35" s="2" customFormat="1">
      <c r="B4" s="287"/>
      <c r="C4" s="229">
        <v>43921</v>
      </c>
      <c r="D4" s="21">
        <f t="shared" ref="D4:AH4" si="1">EOMONTH(C4, 3)</f>
        <v>44012</v>
      </c>
      <c r="E4" s="21">
        <f t="shared" si="1"/>
        <v>44104</v>
      </c>
      <c r="F4" s="21">
        <f t="shared" si="1"/>
        <v>44196</v>
      </c>
      <c r="G4" s="21">
        <f t="shared" si="1"/>
        <v>44286</v>
      </c>
      <c r="H4" s="21">
        <f t="shared" si="1"/>
        <v>44377</v>
      </c>
      <c r="I4" s="21">
        <f t="shared" si="1"/>
        <v>44469</v>
      </c>
      <c r="J4" s="21">
        <f t="shared" si="1"/>
        <v>44561</v>
      </c>
      <c r="K4" s="21">
        <f t="shared" si="1"/>
        <v>44651</v>
      </c>
      <c r="L4" s="21">
        <f t="shared" si="1"/>
        <v>44742</v>
      </c>
      <c r="M4" s="21">
        <f t="shared" si="1"/>
        <v>44834</v>
      </c>
      <c r="N4" s="66">
        <f t="shared" si="1"/>
        <v>44926</v>
      </c>
      <c r="O4" s="195">
        <f t="shared" si="1"/>
        <v>45016</v>
      </c>
      <c r="P4" s="193">
        <f t="shared" si="1"/>
        <v>45107</v>
      </c>
      <c r="Q4" s="193">
        <f t="shared" si="1"/>
        <v>45199</v>
      </c>
      <c r="R4" s="193">
        <f t="shared" si="1"/>
        <v>45291</v>
      </c>
      <c r="S4" s="193">
        <f t="shared" si="1"/>
        <v>45382</v>
      </c>
      <c r="T4" s="193">
        <f t="shared" si="1"/>
        <v>45473</v>
      </c>
      <c r="U4" s="193">
        <f t="shared" si="1"/>
        <v>45565</v>
      </c>
      <c r="V4" s="193">
        <f t="shared" si="1"/>
        <v>45657</v>
      </c>
      <c r="W4" s="193">
        <f t="shared" si="1"/>
        <v>45747</v>
      </c>
      <c r="X4" s="193">
        <f t="shared" si="1"/>
        <v>45838</v>
      </c>
      <c r="Y4" s="193">
        <f t="shared" si="1"/>
        <v>45930</v>
      </c>
      <c r="Z4" s="193">
        <f t="shared" si="1"/>
        <v>46022</v>
      </c>
      <c r="AA4" s="193">
        <f t="shared" si="1"/>
        <v>46112</v>
      </c>
      <c r="AB4" s="193">
        <f t="shared" si="1"/>
        <v>46203</v>
      </c>
      <c r="AC4" s="193">
        <f t="shared" si="1"/>
        <v>46295</v>
      </c>
      <c r="AD4" s="193">
        <f t="shared" si="1"/>
        <v>46387</v>
      </c>
      <c r="AE4" s="193">
        <f t="shared" si="1"/>
        <v>46477</v>
      </c>
      <c r="AF4" s="193">
        <f t="shared" si="1"/>
        <v>46568</v>
      </c>
      <c r="AG4" s="193">
        <f t="shared" si="1"/>
        <v>46660</v>
      </c>
      <c r="AH4" s="193">
        <f t="shared" si="1"/>
        <v>46752</v>
      </c>
      <c r="AI4" s="126"/>
    </row>
    <row r="5" spans="2:35">
      <c r="B5" s="57" t="s">
        <v>44</v>
      </c>
      <c r="C5" s="381">
        <v>73.455053844684898</v>
      </c>
      <c r="D5" s="381">
        <v>73.869140879016499</v>
      </c>
      <c r="E5" s="381">
        <v>77.137926099395457</v>
      </c>
      <c r="F5" s="381">
        <v>78.148580493719123</v>
      </c>
      <c r="G5" s="381">
        <v>76.990109884376636</v>
      </c>
      <c r="H5" s="381">
        <v>76.949729383066966</v>
      </c>
      <c r="I5" s="381">
        <v>77.996212108047388</v>
      </c>
      <c r="J5" s="381">
        <v>78.018904072427461</v>
      </c>
      <c r="K5" s="381">
        <v>79.197922403970693</v>
      </c>
      <c r="L5" s="381">
        <v>80.146254643870947</v>
      </c>
      <c r="M5" s="381">
        <v>81.768686123607793</v>
      </c>
      <c r="N5" s="381">
        <v>82.397302688478547</v>
      </c>
      <c r="O5" s="387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42"/>
    </row>
    <row r="6" spans="2:35">
      <c r="B6" s="6" t="s">
        <v>42</v>
      </c>
      <c r="C6" s="36"/>
      <c r="D6" s="36"/>
      <c r="E6" s="36"/>
      <c r="F6" s="36"/>
      <c r="G6" s="239">
        <f t="shared" ref="G6:N6" si="2">G5/C5-1</f>
        <v>4.8125429833137723E-2</v>
      </c>
      <c r="H6" s="239">
        <f t="shared" si="2"/>
        <v>4.1703321135085014E-2</v>
      </c>
      <c r="I6" s="239">
        <f t="shared" si="2"/>
        <v>1.1126640967064505E-2</v>
      </c>
      <c r="J6" s="239">
        <f t="shared" si="2"/>
        <v>-1.6593573481745727E-3</v>
      </c>
      <c r="K6" s="239">
        <f t="shared" si="2"/>
        <v>2.8676573171667608E-2</v>
      </c>
      <c r="L6" s="239">
        <f t="shared" si="2"/>
        <v>4.1540435378157214E-2</v>
      </c>
      <c r="M6" s="239">
        <f t="shared" si="2"/>
        <v>4.8367400333934496E-2</v>
      </c>
      <c r="N6" s="242">
        <f t="shared" si="2"/>
        <v>5.6119714421859479E-2</v>
      </c>
      <c r="O6" s="240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1"/>
      <c r="AE6" s="241"/>
      <c r="AF6" s="241"/>
      <c r="AG6" s="241"/>
      <c r="AH6" s="241"/>
      <c r="AI6" s="60"/>
    </row>
    <row r="7" spans="2:35">
      <c r="B7" s="6"/>
      <c r="C7" s="36"/>
      <c r="D7" s="36"/>
      <c r="E7" s="36"/>
      <c r="F7" s="36"/>
      <c r="G7" s="239"/>
      <c r="H7" s="239"/>
      <c r="I7" s="239"/>
      <c r="J7" s="239"/>
      <c r="K7" s="239"/>
      <c r="L7" s="239"/>
      <c r="M7" s="239"/>
      <c r="N7" s="242"/>
      <c r="O7" s="240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60"/>
    </row>
    <row r="8" spans="2:35">
      <c r="B8" s="16" t="s">
        <v>43</v>
      </c>
      <c r="C8" s="382"/>
    </row>
    <row r="9" spans="2:35">
      <c r="B9" s="2" t="s">
        <v>150</v>
      </c>
      <c r="C9" s="382">
        <v>16.8141840103441</v>
      </c>
      <c r="D9" s="382">
        <v>16.439783752897039</v>
      </c>
      <c r="E9" s="382">
        <v>17.243158901781904</v>
      </c>
      <c r="F9" s="382">
        <v>17.381202258279334</v>
      </c>
      <c r="G9" s="382">
        <v>17.181648832083482</v>
      </c>
      <c r="H9" s="382">
        <v>17.041216531252186</v>
      </c>
      <c r="I9" s="382">
        <v>17.760996158505755</v>
      </c>
      <c r="J9" s="382">
        <v>17.260386891231359</v>
      </c>
      <c r="K9" s="382">
        <v>18.194631954639643</v>
      </c>
      <c r="L9" s="382">
        <v>18.159883405173499</v>
      </c>
      <c r="M9" s="382">
        <v>18.430076587743311</v>
      </c>
      <c r="N9" s="382">
        <v>18.925570742178607</v>
      </c>
      <c r="O9" s="391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  <c r="AA9" s="392"/>
      <c r="AB9" s="392"/>
      <c r="AC9" s="392"/>
      <c r="AD9" s="392"/>
      <c r="AE9" s="392"/>
      <c r="AF9" s="392"/>
      <c r="AG9" s="392"/>
      <c r="AH9" s="392"/>
      <c r="AI9" s="40"/>
    </row>
    <row r="10" spans="2:35">
      <c r="B10" s="55" t="s">
        <v>43</v>
      </c>
      <c r="C10" s="358">
        <f t="shared" ref="C10:N10" si="3">C5-C9</f>
        <v>56.640869834340798</v>
      </c>
      <c r="D10" s="358">
        <f t="shared" si="3"/>
        <v>57.429357126119456</v>
      </c>
      <c r="E10" s="358">
        <f t="shared" si="3"/>
        <v>59.894767197613554</v>
      </c>
      <c r="F10" s="358">
        <f t="shared" si="3"/>
        <v>60.767378235439793</v>
      </c>
      <c r="G10" s="358">
        <f t="shared" si="3"/>
        <v>59.808461052293154</v>
      </c>
      <c r="H10" s="358">
        <f t="shared" si="3"/>
        <v>59.908512851814777</v>
      </c>
      <c r="I10" s="358">
        <f t="shared" si="3"/>
        <v>60.235215949541633</v>
      </c>
      <c r="J10" s="358">
        <f t="shared" si="3"/>
        <v>60.758517181196098</v>
      </c>
      <c r="K10" s="358">
        <f t="shared" si="3"/>
        <v>61.003290449331047</v>
      </c>
      <c r="L10" s="358">
        <f t="shared" si="3"/>
        <v>61.986371238697444</v>
      </c>
      <c r="M10" s="358">
        <f t="shared" si="3"/>
        <v>63.338609535864478</v>
      </c>
      <c r="N10" s="359">
        <f t="shared" si="3"/>
        <v>63.47173194629994</v>
      </c>
      <c r="O10" s="368"/>
      <c r="P10" s="358"/>
      <c r="Q10" s="358"/>
      <c r="R10" s="358"/>
      <c r="S10" s="35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8"/>
      <c r="AG10" s="358"/>
      <c r="AH10" s="358"/>
      <c r="AI10" s="42"/>
    </row>
    <row r="11" spans="2:35">
      <c r="B11" s="6" t="s">
        <v>222</v>
      </c>
      <c r="C11" s="241">
        <f t="shared" ref="C11:N11" si="4">C10/C5</f>
        <v>0.77109561384440062</v>
      </c>
      <c r="D11" s="241">
        <f t="shared" si="4"/>
        <v>0.77744720518921073</v>
      </c>
      <c r="E11" s="241">
        <f t="shared" si="4"/>
        <v>0.77646328111591478</v>
      </c>
      <c r="F11" s="241">
        <f t="shared" si="4"/>
        <v>0.77758774185698387</v>
      </c>
      <c r="G11" s="241">
        <f t="shared" si="4"/>
        <v>0.77683303923209357</v>
      </c>
      <c r="H11" s="241">
        <f t="shared" si="4"/>
        <v>0.77854091667537217</v>
      </c>
      <c r="I11" s="241">
        <f t="shared" si="4"/>
        <v>0.77228386253038006</v>
      </c>
      <c r="J11" s="241">
        <f t="shared" si="4"/>
        <v>0.77876660667768427</v>
      </c>
      <c r="K11" s="241">
        <f t="shared" si="4"/>
        <v>0.77026377204905772</v>
      </c>
      <c r="L11" s="241">
        <f t="shared" si="4"/>
        <v>0.77341569502072482</v>
      </c>
      <c r="M11" s="241">
        <f t="shared" si="4"/>
        <v>0.77460715756294529</v>
      </c>
      <c r="N11" s="272">
        <f t="shared" si="4"/>
        <v>0.77031322476985731</v>
      </c>
      <c r="O11" s="487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60"/>
    </row>
    <row r="13" spans="2:35">
      <c r="B13" s="16" t="s">
        <v>47</v>
      </c>
    </row>
    <row r="14" spans="2:35">
      <c r="B14" s="2" t="s">
        <v>21</v>
      </c>
      <c r="C14" s="382">
        <v>14.003969528003877</v>
      </c>
      <c r="D14" s="382">
        <v>14.083162297273198</v>
      </c>
      <c r="E14" s="382">
        <v>14.056085090656572</v>
      </c>
      <c r="F14" s="382">
        <v>14.845196324956168</v>
      </c>
      <c r="G14" s="382">
        <v>13.968858753550391</v>
      </c>
      <c r="H14" s="382">
        <v>14.048706080988852</v>
      </c>
      <c r="I14" s="382">
        <v>14.759203826691357</v>
      </c>
      <c r="J14" s="382">
        <v>14.257531617198369</v>
      </c>
      <c r="K14" s="382">
        <v>14.673867768404181</v>
      </c>
      <c r="L14" s="382">
        <v>15.107327385645698</v>
      </c>
      <c r="M14" s="382">
        <v>15.409771901603062</v>
      </c>
      <c r="N14" s="382">
        <v>15.384977667426883</v>
      </c>
      <c r="O14" s="391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392"/>
      <c r="AC14" s="392"/>
      <c r="AD14" s="392"/>
      <c r="AE14" s="392"/>
      <c r="AF14" s="392"/>
      <c r="AG14" s="392"/>
      <c r="AH14" s="392"/>
      <c r="AI14" s="38"/>
    </row>
    <row r="15" spans="2:35">
      <c r="B15" s="2" t="s">
        <v>45</v>
      </c>
      <c r="C15" s="382">
        <v>9.2062253932624767</v>
      </c>
      <c r="D15" s="382">
        <v>9.6841711421192791</v>
      </c>
      <c r="E15" s="382">
        <v>9.7135544029484571</v>
      </c>
      <c r="F15" s="382">
        <v>10.072549596790582</v>
      </c>
      <c r="G15" s="382">
        <v>9.3605583227883624</v>
      </c>
      <c r="H15" s="382">
        <v>9.9635406480411888</v>
      </c>
      <c r="I15" s="382">
        <v>9.5611794225788422</v>
      </c>
      <c r="J15" s="382">
        <v>9.4684992289746042</v>
      </c>
      <c r="K15" s="382">
        <v>10.008531316998704</v>
      </c>
      <c r="L15" s="382">
        <v>9.9327403469094335</v>
      </c>
      <c r="M15" s="382">
        <v>10.530411783815669</v>
      </c>
      <c r="N15" s="382">
        <v>10.727016837040445</v>
      </c>
      <c r="O15" s="391"/>
      <c r="P15" s="392"/>
      <c r="Q15" s="392"/>
      <c r="R15" s="392"/>
      <c r="S15" s="392"/>
      <c r="T15" s="392"/>
      <c r="U15" s="392"/>
      <c r="V15" s="392"/>
      <c r="W15" s="392"/>
      <c r="X15" s="392"/>
      <c r="Y15" s="392"/>
      <c r="Z15" s="392"/>
      <c r="AA15" s="392"/>
      <c r="AB15" s="392"/>
      <c r="AC15" s="392"/>
      <c r="AD15" s="392"/>
      <c r="AE15" s="392"/>
      <c r="AF15" s="392"/>
      <c r="AG15" s="392"/>
      <c r="AH15" s="392"/>
      <c r="AI15" s="38"/>
    </row>
    <row r="16" spans="2:35">
      <c r="B16" s="2" t="s">
        <v>46</v>
      </c>
      <c r="C16" s="382">
        <v>7.8364503170334032</v>
      </c>
      <c r="D16" s="382">
        <v>7.740883543589856</v>
      </c>
      <c r="E16" s="382">
        <v>8.5227341422157235</v>
      </c>
      <c r="F16" s="382">
        <v>8.2979269582350899</v>
      </c>
      <c r="G16" s="382">
        <v>7.7674467455211564</v>
      </c>
      <c r="H16" s="382">
        <v>8.4813745806414111</v>
      </c>
      <c r="I16" s="382">
        <v>8.1831799063775481</v>
      </c>
      <c r="J16" s="382">
        <v>8.5208100679706842</v>
      </c>
      <c r="K16" s="382">
        <v>8.1719339181247133</v>
      </c>
      <c r="L16" s="382">
        <v>8.6967456456881784</v>
      </c>
      <c r="M16" s="382">
        <v>8.4261176355644203</v>
      </c>
      <c r="N16" s="382">
        <v>9.0984911667239086</v>
      </c>
      <c r="O16" s="391"/>
      <c r="P16" s="392"/>
      <c r="Q16" s="392"/>
      <c r="R16" s="392"/>
      <c r="S16" s="392"/>
      <c r="T16" s="392"/>
      <c r="U16" s="392"/>
      <c r="V16" s="392"/>
      <c r="W16" s="392"/>
      <c r="X16" s="392"/>
      <c r="Y16" s="392"/>
      <c r="Z16" s="392"/>
      <c r="AA16" s="392"/>
      <c r="AB16" s="392"/>
      <c r="AC16" s="392"/>
      <c r="AD16" s="392"/>
      <c r="AE16" s="392"/>
      <c r="AF16" s="392"/>
      <c r="AG16" s="392"/>
      <c r="AH16" s="392"/>
      <c r="AI16" s="38"/>
    </row>
    <row r="17" spans="2:35">
      <c r="B17" s="55" t="s">
        <v>47</v>
      </c>
      <c r="C17" s="358">
        <f t="shared" ref="C17:N17" si="5">SUM(C14:C16)</f>
        <v>31.046645238299757</v>
      </c>
      <c r="D17" s="358">
        <f t="shared" si="5"/>
        <v>31.508216982982333</v>
      </c>
      <c r="E17" s="358">
        <f t="shared" si="5"/>
        <v>32.292373635820752</v>
      </c>
      <c r="F17" s="358">
        <f t="shared" si="5"/>
        <v>33.215672879981838</v>
      </c>
      <c r="G17" s="358">
        <f t="shared" si="5"/>
        <v>31.096863821859909</v>
      </c>
      <c r="H17" s="358">
        <f t="shared" si="5"/>
        <v>32.493621309671454</v>
      </c>
      <c r="I17" s="358">
        <f t="shared" si="5"/>
        <v>32.503563155647747</v>
      </c>
      <c r="J17" s="358">
        <f t="shared" si="5"/>
        <v>32.246840914143661</v>
      </c>
      <c r="K17" s="358">
        <f t="shared" si="5"/>
        <v>32.8543330035276</v>
      </c>
      <c r="L17" s="358">
        <f t="shared" si="5"/>
        <v>33.736813378243312</v>
      </c>
      <c r="M17" s="358">
        <f t="shared" si="5"/>
        <v>34.366301320983155</v>
      </c>
      <c r="N17" s="359">
        <f t="shared" si="5"/>
        <v>35.210485671191236</v>
      </c>
      <c r="O17" s="368"/>
      <c r="P17" s="358"/>
      <c r="Q17" s="358"/>
      <c r="R17" s="358"/>
      <c r="S17" s="35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8"/>
      <c r="AG17" s="358"/>
      <c r="AH17" s="358"/>
      <c r="AI17" s="42"/>
    </row>
    <row r="18" spans="2:35">
      <c r="B18" s="6" t="str">
        <f>B14&amp;" as % of Revenue"</f>
        <v>S&amp;M as % of Revenue</v>
      </c>
      <c r="C18" s="241">
        <f t="shared" ref="C18:N21" si="6">+C14/C$5</f>
        <v>0.19064678051443815</v>
      </c>
      <c r="D18" s="241">
        <f t="shared" si="6"/>
        <v>0.19065014334387237</v>
      </c>
      <c r="E18" s="241">
        <f t="shared" si="6"/>
        <v>0.18222015811709424</v>
      </c>
      <c r="F18" s="241">
        <f t="shared" si="6"/>
        <v>0.1899611769166977</v>
      </c>
      <c r="G18" s="241">
        <f t="shared" si="6"/>
        <v>0.18143705437657842</v>
      </c>
      <c r="H18" s="241">
        <f t="shared" si="6"/>
        <v>0.18256992186486254</v>
      </c>
      <c r="I18" s="241">
        <f t="shared" si="6"/>
        <v>0.18922975139158779</v>
      </c>
      <c r="J18" s="241">
        <f t="shared" si="6"/>
        <v>0.18274457692923554</v>
      </c>
      <c r="K18" s="241">
        <f t="shared" si="6"/>
        <v>0.18528096852788764</v>
      </c>
      <c r="L18" s="241">
        <f t="shared" si="6"/>
        <v>0.18849698532732378</v>
      </c>
      <c r="M18" s="241">
        <f t="shared" si="6"/>
        <v>0.18845566233397065</v>
      </c>
      <c r="N18" s="272">
        <f t="shared" si="6"/>
        <v>0.18671700608444958</v>
      </c>
      <c r="O18" s="487"/>
      <c r="P18" s="244"/>
      <c r="Q18" s="244"/>
      <c r="R18" s="244"/>
      <c r="S18" s="244"/>
      <c r="T18" s="244"/>
      <c r="U18" s="244"/>
      <c r="V18" s="244"/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60"/>
    </row>
    <row r="19" spans="2:35">
      <c r="B19" s="6" t="str">
        <f>B15&amp;" as % of Revenue"</f>
        <v>R&amp;D as % of Revenue</v>
      </c>
      <c r="C19" s="241">
        <f t="shared" si="6"/>
        <v>0.1253314089555817</v>
      </c>
      <c r="D19" s="241">
        <f t="shared" si="6"/>
        <v>0.1310990086913302</v>
      </c>
      <c r="E19" s="241">
        <f t="shared" si="6"/>
        <v>0.12592449517546186</v>
      </c>
      <c r="F19" s="241">
        <f t="shared" si="6"/>
        <v>0.12888973200991313</v>
      </c>
      <c r="G19" s="241">
        <f t="shared" si="6"/>
        <v>0.12158130877908867</v>
      </c>
      <c r="H19" s="241">
        <f t="shared" si="6"/>
        <v>0.12948116553394531</v>
      </c>
      <c r="I19" s="241">
        <f t="shared" si="6"/>
        <v>0.12258517643566888</v>
      </c>
      <c r="J19" s="241">
        <f t="shared" si="6"/>
        <v>0.12136160256986808</v>
      </c>
      <c r="K19" s="241">
        <f t="shared" si="6"/>
        <v>0.1263736599799607</v>
      </c>
      <c r="L19" s="241">
        <f t="shared" si="6"/>
        <v>0.12393268270670242</v>
      </c>
      <c r="M19" s="241">
        <f t="shared" si="6"/>
        <v>0.12878293981509126</v>
      </c>
      <c r="N19" s="272">
        <f t="shared" si="6"/>
        <v>0.13018650474028665</v>
      </c>
      <c r="O19" s="487"/>
      <c r="P19" s="244"/>
      <c r="Q19" s="244"/>
      <c r="R19" s="244"/>
      <c r="S19" s="244"/>
      <c r="T19" s="244"/>
      <c r="U19" s="244"/>
      <c r="V19" s="244"/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60"/>
    </row>
    <row r="20" spans="2:35">
      <c r="B20" s="6" t="str">
        <f>B16&amp;" as % of Revenue"</f>
        <v>G&amp;A as % of Revenue</v>
      </c>
      <c r="C20" s="241">
        <f t="shared" si="6"/>
        <v>0.10668361000187923</v>
      </c>
      <c r="D20" s="241">
        <f t="shared" si="6"/>
        <v>0.1047918447605603</v>
      </c>
      <c r="E20" s="241">
        <f t="shared" si="6"/>
        <v>0.11048694945770025</v>
      </c>
      <c r="F20" s="241">
        <f t="shared" si="6"/>
        <v>0.10618141629459286</v>
      </c>
      <c r="G20" s="241">
        <f t="shared" si="6"/>
        <v>0.10088889023780158</v>
      </c>
      <c r="H20" s="241">
        <f t="shared" si="6"/>
        <v>0.11021968041524736</v>
      </c>
      <c r="I20" s="241">
        <f t="shared" si="6"/>
        <v>0.10491765798884527</v>
      </c>
      <c r="J20" s="241">
        <f t="shared" si="6"/>
        <v>0.10921468545700849</v>
      </c>
      <c r="K20" s="241">
        <f t="shared" si="6"/>
        <v>0.10318369055745587</v>
      </c>
      <c r="L20" s="241">
        <f t="shared" si="6"/>
        <v>0.10851094270508432</v>
      </c>
      <c r="M20" s="241">
        <f t="shared" si="6"/>
        <v>0.10304822096354657</v>
      </c>
      <c r="N20" s="272">
        <f t="shared" si="6"/>
        <v>0.11042219672072023</v>
      </c>
      <c r="O20" s="487"/>
      <c r="P20" s="244"/>
      <c r="Q20" s="244"/>
      <c r="R20" s="244"/>
      <c r="S20" s="244"/>
      <c r="T20" s="244"/>
      <c r="U20" s="244"/>
      <c r="V20" s="244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60"/>
    </row>
    <row r="21" spans="2:35">
      <c r="B21" s="6" t="str">
        <f>B17&amp;" as % of Revenue"</f>
        <v>Operating Expenses as % of Revenue</v>
      </c>
      <c r="C21" s="241">
        <f t="shared" si="6"/>
        <v>0.42266179947189908</v>
      </c>
      <c r="D21" s="241">
        <f t="shared" si="6"/>
        <v>0.42654099679576285</v>
      </c>
      <c r="E21" s="241">
        <f t="shared" si="6"/>
        <v>0.41863160275025635</v>
      </c>
      <c r="F21" s="241">
        <f t="shared" si="6"/>
        <v>0.42503232522120366</v>
      </c>
      <c r="G21" s="241">
        <f t="shared" si="6"/>
        <v>0.40390725339346867</v>
      </c>
      <c r="H21" s="241">
        <f t="shared" si="6"/>
        <v>0.4222707678140552</v>
      </c>
      <c r="I21" s="241">
        <f t="shared" si="6"/>
        <v>0.41673258581610195</v>
      </c>
      <c r="J21" s="241">
        <f t="shared" si="6"/>
        <v>0.4133208649561122</v>
      </c>
      <c r="K21" s="241">
        <f t="shared" si="6"/>
        <v>0.41483831906530422</v>
      </c>
      <c r="L21" s="241">
        <f t="shared" si="6"/>
        <v>0.42094061073911054</v>
      </c>
      <c r="M21" s="241">
        <f t="shared" si="6"/>
        <v>0.42028682311260851</v>
      </c>
      <c r="N21" s="272">
        <f t="shared" si="6"/>
        <v>0.42732570754545646</v>
      </c>
      <c r="O21" s="240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1"/>
      <c r="AI21" s="60"/>
    </row>
    <row r="23" spans="2:35">
      <c r="B23" s="55" t="s">
        <v>52</v>
      </c>
      <c r="C23" s="358">
        <f t="shared" ref="C23:N23" si="7">+C10-C17</f>
        <v>25.594224596041041</v>
      </c>
      <c r="D23" s="358">
        <f t="shared" si="7"/>
        <v>25.921140143137123</v>
      </c>
      <c r="E23" s="358">
        <f t="shared" si="7"/>
        <v>27.602393561792802</v>
      </c>
      <c r="F23" s="358">
        <f t="shared" si="7"/>
        <v>27.551705355457955</v>
      </c>
      <c r="G23" s="358">
        <f t="shared" si="7"/>
        <v>28.711597230433245</v>
      </c>
      <c r="H23" s="358">
        <f t="shared" si="7"/>
        <v>27.414891542143323</v>
      </c>
      <c r="I23" s="358">
        <f t="shared" si="7"/>
        <v>27.731652793893886</v>
      </c>
      <c r="J23" s="358">
        <f t="shared" si="7"/>
        <v>28.511676267052437</v>
      </c>
      <c r="K23" s="358">
        <f t="shared" si="7"/>
        <v>28.148957445803447</v>
      </c>
      <c r="L23" s="358">
        <f t="shared" si="7"/>
        <v>28.249557860454132</v>
      </c>
      <c r="M23" s="358">
        <f t="shared" si="7"/>
        <v>28.972308214881323</v>
      </c>
      <c r="N23" s="359">
        <f t="shared" si="7"/>
        <v>28.261246275108704</v>
      </c>
      <c r="O23" s="368"/>
      <c r="P23" s="358"/>
      <c r="Q23" s="358"/>
      <c r="R23" s="358"/>
      <c r="S23" s="358"/>
      <c r="T23" s="358"/>
      <c r="U23" s="358"/>
      <c r="V23" s="358"/>
      <c r="W23" s="358"/>
      <c r="X23" s="358"/>
      <c r="Y23" s="358"/>
      <c r="Z23" s="358"/>
      <c r="AA23" s="358"/>
      <c r="AB23" s="358"/>
      <c r="AC23" s="358"/>
      <c r="AD23" s="358"/>
      <c r="AE23" s="358"/>
      <c r="AF23" s="358"/>
      <c r="AG23" s="358"/>
      <c r="AH23" s="358"/>
      <c r="AI23" s="42"/>
    </row>
    <row r="24" spans="2:35">
      <c r="B24" s="6" t="s">
        <v>69</v>
      </c>
      <c r="C24" s="60">
        <f t="shared" ref="C24:N24" si="8">+C23/C5</f>
        <v>0.34843381437250154</v>
      </c>
      <c r="D24" s="60">
        <f t="shared" si="8"/>
        <v>0.35090620839344788</v>
      </c>
      <c r="E24" s="60">
        <f t="shared" si="8"/>
        <v>0.35783167836565838</v>
      </c>
      <c r="F24" s="241">
        <f t="shared" si="8"/>
        <v>0.35255541663578027</v>
      </c>
      <c r="G24" s="241">
        <f t="shared" si="8"/>
        <v>0.37292578583862496</v>
      </c>
      <c r="H24" s="241">
        <f t="shared" si="8"/>
        <v>0.35627014886131697</v>
      </c>
      <c r="I24" s="241">
        <f t="shared" si="8"/>
        <v>0.35555127671427811</v>
      </c>
      <c r="J24" s="241">
        <f t="shared" si="8"/>
        <v>0.36544574172157213</v>
      </c>
      <c r="K24" s="241">
        <f t="shared" si="8"/>
        <v>0.35542545298375355</v>
      </c>
      <c r="L24" s="241">
        <f t="shared" si="8"/>
        <v>0.35247508428161428</v>
      </c>
      <c r="M24" s="241">
        <f t="shared" si="8"/>
        <v>0.35432033445033678</v>
      </c>
      <c r="N24" s="272">
        <f t="shared" si="8"/>
        <v>0.3429875172244008</v>
      </c>
      <c r="O24" s="240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1"/>
      <c r="AI24" s="60"/>
    </row>
    <row r="26" spans="2:35">
      <c r="B26" s="24" t="s">
        <v>66</v>
      </c>
      <c r="C26" s="134"/>
      <c r="D26" s="134"/>
      <c r="E26" s="134"/>
      <c r="F26" s="382">
        <v>7.6474564875053659</v>
      </c>
      <c r="G26" s="382">
        <v>7.8761646365755036</v>
      </c>
      <c r="H26" s="382">
        <v>7.8292758591196794</v>
      </c>
      <c r="I26" s="382">
        <v>7.9909183383824516</v>
      </c>
      <c r="J26" s="382">
        <v>7.7891752762431841</v>
      </c>
      <c r="K26" s="382">
        <v>7.8819780050899544</v>
      </c>
      <c r="L26" s="382">
        <v>8.1080011456450443</v>
      </c>
      <c r="M26" s="382">
        <v>8.0909789747983734</v>
      </c>
      <c r="N26" s="382">
        <v>8.3755638963256622</v>
      </c>
      <c r="O26" s="383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384"/>
      <c r="AB26" s="384"/>
      <c r="AC26" s="384"/>
      <c r="AD26" s="384"/>
      <c r="AE26" s="384"/>
      <c r="AF26" s="384"/>
      <c r="AG26" s="384"/>
      <c r="AH26" s="384"/>
      <c r="AI26" s="43"/>
    </row>
    <row r="27" spans="2:35">
      <c r="B27" s="55" t="s">
        <v>124</v>
      </c>
      <c r="C27" s="22"/>
      <c r="D27" s="22"/>
      <c r="E27" s="22"/>
      <c r="F27" s="358">
        <f t="shared" ref="F27:N27" si="9">+F23+F26</f>
        <v>35.199161842963321</v>
      </c>
      <c r="G27" s="358">
        <f t="shared" si="9"/>
        <v>36.587761867008751</v>
      </c>
      <c r="H27" s="358">
        <f t="shared" si="9"/>
        <v>35.244167401262999</v>
      </c>
      <c r="I27" s="358">
        <f t="shared" si="9"/>
        <v>35.722571132276336</v>
      </c>
      <c r="J27" s="358">
        <f t="shared" si="9"/>
        <v>36.300851543295622</v>
      </c>
      <c r="K27" s="358">
        <f t="shared" si="9"/>
        <v>36.030935450893402</v>
      </c>
      <c r="L27" s="358">
        <f t="shared" si="9"/>
        <v>36.35755900609918</v>
      </c>
      <c r="M27" s="358">
        <f t="shared" si="9"/>
        <v>37.063287189679698</v>
      </c>
      <c r="N27" s="359">
        <f t="shared" si="9"/>
        <v>36.636810171434362</v>
      </c>
      <c r="O27" s="36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358"/>
      <c r="AA27" s="358"/>
      <c r="AB27" s="358"/>
      <c r="AC27" s="358"/>
      <c r="AD27" s="358"/>
      <c r="AE27" s="358"/>
      <c r="AF27" s="358"/>
      <c r="AG27" s="358"/>
      <c r="AH27" s="358"/>
      <c r="AI27" s="42"/>
    </row>
    <row r="28" spans="2:35">
      <c r="B28" s="6" t="s">
        <v>69</v>
      </c>
      <c r="C28" s="60"/>
      <c r="D28" s="60"/>
      <c r="E28" s="60"/>
      <c r="F28" s="241">
        <f t="shared" ref="F28:N28" si="10">+F27/F5</f>
        <v>0.45041332319263699</v>
      </c>
      <c r="G28" s="241">
        <f t="shared" si="10"/>
        <v>0.47522677811417685</v>
      </c>
      <c r="H28" s="241">
        <f t="shared" si="10"/>
        <v>0.45801548210536774</v>
      </c>
      <c r="I28" s="241">
        <f t="shared" si="10"/>
        <v>0.45800392309808852</v>
      </c>
      <c r="J28" s="241">
        <f t="shared" si="10"/>
        <v>0.46528276672018326</v>
      </c>
      <c r="K28" s="241">
        <f t="shared" si="10"/>
        <v>0.45494798799276259</v>
      </c>
      <c r="L28" s="241">
        <f t="shared" si="10"/>
        <v>0.45364015034331445</v>
      </c>
      <c r="M28" s="241">
        <f t="shared" si="10"/>
        <v>0.45326993677814514</v>
      </c>
      <c r="N28" s="272">
        <f t="shared" si="10"/>
        <v>0.44463603754054942</v>
      </c>
      <c r="O28" s="240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60"/>
    </row>
    <row r="29" spans="2:35">
      <c r="B29" s="6"/>
      <c r="C29" s="60"/>
      <c r="D29" s="60"/>
      <c r="E29" s="60"/>
      <c r="F29" s="241"/>
      <c r="G29" s="241"/>
      <c r="H29" s="241"/>
      <c r="I29" s="241"/>
      <c r="J29" s="241"/>
      <c r="K29" s="241"/>
      <c r="L29" s="241"/>
      <c r="M29" s="241"/>
      <c r="N29" s="272"/>
      <c r="O29" s="240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1"/>
      <c r="AI29" s="60"/>
    </row>
    <row r="30" spans="2:35">
      <c r="B30" s="55" t="s">
        <v>123</v>
      </c>
      <c r="C30" s="22"/>
      <c r="D30" s="22"/>
      <c r="E30" s="22"/>
      <c r="F30" s="22"/>
      <c r="G30" s="22"/>
      <c r="H30" s="22"/>
      <c r="I30" s="358">
        <f>SUM(F27:I27)</f>
        <v>142.7536622435114</v>
      </c>
      <c r="J30" s="358">
        <f t="shared" ref="J30:N30" si="11">SUM(G27:J27)</f>
        <v>143.85535194384369</v>
      </c>
      <c r="K30" s="358">
        <f t="shared" si="11"/>
        <v>143.29852552772837</v>
      </c>
      <c r="L30" s="358">
        <f t="shared" si="11"/>
        <v>144.41191713256455</v>
      </c>
      <c r="M30" s="358">
        <f t="shared" si="11"/>
        <v>145.75263318996792</v>
      </c>
      <c r="N30" s="359">
        <f t="shared" si="11"/>
        <v>146.08859181810664</v>
      </c>
      <c r="O30" s="36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  <c r="AA30" s="358"/>
      <c r="AB30" s="358"/>
      <c r="AC30" s="358"/>
      <c r="AD30" s="358"/>
      <c r="AE30" s="358"/>
      <c r="AF30" s="358"/>
      <c r="AG30" s="358"/>
      <c r="AH30" s="358"/>
      <c r="AI30" s="42"/>
    </row>
    <row r="31" spans="2:35">
      <c r="B31" s="6"/>
      <c r="C31" s="60"/>
      <c r="D31" s="60"/>
      <c r="E31" s="60"/>
      <c r="F31" s="241"/>
      <c r="G31" s="241"/>
      <c r="H31" s="241"/>
      <c r="I31" s="241"/>
      <c r="J31" s="241"/>
      <c r="K31" s="241"/>
      <c r="L31" s="241"/>
      <c r="M31" s="241"/>
      <c r="N31" s="241"/>
      <c r="O31" s="240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  <c r="AA31" s="241"/>
      <c r="AB31" s="241"/>
      <c r="AC31" s="241"/>
      <c r="AD31" s="241"/>
      <c r="AE31" s="241"/>
      <c r="AF31" s="241"/>
      <c r="AG31" s="241"/>
      <c r="AH31" s="241"/>
      <c r="AI31" s="60"/>
    </row>
    <row r="32" spans="2:35">
      <c r="B32" s="493" t="s">
        <v>235</v>
      </c>
      <c r="C32" s="60"/>
      <c r="D32" s="60"/>
      <c r="E32" s="60"/>
      <c r="F32" s="241"/>
      <c r="G32" s="241"/>
      <c r="H32" s="241"/>
      <c r="I32" s="241"/>
      <c r="J32" s="241"/>
      <c r="K32" s="241"/>
      <c r="L32" s="241"/>
      <c r="M32" s="241"/>
      <c r="N32" s="241"/>
      <c r="O32" s="240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241"/>
      <c r="AC32" s="241"/>
      <c r="AD32" s="241"/>
      <c r="AE32" s="241"/>
      <c r="AF32" s="241"/>
      <c r="AG32" s="241"/>
      <c r="AH32" s="241"/>
      <c r="AI32" s="60"/>
    </row>
    <row r="33" spans="1:35">
      <c r="B33" s="24" t="s">
        <v>236</v>
      </c>
      <c r="I33" s="40"/>
      <c r="J33" s="40"/>
      <c r="K33" s="382">
        <v>72.741228049692552</v>
      </c>
      <c r="L33" s="382">
        <v>73.966443537031893</v>
      </c>
      <c r="M33" s="382">
        <v>74.663908815496995</v>
      </c>
      <c r="N33" s="382">
        <v>75.736754507628305</v>
      </c>
    </row>
    <row r="34" spans="1:35">
      <c r="B34" s="24"/>
      <c r="I34" s="40"/>
      <c r="J34" s="40"/>
      <c r="K34" s="382"/>
      <c r="L34" s="382"/>
      <c r="M34" s="382"/>
      <c r="N34" s="382"/>
    </row>
    <row r="36" spans="1:35" s="2" customFormat="1">
      <c r="B36" s="3" t="s">
        <v>54</v>
      </c>
      <c r="C36" s="29"/>
      <c r="D36" s="29"/>
      <c r="E36" s="29"/>
      <c r="F36" s="29"/>
      <c r="G36" s="29"/>
      <c r="H36" s="29"/>
      <c r="I36" s="29"/>
      <c r="J36" s="29"/>
      <c r="K36" s="29"/>
      <c r="L36" s="204"/>
      <c r="M36" s="204"/>
      <c r="N36" s="204"/>
      <c r="O36" s="65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88" t="s">
        <v>253</v>
      </c>
      <c r="AI36" s="172"/>
    </row>
    <row r="37" spans="1:35" s="2" customFormat="1">
      <c r="A37" s="203"/>
      <c r="B37" s="4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>
        <f>N4</f>
        <v>44926</v>
      </c>
      <c r="O37" s="92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174"/>
    </row>
    <row r="38" spans="1:35">
      <c r="A38" s="205"/>
      <c r="B38" s="2" t="s">
        <v>56</v>
      </c>
      <c r="C38" s="43"/>
      <c r="D38" s="43"/>
      <c r="E38" s="43"/>
      <c r="F38" s="43"/>
      <c r="G38" s="43"/>
      <c r="H38" s="43"/>
      <c r="I38" s="43"/>
      <c r="J38" s="43"/>
      <c r="K38" s="365"/>
      <c r="L38" s="1"/>
      <c r="M38" s="1"/>
      <c r="N38" s="365">
        <f>(55601.141636816-990)/1000</f>
        <v>54.611141636816001</v>
      </c>
      <c r="O38" s="366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348"/>
      <c r="AB38" s="348"/>
      <c r="AC38" s="348"/>
      <c r="AD38" s="348"/>
      <c r="AE38" s="348"/>
      <c r="AF38" s="348"/>
      <c r="AG38" s="348"/>
      <c r="AH38" s="348"/>
      <c r="AI38" s="17"/>
    </row>
    <row r="39" spans="1:35">
      <c r="A39" s="214"/>
      <c r="B39" s="2" t="s">
        <v>36</v>
      </c>
      <c r="C39" s="43"/>
      <c r="D39" s="43"/>
      <c r="E39" s="43"/>
      <c r="F39" s="43"/>
      <c r="G39" s="43"/>
      <c r="H39" s="43"/>
      <c r="I39" s="43"/>
      <c r="J39" s="43"/>
      <c r="K39" s="43"/>
      <c r="L39" s="1"/>
      <c r="M39" s="1"/>
      <c r="N39" s="365">
        <v>12.312162718084101</v>
      </c>
      <c r="O39" s="325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59"/>
    </row>
    <row r="40" spans="1:35">
      <c r="A40" s="214"/>
      <c r="B40" s="2" t="s">
        <v>57</v>
      </c>
      <c r="C40" s="43"/>
      <c r="D40" s="43"/>
      <c r="E40" s="43"/>
      <c r="F40" s="43"/>
      <c r="G40" s="43"/>
      <c r="H40" s="43"/>
      <c r="I40" s="43"/>
      <c r="J40" s="43"/>
      <c r="K40" s="43"/>
      <c r="L40" s="1"/>
      <c r="M40" s="1"/>
      <c r="N40" s="365">
        <v>35.699125050049275</v>
      </c>
      <c r="O40" s="366"/>
      <c r="P40" s="348"/>
      <c r="Q40" s="348"/>
      <c r="R40" s="348"/>
      <c r="S40" s="348"/>
      <c r="T40" s="348"/>
      <c r="U40" s="348"/>
      <c r="V40" s="348"/>
      <c r="W40" s="348"/>
      <c r="X40" s="348"/>
      <c r="Y40" s="348"/>
      <c r="Z40" s="348"/>
      <c r="AA40" s="348"/>
      <c r="AB40" s="348"/>
      <c r="AC40" s="348"/>
      <c r="AD40" s="348"/>
      <c r="AE40" s="348"/>
      <c r="AF40" s="348"/>
      <c r="AG40" s="348"/>
      <c r="AH40" s="348"/>
      <c r="AI40" s="17"/>
    </row>
    <row r="41" spans="1:35">
      <c r="A41" s="214"/>
      <c r="B41" s="2" t="s">
        <v>71</v>
      </c>
      <c r="C41" s="43"/>
      <c r="D41" s="43"/>
      <c r="E41" s="43"/>
      <c r="F41" s="43"/>
      <c r="G41" s="43"/>
      <c r="H41" s="43"/>
      <c r="I41" s="43"/>
      <c r="J41" s="43"/>
      <c r="K41" s="43"/>
      <c r="L41" s="1"/>
      <c r="M41" s="1"/>
      <c r="N41" s="365">
        <v>13.122154681520209</v>
      </c>
      <c r="O41" s="325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43"/>
    </row>
    <row r="42" spans="1:35">
      <c r="A42" s="214"/>
      <c r="B42" s="2" t="s">
        <v>70</v>
      </c>
      <c r="C42" s="43"/>
      <c r="D42" s="43"/>
      <c r="E42" s="43"/>
      <c r="F42" s="43"/>
      <c r="G42" s="43"/>
      <c r="H42" s="43"/>
      <c r="I42" s="43"/>
      <c r="J42" s="43"/>
      <c r="K42" s="43"/>
      <c r="L42" s="1"/>
      <c r="M42" s="1"/>
      <c r="N42" s="365">
        <v>14.2204</v>
      </c>
      <c r="O42" s="367"/>
      <c r="P42" s="357"/>
      <c r="Q42" s="357"/>
      <c r="R42" s="357"/>
      <c r="S42" s="357"/>
      <c r="T42" s="357"/>
      <c r="U42" s="357"/>
      <c r="V42" s="357"/>
      <c r="W42" s="357"/>
      <c r="X42" s="357"/>
      <c r="Y42" s="357"/>
      <c r="Z42" s="357"/>
      <c r="AA42" s="357"/>
      <c r="AB42" s="357"/>
      <c r="AC42" s="357"/>
      <c r="AD42" s="357"/>
      <c r="AE42" s="357"/>
      <c r="AF42" s="357"/>
      <c r="AG42" s="357"/>
      <c r="AH42" s="357"/>
      <c r="AI42" s="59"/>
    </row>
    <row r="43" spans="1:35">
      <c r="A43" s="214"/>
      <c r="B43" s="2" t="s">
        <v>110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365">
        <v>5.9109173558477197</v>
      </c>
      <c r="O43" s="367"/>
      <c r="P43" s="357"/>
      <c r="Q43" s="357"/>
      <c r="R43" s="357"/>
      <c r="S43" s="357"/>
      <c r="T43" s="357"/>
      <c r="U43" s="357"/>
      <c r="V43" s="357"/>
      <c r="W43" s="357"/>
      <c r="X43" s="357"/>
      <c r="Y43" s="357"/>
      <c r="Z43" s="357"/>
      <c r="AA43" s="357"/>
      <c r="AB43" s="357"/>
      <c r="AC43" s="357"/>
      <c r="AD43" s="357"/>
      <c r="AE43" s="357"/>
      <c r="AF43" s="357"/>
      <c r="AG43" s="357"/>
      <c r="AH43" s="357"/>
      <c r="AI43" s="59"/>
    </row>
    <row r="44" spans="1:35">
      <c r="A44" s="214"/>
      <c r="B44" s="2" t="s">
        <v>251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365">
        <v>0</v>
      </c>
      <c r="O44" s="488"/>
      <c r="P44" s="365"/>
      <c r="Q44" s="365"/>
      <c r="R44" s="365"/>
      <c r="S44" s="365"/>
      <c r="T44" s="365"/>
      <c r="U44" s="365"/>
      <c r="V44" s="365"/>
      <c r="W44" s="365"/>
      <c r="X44" s="365"/>
      <c r="Y44" s="365"/>
      <c r="Z44" s="365"/>
      <c r="AA44" s="365"/>
      <c r="AB44" s="365"/>
      <c r="AC44" s="365"/>
      <c r="AD44" s="365"/>
      <c r="AE44" s="365"/>
      <c r="AF44" s="365"/>
      <c r="AG44" s="365"/>
      <c r="AH44" s="365"/>
      <c r="AI44" s="59"/>
    </row>
    <row r="45" spans="1:35">
      <c r="A45" s="205"/>
      <c r="B45" s="9" t="s">
        <v>59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358">
        <f>SUM(N38:N44)</f>
        <v>135.87590144231731</v>
      </c>
      <c r="O45" s="36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42"/>
    </row>
    <row r="46" spans="1:35">
      <c r="A46" s="205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>
      <c r="A47" s="205"/>
      <c r="B47" s="2" t="s">
        <v>61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365">
        <v>14.671147137165701</v>
      </c>
      <c r="O47" s="325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43"/>
    </row>
    <row r="48" spans="1:35">
      <c r="A48" s="214"/>
      <c r="B48" s="2" t="s">
        <v>18</v>
      </c>
      <c r="C48" s="43"/>
      <c r="D48" s="43"/>
      <c r="E48" s="43"/>
      <c r="F48" s="43"/>
      <c r="G48" s="43"/>
      <c r="H48" s="43"/>
      <c r="I48" s="43"/>
      <c r="J48" s="43"/>
      <c r="K48" s="61"/>
      <c r="L48" s="61"/>
      <c r="M48" s="61"/>
      <c r="N48" s="365">
        <v>17.993601153711637</v>
      </c>
      <c r="O48" s="325"/>
      <c r="P48" s="326"/>
      <c r="Q48" s="326"/>
      <c r="R48" s="326"/>
      <c r="S48" s="326"/>
      <c r="T48" s="326"/>
      <c r="U48" s="326"/>
      <c r="V48" s="326"/>
      <c r="W48" s="326"/>
      <c r="X48" s="326"/>
      <c r="Y48" s="326"/>
      <c r="Z48" s="326"/>
      <c r="AA48" s="326"/>
      <c r="AB48" s="326"/>
      <c r="AC48" s="326"/>
      <c r="AD48" s="326"/>
      <c r="AE48" s="326"/>
      <c r="AF48" s="326"/>
      <c r="AG48" s="326"/>
      <c r="AH48" s="326"/>
      <c r="AI48" s="59"/>
    </row>
    <row r="49" spans="1:35">
      <c r="A49" s="205"/>
      <c r="B49" s="2" t="s">
        <v>252</v>
      </c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365">
        <v>12.201000000000001</v>
      </c>
      <c r="O49" s="488"/>
      <c r="P49" s="365"/>
      <c r="Q49" s="365"/>
      <c r="R49" s="365"/>
      <c r="S49" s="365"/>
      <c r="T49" s="365"/>
      <c r="U49" s="365"/>
      <c r="V49" s="365"/>
      <c r="W49" s="365"/>
      <c r="X49" s="365"/>
      <c r="Y49" s="365"/>
      <c r="Z49" s="365"/>
      <c r="AA49" s="365"/>
      <c r="AB49" s="365"/>
      <c r="AC49" s="365"/>
      <c r="AD49" s="365"/>
      <c r="AE49" s="365"/>
      <c r="AF49" s="365"/>
      <c r="AG49" s="365"/>
      <c r="AH49" s="365"/>
      <c r="AI49" s="61"/>
    </row>
    <row r="50" spans="1:35">
      <c r="A50" s="205"/>
      <c r="B50" s="2" t="s">
        <v>239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365">
        <v>0</v>
      </c>
      <c r="O50" s="325"/>
      <c r="P50" s="326"/>
      <c r="Q50" s="326"/>
      <c r="R50" s="326"/>
      <c r="S50" s="326"/>
      <c r="T50" s="326"/>
      <c r="U50" s="326"/>
      <c r="V50" s="326"/>
      <c r="W50" s="326"/>
      <c r="X50" s="326"/>
      <c r="Y50" s="326"/>
      <c r="Z50" s="326"/>
      <c r="AA50" s="326"/>
      <c r="AB50" s="326"/>
      <c r="AC50" s="326"/>
      <c r="AD50" s="326"/>
      <c r="AE50" s="326"/>
      <c r="AF50" s="326"/>
      <c r="AG50" s="326"/>
      <c r="AH50" s="326"/>
      <c r="AI50" s="61"/>
    </row>
    <row r="51" spans="1:35">
      <c r="A51" s="205"/>
      <c r="B51" s="2" t="s">
        <v>58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365">
        <v>91.010153151439994</v>
      </c>
      <c r="O51" s="371"/>
      <c r="P51" s="372"/>
      <c r="Q51" s="372"/>
      <c r="R51" s="372"/>
      <c r="S51" s="372"/>
      <c r="T51" s="372"/>
      <c r="U51" s="372"/>
      <c r="V51" s="372"/>
      <c r="W51" s="372"/>
      <c r="X51" s="372"/>
      <c r="Y51" s="372"/>
      <c r="Z51" s="372"/>
      <c r="AA51" s="372"/>
      <c r="AB51" s="372"/>
      <c r="AC51" s="372"/>
      <c r="AD51" s="372"/>
      <c r="AE51" s="372"/>
      <c r="AF51" s="372"/>
      <c r="AG51" s="372"/>
      <c r="AH51" s="372"/>
      <c r="AI51" s="17"/>
    </row>
    <row r="52" spans="1:35">
      <c r="A52" s="205"/>
      <c r="B52" s="9" t="s">
        <v>60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358">
        <f>SUM(N47:N51)</f>
        <v>135.87590144231734</v>
      </c>
      <c r="O52" s="36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42"/>
    </row>
    <row r="53" spans="1:35">
      <c r="A53" s="205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325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43"/>
    </row>
  </sheetData>
  <pageMargins left="0.7" right="0.7" top="0.75" bottom="0.75" header="0.3" footer="0.3"/>
  <pageSetup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989E-07B1-4578-AB48-98EDD91043CF}">
  <sheetPr>
    <pageSetUpPr fitToPage="1"/>
  </sheetPr>
  <dimension ref="A1:P197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9.1328125" defaultRowHeight="13.15"/>
  <cols>
    <col min="1" max="1" width="10.796875" style="191" customWidth="1"/>
    <col min="2" max="2" width="10.796875" style="235" customWidth="1"/>
    <col min="3" max="3" width="11.6640625" style="231" customWidth="1"/>
    <col min="4" max="6" width="12" style="231" customWidth="1"/>
    <col min="7" max="7" width="11.6640625" style="231" customWidth="1"/>
    <col min="8" max="8" width="11.46484375" style="231" customWidth="1"/>
    <col min="9" max="10" width="11.6640625" style="231" customWidth="1"/>
    <col min="11" max="11" width="12" style="231" customWidth="1"/>
    <col min="12" max="12" width="11.6640625" style="231" customWidth="1"/>
    <col min="13" max="13" width="11.46484375" style="231" customWidth="1"/>
    <col min="14" max="14" width="11.6640625" style="231" customWidth="1"/>
    <col min="15" max="16384" width="9.1328125" style="32"/>
  </cols>
  <sheetData>
    <row r="1" spans="1:16" s="34" customFormat="1" ht="14.25">
      <c r="A1" s="189" t="s">
        <v>3</v>
      </c>
      <c r="B1" s="234">
        <f>EOMONTH(C1, -3)</f>
        <v>43830</v>
      </c>
      <c r="C1" s="232">
        <v>43921</v>
      </c>
      <c r="D1" s="232">
        <f t="shared" ref="D1:N1" si="0">EOMONTH(C1,3)</f>
        <v>44012</v>
      </c>
      <c r="E1" s="232">
        <f t="shared" si="0"/>
        <v>44104</v>
      </c>
      <c r="F1" s="232">
        <f t="shared" si="0"/>
        <v>44196</v>
      </c>
      <c r="G1" s="232">
        <f t="shared" si="0"/>
        <v>44286</v>
      </c>
      <c r="H1" s="232">
        <f t="shared" si="0"/>
        <v>44377</v>
      </c>
      <c r="I1" s="232">
        <f t="shared" si="0"/>
        <v>44469</v>
      </c>
      <c r="J1" s="232">
        <f t="shared" si="0"/>
        <v>44561</v>
      </c>
      <c r="K1" s="232">
        <f t="shared" si="0"/>
        <v>44651</v>
      </c>
      <c r="L1" s="232">
        <f t="shared" si="0"/>
        <v>44742</v>
      </c>
      <c r="M1" s="232">
        <f t="shared" si="0"/>
        <v>44834</v>
      </c>
      <c r="N1" s="232">
        <f t="shared" si="0"/>
        <v>44926</v>
      </c>
    </row>
    <row r="2" spans="1:16" s="34" customFormat="1" ht="16.5" customHeight="1">
      <c r="A2" s="190">
        <v>1</v>
      </c>
      <c r="B2" s="233">
        <v>0</v>
      </c>
      <c r="C2" s="233">
        <v>0</v>
      </c>
      <c r="D2" s="233">
        <v>0</v>
      </c>
      <c r="E2" s="233">
        <v>0</v>
      </c>
      <c r="F2" s="233">
        <v>0</v>
      </c>
      <c r="G2" s="233">
        <v>0</v>
      </c>
      <c r="H2" s="233">
        <v>0</v>
      </c>
      <c r="I2" s="233">
        <v>1152000</v>
      </c>
      <c r="J2" s="233">
        <v>1152000</v>
      </c>
      <c r="K2" s="233">
        <v>1152000</v>
      </c>
      <c r="L2" s="233">
        <v>1152000</v>
      </c>
      <c r="M2" s="233">
        <v>975056</v>
      </c>
      <c r="N2" s="233">
        <v>975056</v>
      </c>
    </row>
    <row r="3" spans="1:16" s="34" customFormat="1" ht="14.25">
      <c r="A3" s="190">
        <f>+A2+1</f>
        <v>2</v>
      </c>
      <c r="B3" s="233">
        <v>0</v>
      </c>
      <c r="C3" s="233">
        <v>0</v>
      </c>
      <c r="D3" s="233">
        <v>0</v>
      </c>
      <c r="E3" s="233">
        <v>0</v>
      </c>
      <c r="F3" s="233">
        <v>0</v>
      </c>
      <c r="G3" s="233">
        <v>0</v>
      </c>
      <c r="H3" s="233">
        <v>0</v>
      </c>
      <c r="I3" s="233">
        <v>2304000</v>
      </c>
      <c r="J3" s="233">
        <v>1950104</v>
      </c>
      <c r="K3" s="233">
        <v>1950104</v>
      </c>
      <c r="L3" s="233">
        <v>1950104</v>
      </c>
      <c r="M3" s="233">
        <v>1950104</v>
      </c>
      <c r="N3" s="233">
        <v>1950104</v>
      </c>
    </row>
    <row r="4" spans="1:16" s="34" customFormat="1" ht="14.25">
      <c r="A4" s="190">
        <f>+A3+1</f>
        <v>3</v>
      </c>
      <c r="B4" s="233">
        <v>0</v>
      </c>
      <c r="C4" s="233">
        <v>0</v>
      </c>
      <c r="D4" s="233">
        <v>0</v>
      </c>
      <c r="E4" s="233">
        <v>0</v>
      </c>
      <c r="F4" s="233">
        <v>0</v>
      </c>
      <c r="G4" s="233">
        <v>0</v>
      </c>
      <c r="H4" s="233">
        <v>0</v>
      </c>
      <c r="I4" s="233">
        <v>2304000</v>
      </c>
      <c r="J4" s="233">
        <v>2304000</v>
      </c>
      <c r="K4" s="233">
        <v>2119680</v>
      </c>
      <c r="L4" s="233">
        <v>2119680</v>
      </c>
      <c r="M4" s="233">
        <v>2119680</v>
      </c>
      <c r="N4" s="233">
        <v>2119680</v>
      </c>
      <c r="O4" s="33"/>
      <c r="P4" s="33"/>
    </row>
    <row r="5" spans="1:16" s="34" customFormat="1" ht="14.25">
      <c r="A5" s="190">
        <f>+A4+1</f>
        <v>4</v>
      </c>
      <c r="B5" s="233">
        <v>0</v>
      </c>
      <c r="C5" s="233">
        <v>0</v>
      </c>
      <c r="D5" s="233">
        <v>0</v>
      </c>
      <c r="E5" s="233">
        <v>0</v>
      </c>
      <c r="F5" s="233">
        <v>0</v>
      </c>
      <c r="G5" s="233">
        <v>0</v>
      </c>
      <c r="H5" s="233">
        <v>0</v>
      </c>
      <c r="I5" s="233">
        <v>2304000</v>
      </c>
      <c r="J5" s="233">
        <v>2304000</v>
      </c>
      <c r="K5" s="233">
        <v>2304000</v>
      </c>
      <c r="L5" s="233">
        <v>2304000</v>
      </c>
      <c r="M5" s="233">
        <v>2304000</v>
      </c>
      <c r="N5" s="233">
        <v>2304000</v>
      </c>
      <c r="O5" s="33"/>
      <c r="P5" s="33"/>
    </row>
    <row r="6" spans="1:16" s="34" customFormat="1" ht="14.25">
      <c r="A6" s="190">
        <f>+A5+1</f>
        <v>5</v>
      </c>
      <c r="B6" s="233">
        <v>0</v>
      </c>
      <c r="C6" s="233">
        <v>0</v>
      </c>
      <c r="D6" s="233">
        <v>0</v>
      </c>
      <c r="E6" s="233">
        <v>0</v>
      </c>
      <c r="F6" s="233">
        <v>0</v>
      </c>
      <c r="G6" s="233">
        <v>0</v>
      </c>
      <c r="H6" s="233">
        <v>0</v>
      </c>
      <c r="I6" s="233">
        <v>3456000</v>
      </c>
      <c r="J6" s="233">
        <v>3456000</v>
      </c>
      <c r="K6" s="233">
        <v>3456000</v>
      </c>
      <c r="L6" s="233">
        <v>3456000</v>
      </c>
      <c r="M6" s="233">
        <v>3456000</v>
      </c>
      <c r="N6" s="233">
        <v>3456000</v>
      </c>
      <c r="O6" s="33"/>
      <c r="P6" s="33"/>
    </row>
    <row r="7" spans="1:16" s="34" customFormat="1" ht="14.25">
      <c r="A7" s="190">
        <f t="shared" ref="A7:A70" si="1">+A6+1</f>
        <v>6</v>
      </c>
      <c r="B7" s="233">
        <v>1445072</v>
      </c>
      <c r="C7" s="233">
        <v>0</v>
      </c>
      <c r="D7" s="233">
        <v>0</v>
      </c>
      <c r="E7" s="233">
        <v>0</v>
      </c>
      <c r="F7" s="233">
        <v>0</v>
      </c>
      <c r="G7" s="233">
        <v>0</v>
      </c>
      <c r="H7" s="233">
        <v>0</v>
      </c>
      <c r="I7" s="233">
        <v>0</v>
      </c>
      <c r="J7" s="233">
        <v>0</v>
      </c>
      <c r="K7" s="233">
        <v>0</v>
      </c>
      <c r="L7" s="233">
        <v>0</v>
      </c>
      <c r="M7" s="233">
        <v>0</v>
      </c>
      <c r="N7" s="233">
        <v>0</v>
      </c>
    </row>
    <row r="8" spans="1:16" s="34" customFormat="1" ht="14.25">
      <c r="A8" s="190">
        <f t="shared" si="1"/>
        <v>7</v>
      </c>
      <c r="B8" s="233">
        <v>2119680</v>
      </c>
      <c r="C8" s="233">
        <v>0</v>
      </c>
      <c r="D8" s="233">
        <v>0</v>
      </c>
      <c r="E8" s="233">
        <v>0</v>
      </c>
      <c r="F8" s="233">
        <v>0</v>
      </c>
      <c r="G8" s="233">
        <v>0</v>
      </c>
      <c r="H8" s="233">
        <v>0</v>
      </c>
      <c r="I8" s="233">
        <v>0</v>
      </c>
      <c r="J8" s="233">
        <v>0</v>
      </c>
      <c r="K8" s="233">
        <v>0</v>
      </c>
      <c r="L8" s="233">
        <v>0</v>
      </c>
      <c r="M8" s="233">
        <v>0</v>
      </c>
      <c r="N8" s="233">
        <v>0</v>
      </c>
    </row>
    <row r="9" spans="1:16" s="34" customFormat="1" ht="14.25">
      <c r="A9" s="190">
        <f t="shared" si="1"/>
        <v>8</v>
      </c>
      <c r="B9" s="233">
        <v>975056</v>
      </c>
      <c r="C9" s="233">
        <v>0</v>
      </c>
      <c r="D9" s="233">
        <v>0</v>
      </c>
      <c r="E9" s="233">
        <v>0</v>
      </c>
      <c r="F9" s="233">
        <v>0</v>
      </c>
      <c r="G9" s="233">
        <v>0</v>
      </c>
      <c r="H9" s="233">
        <v>0</v>
      </c>
      <c r="I9" s="233">
        <v>0</v>
      </c>
      <c r="J9" s="233">
        <v>0</v>
      </c>
      <c r="K9" s="233">
        <v>0</v>
      </c>
      <c r="L9" s="233">
        <v>0</v>
      </c>
      <c r="M9" s="233">
        <v>0</v>
      </c>
      <c r="N9" s="233">
        <v>0</v>
      </c>
      <c r="O9" s="32"/>
      <c r="P9" s="32"/>
    </row>
    <row r="10" spans="1:16" s="34" customFormat="1" ht="14.25">
      <c r="A10" s="190">
        <f t="shared" si="1"/>
        <v>9</v>
      </c>
      <c r="B10" s="233">
        <v>2739760</v>
      </c>
      <c r="C10" s="233">
        <v>0</v>
      </c>
      <c r="D10" s="233">
        <v>0</v>
      </c>
      <c r="E10" s="233">
        <v>0</v>
      </c>
      <c r="F10" s="233">
        <v>0</v>
      </c>
      <c r="G10" s="233">
        <v>0</v>
      </c>
      <c r="H10" s="233">
        <v>0</v>
      </c>
      <c r="I10" s="233">
        <v>0</v>
      </c>
      <c r="J10" s="233">
        <v>0</v>
      </c>
      <c r="K10" s="233">
        <v>0</v>
      </c>
      <c r="L10" s="233">
        <v>0</v>
      </c>
      <c r="M10" s="233">
        <v>0</v>
      </c>
      <c r="N10" s="233">
        <v>0</v>
      </c>
      <c r="O10" s="32"/>
      <c r="P10" s="32"/>
    </row>
    <row r="11" spans="1:16" s="34" customFormat="1" ht="14.25">
      <c r="A11" s="190">
        <f t="shared" si="1"/>
        <v>10</v>
      </c>
      <c r="B11" s="233">
        <v>0</v>
      </c>
      <c r="C11" s="233">
        <v>0</v>
      </c>
      <c r="D11" s="233">
        <v>0</v>
      </c>
      <c r="E11" s="233">
        <v>0</v>
      </c>
      <c r="F11" s="233">
        <v>0</v>
      </c>
      <c r="G11" s="233">
        <v>0</v>
      </c>
      <c r="H11" s="233">
        <v>0</v>
      </c>
      <c r="I11" s="233">
        <v>0</v>
      </c>
      <c r="J11" s="233">
        <v>0</v>
      </c>
      <c r="K11" s="233">
        <v>0</v>
      </c>
      <c r="L11" s="233">
        <v>0</v>
      </c>
      <c r="M11" s="233">
        <v>0</v>
      </c>
      <c r="N11" s="233">
        <v>3456000</v>
      </c>
      <c r="O11" s="32"/>
      <c r="P11" s="32"/>
    </row>
    <row r="12" spans="1:16" s="34" customFormat="1" ht="14.25">
      <c r="A12" s="190">
        <f t="shared" si="1"/>
        <v>11</v>
      </c>
      <c r="B12" s="233">
        <v>0</v>
      </c>
      <c r="C12" s="233">
        <v>0</v>
      </c>
      <c r="D12" s="233">
        <v>0</v>
      </c>
      <c r="E12" s="233">
        <v>0</v>
      </c>
      <c r="F12" s="233">
        <v>0</v>
      </c>
      <c r="G12" s="233">
        <v>0</v>
      </c>
      <c r="H12" s="233">
        <v>0</v>
      </c>
      <c r="I12" s="233">
        <v>0</v>
      </c>
      <c r="J12" s="233">
        <v>0</v>
      </c>
      <c r="K12" s="233">
        <v>0</v>
      </c>
      <c r="L12" s="233">
        <v>0</v>
      </c>
      <c r="M12" s="233">
        <v>0</v>
      </c>
      <c r="N12" s="233">
        <v>2304000</v>
      </c>
      <c r="O12" s="32"/>
      <c r="P12" s="32"/>
    </row>
    <row r="13" spans="1:16" s="34" customFormat="1" ht="14.25">
      <c r="A13" s="190">
        <f t="shared" si="1"/>
        <v>12</v>
      </c>
      <c r="B13" s="233">
        <v>0</v>
      </c>
      <c r="C13" s="233">
        <v>0</v>
      </c>
      <c r="D13" s="233">
        <v>0</v>
      </c>
      <c r="E13" s="233">
        <v>0</v>
      </c>
      <c r="F13" s="233">
        <v>0</v>
      </c>
      <c r="G13" s="233">
        <v>0</v>
      </c>
      <c r="H13" s="233">
        <v>0</v>
      </c>
      <c r="I13" s="233">
        <v>0</v>
      </c>
      <c r="J13" s="233">
        <v>0</v>
      </c>
      <c r="K13" s="233">
        <v>0</v>
      </c>
      <c r="L13" s="233">
        <v>0</v>
      </c>
      <c r="M13" s="233">
        <v>0</v>
      </c>
      <c r="N13" s="233">
        <v>2580480</v>
      </c>
      <c r="O13" s="32"/>
      <c r="P13" s="32"/>
    </row>
    <row r="14" spans="1:16" s="34" customFormat="1" ht="14.25">
      <c r="A14" s="190">
        <f t="shared" si="1"/>
        <v>13</v>
      </c>
      <c r="B14" s="233">
        <v>0</v>
      </c>
      <c r="C14" s="233"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>
        <v>2304000</v>
      </c>
      <c r="O14" s="32"/>
      <c r="P14" s="32"/>
    </row>
    <row r="15" spans="1:16" s="34" customFormat="1" ht="14.25">
      <c r="A15" s="190">
        <f t="shared" si="1"/>
        <v>14</v>
      </c>
      <c r="B15" s="233">
        <v>0</v>
      </c>
      <c r="C15" s="233">
        <v>0</v>
      </c>
      <c r="D15" s="233">
        <v>0</v>
      </c>
      <c r="E15" s="233">
        <v>0</v>
      </c>
      <c r="F15" s="233">
        <v>0</v>
      </c>
      <c r="G15" s="233">
        <v>0</v>
      </c>
      <c r="H15" s="233">
        <v>0</v>
      </c>
      <c r="I15" s="233">
        <v>0</v>
      </c>
      <c r="J15" s="233">
        <v>0</v>
      </c>
      <c r="K15" s="233">
        <v>0</v>
      </c>
      <c r="L15" s="233">
        <v>0</v>
      </c>
      <c r="M15" s="233">
        <v>0</v>
      </c>
      <c r="N15" s="233">
        <v>1152000</v>
      </c>
      <c r="O15" s="32"/>
      <c r="P15" s="32"/>
    </row>
    <row r="16" spans="1:16" s="34" customFormat="1" ht="14.25">
      <c r="A16" s="190">
        <f t="shared" si="1"/>
        <v>15</v>
      </c>
      <c r="B16" s="233">
        <v>0</v>
      </c>
      <c r="C16" s="233">
        <v>0</v>
      </c>
      <c r="D16" s="233">
        <v>0</v>
      </c>
      <c r="E16" s="233">
        <v>0</v>
      </c>
      <c r="F16" s="233">
        <v>0</v>
      </c>
      <c r="G16" s="233">
        <v>0</v>
      </c>
      <c r="H16" s="233">
        <v>0</v>
      </c>
      <c r="I16" s="233">
        <v>0</v>
      </c>
      <c r="J16" s="233">
        <v>0</v>
      </c>
      <c r="K16" s="233">
        <v>0</v>
      </c>
      <c r="L16" s="233">
        <v>0</v>
      </c>
      <c r="M16" s="233">
        <v>0</v>
      </c>
      <c r="N16" s="233">
        <v>2304000</v>
      </c>
      <c r="O16" s="32"/>
      <c r="P16" s="32"/>
    </row>
    <row r="17" spans="1:16" s="34" customFormat="1" ht="14.25">
      <c r="A17" s="190">
        <f t="shared" si="1"/>
        <v>16</v>
      </c>
      <c r="B17" s="233">
        <v>0</v>
      </c>
      <c r="C17" s="233">
        <v>0</v>
      </c>
      <c r="D17" s="233">
        <v>0</v>
      </c>
      <c r="E17" s="233">
        <v>0</v>
      </c>
      <c r="F17" s="233">
        <v>0</v>
      </c>
      <c r="G17" s="233">
        <v>0</v>
      </c>
      <c r="H17" s="233">
        <v>0</v>
      </c>
      <c r="I17" s="233">
        <v>0</v>
      </c>
      <c r="J17" s="233">
        <v>0</v>
      </c>
      <c r="K17" s="233">
        <v>0</v>
      </c>
      <c r="L17" s="233">
        <v>0</v>
      </c>
      <c r="M17" s="233">
        <v>0</v>
      </c>
      <c r="N17" s="233">
        <v>2580480</v>
      </c>
      <c r="O17" s="32"/>
      <c r="P17" s="32"/>
    </row>
    <row r="18" spans="1:16" s="33" customFormat="1" ht="14.25">
      <c r="A18" s="190">
        <f t="shared" si="1"/>
        <v>17</v>
      </c>
      <c r="B18" s="233">
        <v>0</v>
      </c>
      <c r="C18" s="233">
        <v>0</v>
      </c>
      <c r="D18" s="233">
        <v>0</v>
      </c>
      <c r="E18" s="233">
        <v>0</v>
      </c>
      <c r="F18" s="233">
        <v>0</v>
      </c>
      <c r="G18" s="233">
        <v>0</v>
      </c>
      <c r="H18" s="233">
        <v>0</v>
      </c>
      <c r="I18" s="233">
        <v>0</v>
      </c>
      <c r="J18" s="233">
        <v>0</v>
      </c>
      <c r="K18" s="233">
        <v>0</v>
      </c>
      <c r="L18" s="233">
        <v>0</v>
      </c>
      <c r="M18" s="233">
        <v>0</v>
      </c>
      <c r="N18" s="233">
        <v>2304000</v>
      </c>
      <c r="O18" s="32"/>
      <c r="P18" s="32"/>
    </row>
    <row r="19" spans="1:16" s="33" customFormat="1" ht="14.25">
      <c r="A19" s="190">
        <f t="shared" si="1"/>
        <v>18</v>
      </c>
      <c r="B19" s="233">
        <v>0</v>
      </c>
      <c r="C19" s="233">
        <v>0</v>
      </c>
      <c r="D19" s="233">
        <v>0</v>
      </c>
      <c r="E19" s="233">
        <v>0</v>
      </c>
      <c r="F19" s="233">
        <v>0</v>
      </c>
      <c r="G19" s="233">
        <v>0</v>
      </c>
      <c r="H19" s="233">
        <v>0</v>
      </c>
      <c r="I19" s="233">
        <v>0</v>
      </c>
      <c r="J19" s="233">
        <v>0</v>
      </c>
      <c r="K19" s="233">
        <v>0</v>
      </c>
      <c r="L19" s="233">
        <v>0</v>
      </c>
      <c r="M19" s="233">
        <v>1152000</v>
      </c>
      <c r="N19" s="233">
        <v>0</v>
      </c>
      <c r="O19" s="34"/>
      <c r="P19" s="34"/>
    </row>
    <row r="20" spans="1:16" s="33" customFormat="1" ht="14.25">
      <c r="A20" s="190">
        <f t="shared" si="1"/>
        <v>19</v>
      </c>
      <c r="B20" s="233">
        <v>0</v>
      </c>
      <c r="C20" s="233">
        <v>0</v>
      </c>
      <c r="D20" s="233">
        <v>0</v>
      </c>
      <c r="E20" s="233">
        <v>0</v>
      </c>
      <c r="F20" s="233">
        <v>0</v>
      </c>
      <c r="G20" s="233">
        <v>0</v>
      </c>
      <c r="H20" s="233">
        <v>0</v>
      </c>
      <c r="I20" s="233">
        <v>0</v>
      </c>
      <c r="J20" s="233">
        <v>0</v>
      </c>
      <c r="K20" s="233">
        <v>0</v>
      </c>
      <c r="L20" s="233">
        <v>0</v>
      </c>
      <c r="M20" s="233">
        <v>1152000</v>
      </c>
      <c r="N20" s="233">
        <v>1290240</v>
      </c>
    </row>
    <row r="21" spans="1:16" s="33" customFormat="1" ht="14.25">
      <c r="A21" s="190">
        <f t="shared" si="1"/>
        <v>20</v>
      </c>
      <c r="B21" s="233">
        <v>0</v>
      </c>
      <c r="C21" s="233">
        <v>0</v>
      </c>
      <c r="D21" s="233">
        <v>0</v>
      </c>
      <c r="E21" s="233">
        <v>0</v>
      </c>
      <c r="F21" s="233">
        <v>0</v>
      </c>
      <c r="G21" s="233">
        <v>0</v>
      </c>
      <c r="H21" s="233">
        <v>0</v>
      </c>
      <c r="I21" s="233">
        <v>0</v>
      </c>
      <c r="J21" s="233">
        <v>0</v>
      </c>
      <c r="K21" s="233">
        <v>0</v>
      </c>
      <c r="L21" s="233">
        <v>0</v>
      </c>
      <c r="M21" s="233">
        <v>2304000</v>
      </c>
      <c r="N21" s="233">
        <v>2580480</v>
      </c>
      <c r="O21" s="32"/>
      <c r="P21" s="32"/>
    </row>
    <row r="22" spans="1:16" s="33" customFormat="1" ht="14.25">
      <c r="A22" s="190">
        <f t="shared" si="1"/>
        <v>21</v>
      </c>
      <c r="B22" s="233">
        <v>0</v>
      </c>
      <c r="C22" s="233">
        <v>0</v>
      </c>
      <c r="D22" s="233">
        <v>0</v>
      </c>
      <c r="E22" s="233">
        <v>0</v>
      </c>
      <c r="F22" s="233">
        <v>0</v>
      </c>
      <c r="G22" s="233">
        <v>0</v>
      </c>
      <c r="H22" s="233">
        <v>0</v>
      </c>
      <c r="I22" s="233">
        <v>0</v>
      </c>
      <c r="J22" s="233">
        <v>0</v>
      </c>
      <c r="K22" s="233">
        <v>0</v>
      </c>
      <c r="L22" s="233">
        <v>0</v>
      </c>
      <c r="M22" s="233">
        <v>2304000</v>
      </c>
      <c r="N22" s="233">
        <v>2304000</v>
      </c>
      <c r="O22" s="32"/>
      <c r="P22" s="32"/>
    </row>
    <row r="23" spans="1:16" s="33" customFormat="1" ht="14.25">
      <c r="A23" s="190">
        <f t="shared" si="1"/>
        <v>22</v>
      </c>
      <c r="B23" s="233">
        <v>0</v>
      </c>
      <c r="C23" s="233">
        <v>0</v>
      </c>
      <c r="D23" s="233">
        <v>0</v>
      </c>
      <c r="E23" s="233">
        <v>0</v>
      </c>
      <c r="F23" s="233">
        <v>0</v>
      </c>
      <c r="G23" s="233">
        <v>0</v>
      </c>
      <c r="H23" s="233">
        <v>0</v>
      </c>
      <c r="I23" s="233">
        <v>0</v>
      </c>
      <c r="J23" s="233">
        <v>0</v>
      </c>
      <c r="K23" s="233">
        <v>0</v>
      </c>
      <c r="L23" s="233">
        <v>0</v>
      </c>
      <c r="M23" s="233">
        <v>1152000</v>
      </c>
      <c r="N23" s="233">
        <v>1152000</v>
      </c>
      <c r="O23" s="32"/>
      <c r="P23" s="32"/>
    </row>
    <row r="24" spans="1:16" s="33" customFormat="1" ht="14.25">
      <c r="A24" s="190">
        <f t="shared" si="1"/>
        <v>23</v>
      </c>
      <c r="B24" s="233">
        <v>0</v>
      </c>
      <c r="C24" s="233">
        <v>0</v>
      </c>
      <c r="D24" s="233">
        <v>0</v>
      </c>
      <c r="E24" s="233">
        <v>0</v>
      </c>
      <c r="F24" s="233">
        <v>0</v>
      </c>
      <c r="G24" s="233">
        <v>0</v>
      </c>
      <c r="H24" s="233">
        <v>0</v>
      </c>
      <c r="I24" s="233">
        <v>0</v>
      </c>
      <c r="J24" s="233">
        <v>0</v>
      </c>
      <c r="K24" s="233">
        <v>0</v>
      </c>
      <c r="L24" s="233">
        <v>0</v>
      </c>
      <c r="M24" s="233">
        <v>1152000</v>
      </c>
      <c r="N24" s="233">
        <v>1152000</v>
      </c>
      <c r="O24" s="32"/>
      <c r="P24" s="32"/>
    </row>
    <row r="25" spans="1:16" s="33" customFormat="1" ht="14.25">
      <c r="A25" s="190">
        <f t="shared" si="1"/>
        <v>24</v>
      </c>
      <c r="B25" s="233">
        <v>0</v>
      </c>
      <c r="C25" s="233">
        <v>0</v>
      </c>
      <c r="D25" s="233">
        <v>0</v>
      </c>
      <c r="E25" s="233">
        <v>0</v>
      </c>
      <c r="F25" s="233">
        <v>0</v>
      </c>
      <c r="G25" s="233">
        <v>0</v>
      </c>
      <c r="H25" s="233">
        <v>0</v>
      </c>
      <c r="I25" s="233">
        <v>0</v>
      </c>
      <c r="J25" s="233">
        <v>0</v>
      </c>
      <c r="K25" s="233">
        <v>0</v>
      </c>
      <c r="L25" s="233">
        <v>0</v>
      </c>
      <c r="M25" s="233">
        <v>3456000</v>
      </c>
      <c r="N25" s="233">
        <v>3456000</v>
      </c>
      <c r="O25" s="32"/>
      <c r="P25" s="32"/>
    </row>
    <row r="26" spans="1:16" s="33" customFormat="1" ht="14.25">
      <c r="A26" s="190">
        <f t="shared" si="1"/>
        <v>25</v>
      </c>
      <c r="B26" s="233">
        <v>0</v>
      </c>
      <c r="C26" s="233">
        <v>0</v>
      </c>
      <c r="D26" s="233">
        <v>0</v>
      </c>
      <c r="E26" s="233">
        <v>0</v>
      </c>
      <c r="F26" s="233">
        <v>0</v>
      </c>
      <c r="G26" s="233">
        <v>0</v>
      </c>
      <c r="H26" s="233">
        <v>0</v>
      </c>
      <c r="I26" s="233">
        <v>0</v>
      </c>
      <c r="J26" s="233">
        <v>0</v>
      </c>
      <c r="K26" s="233">
        <v>0</v>
      </c>
      <c r="L26" s="233">
        <v>0</v>
      </c>
      <c r="M26" s="233">
        <v>2304000</v>
      </c>
      <c r="N26" s="233">
        <v>2304000</v>
      </c>
      <c r="O26" s="32"/>
      <c r="P26" s="32"/>
    </row>
    <row r="27" spans="1:16" s="33" customFormat="1" ht="14.25">
      <c r="A27" s="190">
        <f t="shared" si="1"/>
        <v>26</v>
      </c>
      <c r="B27" s="233">
        <v>0</v>
      </c>
      <c r="C27" s="233">
        <v>0</v>
      </c>
      <c r="D27" s="233">
        <v>0</v>
      </c>
      <c r="E27" s="233">
        <v>0</v>
      </c>
      <c r="F27" s="233">
        <v>0</v>
      </c>
      <c r="G27" s="233">
        <v>0</v>
      </c>
      <c r="H27" s="233">
        <v>0</v>
      </c>
      <c r="I27" s="233">
        <v>0</v>
      </c>
      <c r="J27" s="233">
        <v>0</v>
      </c>
      <c r="K27" s="233">
        <v>0</v>
      </c>
      <c r="L27" s="233">
        <v>0</v>
      </c>
      <c r="M27" s="233">
        <v>2304000</v>
      </c>
      <c r="N27" s="233">
        <v>2374040</v>
      </c>
      <c r="O27" s="32"/>
      <c r="P27" s="32"/>
    </row>
    <row r="28" spans="1:16" s="33" customFormat="1" ht="14.25">
      <c r="A28" s="190">
        <f t="shared" si="1"/>
        <v>27</v>
      </c>
      <c r="B28" s="233">
        <v>0</v>
      </c>
      <c r="C28" s="233">
        <v>0</v>
      </c>
      <c r="D28" s="233">
        <v>0</v>
      </c>
      <c r="E28" s="233">
        <v>0</v>
      </c>
      <c r="F28" s="233">
        <v>0</v>
      </c>
      <c r="G28" s="233">
        <v>0</v>
      </c>
      <c r="H28" s="233">
        <v>0</v>
      </c>
      <c r="I28" s="233">
        <v>0</v>
      </c>
      <c r="J28" s="233">
        <v>0</v>
      </c>
      <c r="K28" s="233">
        <v>0</v>
      </c>
      <c r="L28" s="233">
        <v>0</v>
      </c>
      <c r="M28" s="233">
        <v>1152000</v>
      </c>
      <c r="N28" s="233">
        <v>1152000</v>
      </c>
      <c r="O28" s="32"/>
      <c r="P28" s="32"/>
    </row>
    <row r="29" spans="1:16" s="33" customFormat="1" ht="14.25">
      <c r="A29" s="190">
        <f t="shared" si="1"/>
        <v>28</v>
      </c>
      <c r="B29" s="233">
        <v>0</v>
      </c>
      <c r="C29" s="233">
        <v>0</v>
      </c>
      <c r="D29" s="233">
        <v>0</v>
      </c>
      <c r="E29" s="233">
        <v>0</v>
      </c>
      <c r="F29" s="233">
        <v>0</v>
      </c>
      <c r="G29" s="233">
        <v>0</v>
      </c>
      <c r="H29" s="233">
        <v>0</v>
      </c>
      <c r="I29" s="233">
        <v>0</v>
      </c>
      <c r="J29" s="233">
        <v>0</v>
      </c>
      <c r="K29" s="233">
        <v>0</v>
      </c>
      <c r="L29" s="233">
        <v>2304000</v>
      </c>
      <c r="M29" s="233">
        <v>2304000</v>
      </c>
      <c r="N29" s="233">
        <v>2304000</v>
      </c>
    </row>
    <row r="30" spans="1:16" s="33" customFormat="1" ht="14.25">
      <c r="A30" s="190">
        <f t="shared" si="1"/>
        <v>29</v>
      </c>
      <c r="B30" s="233">
        <v>0</v>
      </c>
      <c r="C30" s="233">
        <v>0</v>
      </c>
      <c r="D30" s="233">
        <v>0</v>
      </c>
      <c r="E30" s="233">
        <v>0</v>
      </c>
      <c r="F30" s="233">
        <v>0</v>
      </c>
      <c r="G30" s="233">
        <v>0</v>
      </c>
      <c r="H30" s="233">
        <v>0</v>
      </c>
      <c r="I30" s="233">
        <v>0</v>
      </c>
      <c r="J30" s="233">
        <v>0</v>
      </c>
      <c r="K30" s="233">
        <v>0</v>
      </c>
      <c r="L30" s="233">
        <v>3456000</v>
      </c>
      <c r="M30" s="233">
        <v>3456000</v>
      </c>
      <c r="N30" s="233">
        <v>3456000</v>
      </c>
    </row>
    <row r="31" spans="1:16" s="33" customFormat="1" ht="14.25">
      <c r="A31" s="190">
        <f t="shared" si="1"/>
        <v>30</v>
      </c>
      <c r="B31" s="233">
        <v>0</v>
      </c>
      <c r="C31" s="233">
        <v>0</v>
      </c>
      <c r="D31" s="233">
        <v>0</v>
      </c>
      <c r="E31" s="233">
        <v>0</v>
      </c>
      <c r="F31" s="233">
        <v>0</v>
      </c>
      <c r="G31" s="233">
        <v>0</v>
      </c>
      <c r="H31" s="233">
        <v>0</v>
      </c>
      <c r="I31" s="233">
        <v>0</v>
      </c>
      <c r="J31" s="233">
        <v>0</v>
      </c>
      <c r="K31" s="233">
        <v>0</v>
      </c>
      <c r="L31" s="233">
        <v>2304000</v>
      </c>
      <c r="M31" s="233">
        <v>2304000</v>
      </c>
      <c r="N31" s="233">
        <v>2304000</v>
      </c>
      <c r="O31" s="32"/>
      <c r="P31" s="32"/>
    </row>
    <row r="32" spans="1:16" s="33" customFormat="1" ht="14.25">
      <c r="A32" s="190">
        <f t="shared" si="1"/>
        <v>31</v>
      </c>
      <c r="B32" s="233">
        <v>0</v>
      </c>
      <c r="C32" s="233">
        <v>0</v>
      </c>
      <c r="D32" s="233">
        <v>0</v>
      </c>
      <c r="E32" s="233">
        <v>0</v>
      </c>
      <c r="F32" s="233">
        <v>0</v>
      </c>
      <c r="G32" s="233">
        <v>0</v>
      </c>
      <c r="H32" s="233">
        <v>0</v>
      </c>
      <c r="I32" s="233">
        <v>0</v>
      </c>
      <c r="J32" s="233">
        <v>0</v>
      </c>
      <c r="K32" s="233">
        <v>0</v>
      </c>
      <c r="L32" s="233">
        <v>2304000</v>
      </c>
      <c r="M32" s="233">
        <v>2304000</v>
      </c>
      <c r="N32" s="233">
        <v>2304000</v>
      </c>
      <c r="O32" s="32"/>
      <c r="P32" s="32"/>
    </row>
    <row r="33" spans="1:16" s="33" customFormat="1" ht="14.25">
      <c r="A33" s="190">
        <f t="shared" si="1"/>
        <v>32</v>
      </c>
      <c r="B33" s="233">
        <v>0</v>
      </c>
      <c r="C33" s="233">
        <v>0</v>
      </c>
      <c r="D33" s="233">
        <v>0</v>
      </c>
      <c r="E33" s="233">
        <v>0</v>
      </c>
      <c r="F33" s="233">
        <v>0</v>
      </c>
      <c r="G33" s="233">
        <v>0</v>
      </c>
      <c r="H33" s="233">
        <v>0</v>
      </c>
      <c r="I33" s="233">
        <v>0</v>
      </c>
      <c r="J33" s="233">
        <v>0</v>
      </c>
      <c r="K33" s="233">
        <v>0</v>
      </c>
      <c r="L33" s="233">
        <v>1152000</v>
      </c>
      <c r="M33" s="233">
        <v>1152000</v>
      </c>
      <c r="N33" s="233">
        <v>1152000</v>
      </c>
      <c r="O33" s="32"/>
      <c r="P33" s="32"/>
    </row>
    <row r="34" spans="1:16" s="33" customFormat="1" ht="14.25">
      <c r="A34" s="190">
        <f t="shared" si="1"/>
        <v>33</v>
      </c>
      <c r="B34" s="233">
        <v>0</v>
      </c>
      <c r="C34" s="233">
        <v>0</v>
      </c>
      <c r="D34" s="233">
        <v>0</v>
      </c>
      <c r="E34" s="233">
        <v>0</v>
      </c>
      <c r="F34" s="233">
        <v>0</v>
      </c>
      <c r="G34" s="233">
        <v>0</v>
      </c>
      <c r="H34" s="233">
        <v>0</v>
      </c>
      <c r="I34" s="233">
        <v>0</v>
      </c>
      <c r="J34" s="233">
        <v>0</v>
      </c>
      <c r="K34" s="233">
        <v>0</v>
      </c>
      <c r="L34" s="233">
        <v>1152000</v>
      </c>
      <c r="M34" s="233">
        <v>1152000</v>
      </c>
      <c r="N34" s="233">
        <v>1152000</v>
      </c>
      <c r="O34" s="32"/>
      <c r="P34" s="32"/>
    </row>
    <row r="35" spans="1:16" s="33" customFormat="1" ht="14.25">
      <c r="A35" s="190">
        <f t="shared" si="1"/>
        <v>34</v>
      </c>
      <c r="B35" s="233">
        <v>0</v>
      </c>
      <c r="C35" s="233">
        <v>0</v>
      </c>
      <c r="D35" s="233">
        <v>0</v>
      </c>
      <c r="E35" s="233">
        <v>0</v>
      </c>
      <c r="F35" s="233">
        <v>0</v>
      </c>
      <c r="G35" s="233">
        <v>0</v>
      </c>
      <c r="H35" s="233">
        <v>0</v>
      </c>
      <c r="I35" s="233">
        <v>0</v>
      </c>
      <c r="J35" s="233">
        <v>0</v>
      </c>
      <c r="K35" s="233">
        <v>1152000</v>
      </c>
      <c r="L35" s="233">
        <v>1059840</v>
      </c>
      <c r="M35" s="233">
        <v>1059840</v>
      </c>
      <c r="N35" s="233">
        <v>1059840</v>
      </c>
      <c r="O35" s="34"/>
      <c r="P35" s="34"/>
    </row>
    <row r="36" spans="1:16" s="33" customFormat="1" ht="14.25">
      <c r="A36" s="190">
        <f t="shared" si="1"/>
        <v>35</v>
      </c>
      <c r="B36" s="233">
        <v>0</v>
      </c>
      <c r="C36" s="233">
        <v>0</v>
      </c>
      <c r="D36" s="233">
        <v>0</v>
      </c>
      <c r="E36" s="233">
        <v>0</v>
      </c>
      <c r="F36" s="233">
        <v>0</v>
      </c>
      <c r="G36" s="233">
        <v>0</v>
      </c>
      <c r="H36" s="233">
        <v>0</v>
      </c>
      <c r="I36" s="233">
        <v>0</v>
      </c>
      <c r="J36" s="233">
        <v>0</v>
      </c>
      <c r="K36" s="233">
        <v>2304000</v>
      </c>
      <c r="L36" s="233">
        <v>2304000</v>
      </c>
      <c r="M36" s="233">
        <v>2304000</v>
      </c>
      <c r="N36" s="233">
        <v>2119680</v>
      </c>
    </row>
    <row r="37" spans="1:16" s="33" customFormat="1" ht="14.25">
      <c r="A37" s="190">
        <f t="shared" si="1"/>
        <v>36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1152000</v>
      </c>
      <c r="L37" s="233">
        <v>1152000</v>
      </c>
      <c r="M37" s="233">
        <v>1152000</v>
      </c>
      <c r="N37" s="233">
        <v>1152000</v>
      </c>
      <c r="O37" s="32"/>
      <c r="P37" s="32"/>
    </row>
    <row r="38" spans="1:16" s="33" customFormat="1" ht="14.25">
      <c r="A38" s="190">
        <f t="shared" si="1"/>
        <v>37</v>
      </c>
      <c r="B38" s="233">
        <v>0</v>
      </c>
      <c r="C38" s="233">
        <v>0</v>
      </c>
      <c r="D38" s="233">
        <v>0</v>
      </c>
      <c r="E38" s="233">
        <v>0</v>
      </c>
      <c r="F38" s="233">
        <v>0</v>
      </c>
      <c r="G38" s="233">
        <v>0</v>
      </c>
      <c r="H38" s="233">
        <v>0</v>
      </c>
      <c r="I38" s="233">
        <v>0</v>
      </c>
      <c r="J38" s="233">
        <v>0</v>
      </c>
      <c r="K38" s="233">
        <v>2580480</v>
      </c>
      <c r="L38" s="233">
        <v>2580480</v>
      </c>
      <c r="M38" s="233">
        <v>2658928</v>
      </c>
      <c r="N38" s="233">
        <v>2658928</v>
      </c>
      <c r="O38" s="32"/>
      <c r="P38" s="32"/>
    </row>
    <row r="39" spans="1:16">
      <c r="A39" s="190">
        <f t="shared" si="1"/>
        <v>38</v>
      </c>
      <c r="B39" s="233">
        <v>0</v>
      </c>
      <c r="C39" s="233">
        <v>0</v>
      </c>
      <c r="D39" s="233">
        <v>0</v>
      </c>
      <c r="E39" s="233">
        <v>0</v>
      </c>
      <c r="F39" s="233">
        <v>0</v>
      </c>
      <c r="G39" s="233">
        <v>0</v>
      </c>
      <c r="H39" s="233">
        <v>0</v>
      </c>
      <c r="I39" s="233">
        <v>0</v>
      </c>
      <c r="J39" s="233">
        <v>0</v>
      </c>
      <c r="K39" s="233">
        <v>3456000</v>
      </c>
      <c r="L39" s="233">
        <v>3456000</v>
      </c>
      <c r="M39" s="233">
        <v>3456000</v>
      </c>
      <c r="N39" s="233">
        <v>3456000</v>
      </c>
    </row>
    <row r="40" spans="1:16">
      <c r="A40" s="190">
        <f t="shared" si="1"/>
        <v>39</v>
      </c>
      <c r="B40" s="233">
        <v>0</v>
      </c>
      <c r="C40" s="233">
        <v>0</v>
      </c>
      <c r="D40" s="233">
        <v>0</v>
      </c>
      <c r="E40" s="233">
        <v>0</v>
      </c>
      <c r="F40" s="233">
        <v>0</v>
      </c>
      <c r="G40" s="233">
        <v>0</v>
      </c>
      <c r="H40" s="233">
        <v>0</v>
      </c>
      <c r="I40" s="233">
        <v>0</v>
      </c>
      <c r="J40" s="233">
        <v>0</v>
      </c>
      <c r="K40" s="233">
        <v>2580480</v>
      </c>
      <c r="L40" s="233">
        <v>2374040</v>
      </c>
      <c r="M40" s="233">
        <v>2374040</v>
      </c>
      <c r="N40" s="233">
        <v>2374040</v>
      </c>
    </row>
    <row r="41" spans="1:16">
      <c r="A41" s="190">
        <f t="shared" si="1"/>
        <v>40</v>
      </c>
      <c r="B41" s="233">
        <v>0</v>
      </c>
      <c r="C41" s="233">
        <v>0</v>
      </c>
      <c r="D41" s="233">
        <v>0</v>
      </c>
      <c r="E41" s="233">
        <v>0</v>
      </c>
      <c r="F41" s="233">
        <v>0</v>
      </c>
      <c r="G41" s="233">
        <v>0</v>
      </c>
      <c r="H41" s="233">
        <v>0</v>
      </c>
      <c r="I41" s="233">
        <v>0</v>
      </c>
      <c r="J41" s="233">
        <v>0</v>
      </c>
      <c r="K41" s="233">
        <v>2119680</v>
      </c>
      <c r="L41" s="233">
        <v>2119680</v>
      </c>
      <c r="M41" s="233">
        <v>2374040</v>
      </c>
      <c r="N41" s="233">
        <v>2374040</v>
      </c>
    </row>
    <row r="42" spans="1:16" ht="14.25">
      <c r="A42" s="190">
        <f t="shared" si="1"/>
        <v>41</v>
      </c>
      <c r="B42" s="233">
        <v>0</v>
      </c>
      <c r="C42" s="233">
        <v>0</v>
      </c>
      <c r="D42" s="233">
        <v>0</v>
      </c>
      <c r="E42" s="233">
        <v>0</v>
      </c>
      <c r="F42" s="233">
        <v>0</v>
      </c>
      <c r="G42" s="233">
        <v>0</v>
      </c>
      <c r="H42" s="233">
        <v>0</v>
      </c>
      <c r="I42" s="233">
        <v>0</v>
      </c>
      <c r="J42" s="233">
        <v>3456000</v>
      </c>
      <c r="K42" s="233">
        <v>3179520</v>
      </c>
      <c r="L42" s="233">
        <v>3179520</v>
      </c>
      <c r="M42" s="233">
        <v>3179520</v>
      </c>
      <c r="N42" s="233">
        <v>3179520</v>
      </c>
      <c r="O42" s="34"/>
      <c r="P42" s="34"/>
    </row>
    <row r="43" spans="1:16">
      <c r="A43" s="190">
        <f t="shared" si="1"/>
        <v>42</v>
      </c>
      <c r="B43" s="233">
        <v>0</v>
      </c>
      <c r="C43" s="233">
        <v>0</v>
      </c>
      <c r="D43" s="233">
        <v>0</v>
      </c>
      <c r="E43" s="233">
        <v>0</v>
      </c>
      <c r="F43" s="233">
        <v>0</v>
      </c>
      <c r="G43" s="233">
        <v>0</v>
      </c>
      <c r="H43" s="233">
        <v>0</v>
      </c>
      <c r="I43" s="233">
        <v>0</v>
      </c>
      <c r="J43" s="233">
        <v>2119680</v>
      </c>
      <c r="K43" s="233">
        <v>2119680</v>
      </c>
      <c r="L43" s="233">
        <v>2119680</v>
      </c>
      <c r="M43" s="233">
        <v>2119680</v>
      </c>
      <c r="N43" s="233">
        <v>2374040</v>
      </c>
    </row>
    <row r="44" spans="1:16">
      <c r="A44" s="190">
        <f t="shared" si="1"/>
        <v>43</v>
      </c>
      <c r="B44" s="233">
        <v>0</v>
      </c>
      <c r="C44" s="233">
        <v>0</v>
      </c>
      <c r="D44" s="233">
        <v>0</v>
      </c>
      <c r="E44" s="233">
        <v>0</v>
      </c>
      <c r="F44" s="233">
        <v>0</v>
      </c>
      <c r="G44" s="233">
        <v>0</v>
      </c>
      <c r="H44" s="233">
        <v>0</v>
      </c>
      <c r="I44" s="233">
        <v>0</v>
      </c>
      <c r="J44" s="233">
        <v>2304000</v>
      </c>
      <c r="K44" s="233">
        <v>2304000</v>
      </c>
      <c r="L44" s="233">
        <v>2304000</v>
      </c>
      <c r="M44" s="233">
        <v>2580480</v>
      </c>
      <c r="N44" s="233">
        <v>2580480</v>
      </c>
    </row>
    <row r="45" spans="1:16">
      <c r="A45" s="190">
        <f t="shared" si="1"/>
        <v>44</v>
      </c>
      <c r="B45" s="233">
        <v>0</v>
      </c>
      <c r="C45" s="233">
        <v>0</v>
      </c>
      <c r="D45" s="233">
        <v>0</v>
      </c>
      <c r="E45" s="233">
        <v>0</v>
      </c>
      <c r="F45" s="233">
        <v>0</v>
      </c>
      <c r="G45" s="233">
        <v>0</v>
      </c>
      <c r="H45" s="233">
        <v>0</v>
      </c>
      <c r="I45" s="233">
        <v>0</v>
      </c>
      <c r="J45" s="233">
        <v>2304000</v>
      </c>
      <c r="K45" s="233">
        <v>2580480</v>
      </c>
      <c r="L45" s="233">
        <v>2580480</v>
      </c>
      <c r="M45" s="233">
        <v>2580480</v>
      </c>
      <c r="N45" s="233">
        <v>2580480</v>
      </c>
    </row>
    <row r="46" spans="1:16">
      <c r="A46" s="190">
        <f t="shared" si="1"/>
        <v>45</v>
      </c>
      <c r="B46" s="233">
        <v>0</v>
      </c>
      <c r="C46" s="233">
        <v>0</v>
      </c>
      <c r="D46" s="233">
        <v>0</v>
      </c>
      <c r="E46" s="233">
        <v>0</v>
      </c>
      <c r="F46" s="233">
        <v>0</v>
      </c>
      <c r="G46" s="233">
        <v>0</v>
      </c>
      <c r="H46" s="233">
        <v>0</v>
      </c>
      <c r="I46" s="233">
        <v>0</v>
      </c>
      <c r="J46" s="233">
        <v>2304000</v>
      </c>
      <c r="K46" s="233">
        <v>2304000</v>
      </c>
      <c r="L46" s="233">
        <v>2304000</v>
      </c>
      <c r="M46" s="233">
        <v>2119680</v>
      </c>
      <c r="N46" s="233">
        <v>2119680</v>
      </c>
    </row>
    <row r="47" spans="1:16">
      <c r="A47" s="190">
        <f t="shared" si="1"/>
        <v>46</v>
      </c>
      <c r="B47" s="233">
        <v>0</v>
      </c>
      <c r="C47" s="233">
        <v>0</v>
      </c>
      <c r="D47" s="233">
        <v>0</v>
      </c>
      <c r="E47" s="233">
        <v>0</v>
      </c>
      <c r="F47" s="233">
        <v>0</v>
      </c>
      <c r="G47" s="233">
        <v>0</v>
      </c>
      <c r="H47" s="233">
        <v>2119680</v>
      </c>
      <c r="I47" s="233">
        <v>2119680</v>
      </c>
      <c r="J47" s="233">
        <v>2374040</v>
      </c>
      <c r="K47" s="233">
        <v>2374040</v>
      </c>
      <c r="L47" s="233">
        <v>2374040</v>
      </c>
      <c r="M47" s="233">
        <v>2184120</v>
      </c>
      <c r="N47" s="233">
        <v>2184120</v>
      </c>
    </row>
    <row r="48" spans="1:16">
      <c r="A48" s="190">
        <f t="shared" si="1"/>
        <v>47</v>
      </c>
      <c r="B48" s="233">
        <v>0</v>
      </c>
      <c r="C48" s="233">
        <v>0</v>
      </c>
      <c r="D48" s="233">
        <v>0</v>
      </c>
      <c r="E48" s="233">
        <v>0</v>
      </c>
      <c r="F48" s="233">
        <v>0</v>
      </c>
      <c r="G48" s="233">
        <v>0</v>
      </c>
      <c r="H48" s="233">
        <v>2304000</v>
      </c>
      <c r="I48" s="233">
        <v>2119680</v>
      </c>
      <c r="J48" s="233">
        <v>2119680</v>
      </c>
      <c r="K48" s="233">
        <v>2119680</v>
      </c>
      <c r="L48" s="233">
        <v>1950104</v>
      </c>
      <c r="M48" s="233">
        <v>1950104</v>
      </c>
      <c r="N48" s="233">
        <v>1950104</v>
      </c>
    </row>
    <row r="49" spans="1:16">
      <c r="A49" s="190">
        <f t="shared" si="1"/>
        <v>48</v>
      </c>
      <c r="B49" s="233">
        <v>0</v>
      </c>
      <c r="C49" s="233">
        <v>0</v>
      </c>
      <c r="D49" s="233">
        <v>0</v>
      </c>
      <c r="E49" s="233">
        <v>0</v>
      </c>
      <c r="F49" s="233">
        <v>0</v>
      </c>
      <c r="G49" s="233">
        <v>0</v>
      </c>
      <c r="H49" s="233">
        <v>1152000</v>
      </c>
      <c r="I49" s="233">
        <v>1152000</v>
      </c>
      <c r="J49" s="233">
        <v>1290240</v>
      </c>
      <c r="K49" s="233">
        <v>1290240</v>
      </c>
      <c r="L49" s="233">
        <v>1290240</v>
      </c>
      <c r="M49" s="233">
        <v>1290240</v>
      </c>
      <c r="N49" s="233">
        <v>1290240</v>
      </c>
    </row>
    <row r="50" spans="1:16">
      <c r="A50" s="190">
        <f t="shared" si="1"/>
        <v>49</v>
      </c>
      <c r="B50" s="233">
        <v>0</v>
      </c>
      <c r="C50" s="233">
        <v>0</v>
      </c>
      <c r="D50" s="233">
        <v>0</v>
      </c>
      <c r="E50" s="233">
        <v>0</v>
      </c>
      <c r="F50" s="233">
        <v>0</v>
      </c>
      <c r="G50" s="233">
        <v>0</v>
      </c>
      <c r="H50" s="233">
        <v>2304000</v>
      </c>
      <c r="I50" s="233">
        <v>2374040</v>
      </c>
      <c r="J50" s="233">
        <v>2658928</v>
      </c>
      <c r="K50" s="233">
        <v>2658928</v>
      </c>
      <c r="L50" s="233">
        <v>2658928</v>
      </c>
      <c r="M50" s="233">
        <v>2446216</v>
      </c>
      <c r="N50" s="233">
        <v>2739760</v>
      </c>
    </row>
    <row r="51" spans="1:16" ht="14.25">
      <c r="A51" s="190">
        <f t="shared" si="1"/>
        <v>50</v>
      </c>
      <c r="B51" s="233">
        <v>0</v>
      </c>
      <c r="C51" s="233">
        <v>0</v>
      </c>
      <c r="D51" s="233">
        <v>0</v>
      </c>
      <c r="E51" s="233">
        <v>0</v>
      </c>
      <c r="F51" s="233">
        <v>0</v>
      </c>
      <c r="G51" s="233">
        <v>3456000</v>
      </c>
      <c r="H51" s="233">
        <v>3456000</v>
      </c>
      <c r="I51" s="233">
        <v>3870720</v>
      </c>
      <c r="J51" s="233">
        <v>4855432</v>
      </c>
      <c r="K51" s="233">
        <v>5003040</v>
      </c>
      <c r="L51" s="233">
        <v>6275808</v>
      </c>
      <c r="M51" s="233">
        <v>6275808</v>
      </c>
      <c r="N51" s="233">
        <v>6275808</v>
      </c>
      <c r="O51" s="34"/>
      <c r="P51" s="34"/>
    </row>
    <row r="52" spans="1:16" ht="14.25">
      <c r="A52" s="190">
        <f t="shared" si="1"/>
        <v>51</v>
      </c>
      <c r="B52" s="233">
        <v>0</v>
      </c>
      <c r="C52" s="233">
        <v>0</v>
      </c>
      <c r="D52" s="233">
        <v>0</v>
      </c>
      <c r="E52" s="233">
        <v>0</v>
      </c>
      <c r="F52" s="233">
        <v>0</v>
      </c>
      <c r="G52" s="233">
        <v>1152000</v>
      </c>
      <c r="H52" s="233">
        <v>1152000</v>
      </c>
      <c r="I52" s="233">
        <v>1152000</v>
      </c>
      <c r="J52" s="233">
        <v>1059840</v>
      </c>
      <c r="K52" s="233">
        <v>1187024</v>
      </c>
      <c r="L52" s="233">
        <v>1092056</v>
      </c>
      <c r="M52" s="233">
        <v>1223104</v>
      </c>
      <c r="N52" s="233">
        <v>1223104</v>
      </c>
      <c r="O52" s="33"/>
      <c r="P52" s="33"/>
    </row>
    <row r="53" spans="1:16" ht="14.25">
      <c r="A53" s="190">
        <f t="shared" si="1"/>
        <v>52</v>
      </c>
      <c r="B53" s="233">
        <v>0</v>
      </c>
      <c r="C53" s="233">
        <v>0</v>
      </c>
      <c r="D53" s="233">
        <v>0</v>
      </c>
      <c r="E53" s="233">
        <v>0</v>
      </c>
      <c r="F53" s="233">
        <v>0</v>
      </c>
      <c r="G53" s="233">
        <v>1152000</v>
      </c>
      <c r="H53" s="233">
        <v>1152000</v>
      </c>
      <c r="I53" s="233">
        <v>1152000</v>
      </c>
      <c r="J53" s="233">
        <v>1152000</v>
      </c>
      <c r="K53" s="233">
        <v>1152000</v>
      </c>
      <c r="L53" s="233">
        <v>1152000</v>
      </c>
      <c r="M53" s="233">
        <v>1059840</v>
      </c>
      <c r="N53" s="233">
        <v>0</v>
      </c>
      <c r="O53" s="33"/>
      <c r="P53" s="33"/>
    </row>
    <row r="54" spans="1:16">
      <c r="A54" s="190">
        <f t="shared" si="1"/>
        <v>53</v>
      </c>
      <c r="B54" s="233">
        <v>0</v>
      </c>
      <c r="C54" s="233">
        <v>0</v>
      </c>
      <c r="D54" s="233">
        <v>0</v>
      </c>
      <c r="E54" s="233">
        <v>0</v>
      </c>
      <c r="F54" s="233">
        <v>0</v>
      </c>
      <c r="G54" s="233">
        <v>1152000</v>
      </c>
      <c r="H54" s="233">
        <v>1152000</v>
      </c>
      <c r="I54" s="233">
        <v>1152000</v>
      </c>
      <c r="J54" s="233">
        <v>1152000</v>
      </c>
      <c r="K54" s="233">
        <v>1152000</v>
      </c>
      <c r="L54" s="233">
        <v>1152000</v>
      </c>
      <c r="M54" s="233">
        <v>1152000</v>
      </c>
      <c r="N54" s="233">
        <v>1152000</v>
      </c>
    </row>
    <row r="55" spans="1:16" ht="14.25">
      <c r="A55" s="190">
        <f t="shared" si="1"/>
        <v>54</v>
      </c>
      <c r="B55" s="233">
        <v>0</v>
      </c>
      <c r="C55" s="233">
        <v>0</v>
      </c>
      <c r="D55" s="233">
        <v>0</v>
      </c>
      <c r="E55" s="233">
        <v>0</v>
      </c>
      <c r="F55" s="233">
        <v>2304000</v>
      </c>
      <c r="G55" s="233">
        <v>2580480</v>
      </c>
      <c r="H55" s="233">
        <v>2890136</v>
      </c>
      <c r="I55" s="233">
        <v>2890136</v>
      </c>
      <c r="J55" s="233">
        <v>3236952</v>
      </c>
      <c r="K55" s="233">
        <v>3236952</v>
      </c>
      <c r="L55" s="233">
        <v>3236952</v>
      </c>
      <c r="M55" s="233">
        <v>3236952</v>
      </c>
      <c r="N55" s="233">
        <v>3236952</v>
      </c>
      <c r="O55" s="34"/>
      <c r="P55" s="34"/>
    </row>
    <row r="56" spans="1:16" ht="14.25">
      <c r="A56" s="190">
        <f t="shared" si="1"/>
        <v>55</v>
      </c>
      <c r="B56" s="233">
        <v>0</v>
      </c>
      <c r="C56" s="233">
        <v>0</v>
      </c>
      <c r="D56" s="233">
        <v>0</v>
      </c>
      <c r="E56" s="233">
        <v>0</v>
      </c>
      <c r="F56" s="233">
        <v>3179520</v>
      </c>
      <c r="G56" s="233">
        <v>2925160</v>
      </c>
      <c r="H56" s="233">
        <v>2925160</v>
      </c>
      <c r="I56" s="233">
        <v>2925160</v>
      </c>
      <c r="J56" s="233">
        <v>2925160</v>
      </c>
      <c r="K56" s="233">
        <v>2691144</v>
      </c>
      <c r="L56" s="233">
        <v>2691144</v>
      </c>
      <c r="M56" s="233">
        <v>2691144</v>
      </c>
      <c r="N56" s="233">
        <v>2772960</v>
      </c>
      <c r="O56" s="33"/>
      <c r="P56" s="33"/>
    </row>
    <row r="57" spans="1:16">
      <c r="A57" s="190">
        <f t="shared" si="1"/>
        <v>56</v>
      </c>
      <c r="B57" s="233">
        <v>0</v>
      </c>
      <c r="C57" s="233">
        <v>0</v>
      </c>
      <c r="D57" s="233">
        <v>0</v>
      </c>
      <c r="E57" s="233">
        <v>0</v>
      </c>
      <c r="F57" s="233">
        <v>975056</v>
      </c>
      <c r="G57" s="233">
        <v>975056</v>
      </c>
      <c r="H57" s="233">
        <v>975056</v>
      </c>
      <c r="I57" s="233">
        <v>897048</v>
      </c>
      <c r="J57" s="233">
        <v>897048</v>
      </c>
      <c r="K57" s="233">
        <v>897048</v>
      </c>
      <c r="L57" s="233">
        <v>825288</v>
      </c>
      <c r="M57" s="233">
        <v>825288</v>
      </c>
      <c r="N57" s="233">
        <v>825288</v>
      </c>
    </row>
    <row r="58" spans="1:16">
      <c r="A58" s="190">
        <f t="shared" si="1"/>
        <v>57</v>
      </c>
      <c r="B58" s="233">
        <v>0</v>
      </c>
      <c r="C58" s="233">
        <v>0</v>
      </c>
      <c r="D58" s="233">
        <v>0</v>
      </c>
      <c r="E58" s="233">
        <v>0</v>
      </c>
      <c r="F58" s="233">
        <v>2119680</v>
      </c>
      <c r="G58" s="233">
        <v>1950104</v>
      </c>
      <c r="H58" s="233">
        <v>1950104</v>
      </c>
      <c r="I58" s="233">
        <v>1950104</v>
      </c>
      <c r="J58" s="233">
        <v>1794096</v>
      </c>
      <c r="K58" s="233">
        <v>1794096</v>
      </c>
      <c r="L58" s="233">
        <v>1794096</v>
      </c>
      <c r="M58" s="233">
        <v>1848640</v>
      </c>
      <c r="N58" s="233">
        <v>1848640</v>
      </c>
    </row>
    <row r="59" spans="1:16">
      <c r="A59" s="190">
        <f t="shared" si="1"/>
        <v>58</v>
      </c>
      <c r="B59" s="233">
        <v>0</v>
      </c>
      <c r="C59" s="233">
        <v>0</v>
      </c>
      <c r="D59" s="233">
        <v>0</v>
      </c>
      <c r="E59" s="233">
        <v>0</v>
      </c>
      <c r="F59" s="233">
        <v>3456000</v>
      </c>
      <c r="G59" s="233">
        <v>3456000</v>
      </c>
      <c r="H59" s="233">
        <v>3456000</v>
      </c>
      <c r="I59" s="233">
        <v>3870720</v>
      </c>
      <c r="J59" s="233">
        <v>3870720</v>
      </c>
      <c r="K59" s="233">
        <v>3561064</v>
      </c>
      <c r="L59" s="233">
        <v>3561064</v>
      </c>
      <c r="M59" s="233">
        <v>3561064</v>
      </c>
      <c r="N59" s="233">
        <v>3561064</v>
      </c>
    </row>
    <row r="60" spans="1:16" ht="14.25">
      <c r="A60" s="190">
        <f t="shared" si="1"/>
        <v>59</v>
      </c>
      <c r="B60" s="233">
        <v>0</v>
      </c>
      <c r="C60" s="233">
        <v>0</v>
      </c>
      <c r="D60" s="233">
        <v>0</v>
      </c>
      <c r="E60" s="233">
        <v>3870720</v>
      </c>
      <c r="F60" s="233">
        <v>3870720</v>
      </c>
      <c r="G60" s="233">
        <v>3870720</v>
      </c>
      <c r="H60" s="233">
        <v>3870720</v>
      </c>
      <c r="I60" s="233">
        <v>3870720</v>
      </c>
      <c r="J60" s="233">
        <v>3276176</v>
      </c>
      <c r="K60" s="233">
        <v>3276176</v>
      </c>
      <c r="L60" s="233">
        <v>3276176</v>
      </c>
      <c r="M60" s="233">
        <v>3276176</v>
      </c>
      <c r="N60" s="233">
        <v>3276176</v>
      </c>
      <c r="O60" s="34"/>
      <c r="P60" s="34"/>
    </row>
    <row r="61" spans="1:16" ht="14.25">
      <c r="A61" s="190">
        <f t="shared" si="1"/>
        <v>60</v>
      </c>
      <c r="B61" s="233">
        <v>0</v>
      </c>
      <c r="C61" s="233">
        <v>0</v>
      </c>
      <c r="D61" s="233">
        <v>0</v>
      </c>
      <c r="E61" s="233">
        <v>1152000</v>
      </c>
      <c r="F61" s="233">
        <v>1152000</v>
      </c>
      <c r="G61" s="233">
        <v>1152000</v>
      </c>
      <c r="H61" s="233">
        <v>1152000</v>
      </c>
      <c r="I61" s="233">
        <v>1152000</v>
      </c>
      <c r="J61" s="233">
        <v>1059840</v>
      </c>
      <c r="K61" s="233">
        <v>1059840</v>
      </c>
      <c r="L61" s="233">
        <v>1059840</v>
      </c>
      <c r="M61" s="233">
        <v>975056</v>
      </c>
      <c r="N61" s="233">
        <v>975056</v>
      </c>
      <c r="O61" s="34"/>
      <c r="P61" s="34"/>
    </row>
    <row r="62" spans="1:16">
      <c r="A62" s="190">
        <f t="shared" si="1"/>
        <v>61</v>
      </c>
      <c r="B62" s="233">
        <v>0</v>
      </c>
      <c r="C62" s="233">
        <v>0</v>
      </c>
      <c r="D62" s="233">
        <v>0</v>
      </c>
      <c r="E62" s="233">
        <v>1152000</v>
      </c>
      <c r="F62" s="233">
        <v>1290240</v>
      </c>
      <c r="G62" s="233">
        <v>1290240</v>
      </c>
      <c r="H62" s="233">
        <v>1290240</v>
      </c>
      <c r="I62" s="233">
        <v>1445072</v>
      </c>
      <c r="J62" s="233">
        <v>1445072</v>
      </c>
      <c r="K62" s="233">
        <v>1445072</v>
      </c>
      <c r="L62" s="233">
        <v>1445072</v>
      </c>
      <c r="M62" s="233">
        <v>1445072</v>
      </c>
      <c r="N62" s="233">
        <v>1618480</v>
      </c>
    </row>
    <row r="63" spans="1:16">
      <c r="A63" s="190">
        <f t="shared" si="1"/>
        <v>62</v>
      </c>
      <c r="B63" s="233">
        <v>0</v>
      </c>
      <c r="C63" s="233">
        <v>0</v>
      </c>
      <c r="D63" s="233">
        <v>0</v>
      </c>
      <c r="E63" s="233">
        <v>1152000</v>
      </c>
      <c r="F63" s="233">
        <v>1152000</v>
      </c>
      <c r="G63" s="233">
        <v>1152000</v>
      </c>
      <c r="H63" s="233">
        <v>1152000</v>
      </c>
      <c r="I63" s="233">
        <v>1152000</v>
      </c>
      <c r="J63" s="233">
        <v>1152000</v>
      </c>
      <c r="K63" s="233">
        <v>1152000</v>
      </c>
      <c r="L63" s="233">
        <v>1290240</v>
      </c>
      <c r="M63" s="233">
        <v>1290240</v>
      </c>
      <c r="N63" s="233">
        <v>1290240</v>
      </c>
    </row>
    <row r="64" spans="1:16">
      <c r="A64" s="190">
        <f t="shared" si="1"/>
        <v>63</v>
      </c>
      <c r="B64" s="233">
        <v>0</v>
      </c>
      <c r="C64" s="233">
        <v>0</v>
      </c>
      <c r="D64" s="233">
        <v>0</v>
      </c>
      <c r="E64" s="233">
        <v>2304000</v>
      </c>
      <c r="F64" s="233">
        <v>2304000</v>
      </c>
      <c r="G64" s="233">
        <v>2304000</v>
      </c>
      <c r="H64" s="233">
        <v>2119680</v>
      </c>
      <c r="I64" s="233">
        <v>2119680</v>
      </c>
      <c r="J64" s="233">
        <v>2119680</v>
      </c>
      <c r="K64" s="233">
        <v>2119680</v>
      </c>
      <c r="L64" s="233">
        <v>2119680</v>
      </c>
      <c r="M64" s="233">
        <v>2374040</v>
      </c>
      <c r="N64" s="233">
        <v>0</v>
      </c>
    </row>
    <row r="65" spans="1:16">
      <c r="A65" s="190">
        <f t="shared" si="1"/>
        <v>64</v>
      </c>
      <c r="B65" s="233">
        <v>0</v>
      </c>
      <c r="C65" s="233">
        <v>0</v>
      </c>
      <c r="D65" s="233">
        <v>0</v>
      </c>
      <c r="E65" s="233">
        <v>1152000</v>
      </c>
      <c r="F65" s="233">
        <v>1152000</v>
      </c>
      <c r="G65" s="233">
        <v>1152000</v>
      </c>
      <c r="H65" s="233">
        <v>1152000</v>
      </c>
      <c r="I65" s="233">
        <v>1152000</v>
      </c>
      <c r="J65" s="233">
        <v>1290240</v>
      </c>
      <c r="K65" s="233">
        <v>1290240</v>
      </c>
      <c r="L65" s="233">
        <v>1187024</v>
      </c>
      <c r="M65" s="233">
        <v>1092056</v>
      </c>
      <c r="N65" s="233">
        <v>1092056</v>
      </c>
    </row>
    <row r="66" spans="1:16" ht="14.25">
      <c r="A66" s="190">
        <f t="shared" si="1"/>
        <v>65</v>
      </c>
      <c r="B66" s="233">
        <v>0</v>
      </c>
      <c r="C66" s="233">
        <v>0</v>
      </c>
      <c r="D66" s="233">
        <v>2304000</v>
      </c>
      <c r="E66" s="233">
        <v>2304000</v>
      </c>
      <c r="F66" s="233">
        <v>2304000</v>
      </c>
      <c r="G66" s="233">
        <v>1950104</v>
      </c>
      <c r="H66" s="233">
        <v>1794096</v>
      </c>
      <c r="I66" s="233">
        <v>1794096</v>
      </c>
      <c r="J66" s="233">
        <v>1794096</v>
      </c>
      <c r="K66" s="233">
        <v>1650568</v>
      </c>
      <c r="L66" s="233">
        <v>0</v>
      </c>
      <c r="M66" s="233">
        <v>0</v>
      </c>
      <c r="N66" s="233">
        <v>0</v>
      </c>
      <c r="O66" s="34"/>
      <c r="P66" s="34"/>
    </row>
    <row r="67" spans="1:16" ht="14.25">
      <c r="A67" s="190">
        <f t="shared" si="1"/>
        <v>66</v>
      </c>
      <c r="B67" s="233">
        <v>0</v>
      </c>
      <c r="C67" s="233">
        <v>0</v>
      </c>
      <c r="D67" s="233">
        <v>1152000</v>
      </c>
      <c r="E67" s="233">
        <v>1152000</v>
      </c>
      <c r="F67" s="233">
        <v>1059840</v>
      </c>
      <c r="G67" s="233">
        <v>975056</v>
      </c>
      <c r="H67" s="233">
        <v>975056</v>
      </c>
      <c r="I67" s="233">
        <v>975056</v>
      </c>
      <c r="J67" s="233">
        <v>897048</v>
      </c>
      <c r="K67" s="233">
        <v>897048</v>
      </c>
      <c r="L67" s="233">
        <v>825288</v>
      </c>
      <c r="M67" s="233">
        <v>825288</v>
      </c>
      <c r="N67" s="233">
        <v>759264</v>
      </c>
      <c r="O67" s="34"/>
      <c r="P67" s="34"/>
    </row>
    <row r="68" spans="1:16">
      <c r="A68" s="190">
        <f t="shared" si="1"/>
        <v>67</v>
      </c>
      <c r="B68" s="233">
        <v>0</v>
      </c>
      <c r="C68" s="233">
        <v>0</v>
      </c>
      <c r="D68" s="233">
        <v>3456000</v>
      </c>
      <c r="E68" s="233">
        <v>3179520</v>
      </c>
      <c r="F68" s="233">
        <v>3179520</v>
      </c>
      <c r="G68" s="233">
        <v>3561064</v>
      </c>
      <c r="H68" s="233">
        <v>3561064</v>
      </c>
      <c r="I68" s="233">
        <v>3276176</v>
      </c>
      <c r="J68" s="233">
        <v>3276176</v>
      </c>
      <c r="K68" s="233">
        <v>3276176</v>
      </c>
      <c r="L68" s="233">
        <v>3276176</v>
      </c>
      <c r="M68" s="233">
        <v>3014080</v>
      </c>
      <c r="N68" s="233">
        <v>3014080</v>
      </c>
    </row>
    <row r="69" spans="1:16">
      <c r="A69" s="190">
        <f t="shared" si="1"/>
        <v>68</v>
      </c>
      <c r="B69" s="233">
        <v>0</v>
      </c>
      <c r="C69" s="233">
        <v>0</v>
      </c>
      <c r="D69" s="233">
        <v>1152000</v>
      </c>
      <c r="E69" s="233">
        <v>1290240</v>
      </c>
      <c r="F69" s="233">
        <v>1092056</v>
      </c>
      <c r="G69" s="233">
        <v>1092056</v>
      </c>
      <c r="H69" s="233">
        <v>1004696</v>
      </c>
      <c r="I69" s="233">
        <v>1004696</v>
      </c>
      <c r="J69" s="233">
        <v>1004696</v>
      </c>
      <c r="K69" s="233">
        <v>1004696</v>
      </c>
      <c r="L69" s="233">
        <v>1004696</v>
      </c>
      <c r="M69" s="233">
        <v>1004696</v>
      </c>
      <c r="N69" s="233">
        <v>1004696</v>
      </c>
    </row>
    <row r="70" spans="1:16">
      <c r="A70" s="190">
        <f t="shared" si="1"/>
        <v>69</v>
      </c>
      <c r="B70" s="233">
        <v>0</v>
      </c>
      <c r="C70" s="233">
        <v>0</v>
      </c>
      <c r="D70" s="233">
        <v>2304000</v>
      </c>
      <c r="E70" s="233">
        <v>2304000</v>
      </c>
      <c r="F70" s="233">
        <v>2304000</v>
      </c>
      <c r="G70" s="233">
        <v>2304000</v>
      </c>
      <c r="H70" s="233">
        <v>2119680</v>
      </c>
      <c r="I70" s="233">
        <v>1950104</v>
      </c>
      <c r="J70" s="233">
        <v>1794096</v>
      </c>
      <c r="K70" s="233">
        <v>1794096</v>
      </c>
      <c r="L70" s="233">
        <v>1794096</v>
      </c>
      <c r="M70" s="233">
        <v>1794096</v>
      </c>
      <c r="N70" s="233">
        <v>1650568</v>
      </c>
    </row>
    <row r="71" spans="1:16">
      <c r="A71" s="190">
        <f t="shared" ref="A71:A134" si="2">+A70+1</f>
        <v>70</v>
      </c>
      <c r="B71" s="233">
        <v>0</v>
      </c>
      <c r="C71" s="233">
        <v>0</v>
      </c>
      <c r="D71" s="233">
        <v>2304000</v>
      </c>
      <c r="E71" s="233">
        <v>2304000</v>
      </c>
      <c r="F71" s="233">
        <v>2304000</v>
      </c>
      <c r="G71" s="233">
        <v>2304000</v>
      </c>
      <c r="H71" s="233">
        <v>2119680</v>
      </c>
      <c r="I71" s="233">
        <v>2119680</v>
      </c>
      <c r="J71" s="233">
        <v>2119680</v>
      </c>
      <c r="K71" s="233">
        <v>2119680</v>
      </c>
      <c r="L71" s="233">
        <v>2119680</v>
      </c>
      <c r="M71" s="233">
        <v>2119680</v>
      </c>
      <c r="N71" s="233">
        <v>2119680</v>
      </c>
    </row>
    <row r="72" spans="1:16" ht="14.25">
      <c r="A72" s="190">
        <f t="shared" si="2"/>
        <v>71</v>
      </c>
      <c r="B72" s="233">
        <v>2119680</v>
      </c>
      <c r="C72" s="233">
        <v>2119680</v>
      </c>
      <c r="D72" s="233">
        <v>2119680</v>
      </c>
      <c r="E72" s="233">
        <v>2119680</v>
      </c>
      <c r="F72" s="233">
        <v>2374040</v>
      </c>
      <c r="G72" s="233">
        <v>2184120</v>
      </c>
      <c r="H72" s="233">
        <v>2184120</v>
      </c>
      <c r="I72" s="233">
        <v>2184120</v>
      </c>
      <c r="J72" s="233">
        <v>0</v>
      </c>
      <c r="K72" s="233">
        <v>0</v>
      </c>
      <c r="L72" s="233">
        <v>0</v>
      </c>
      <c r="M72" s="233">
        <v>0</v>
      </c>
      <c r="N72" s="233">
        <v>0</v>
      </c>
      <c r="O72" s="34"/>
      <c r="P72" s="34"/>
    </row>
    <row r="73" spans="1:16" ht="14.25">
      <c r="A73" s="190">
        <f t="shared" si="2"/>
        <v>72</v>
      </c>
      <c r="B73" s="233">
        <v>2890136</v>
      </c>
      <c r="C73" s="233">
        <v>2890136</v>
      </c>
      <c r="D73" s="233">
        <v>2890136</v>
      </c>
      <c r="E73" s="233">
        <v>2890136</v>
      </c>
      <c r="F73" s="233">
        <v>2890136</v>
      </c>
      <c r="G73" s="233">
        <v>3236952</v>
      </c>
      <c r="H73" s="233">
        <v>3236952</v>
      </c>
      <c r="I73" s="233">
        <v>3236952</v>
      </c>
      <c r="J73" s="233">
        <v>3236952</v>
      </c>
      <c r="K73" s="233">
        <v>3236952</v>
      </c>
      <c r="L73" s="233">
        <v>3236952</v>
      </c>
      <c r="M73" s="233">
        <v>3236952</v>
      </c>
      <c r="N73" s="233">
        <v>3625392</v>
      </c>
      <c r="O73" s="34"/>
      <c r="P73" s="34"/>
    </row>
    <row r="74" spans="1:16" ht="14.25">
      <c r="A74" s="190">
        <f t="shared" si="2"/>
        <v>73</v>
      </c>
      <c r="B74" s="233">
        <v>3478400</v>
      </c>
      <c r="C74" s="233">
        <v>3478400</v>
      </c>
      <c r="D74" s="233">
        <v>3478400</v>
      </c>
      <c r="E74" s="233">
        <v>3200128</v>
      </c>
      <c r="F74" s="233">
        <v>3200128</v>
      </c>
      <c r="G74" s="233">
        <v>0</v>
      </c>
      <c r="H74" s="233">
        <v>0</v>
      </c>
      <c r="I74" s="233">
        <v>0</v>
      </c>
      <c r="J74" s="233">
        <v>0</v>
      </c>
      <c r="K74" s="233">
        <v>0</v>
      </c>
      <c r="L74" s="233">
        <v>0</v>
      </c>
      <c r="M74" s="233">
        <v>0</v>
      </c>
      <c r="N74" s="233">
        <v>0</v>
      </c>
      <c r="O74" s="34"/>
      <c r="P74" s="34"/>
    </row>
    <row r="75" spans="1:16" ht="14.25">
      <c r="A75" s="190">
        <f t="shared" si="2"/>
        <v>74</v>
      </c>
      <c r="B75" s="233">
        <v>1059840</v>
      </c>
      <c r="C75" s="233">
        <v>1187024</v>
      </c>
      <c r="D75" s="233">
        <v>1187024</v>
      </c>
      <c r="E75" s="233">
        <v>1187024</v>
      </c>
      <c r="F75" s="233">
        <v>1092056</v>
      </c>
      <c r="G75" s="233">
        <v>1092056</v>
      </c>
      <c r="H75" s="233">
        <v>1092056</v>
      </c>
      <c r="I75" s="233">
        <v>1092056</v>
      </c>
      <c r="J75" s="233">
        <v>1092056</v>
      </c>
      <c r="K75" s="233">
        <v>1092056</v>
      </c>
      <c r="L75" s="233">
        <v>0</v>
      </c>
      <c r="M75" s="233">
        <v>0</v>
      </c>
      <c r="N75" s="233">
        <v>0</v>
      </c>
      <c r="O75" s="34"/>
      <c r="P75" s="34"/>
    </row>
    <row r="76" spans="1:16" ht="14.25">
      <c r="A76" s="190">
        <f t="shared" si="2"/>
        <v>75</v>
      </c>
      <c r="B76" s="233">
        <v>2925160</v>
      </c>
      <c r="C76" s="233">
        <v>2925160</v>
      </c>
      <c r="D76" s="233">
        <v>2691144</v>
      </c>
      <c r="E76" s="233">
        <v>2691144</v>
      </c>
      <c r="F76" s="233">
        <v>2691144</v>
      </c>
      <c r="G76" s="233">
        <v>2691144</v>
      </c>
      <c r="H76" s="233">
        <v>2475856</v>
      </c>
      <c r="I76" s="233">
        <v>2277784</v>
      </c>
      <c r="J76" s="233">
        <v>2095560</v>
      </c>
      <c r="K76" s="233">
        <v>2095560</v>
      </c>
      <c r="L76" s="233">
        <v>2095560</v>
      </c>
      <c r="M76" s="233">
        <v>2095560</v>
      </c>
      <c r="N76" s="233">
        <v>2095560</v>
      </c>
      <c r="O76" s="34"/>
      <c r="P76" s="34"/>
    </row>
    <row r="77" spans="1:16" ht="14.25">
      <c r="A77" s="190">
        <f t="shared" si="2"/>
        <v>76</v>
      </c>
      <c r="B77" s="233">
        <v>0</v>
      </c>
      <c r="C77" s="233">
        <v>2304000</v>
      </c>
      <c r="D77" s="233">
        <v>2304000</v>
      </c>
      <c r="E77" s="233">
        <v>2304000</v>
      </c>
      <c r="F77" s="233">
        <v>2304000</v>
      </c>
      <c r="G77" s="233">
        <v>2119680</v>
      </c>
      <c r="H77" s="233">
        <v>2374040</v>
      </c>
      <c r="I77" s="233">
        <v>2374040</v>
      </c>
      <c r="J77" s="233">
        <v>2374040</v>
      </c>
      <c r="K77" s="233">
        <v>2184120</v>
      </c>
      <c r="L77" s="233">
        <v>2184120</v>
      </c>
      <c r="M77" s="233">
        <v>2184120</v>
      </c>
      <c r="N77" s="233">
        <v>2009392</v>
      </c>
      <c r="O77" s="34"/>
      <c r="P77" s="34"/>
    </row>
    <row r="78" spans="1:16" ht="14.25">
      <c r="A78" s="190">
        <f t="shared" si="2"/>
        <v>77</v>
      </c>
      <c r="B78" s="233">
        <v>2374040</v>
      </c>
      <c r="C78" s="233">
        <v>2446216</v>
      </c>
      <c r="D78" s="233">
        <v>2250512</v>
      </c>
      <c r="E78" s="233">
        <v>2318928</v>
      </c>
      <c r="F78" s="233">
        <v>2597200</v>
      </c>
      <c r="G78" s="233">
        <v>2597200</v>
      </c>
      <c r="H78" s="233">
        <v>2597200</v>
      </c>
      <c r="I78" s="233">
        <v>2389424</v>
      </c>
      <c r="J78" s="233">
        <v>2389424</v>
      </c>
      <c r="K78" s="233">
        <v>2389424</v>
      </c>
      <c r="L78" s="233">
        <v>2389424</v>
      </c>
      <c r="M78" s="233">
        <v>2389424</v>
      </c>
      <c r="N78" s="233">
        <v>2389424</v>
      </c>
      <c r="O78" s="34"/>
      <c r="P78" s="34"/>
    </row>
    <row r="79" spans="1:16" ht="14.25">
      <c r="A79" s="190">
        <f t="shared" si="2"/>
        <v>78</v>
      </c>
      <c r="B79" s="233">
        <v>3870720</v>
      </c>
      <c r="C79" s="233">
        <v>3561064</v>
      </c>
      <c r="D79" s="233">
        <v>3561064</v>
      </c>
      <c r="E79" s="233">
        <v>3561064</v>
      </c>
      <c r="F79" s="233">
        <v>3669320</v>
      </c>
      <c r="G79" s="233">
        <v>3669320</v>
      </c>
      <c r="H79" s="233">
        <v>3669320</v>
      </c>
      <c r="I79" s="233">
        <v>3375776</v>
      </c>
      <c r="J79" s="233">
        <v>3105712</v>
      </c>
      <c r="K79" s="233">
        <v>3105712</v>
      </c>
      <c r="L79" s="233">
        <v>2857256</v>
      </c>
      <c r="M79" s="233">
        <v>3200128</v>
      </c>
      <c r="N79" s="233">
        <v>3200128</v>
      </c>
      <c r="O79" s="34"/>
      <c r="P79" s="34"/>
    </row>
    <row r="80" spans="1:16" ht="14.25">
      <c r="A80" s="190">
        <f t="shared" si="2"/>
        <v>79</v>
      </c>
      <c r="B80" s="233">
        <v>2890136</v>
      </c>
      <c r="C80" s="233">
        <v>3236952</v>
      </c>
      <c r="D80" s="233">
        <v>3236952</v>
      </c>
      <c r="E80" s="233">
        <v>3625392</v>
      </c>
      <c r="F80" s="233">
        <v>3335360</v>
      </c>
      <c r="G80" s="233">
        <v>3335360</v>
      </c>
      <c r="H80" s="233">
        <v>3068528</v>
      </c>
      <c r="I80" s="233">
        <v>3068528</v>
      </c>
      <c r="J80" s="233">
        <v>3068528</v>
      </c>
      <c r="K80" s="233">
        <v>3068528</v>
      </c>
      <c r="L80" s="233">
        <v>3068528</v>
      </c>
      <c r="M80" s="233">
        <v>3068528</v>
      </c>
      <c r="N80" s="233">
        <v>3068528</v>
      </c>
      <c r="O80" s="34"/>
      <c r="P80" s="34"/>
    </row>
    <row r="81" spans="1:16" ht="14.25">
      <c r="A81" s="190">
        <f t="shared" si="2"/>
        <v>80</v>
      </c>
      <c r="B81" s="233">
        <v>1152000</v>
      </c>
      <c r="C81" s="233">
        <v>1152000</v>
      </c>
      <c r="D81" s="233">
        <v>1152000</v>
      </c>
      <c r="E81" s="233">
        <v>1290240</v>
      </c>
      <c r="F81" s="233">
        <v>1445072</v>
      </c>
      <c r="G81" s="233">
        <v>1445072</v>
      </c>
      <c r="H81" s="233">
        <v>1445072</v>
      </c>
      <c r="I81" s="233">
        <v>1445072</v>
      </c>
      <c r="J81" s="233">
        <v>1445072</v>
      </c>
      <c r="K81" s="233">
        <v>1618480</v>
      </c>
      <c r="L81" s="233">
        <v>1618480</v>
      </c>
      <c r="M81" s="233">
        <v>1812696</v>
      </c>
      <c r="N81" s="233">
        <v>1812696</v>
      </c>
      <c r="O81" s="34"/>
      <c r="P81" s="34"/>
    </row>
    <row r="82" spans="1:16" ht="14.25">
      <c r="A82" s="190">
        <f t="shared" si="2"/>
        <v>81</v>
      </c>
      <c r="B82" s="233">
        <v>1187024</v>
      </c>
      <c r="C82" s="233">
        <v>1187024</v>
      </c>
      <c r="D82" s="233">
        <v>1187024</v>
      </c>
      <c r="E82" s="233">
        <v>1187024</v>
      </c>
      <c r="F82" s="233">
        <v>1187024</v>
      </c>
      <c r="G82" s="233">
        <v>1187024</v>
      </c>
      <c r="H82" s="233">
        <v>1187024</v>
      </c>
      <c r="I82" s="233">
        <v>1187024</v>
      </c>
      <c r="J82" s="233">
        <v>1329464</v>
      </c>
      <c r="K82" s="233">
        <v>1329464</v>
      </c>
      <c r="L82" s="233">
        <v>1223104</v>
      </c>
      <c r="M82" s="233">
        <v>1223104</v>
      </c>
      <c r="N82" s="233">
        <v>1223104</v>
      </c>
      <c r="O82" s="34"/>
      <c r="P82" s="34"/>
    </row>
    <row r="83" spans="1:16" ht="14.25">
      <c r="A83" s="190">
        <f t="shared" si="2"/>
        <v>82</v>
      </c>
      <c r="B83" s="233">
        <v>2890136</v>
      </c>
      <c r="C83" s="233">
        <v>2890136</v>
      </c>
      <c r="D83" s="233">
        <v>2890136</v>
      </c>
      <c r="E83" s="233">
        <v>2890136</v>
      </c>
      <c r="F83" s="233">
        <v>2890136</v>
      </c>
      <c r="G83" s="233">
        <v>2890136</v>
      </c>
      <c r="H83" s="233">
        <v>2890136</v>
      </c>
      <c r="I83" s="233">
        <v>3236952</v>
      </c>
      <c r="J83" s="233">
        <v>3236952</v>
      </c>
      <c r="K83" s="233">
        <v>3236952</v>
      </c>
      <c r="L83" s="233">
        <v>3236952</v>
      </c>
      <c r="M83" s="233">
        <v>3236952</v>
      </c>
      <c r="N83" s="233">
        <v>3236952</v>
      </c>
      <c r="O83" s="34"/>
      <c r="P83" s="34"/>
    </row>
    <row r="84" spans="1:16" ht="14.25">
      <c r="A84" s="190">
        <f t="shared" si="2"/>
        <v>83</v>
      </c>
      <c r="B84" s="233">
        <v>6090656</v>
      </c>
      <c r="C84" s="233">
        <v>6090656</v>
      </c>
      <c r="D84" s="233">
        <v>6090656</v>
      </c>
      <c r="E84" s="233">
        <v>6090656</v>
      </c>
      <c r="F84" s="233">
        <v>6090656</v>
      </c>
      <c r="G84" s="233">
        <v>6090656</v>
      </c>
      <c r="H84" s="233">
        <v>5603400</v>
      </c>
      <c r="I84" s="233">
        <v>0</v>
      </c>
      <c r="J84" s="233">
        <v>0</v>
      </c>
      <c r="K84" s="233">
        <v>0</v>
      </c>
      <c r="L84" s="233">
        <v>0</v>
      </c>
      <c r="M84" s="233">
        <v>0</v>
      </c>
      <c r="N84" s="233">
        <v>0</v>
      </c>
      <c r="O84" s="34"/>
      <c r="P84" s="34"/>
    </row>
    <row r="85" spans="1:16" ht="14.25">
      <c r="A85" s="190">
        <f t="shared" si="2"/>
        <v>84</v>
      </c>
      <c r="B85" s="233">
        <v>1187024</v>
      </c>
      <c r="C85" s="233">
        <v>1187024</v>
      </c>
      <c r="D85" s="233">
        <v>1187024</v>
      </c>
      <c r="E85" s="233">
        <v>1329464</v>
      </c>
      <c r="F85" s="233">
        <v>1223104</v>
      </c>
      <c r="G85" s="233">
        <v>1223104</v>
      </c>
      <c r="H85" s="233">
        <v>1223104</v>
      </c>
      <c r="I85" s="233">
        <v>1223104</v>
      </c>
      <c r="J85" s="233">
        <v>1223104</v>
      </c>
      <c r="K85" s="233">
        <v>0</v>
      </c>
      <c r="L85" s="233">
        <v>0</v>
      </c>
      <c r="M85" s="233">
        <v>0</v>
      </c>
      <c r="N85" s="233">
        <v>0</v>
      </c>
      <c r="O85" s="34"/>
      <c r="P85" s="34"/>
    </row>
    <row r="86" spans="1:16" ht="14.25">
      <c r="A86" s="190">
        <f t="shared" si="2"/>
        <v>85</v>
      </c>
      <c r="B86" s="233">
        <v>2304000</v>
      </c>
      <c r="C86" s="233">
        <v>2304000</v>
      </c>
      <c r="D86" s="233">
        <v>2304000</v>
      </c>
      <c r="E86" s="233">
        <v>2119680</v>
      </c>
      <c r="F86" s="233">
        <v>2119680</v>
      </c>
      <c r="G86" s="233">
        <v>2119680</v>
      </c>
      <c r="H86" s="233">
        <v>2374040</v>
      </c>
      <c r="I86" s="233">
        <v>2184120</v>
      </c>
      <c r="J86" s="233">
        <v>2184120</v>
      </c>
      <c r="K86" s="233">
        <v>0</v>
      </c>
      <c r="L86" s="233">
        <v>0</v>
      </c>
      <c r="M86" s="233">
        <v>0</v>
      </c>
      <c r="N86" s="233">
        <v>0</v>
      </c>
      <c r="O86" s="34"/>
      <c r="P86" s="34"/>
    </row>
    <row r="87" spans="1:16" ht="14.25">
      <c r="A87" s="190">
        <f t="shared" si="2"/>
        <v>86</v>
      </c>
      <c r="B87" s="233">
        <v>2304000</v>
      </c>
      <c r="C87" s="233">
        <v>2304000</v>
      </c>
      <c r="D87" s="233">
        <v>2304000</v>
      </c>
      <c r="E87" s="233">
        <v>2304000</v>
      </c>
      <c r="F87" s="233">
        <v>2304000</v>
      </c>
      <c r="G87" s="233">
        <v>2304000</v>
      </c>
      <c r="H87" s="233">
        <v>2304000</v>
      </c>
      <c r="I87" s="233">
        <v>2304000</v>
      </c>
      <c r="J87" s="233">
        <v>2580480</v>
      </c>
      <c r="K87" s="233">
        <v>2580480</v>
      </c>
      <c r="L87" s="233">
        <v>2580480</v>
      </c>
      <c r="M87" s="233">
        <v>2580480</v>
      </c>
      <c r="N87" s="233">
        <v>2580480</v>
      </c>
      <c r="O87" s="34"/>
      <c r="P87" s="34"/>
    </row>
    <row r="88" spans="1:16" ht="14.25">
      <c r="A88" s="190">
        <f t="shared" si="2"/>
        <v>87</v>
      </c>
      <c r="B88" s="233">
        <v>2030216</v>
      </c>
      <c r="C88" s="233">
        <v>2030216</v>
      </c>
      <c r="D88" s="233">
        <v>1867800</v>
      </c>
      <c r="E88" s="233">
        <v>1867800</v>
      </c>
      <c r="F88" s="233">
        <v>2342968</v>
      </c>
      <c r="G88" s="233">
        <v>2342968</v>
      </c>
      <c r="H88" s="233">
        <v>2342968</v>
      </c>
      <c r="I88" s="233">
        <v>2155528</v>
      </c>
      <c r="J88" s="233">
        <v>2155528</v>
      </c>
      <c r="K88" s="233">
        <v>2414192</v>
      </c>
      <c r="L88" s="233">
        <v>0</v>
      </c>
      <c r="M88" s="233">
        <v>0</v>
      </c>
      <c r="N88" s="233">
        <v>0</v>
      </c>
      <c r="O88" s="34"/>
      <c r="P88" s="34"/>
    </row>
    <row r="89" spans="1:16" ht="14.25">
      <c r="A89" s="190">
        <f t="shared" si="2"/>
        <v>88</v>
      </c>
      <c r="B89" s="233">
        <v>2374040</v>
      </c>
      <c r="C89" s="233">
        <v>2374040</v>
      </c>
      <c r="D89" s="233">
        <v>2658928</v>
      </c>
      <c r="E89" s="233">
        <v>2658928</v>
      </c>
      <c r="F89" s="233">
        <v>2658928</v>
      </c>
      <c r="G89" s="233">
        <v>2978000</v>
      </c>
      <c r="H89" s="233">
        <v>3335360</v>
      </c>
      <c r="I89" s="233">
        <v>3068528</v>
      </c>
      <c r="J89" s="233">
        <v>3068528</v>
      </c>
      <c r="K89" s="233">
        <v>3068528</v>
      </c>
      <c r="L89" s="233">
        <v>2823048</v>
      </c>
      <c r="M89" s="233">
        <v>0</v>
      </c>
      <c r="N89" s="233">
        <v>0</v>
      </c>
      <c r="O89" s="34"/>
      <c r="P89" s="34"/>
    </row>
    <row r="90" spans="1:16" ht="14.25">
      <c r="A90" s="190">
        <f t="shared" si="2"/>
        <v>89</v>
      </c>
      <c r="B90" s="233">
        <v>2580480</v>
      </c>
      <c r="C90" s="233">
        <v>2580480</v>
      </c>
      <c r="D90" s="233">
        <v>2374040</v>
      </c>
      <c r="E90" s="233">
        <v>2374040</v>
      </c>
      <c r="F90" s="233">
        <v>2184120</v>
      </c>
      <c r="G90" s="233">
        <v>2184120</v>
      </c>
      <c r="H90" s="233">
        <v>2184120</v>
      </c>
      <c r="I90" s="233">
        <v>2184120</v>
      </c>
      <c r="J90" s="233">
        <v>2184120</v>
      </c>
      <c r="K90" s="233">
        <v>2184120</v>
      </c>
      <c r="L90" s="233">
        <v>2184120</v>
      </c>
      <c r="M90" s="233">
        <v>2184120</v>
      </c>
      <c r="N90" s="233">
        <v>2184120</v>
      </c>
      <c r="O90" s="33"/>
      <c r="P90" s="33"/>
    </row>
    <row r="91" spans="1:16" ht="14.25">
      <c r="A91" s="190">
        <f t="shared" si="2"/>
        <v>90</v>
      </c>
      <c r="B91" s="233">
        <v>1092056</v>
      </c>
      <c r="C91" s="233">
        <v>1092056</v>
      </c>
      <c r="D91" s="233">
        <v>1223104</v>
      </c>
      <c r="E91" s="233">
        <v>1223104</v>
      </c>
      <c r="F91" s="233">
        <v>1223104</v>
      </c>
      <c r="G91" s="233">
        <v>1223104</v>
      </c>
      <c r="H91" s="233">
        <v>1125256</v>
      </c>
      <c r="I91" s="233">
        <v>1125256</v>
      </c>
      <c r="J91" s="233">
        <v>0</v>
      </c>
      <c r="K91" s="233">
        <v>0</v>
      </c>
      <c r="L91" s="233">
        <v>0</v>
      </c>
      <c r="M91" s="233">
        <v>0</v>
      </c>
      <c r="N91" s="233">
        <v>0</v>
      </c>
      <c r="O91" s="33"/>
      <c r="P91" s="33"/>
    </row>
    <row r="92" spans="1:16" ht="14.25">
      <c r="A92" s="190">
        <f t="shared" si="2"/>
        <v>91</v>
      </c>
      <c r="B92" s="233">
        <v>2304000</v>
      </c>
      <c r="C92" s="233">
        <v>2119680</v>
      </c>
      <c r="D92" s="233">
        <v>2119680</v>
      </c>
      <c r="E92" s="233">
        <v>2119680</v>
      </c>
      <c r="F92" s="233">
        <v>2119680</v>
      </c>
      <c r="G92" s="233">
        <v>2119680</v>
      </c>
      <c r="H92" s="233">
        <v>2119680</v>
      </c>
      <c r="I92" s="233">
        <v>2119680</v>
      </c>
      <c r="J92" s="233">
        <v>2119680</v>
      </c>
      <c r="K92" s="233">
        <v>2119680</v>
      </c>
      <c r="L92" s="233">
        <v>2119680</v>
      </c>
      <c r="M92" s="233">
        <v>2119680</v>
      </c>
      <c r="N92" s="233">
        <v>2119680</v>
      </c>
      <c r="O92" s="33"/>
      <c r="P92" s="33"/>
    </row>
    <row r="93" spans="1:16" ht="14.25">
      <c r="A93" s="190">
        <f t="shared" si="2"/>
        <v>92</v>
      </c>
      <c r="B93" s="233">
        <v>2580480</v>
      </c>
      <c r="C93" s="233">
        <v>2580480</v>
      </c>
      <c r="D93" s="233">
        <v>2374040</v>
      </c>
      <c r="E93" s="233">
        <v>2184120</v>
      </c>
      <c r="F93" s="233">
        <v>2184120</v>
      </c>
      <c r="G93" s="233">
        <v>2184120</v>
      </c>
      <c r="H93" s="233">
        <v>2184120</v>
      </c>
      <c r="I93" s="233">
        <v>2184120</v>
      </c>
      <c r="J93" s="233">
        <v>2184120</v>
      </c>
      <c r="K93" s="233">
        <v>2009392</v>
      </c>
      <c r="L93" s="233">
        <v>2009392</v>
      </c>
      <c r="M93" s="233">
        <v>2250512</v>
      </c>
      <c r="N93" s="233">
        <v>2250512</v>
      </c>
      <c r="O93" s="33"/>
      <c r="P93" s="33"/>
    </row>
    <row r="94" spans="1:16" ht="14.25">
      <c r="A94" s="190">
        <f t="shared" si="2"/>
        <v>93</v>
      </c>
      <c r="B94" s="233">
        <v>0</v>
      </c>
      <c r="C94" s="233">
        <v>2304000</v>
      </c>
      <c r="D94" s="233">
        <v>2304000</v>
      </c>
      <c r="E94" s="233">
        <v>2304000</v>
      </c>
      <c r="F94" s="233">
        <v>2119680</v>
      </c>
      <c r="G94" s="233">
        <v>2119680</v>
      </c>
      <c r="H94" s="233">
        <v>2374040</v>
      </c>
      <c r="I94" s="233">
        <v>2658928</v>
      </c>
      <c r="J94" s="233">
        <v>2658928</v>
      </c>
      <c r="K94" s="233">
        <v>2978000</v>
      </c>
      <c r="L94" s="233">
        <v>2978000</v>
      </c>
      <c r="M94" s="233">
        <v>2739760</v>
      </c>
      <c r="N94" s="233">
        <v>2739760</v>
      </c>
      <c r="O94" s="33"/>
      <c r="P94" s="33"/>
    </row>
    <row r="95" spans="1:16" ht="14.25">
      <c r="A95" s="190">
        <f t="shared" si="2"/>
        <v>94</v>
      </c>
      <c r="B95" s="233">
        <v>3456000</v>
      </c>
      <c r="C95" s="233">
        <v>3456000</v>
      </c>
      <c r="D95" s="233">
        <v>3456000</v>
      </c>
      <c r="E95" s="233">
        <v>3456000</v>
      </c>
      <c r="F95" s="233">
        <v>3179520</v>
      </c>
      <c r="G95" s="233">
        <v>3179520</v>
      </c>
      <c r="H95" s="233">
        <v>2925160</v>
      </c>
      <c r="I95" s="233">
        <v>2925160</v>
      </c>
      <c r="J95" s="233">
        <v>2925160</v>
      </c>
      <c r="K95" s="233">
        <v>2925160</v>
      </c>
      <c r="L95" s="233">
        <v>2925160</v>
      </c>
      <c r="M95" s="233">
        <v>2925160</v>
      </c>
      <c r="N95" s="233">
        <v>2925160</v>
      </c>
      <c r="O95" s="33"/>
      <c r="P95" s="33"/>
    </row>
    <row r="96" spans="1:16" ht="14.25">
      <c r="A96" s="190">
        <f t="shared" si="2"/>
        <v>95</v>
      </c>
      <c r="B96" s="233">
        <v>2580480</v>
      </c>
      <c r="C96" s="233">
        <v>2580480</v>
      </c>
      <c r="D96" s="233">
        <v>2890136</v>
      </c>
      <c r="E96" s="233">
        <v>2890136</v>
      </c>
      <c r="F96" s="233">
        <v>2890136</v>
      </c>
      <c r="G96" s="233">
        <v>2890136</v>
      </c>
      <c r="H96" s="233">
        <v>2890136</v>
      </c>
      <c r="I96" s="233">
        <v>2890136</v>
      </c>
      <c r="J96" s="233">
        <v>3236952</v>
      </c>
      <c r="K96" s="233">
        <v>3236952</v>
      </c>
      <c r="L96" s="233">
        <v>3236952</v>
      </c>
      <c r="M96" s="233">
        <v>3236952</v>
      </c>
      <c r="N96" s="233">
        <v>2978000</v>
      </c>
      <c r="O96" s="33"/>
      <c r="P96" s="33"/>
    </row>
    <row r="97" spans="1:16" ht="14.25">
      <c r="A97" s="190">
        <f t="shared" si="2"/>
        <v>96</v>
      </c>
      <c r="B97" s="233">
        <v>3870720</v>
      </c>
      <c r="C97" s="233">
        <v>3870720</v>
      </c>
      <c r="D97" s="233">
        <v>4335208</v>
      </c>
      <c r="E97" s="233">
        <v>4335208</v>
      </c>
      <c r="F97" s="233">
        <v>4335208</v>
      </c>
      <c r="G97" s="233">
        <v>4335208</v>
      </c>
      <c r="H97" s="233">
        <v>4335208</v>
      </c>
      <c r="I97" s="233">
        <v>4335208</v>
      </c>
      <c r="J97" s="233">
        <v>4335208</v>
      </c>
      <c r="K97" s="233">
        <v>4335208</v>
      </c>
      <c r="L97" s="233">
        <v>4335208</v>
      </c>
      <c r="M97" s="233">
        <v>4335208</v>
      </c>
      <c r="N97" s="233">
        <v>4335208</v>
      </c>
      <c r="O97" s="33"/>
      <c r="P97" s="33"/>
    </row>
    <row r="98" spans="1:16" ht="14.25">
      <c r="A98" s="190">
        <f t="shared" si="2"/>
        <v>97</v>
      </c>
      <c r="B98" s="233">
        <v>1152000</v>
      </c>
      <c r="C98" s="233">
        <v>1152000</v>
      </c>
      <c r="D98" s="233">
        <v>1152000</v>
      </c>
      <c r="E98" s="233">
        <v>1290240</v>
      </c>
      <c r="F98" s="233">
        <v>1445072</v>
      </c>
      <c r="G98" s="233">
        <v>1329464</v>
      </c>
      <c r="H98" s="233">
        <v>1329464</v>
      </c>
      <c r="I98" s="233">
        <v>1667680</v>
      </c>
      <c r="J98" s="233">
        <v>1867800</v>
      </c>
      <c r="K98" s="233">
        <v>1718376</v>
      </c>
      <c r="L98" s="233">
        <v>1718376</v>
      </c>
      <c r="M98" s="233">
        <v>1924584</v>
      </c>
      <c r="N98" s="233">
        <v>1924584</v>
      </c>
      <c r="O98" s="33"/>
      <c r="P98" s="33"/>
    </row>
    <row r="99" spans="1:16" ht="14.25">
      <c r="A99" s="190">
        <f t="shared" si="2"/>
        <v>98</v>
      </c>
      <c r="B99" s="233">
        <v>2304000</v>
      </c>
      <c r="C99" s="233">
        <v>2304000</v>
      </c>
      <c r="D99" s="233">
        <v>2304000</v>
      </c>
      <c r="E99" s="233">
        <v>2119680</v>
      </c>
      <c r="F99" s="233">
        <v>2119680</v>
      </c>
      <c r="G99" s="233">
        <v>2374040</v>
      </c>
      <c r="H99" s="233">
        <v>2374040</v>
      </c>
      <c r="I99" s="233">
        <v>2184120</v>
      </c>
      <c r="J99" s="233">
        <v>2184120</v>
      </c>
      <c r="K99" s="233">
        <v>2184120</v>
      </c>
      <c r="L99" s="233">
        <v>2184120</v>
      </c>
      <c r="M99" s="233">
        <v>2184120</v>
      </c>
      <c r="N99" s="233">
        <v>2446216</v>
      </c>
      <c r="O99" s="33"/>
      <c r="P99" s="33"/>
    </row>
    <row r="100" spans="1:16" ht="14.25">
      <c r="A100" s="190">
        <f t="shared" si="2"/>
        <v>99</v>
      </c>
      <c r="B100" s="233">
        <v>2374040</v>
      </c>
      <c r="C100" s="233">
        <v>2658928</v>
      </c>
      <c r="D100" s="233">
        <v>2446216</v>
      </c>
      <c r="E100" s="233">
        <v>2446216</v>
      </c>
      <c r="F100" s="233">
        <v>2446216</v>
      </c>
      <c r="G100" s="233">
        <v>0</v>
      </c>
      <c r="H100" s="233">
        <v>0</v>
      </c>
      <c r="I100" s="233">
        <v>0</v>
      </c>
      <c r="J100" s="233">
        <v>0</v>
      </c>
      <c r="K100" s="233">
        <v>0</v>
      </c>
      <c r="L100" s="233">
        <v>0</v>
      </c>
      <c r="M100" s="233">
        <v>0</v>
      </c>
      <c r="N100" s="233">
        <v>0</v>
      </c>
      <c r="O100" s="33"/>
      <c r="P100" s="33"/>
    </row>
    <row r="101" spans="1:16">
      <c r="A101" s="190">
        <f t="shared" si="2"/>
        <v>100</v>
      </c>
      <c r="B101" s="233">
        <v>2304000</v>
      </c>
      <c r="C101" s="233">
        <v>2304000</v>
      </c>
      <c r="D101" s="233">
        <v>1950104</v>
      </c>
      <c r="E101" s="233">
        <v>1950104</v>
      </c>
      <c r="F101" s="233">
        <v>1794096</v>
      </c>
      <c r="G101" s="233">
        <v>1794096</v>
      </c>
      <c r="H101" s="233">
        <v>1794096</v>
      </c>
      <c r="I101" s="233">
        <v>1794096</v>
      </c>
      <c r="J101" s="233">
        <v>1794096</v>
      </c>
      <c r="K101" s="233">
        <v>1794096</v>
      </c>
      <c r="L101" s="233">
        <v>1794096</v>
      </c>
      <c r="M101" s="233">
        <v>1794096</v>
      </c>
      <c r="N101" s="233">
        <v>2009392</v>
      </c>
    </row>
    <row r="102" spans="1:16">
      <c r="A102" s="190">
        <f t="shared" si="2"/>
        <v>101</v>
      </c>
      <c r="B102" s="233">
        <v>1187024</v>
      </c>
      <c r="C102" s="233">
        <v>1187024</v>
      </c>
      <c r="D102" s="233">
        <v>1092056</v>
      </c>
      <c r="E102" s="233">
        <v>1223104</v>
      </c>
      <c r="F102" s="233">
        <v>1369880</v>
      </c>
      <c r="G102" s="233">
        <v>1534264</v>
      </c>
      <c r="H102" s="233">
        <v>1411520</v>
      </c>
      <c r="I102" s="233">
        <v>1411520</v>
      </c>
      <c r="J102" s="233">
        <v>1411520</v>
      </c>
      <c r="K102" s="233">
        <v>1411520</v>
      </c>
      <c r="L102" s="233">
        <v>1411520</v>
      </c>
      <c r="M102" s="233">
        <v>1411520</v>
      </c>
      <c r="N102" s="233">
        <v>1298600</v>
      </c>
    </row>
    <row r="103" spans="1:16">
      <c r="A103" s="190">
        <f t="shared" si="2"/>
        <v>102</v>
      </c>
      <c r="B103" s="233">
        <v>1950104</v>
      </c>
      <c r="C103" s="233">
        <v>2184120</v>
      </c>
      <c r="D103" s="233">
        <v>2184120</v>
      </c>
      <c r="E103" s="233">
        <v>2184120</v>
      </c>
      <c r="F103" s="233">
        <v>2184120</v>
      </c>
      <c r="G103" s="233">
        <v>2009392</v>
      </c>
      <c r="H103" s="233">
        <v>2009392</v>
      </c>
      <c r="I103" s="233">
        <v>2009392</v>
      </c>
      <c r="J103" s="233">
        <v>1848640</v>
      </c>
      <c r="K103" s="233">
        <v>1848640</v>
      </c>
      <c r="L103" s="233">
        <v>1848640</v>
      </c>
      <c r="M103" s="233">
        <v>0</v>
      </c>
      <c r="N103" s="233">
        <v>0</v>
      </c>
    </row>
    <row r="104" spans="1:16">
      <c r="A104" s="190">
        <f t="shared" si="2"/>
        <v>103</v>
      </c>
      <c r="B104" s="233">
        <v>1618480</v>
      </c>
      <c r="C104" s="233">
        <v>1618480</v>
      </c>
      <c r="D104" s="233">
        <v>1489000</v>
      </c>
      <c r="E104" s="233">
        <v>1489000</v>
      </c>
      <c r="F104" s="233">
        <v>1489000</v>
      </c>
      <c r="G104" s="233">
        <v>1667680</v>
      </c>
      <c r="H104" s="233">
        <v>1667680</v>
      </c>
      <c r="I104" s="233">
        <v>1667680</v>
      </c>
      <c r="J104" s="233">
        <v>1667680</v>
      </c>
      <c r="K104" s="233">
        <v>1867800</v>
      </c>
      <c r="L104" s="233">
        <v>2091936</v>
      </c>
      <c r="M104" s="233">
        <v>2091936</v>
      </c>
      <c r="N104" s="233">
        <v>2091936</v>
      </c>
    </row>
    <row r="105" spans="1:16">
      <c r="A105" s="190">
        <f t="shared" si="2"/>
        <v>104</v>
      </c>
      <c r="B105" s="233">
        <v>2580480</v>
      </c>
      <c r="C105" s="233">
        <v>2890136</v>
      </c>
      <c r="D105" s="233">
        <v>2890136</v>
      </c>
      <c r="E105" s="233">
        <v>3236952</v>
      </c>
      <c r="F105" s="233">
        <v>2978000</v>
      </c>
      <c r="G105" s="233">
        <v>2978000</v>
      </c>
      <c r="H105" s="233">
        <v>3335360</v>
      </c>
      <c r="I105" s="233">
        <v>0</v>
      </c>
      <c r="J105" s="233">
        <v>0</v>
      </c>
      <c r="K105" s="233">
        <v>0</v>
      </c>
      <c r="L105" s="233">
        <v>0</v>
      </c>
      <c r="M105" s="233">
        <v>0</v>
      </c>
      <c r="N105" s="233">
        <v>0</v>
      </c>
    </row>
    <row r="106" spans="1:16">
      <c r="A106" s="190">
        <f t="shared" si="2"/>
        <v>105</v>
      </c>
      <c r="B106" s="233">
        <v>1329464</v>
      </c>
      <c r="C106" s="233">
        <v>1329464</v>
      </c>
      <c r="D106" s="233">
        <v>1329464</v>
      </c>
      <c r="E106" s="233">
        <v>1329464</v>
      </c>
      <c r="F106" s="233">
        <v>1329464</v>
      </c>
      <c r="G106" s="233">
        <v>1489000</v>
      </c>
      <c r="H106" s="233">
        <v>1489000</v>
      </c>
      <c r="I106" s="233">
        <v>1369880</v>
      </c>
      <c r="J106" s="233">
        <v>1411520</v>
      </c>
      <c r="K106" s="233">
        <v>1411520</v>
      </c>
      <c r="L106" s="233">
        <v>1580904</v>
      </c>
      <c r="M106" s="233">
        <v>1580904</v>
      </c>
      <c r="N106" s="233">
        <v>1770616</v>
      </c>
    </row>
    <row r="107" spans="1:16">
      <c r="A107" s="190">
        <f t="shared" si="2"/>
        <v>106</v>
      </c>
      <c r="B107" s="233">
        <v>1152000</v>
      </c>
      <c r="C107" s="233">
        <v>1152000</v>
      </c>
      <c r="D107" s="233">
        <v>1152000</v>
      </c>
      <c r="E107" s="233">
        <v>1152000</v>
      </c>
      <c r="F107" s="233">
        <v>1152000</v>
      </c>
      <c r="G107" s="233">
        <v>1152000</v>
      </c>
      <c r="H107" s="233">
        <v>1152000</v>
      </c>
      <c r="I107" s="233">
        <v>1152000</v>
      </c>
      <c r="J107" s="233">
        <v>1059840</v>
      </c>
      <c r="K107" s="233">
        <v>1059840</v>
      </c>
      <c r="L107" s="233">
        <v>1059840</v>
      </c>
      <c r="M107" s="233">
        <v>1187024</v>
      </c>
      <c r="N107" s="233">
        <v>1187024</v>
      </c>
    </row>
    <row r="108" spans="1:16">
      <c r="A108" s="190">
        <f t="shared" si="2"/>
        <v>107</v>
      </c>
      <c r="B108" s="233">
        <v>1059840</v>
      </c>
      <c r="C108" s="233">
        <v>1059840</v>
      </c>
      <c r="D108" s="233">
        <v>1059840</v>
      </c>
      <c r="E108" s="233">
        <v>975056</v>
      </c>
      <c r="F108" s="233">
        <v>1092056</v>
      </c>
      <c r="G108" s="233">
        <v>0</v>
      </c>
      <c r="H108" s="233">
        <v>0</v>
      </c>
      <c r="I108" s="233">
        <v>0</v>
      </c>
      <c r="J108" s="233">
        <v>0</v>
      </c>
      <c r="K108" s="233">
        <v>0</v>
      </c>
      <c r="L108" s="233">
        <v>0</v>
      </c>
      <c r="M108" s="233">
        <v>0</v>
      </c>
      <c r="N108" s="233">
        <v>0</v>
      </c>
    </row>
    <row r="109" spans="1:16">
      <c r="A109" s="190">
        <f t="shared" si="2"/>
        <v>108</v>
      </c>
      <c r="B109" s="233">
        <v>3561064</v>
      </c>
      <c r="C109" s="233">
        <v>3276176</v>
      </c>
      <c r="D109" s="233">
        <v>3669320</v>
      </c>
      <c r="E109" s="233">
        <v>3669320</v>
      </c>
      <c r="F109" s="233">
        <v>3780864</v>
      </c>
      <c r="G109" s="233">
        <v>3780864</v>
      </c>
      <c r="H109" s="233">
        <v>4234568</v>
      </c>
      <c r="I109" s="233">
        <v>4234568</v>
      </c>
      <c r="J109" s="233">
        <v>4234568</v>
      </c>
      <c r="K109" s="233">
        <v>4234568</v>
      </c>
      <c r="L109" s="233">
        <v>4234568</v>
      </c>
      <c r="M109" s="233">
        <v>4234568</v>
      </c>
      <c r="N109" s="233">
        <v>4234568</v>
      </c>
    </row>
    <row r="110" spans="1:16">
      <c r="A110" s="190">
        <f t="shared" si="2"/>
        <v>109</v>
      </c>
      <c r="B110" s="233">
        <v>3625392</v>
      </c>
      <c r="C110" s="233">
        <v>3625392</v>
      </c>
      <c r="D110" s="233">
        <v>3625392</v>
      </c>
      <c r="E110" s="233">
        <v>0</v>
      </c>
      <c r="F110" s="233">
        <v>0</v>
      </c>
      <c r="G110" s="233">
        <v>0</v>
      </c>
      <c r="H110" s="233">
        <v>0</v>
      </c>
      <c r="I110" s="233">
        <v>0</v>
      </c>
      <c r="J110" s="233">
        <v>0</v>
      </c>
      <c r="K110" s="233">
        <v>0</v>
      </c>
      <c r="L110" s="233">
        <v>0</v>
      </c>
      <c r="M110" s="233">
        <v>0</v>
      </c>
      <c r="N110" s="233">
        <v>0</v>
      </c>
    </row>
    <row r="111" spans="1:16">
      <c r="A111" s="190">
        <f t="shared" si="2"/>
        <v>110</v>
      </c>
      <c r="B111" s="233">
        <v>2890136</v>
      </c>
      <c r="C111" s="233">
        <v>3236952</v>
      </c>
      <c r="D111" s="233">
        <v>3236952</v>
      </c>
      <c r="E111" s="233">
        <v>3236952</v>
      </c>
      <c r="F111" s="233">
        <v>3236952</v>
      </c>
      <c r="G111" s="233">
        <v>2978000</v>
      </c>
      <c r="H111" s="233">
        <v>2978000</v>
      </c>
      <c r="I111" s="233">
        <v>2978000</v>
      </c>
      <c r="J111" s="233">
        <v>2978000</v>
      </c>
      <c r="K111" s="233">
        <v>2978000</v>
      </c>
      <c r="L111" s="233">
        <v>2978000</v>
      </c>
      <c r="M111" s="233">
        <v>0</v>
      </c>
      <c r="N111" s="233">
        <v>0</v>
      </c>
    </row>
    <row r="112" spans="1:16">
      <c r="A112" s="190">
        <f t="shared" si="2"/>
        <v>111</v>
      </c>
      <c r="B112" s="233">
        <v>2304000</v>
      </c>
      <c r="C112" s="233">
        <v>2304000</v>
      </c>
      <c r="D112" s="233">
        <v>2304000</v>
      </c>
      <c r="E112" s="233">
        <v>2304000</v>
      </c>
      <c r="F112" s="233">
        <v>1950104</v>
      </c>
      <c r="G112" s="233">
        <v>1950104</v>
      </c>
      <c r="H112" s="233">
        <v>1950104</v>
      </c>
      <c r="I112" s="233">
        <v>1794096</v>
      </c>
      <c r="J112" s="233">
        <v>2009392</v>
      </c>
      <c r="K112" s="233">
        <v>2009392</v>
      </c>
      <c r="L112" s="233">
        <v>1848640</v>
      </c>
      <c r="M112" s="233">
        <v>2070472</v>
      </c>
      <c r="N112" s="233">
        <v>0</v>
      </c>
    </row>
    <row r="113" spans="1:14">
      <c r="A113" s="190">
        <f t="shared" si="2"/>
        <v>112</v>
      </c>
      <c r="B113" s="233">
        <v>2304000</v>
      </c>
      <c r="C113" s="233">
        <v>2119680</v>
      </c>
      <c r="D113" s="233">
        <v>0</v>
      </c>
      <c r="E113" s="233">
        <v>0</v>
      </c>
      <c r="F113" s="233">
        <v>0</v>
      </c>
      <c r="G113" s="233">
        <v>0</v>
      </c>
      <c r="H113" s="233">
        <v>0</v>
      </c>
      <c r="I113" s="233">
        <v>0</v>
      </c>
      <c r="J113" s="233">
        <v>0</v>
      </c>
      <c r="K113" s="233">
        <v>0</v>
      </c>
      <c r="L113" s="233">
        <v>0</v>
      </c>
      <c r="M113" s="233">
        <v>0</v>
      </c>
      <c r="N113" s="233">
        <v>0</v>
      </c>
    </row>
    <row r="114" spans="1:14">
      <c r="A114" s="190">
        <f t="shared" si="2"/>
        <v>113</v>
      </c>
      <c r="B114" s="233">
        <v>3375776</v>
      </c>
      <c r="C114" s="233">
        <v>3105712</v>
      </c>
      <c r="D114" s="233">
        <v>3105712</v>
      </c>
      <c r="E114" s="233">
        <v>3105712</v>
      </c>
      <c r="F114" s="233">
        <v>3105712</v>
      </c>
      <c r="G114" s="233">
        <v>3105712</v>
      </c>
      <c r="H114" s="233">
        <v>3105712</v>
      </c>
      <c r="I114" s="233">
        <v>3105712</v>
      </c>
      <c r="J114" s="233">
        <v>3105712</v>
      </c>
      <c r="K114" s="233">
        <v>3105712</v>
      </c>
      <c r="L114" s="233">
        <v>3105712</v>
      </c>
      <c r="M114" s="233">
        <v>3105712</v>
      </c>
      <c r="N114" s="233">
        <v>3478400</v>
      </c>
    </row>
    <row r="115" spans="1:14">
      <c r="A115" s="190">
        <f t="shared" si="2"/>
        <v>114</v>
      </c>
      <c r="B115" s="233">
        <v>2184120</v>
      </c>
      <c r="C115" s="233">
        <v>2184120</v>
      </c>
      <c r="D115" s="233">
        <v>0</v>
      </c>
      <c r="E115" s="233">
        <v>0</v>
      </c>
      <c r="F115" s="233">
        <v>0</v>
      </c>
      <c r="G115" s="233">
        <v>0</v>
      </c>
      <c r="H115" s="233">
        <v>0</v>
      </c>
      <c r="I115" s="233">
        <v>0</v>
      </c>
      <c r="J115" s="233">
        <v>0</v>
      </c>
      <c r="K115" s="233">
        <v>0</v>
      </c>
      <c r="L115" s="233">
        <v>0</v>
      </c>
      <c r="M115" s="233">
        <v>0</v>
      </c>
      <c r="N115" s="233">
        <v>0</v>
      </c>
    </row>
    <row r="116" spans="1:14">
      <c r="A116" s="190">
        <f t="shared" si="2"/>
        <v>115</v>
      </c>
      <c r="B116" s="233">
        <v>3669320</v>
      </c>
      <c r="C116" s="233">
        <v>3669320</v>
      </c>
      <c r="D116" s="233">
        <v>4109640</v>
      </c>
      <c r="E116" s="233">
        <v>3780864</v>
      </c>
      <c r="F116" s="233">
        <v>3780864</v>
      </c>
      <c r="G116" s="233">
        <v>3780864</v>
      </c>
      <c r="H116" s="233">
        <v>3478400</v>
      </c>
      <c r="I116" s="233">
        <v>3478400</v>
      </c>
      <c r="J116" s="233">
        <v>3478400</v>
      </c>
      <c r="K116" s="233">
        <v>3478400</v>
      </c>
      <c r="L116" s="233">
        <v>3584136</v>
      </c>
      <c r="M116" s="233">
        <v>3584136</v>
      </c>
      <c r="N116" s="233">
        <v>3584136</v>
      </c>
    </row>
    <row r="117" spans="1:14">
      <c r="A117" s="190">
        <f t="shared" si="2"/>
        <v>116</v>
      </c>
      <c r="B117" s="233">
        <v>3179520</v>
      </c>
      <c r="C117" s="233">
        <v>3561064</v>
      </c>
      <c r="D117" s="233">
        <v>3561064</v>
      </c>
      <c r="E117" s="233">
        <v>3561064</v>
      </c>
      <c r="F117" s="233">
        <v>3561064</v>
      </c>
      <c r="G117" s="233">
        <v>3276176</v>
      </c>
      <c r="H117" s="233">
        <v>3276176</v>
      </c>
      <c r="I117" s="233">
        <v>3276176</v>
      </c>
      <c r="J117" s="233">
        <v>3669320</v>
      </c>
      <c r="K117" s="233">
        <v>3375776</v>
      </c>
      <c r="L117" s="233">
        <v>3375776</v>
      </c>
      <c r="M117" s="233">
        <v>3375776</v>
      </c>
      <c r="N117" s="233">
        <v>4234568</v>
      </c>
    </row>
    <row r="118" spans="1:14">
      <c r="A118" s="190">
        <f t="shared" si="2"/>
        <v>117</v>
      </c>
      <c r="B118" s="233">
        <v>3456000</v>
      </c>
      <c r="C118" s="233">
        <v>3456000</v>
      </c>
      <c r="D118" s="233">
        <v>3456000</v>
      </c>
      <c r="E118" s="233">
        <v>3456000</v>
      </c>
      <c r="F118" s="233">
        <v>3456000</v>
      </c>
      <c r="G118" s="233">
        <v>3456000</v>
      </c>
      <c r="H118" s="233">
        <v>3456000</v>
      </c>
      <c r="I118" s="233">
        <v>3456000</v>
      </c>
      <c r="J118" s="233">
        <v>3561064</v>
      </c>
      <c r="K118" s="233">
        <v>3276176</v>
      </c>
      <c r="L118" s="233">
        <v>3276176</v>
      </c>
      <c r="M118" s="233">
        <v>3276176</v>
      </c>
      <c r="N118" s="233">
        <v>3276176</v>
      </c>
    </row>
    <row r="119" spans="1:14">
      <c r="A119" s="190">
        <f t="shared" si="2"/>
        <v>118</v>
      </c>
      <c r="B119" s="233">
        <v>3870720</v>
      </c>
      <c r="C119" s="233">
        <v>3870720</v>
      </c>
      <c r="D119" s="233">
        <v>3870720</v>
      </c>
      <c r="E119" s="233">
        <v>4855432</v>
      </c>
      <c r="F119" s="233">
        <v>4855432</v>
      </c>
      <c r="G119" s="233">
        <v>4855432</v>
      </c>
      <c r="H119" s="233">
        <v>4855432</v>
      </c>
      <c r="I119" s="233">
        <v>4855432</v>
      </c>
      <c r="J119" s="233">
        <v>4855432</v>
      </c>
      <c r="K119" s="233">
        <v>4855432</v>
      </c>
      <c r="L119" s="233">
        <v>4855432</v>
      </c>
      <c r="M119" s="233">
        <v>4855432</v>
      </c>
      <c r="N119" s="233">
        <v>0</v>
      </c>
    </row>
    <row r="120" spans="1:14">
      <c r="A120" s="190">
        <f t="shared" si="2"/>
        <v>119</v>
      </c>
      <c r="B120" s="233">
        <v>2658928</v>
      </c>
      <c r="C120" s="233">
        <v>2658928</v>
      </c>
      <c r="D120" s="233">
        <v>2658928</v>
      </c>
      <c r="E120" s="233">
        <v>2446216</v>
      </c>
      <c r="F120" s="233">
        <v>2446216</v>
      </c>
      <c r="G120" s="233">
        <v>2446216</v>
      </c>
      <c r="H120" s="233">
        <v>2739760</v>
      </c>
      <c r="I120" s="233">
        <v>3068528</v>
      </c>
      <c r="J120" s="233">
        <v>3068528</v>
      </c>
      <c r="K120" s="233">
        <v>2823048</v>
      </c>
      <c r="L120" s="233">
        <v>2823048</v>
      </c>
      <c r="M120" s="233">
        <v>3161816</v>
      </c>
      <c r="N120" s="233">
        <v>2908864</v>
      </c>
    </row>
    <row r="121" spans="1:14">
      <c r="A121" s="190">
        <f t="shared" si="2"/>
        <v>120</v>
      </c>
      <c r="B121" s="233">
        <v>1152000</v>
      </c>
      <c r="C121" s="233">
        <v>1059840</v>
      </c>
      <c r="D121" s="233">
        <v>1059840</v>
      </c>
      <c r="E121" s="233">
        <v>1059840</v>
      </c>
      <c r="F121" s="233">
        <v>1059840</v>
      </c>
      <c r="G121" s="233">
        <v>1059840</v>
      </c>
      <c r="H121" s="233">
        <v>975056</v>
      </c>
      <c r="I121" s="233">
        <v>975056</v>
      </c>
      <c r="J121" s="233">
        <v>1092056</v>
      </c>
      <c r="K121" s="233">
        <v>1092056</v>
      </c>
      <c r="L121" s="233">
        <v>1092056</v>
      </c>
      <c r="M121" s="233">
        <v>1092056</v>
      </c>
      <c r="N121" s="233">
        <v>1092056</v>
      </c>
    </row>
    <row r="122" spans="1:14">
      <c r="A122" s="190">
        <f t="shared" si="2"/>
        <v>121</v>
      </c>
      <c r="B122" s="233">
        <v>2580480</v>
      </c>
      <c r="C122" s="233">
        <v>2374040</v>
      </c>
      <c r="D122" s="233">
        <v>2658928</v>
      </c>
      <c r="E122" s="233">
        <v>0</v>
      </c>
      <c r="F122" s="233">
        <v>0</v>
      </c>
      <c r="G122" s="233">
        <v>0</v>
      </c>
      <c r="H122" s="233">
        <v>0</v>
      </c>
      <c r="I122" s="233">
        <v>0</v>
      </c>
      <c r="J122" s="233">
        <v>0</v>
      </c>
      <c r="K122" s="233">
        <v>0</v>
      </c>
      <c r="L122" s="233">
        <v>0</v>
      </c>
      <c r="M122" s="233">
        <v>0</v>
      </c>
      <c r="N122" s="233">
        <v>0</v>
      </c>
    </row>
    <row r="123" spans="1:14">
      <c r="A123" s="190">
        <f t="shared" si="2"/>
        <v>122</v>
      </c>
      <c r="B123" s="233">
        <v>0</v>
      </c>
      <c r="C123" s="233">
        <v>2304000</v>
      </c>
      <c r="D123" s="233">
        <v>2304000</v>
      </c>
      <c r="E123" s="233">
        <v>2304000</v>
      </c>
      <c r="F123" s="233">
        <v>2304000</v>
      </c>
      <c r="G123" s="233">
        <v>2304000</v>
      </c>
      <c r="H123" s="233">
        <v>2304000</v>
      </c>
      <c r="I123" s="233">
        <v>2304000</v>
      </c>
      <c r="J123" s="233">
        <v>2304000</v>
      </c>
      <c r="K123" s="233">
        <v>2304000</v>
      </c>
      <c r="L123" s="233">
        <v>2304000</v>
      </c>
      <c r="M123" s="233">
        <v>2119680</v>
      </c>
      <c r="N123" s="233">
        <v>2119680</v>
      </c>
    </row>
    <row r="124" spans="1:14">
      <c r="A124" s="190">
        <f t="shared" si="2"/>
        <v>123</v>
      </c>
      <c r="B124" s="233">
        <v>2890136</v>
      </c>
      <c r="C124" s="233">
        <v>2890136</v>
      </c>
      <c r="D124" s="233">
        <v>2890136</v>
      </c>
      <c r="E124" s="233">
        <v>2890136</v>
      </c>
      <c r="F124" s="233">
        <v>2890136</v>
      </c>
      <c r="G124" s="233">
        <v>2890136</v>
      </c>
      <c r="H124" s="233">
        <v>2890136</v>
      </c>
      <c r="I124" s="233">
        <v>3236952</v>
      </c>
      <c r="J124" s="233">
        <v>3236952</v>
      </c>
      <c r="K124" s="233">
        <v>3236952</v>
      </c>
      <c r="L124" s="233">
        <v>3236952</v>
      </c>
      <c r="M124" s="233">
        <v>2978000</v>
      </c>
      <c r="N124" s="233">
        <v>2978000</v>
      </c>
    </row>
    <row r="125" spans="1:14">
      <c r="A125" s="190">
        <f t="shared" si="2"/>
        <v>124</v>
      </c>
      <c r="B125" s="233">
        <v>1950104</v>
      </c>
      <c r="C125" s="233">
        <v>1950104</v>
      </c>
      <c r="D125" s="233">
        <v>1950104</v>
      </c>
      <c r="E125" s="233">
        <v>1950104</v>
      </c>
      <c r="F125" s="233">
        <v>1794096</v>
      </c>
      <c r="G125" s="233">
        <v>1794096</v>
      </c>
      <c r="H125" s="233">
        <v>1794096</v>
      </c>
      <c r="I125" s="233">
        <v>1650568</v>
      </c>
      <c r="J125" s="233">
        <v>0</v>
      </c>
      <c r="K125" s="233">
        <v>0</v>
      </c>
      <c r="L125" s="233">
        <v>0</v>
      </c>
      <c r="M125" s="233">
        <v>0</v>
      </c>
      <c r="N125" s="233">
        <v>0</v>
      </c>
    </row>
    <row r="126" spans="1:14">
      <c r="A126" s="190">
        <f t="shared" si="2"/>
        <v>125</v>
      </c>
      <c r="B126" s="233">
        <v>2304000</v>
      </c>
      <c r="C126" s="233">
        <v>1950104</v>
      </c>
      <c r="D126" s="233">
        <v>1950104</v>
      </c>
      <c r="E126" s="233">
        <v>1950104</v>
      </c>
      <c r="F126" s="233">
        <v>1794096</v>
      </c>
      <c r="G126" s="233">
        <v>0</v>
      </c>
      <c r="H126" s="233">
        <v>0</v>
      </c>
      <c r="I126" s="233">
        <v>0</v>
      </c>
      <c r="J126" s="233">
        <v>0</v>
      </c>
      <c r="K126" s="233">
        <v>0</v>
      </c>
      <c r="L126" s="233">
        <v>0</v>
      </c>
      <c r="M126" s="233">
        <v>0</v>
      </c>
      <c r="N126" s="233">
        <v>0</v>
      </c>
    </row>
    <row r="127" spans="1:14">
      <c r="A127" s="190">
        <f t="shared" si="2"/>
        <v>126</v>
      </c>
      <c r="B127" s="233">
        <v>2925160</v>
      </c>
      <c r="C127" s="233">
        <v>2925160</v>
      </c>
      <c r="D127" s="233">
        <v>2691144</v>
      </c>
      <c r="E127" s="233">
        <v>2691144</v>
      </c>
      <c r="F127" s="233">
        <v>3014080</v>
      </c>
      <c r="G127" s="233">
        <v>3014080</v>
      </c>
      <c r="H127" s="233">
        <v>0</v>
      </c>
      <c r="I127" s="233">
        <v>0</v>
      </c>
      <c r="J127" s="233">
        <v>0</v>
      </c>
      <c r="K127" s="233">
        <v>0</v>
      </c>
      <c r="L127" s="233">
        <v>0</v>
      </c>
      <c r="M127" s="233">
        <v>0</v>
      </c>
      <c r="N127" s="233">
        <v>0</v>
      </c>
    </row>
    <row r="128" spans="1:14">
      <c r="A128" s="190">
        <f t="shared" si="2"/>
        <v>127</v>
      </c>
      <c r="B128" s="233">
        <v>897048</v>
      </c>
      <c r="C128" s="233">
        <v>825288</v>
      </c>
      <c r="D128" s="233">
        <v>825288</v>
      </c>
      <c r="E128" s="233">
        <v>825288</v>
      </c>
      <c r="F128" s="233">
        <v>0</v>
      </c>
      <c r="G128" s="233">
        <v>0</v>
      </c>
      <c r="H128" s="233">
        <v>0</v>
      </c>
      <c r="I128" s="233">
        <v>0</v>
      </c>
      <c r="J128" s="233">
        <v>0</v>
      </c>
      <c r="K128" s="233">
        <v>0</v>
      </c>
      <c r="L128" s="233">
        <v>0</v>
      </c>
      <c r="M128" s="233">
        <v>0</v>
      </c>
      <c r="N128" s="233">
        <v>0</v>
      </c>
    </row>
    <row r="129" spans="1:14">
      <c r="A129" s="190">
        <f t="shared" si="2"/>
        <v>128</v>
      </c>
      <c r="B129" s="233">
        <v>3988392</v>
      </c>
      <c r="C129" s="233">
        <v>3669320</v>
      </c>
      <c r="D129" s="233">
        <v>3669320</v>
      </c>
      <c r="E129" s="233">
        <v>3375776</v>
      </c>
      <c r="F129" s="233">
        <v>3375776</v>
      </c>
      <c r="G129" s="233">
        <v>3105712</v>
      </c>
      <c r="H129" s="233">
        <v>3478400</v>
      </c>
      <c r="I129" s="233">
        <v>3895808</v>
      </c>
      <c r="J129" s="233">
        <v>3895808</v>
      </c>
      <c r="K129" s="233">
        <v>3895808</v>
      </c>
      <c r="L129" s="233">
        <v>3895808</v>
      </c>
      <c r="M129" s="233">
        <v>3895808</v>
      </c>
      <c r="N129" s="233">
        <v>3895808</v>
      </c>
    </row>
    <row r="130" spans="1:14">
      <c r="A130" s="190">
        <f t="shared" si="2"/>
        <v>129</v>
      </c>
      <c r="B130" s="233">
        <v>3456000</v>
      </c>
      <c r="C130" s="233">
        <v>3456000</v>
      </c>
      <c r="D130" s="233">
        <v>3179520</v>
      </c>
      <c r="E130" s="233">
        <v>3179520</v>
      </c>
      <c r="F130" s="233">
        <v>3179520</v>
      </c>
      <c r="G130" s="233">
        <v>3179520</v>
      </c>
      <c r="H130" s="233">
        <v>3179520</v>
      </c>
      <c r="I130" s="233">
        <v>3179520</v>
      </c>
      <c r="J130" s="233">
        <v>2925160</v>
      </c>
      <c r="K130" s="233">
        <v>2691144</v>
      </c>
      <c r="L130" s="233">
        <v>2691144</v>
      </c>
      <c r="M130" s="233">
        <v>2691144</v>
      </c>
      <c r="N130" s="233">
        <v>2691144</v>
      </c>
    </row>
    <row r="131" spans="1:14">
      <c r="A131" s="190">
        <f t="shared" si="2"/>
        <v>130</v>
      </c>
      <c r="B131" s="233">
        <v>1187024</v>
      </c>
      <c r="C131" s="233">
        <v>1187024</v>
      </c>
      <c r="D131" s="233">
        <v>1489000</v>
      </c>
      <c r="E131" s="233">
        <v>1489000</v>
      </c>
      <c r="F131" s="233">
        <v>1489000</v>
      </c>
      <c r="G131" s="233">
        <v>1667680</v>
      </c>
      <c r="H131" s="233">
        <v>1667680</v>
      </c>
      <c r="I131" s="233">
        <v>1667680</v>
      </c>
      <c r="J131" s="233">
        <v>1667680</v>
      </c>
      <c r="K131" s="233">
        <v>1667680</v>
      </c>
      <c r="L131" s="233">
        <v>1867800</v>
      </c>
      <c r="M131" s="233">
        <v>1867800</v>
      </c>
      <c r="N131" s="233">
        <v>1867800</v>
      </c>
    </row>
    <row r="132" spans="1:14">
      <c r="A132" s="190">
        <f t="shared" si="2"/>
        <v>131</v>
      </c>
      <c r="B132" s="233">
        <v>2119680</v>
      </c>
      <c r="C132" s="233">
        <v>2119680</v>
      </c>
      <c r="D132" s="233">
        <v>2119680</v>
      </c>
      <c r="E132" s="233">
        <v>2119680</v>
      </c>
      <c r="F132" s="233">
        <v>2374040</v>
      </c>
      <c r="G132" s="233">
        <v>2184120</v>
      </c>
      <c r="H132" s="233">
        <v>2184120</v>
      </c>
      <c r="I132" s="233">
        <v>2184120</v>
      </c>
      <c r="J132" s="233">
        <v>2446216</v>
      </c>
      <c r="K132" s="233">
        <v>2446216</v>
      </c>
      <c r="L132" s="233">
        <v>2446216</v>
      </c>
      <c r="M132" s="233">
        <v>2446216</v>
      </c>
      <c r="N132" s="233">
        <v>2446216</v>
      </c>
    </row>
    <row r="133" spans="1:14">
      <c r="A133" s="190">
        <f t="shared" si="2"/>
        <v>132</v>
      </c>
      <c r="B133" s="233">
        <v>2184120</v>
      </c>
      <c r="C133" s="233">
        <v>2184120</v>
      </c>
      <c r="D133" s="233">
        <v>2184120</v>
      </c>
      <c r="E133" s="233">
        <v>2184120</v>
      </c>
      <c r="F133" s="233">
        <v>2184120</v>
      </c>
      <c r="G133" s="233">
        <v>2184120</v>
      </c>
      <c r="H133" s="233">
        <v>2184120</v>
      </c>
      <c r="I133" s="233">
        <v>2184120</v>
      </c>
      <c r="J133" s="233">
        <v>2184120</v>
      </c>
      <c r="K133" s="233">
        <v>2184120</v>
      </c>
      <c r="L133" s="233">
        <v>2184120</v>
      </c>
      <c r="M133" s="233">
        <v>2446216</v>
      </c>
      <c r="N133" s="233">
        <v>2739760</v>
      </c>
    </row>
    <row r="134" spans="1:14">
      <c r="A134" s="190">
        <f t="shared" si="2"/>
        <v>133</v>
      </c>
      <c r="B134" s="233">
        <v>1534264</v>
      </c>
      <c r="C134" s="233">
        <v>1718376</v>
      </c>
      <c r="D134" s="233">
        <v>1718376</v>
      </c>
      <c r="E134" s="233">
        <v>1924584</v>
      </c>
      <c r="F134" s="233">
        <v>1924584</v>
      </c>
      <c r="G134" s="233">
        <v>1924584</v>
      </c>
      <c r="H134" s="233">
        <v>1924584</v>
      </c>
      <c r="I134" s="233">
        <v>1924584</v>
      </c>
      <c r="J134" s="233">
        <v>1924584</v>
      </c>
      <c r="K134" s="233">
        <v>1924584</v>
      </c>
      <c r="L134" s="233">
        <v>1924584</v>
      </c>
      <c r="M134" s="233">
        <v>1824440</v>
      </c>
      <c r="N134" s="233">
        <v>1824440</v>
      </c>
    </row>
    <row r="135" spans="1:14">
      <c r="A135" s="190">
        <f t="shared" ref="A135:A197" si="3">+A134+1</f>
        <v>134</v>
      </c>
      <c r="B135" s="233">
        <v>1004696</v>
      </c>
      <c r="C135" s="233">
        <v>1004696</v>
      </c>
      <c r="D135" s="233">
        <v>1004696</v>
      </c>
      <c r="E135" s="233">
        <v>0</v>
      </c>
      <c r="F135" s="233">
        <v>0</v>
      </c>
      <c r="G135" s="233">
        <v>0</v>
      </c>
      <c r="H135" s="233">
        <v>0</v>
      </c>
      <c r="I135" s="233">
        <v>0</v>
      </c>
      <c r="J135" s="233">
        <v>0</v>
      </c>
      <c r="K135" s="233">
        <v>0</v>
      </c>
      <c r="L135" s="233">
        <v>0</v>
      </c>
      <c r="M135" s="233">
        <v>0</v>
      </c>
      <c r="N135" s="233">
        <v>0</v>
      </c>
    </row>
    <row r="136" spans="1:14">
      <c r="A136" s="190">
        <f t="shared" si="3"/>
        <v>135</v>
      </c>
      <c r="B136" s="233">
        <v>0</v>
      </c>
      <c r="C136" s="233">
        <v>3456000</v>
      </c>
      <c r="D136" s="233">
        <v>3456000</v>
      </c>
      <c r="E136" s="233">
        <v>3870720</v>
      </c>
      <c r="F136" s="233">
        <v>3870720</v>
      </c>
      <c r="G136" s="233">
        <v>3870720</v>
      </c>
      <c r="H136" s="233">
        <v>3870720</v>
      </c>
      <c r="I136" s="233">
        <v>3870720</v>
      </c>
      <c r="J136" s="233">
        <v>3870720</v>
      </c>
      <c r="K136" s="233">
        <v>4335208</v>
      </c>
      <c r="L136" s="233">
        <v>4335208</v>
      </c>
      <c r="M136" s="233">
        <v>4335208</v>
      </c>
      <c r="N136" s="233">
        <v>4335208</v>
      </c>
    </row>
    <row r="137" spans="1:14">
      <c r="A137" s="190">
        <f t="shared" si="3"/>
        <v>136</v>
      </c>
      <c r="B137" s="233">
        <v>3456000</v>
      </c>
      <c r="C137" s="233">
        <v>3179520</v>
      </c>
      <c r="D137" s="233">
        <v>3179520</v>
      </c>
      <c r="E137" s="233">
        <v>2925160</v>
      </c>
      <c r="F137" s="233">
        <v>2925160</v>
      </c>
      <c r="G137" s="233">
        <v>2925160</v>
      </c>
      <c r="H137" s="233">
        <v>2925160</v>
      </c>
      <c r="I137" s="233">
        <v>2925160</v>
      </c>
      <c r="J137" s="233">
        <v>2925160</v>
      </c>
      <c r="K137" s="233">
        <v>3276176</v>
      </c>
      <c r="L137" s="233">
        <v>3276176</v>
      </c>
      <c r="M137" s="233">
        <v>3014080</v>
      </c>
      <c r="N137" s="233">
        <v>3014080</v>
      </c>
    </row>
    <row r="138" spans="1:14">
      <c r="A138" s="190">
        <f t="shared" si="3"/>
        <v>137</v>
      </c>
      <c r="B138" s="233">
        <v>1369880</v>
      </c>
      <c r="C138" s="233">
        <v>1369880</v>
      </c>
      <c r="D138" s="233">
        <v>1369880</v>
      </c>
      <c r="E138" s="233">
        <v>1534264</v>
      </c>
      <c r="F138" s="233">
        <v>1534264</v>
      </c>
      <c r="G138" s="233">
        <v>1718376</v>
      </c>
      <c r="H138" s="233">
        <v>1718376</v>
      </c>
      <c r="I138" s="233">
        <v>1718376</v>
      </c>
      <c r="J138" s="233">
        <v>1718376</v>
      </c>
      <c r="K138" s="233">
        <v>1718376</v>
      </c>
      <c r="L138" s="233">
        <v>1718376</v>
      </c>
      <c r="M138" s="233">
        <v>1718376</v>
      </c>
      <c r="N138" s="233">
        <v>1718376</v>
      </c>
    </row>
    <row r="139" spans="1:14">
      <c r="A139" s="190">
        <f t="shared" si="3"/>
        <v>138</v>
      </c>
      <c r="B139" s="233">
        <v>1369880</v>
      </c>
      <c r="C139" s="233">
        <v>1369880</v>
      </c>
      <c r="D139" s="233">
        <v>0</v>
      </c>
      <c r="E139" s="233">
        <v>0</v>
      </c>
      <c r="F139" s="233">
        <v>0</v>
      </c>
      <c r="G139" s="233">
        <v>0</v>
      </c>
      <c r="H139" s="233">
        <v>0</v>
      </c>
      <c r="I139" s="233">
        <v>0</v>
      </c>
      <c r="J139" s="233">
        <v>0</v>
      </c>
      <c r="K139" s="233">
        <v>0</v>
      </c>
      <c r="L139" s="233">
        <v>0</v>
      </c>
      <c r="M139" s="233">
        <v>0</v>
      </c>
      <c r="N139" s="233">
        <v>0</v>
      </c>
    </row>
    <row r="140" spans="1:14">
      <c r="A140" s="190">
        <f t="shared" si="3"/>
        <v>139</v>
      </c>
      <c r="B140" s="233">
        <v>2304000</v>
      </c>
      <c r="C140" s="233">
        <v>2304000</v>
      </c>
      <c r="D140" s="233">
        <v>2119680</v>
      </c>
      <c r="E140" s="233">
        <v>1950104</v>
      </c>
      <c r="F140" s="233">
        <v>2184120</v>
      </c>
      <c r="G140" s="233">
        <v>2184120</v>
      </c>
      <c r="H140" s="233">
        <v>0</v>
      </c>
      <c r="I140" s="233">
        <v>0</v>
      </c>
      <c r="J140" s="233">
        <v>0</v>
      </c>
      <c r="K140" s="233">
        <v>0</v>
      </c>
      <c r="L140" s="233">
        <v>0</v>
      </c>
      <c r="M140" s="233">
        <v>0</v>
      </c>
      <c r="N140" s="233">
        <v>0</v>
      </c>
    </row>
    <row r="141" spans="1:14">
      <c r="A141" s="190">
        <f t="shared" si="3"/>
        <v>140</v>
      </c>
      <c r="B141" s="233">
        <v>1059840</v>
      </c>
      <c r="C141" s="233">
        <v>1187024</v>
      </c>
      <c r="D141" s="233">
        <v>1187024</v>
      </c>
      <c r="E141" s="233">
        <v>1187024</v>
      </c>
      <c r="F141" s="233">
        <v>1187024</v>
      </c>
      <c r="G141" s="233">
        <v>1329464</v>
      </c>
      <c r="H141" s="233">
        <v>1329464</v>
      </c>
      <c r="I141" s="233">
        <v>1223104</v>
      </c>
      <c r="J141" s="233">
        <v>1369880</v>
      </c>
      <c r="K141" s="233">
        <v>1369880</v>
      </c>
      <c r="L141" s="233">
        <v>1534264</v>
      </c>
      <c r="M141" s="233">
        <v>1534264</v>
      </c>
      <c r="N141" s="233">
        <v>1534264</v>
      </c>
    </row>
    <row r="142" spans="1:14">
      <c r="A142" s="190">
        <f t="shared" si="3"/>
        <v>141</v>
      </c>
      <c r="B142" s="233">
        <v>3456000</v>
      </c>
      <c r="C142" s="233">
        <v>3870720</v>
      </c>
      <c r="D142" s="233">
        <v>3870720</v>
      </c>
      <c r="E142" s="233">
        <v>3870720</v>
      </c>
      <c r="F142" s="233">
        <v>3276176</v>
      </c>
      <c r="G142" s="233">
        <v>3276176</v>
      </c>
      <c r="H142" s="233">
        <v>4109640</v>
      </c>
      <c r="I142" s="233">
        <v>4109640</v>
      </c>
      <c r="J142" s="233">
        <v>4109640</v>
      </c>
      <c r="K142" s="233">
        <v>4109640</v>
      </c>
      <c r="L142" s="233">
        <v>4109640</v>
      </c>
      <c r="M142" s="233">
        <v>3780864</v>
      </c>
      <c r="N142" s="233">
        <v>3780864</v>
      </c>
    </row>
    <row r="143" spans="1:14">
      <c r="A143" s="190">
        <f t="shared" si="3"/>
        <v>142</v>
      </c>
      <c r="B143" s="233">
        <v>2304000</v>
      </c>
      <c r="C143" s="233">
        <v>1950104</v>
      </c>
      <c r="D143" s="233">
        <v>1950104</v>
      </c>
      <c r="E143" s="233">
        <v>1950104</v>
      </c>
      <c r="F143" s="233">
        <v>1950104</v>
      </c>
      <c r="G143" s="233">
        <v>2184120</v>
      </c>
      <c r="H143" s="233">
        <v>2184120</v>
      </c>
      <c r="I143" s="233">
        <v>2184120</v>
      </c>
      <c r="J143" s="233">
        <v>2184120</v>
      </c>
      <c r="K143" s="233">
        <v>2184120</v>
      </c>
      <c r="L143" s="233">
        <v>2184120</v>
      </c>
      <c r="M143" s="233">
        <v>2184120</v>
      </c>
      <c r="N143" s="233">
        <v>2184120</v>
      </c>
    </row>
    <row r="144" spans="1:14">
      <c r="A144" s="190">
        <f t="shared" si="3"/>
        <v>143</v>
      </c>
      <c r="B144" s="233">
        <v>2304000</v>
      </c>
      <c r="C144" s="233">
        <v>2374040</v>
      </c>
      <c r="D144" s="233">
        <v>2374040</v>
      </c>
      <c r="E144" s="233">
        <v>2374040</v>
      </c>
      <c r="F144" s="233">
        <v>2374040</v>
      </c>
      <c r="G144" s="233">
        <v>2658928</v>
      </c>
      <c r="H144" s="233">
        <v>2658928</v>
      </c>
      <c r="I144" s="233">
        <v>2978000</v>
      </c>
      <c r="J144" s="233">
        <v>2978000</v>
      </c>
      <c r="K144" s="233">
        <v>2978000</v>
      </c>
      <c r="L144" s="233">
        <v>2978000</v>
      </c>
      <c r="M144" s="233">
        <v>2978000</v>
      </c>
      <c r="N144" s="233">
        <v>3068528</v>
      </c>
    </row>
    <row r="145" spans="1:14">
      <c r="A145" s="190">
        <f t="shared" si="3"/>
        <v>144</v>
      </c>
      <c r="B145" s="233">
        <v>1152000</v>
      </c>
      <c r="C145" s="233">
        <v>1152000</v>
      </c>
      <c r="D145" s="233">
        <v>1152000</v>
      </c>
      <c r="E145" s="233">
        <v>1152000</v>
      </c>
      <c r="F145" s="233">
        <v>1059840</v>
      </c>
      <c r="G145" s="233">
        <v>1059840</v>
      </c>
      <c r="H145" s="233">
        <v>1329464</v>
      </c>
      <c r="I145" s="233">
        <v>1329464</v>
      </c>
      <c r="J145" s="233">
        <v>0</v>
      </c>
      <c r="K145" s="233">
        <v>0</v>
      </c>
      <c r="L145" s="233">
        <v>0</v>
      </c>
      <c r="M145" s="233">
        <v>0</v>
      </c>
      <c r="N145" s="233">
        <v>0</v>
      </c>
    </row>
    <row r="146" spans="1:14">
      <c r="A146" s="190">
        <f t="shared" si="3"/>
        <v>145</v>
      </c>
      <c r="B146" s="233">
        <v>3276176</v>
      </c>
      <c r="C146" s="233">
        <v>3669320</v>
      </c>
      <c r="D146" s="233">
        <v>3669320</v>
      </c>
      <c r="E146" s="233">
        <v>3669320</v>
      </c>
      <c r="F146" s="233">
        <v>4109640</v>
      </c>
      <c r="G146" s="233">
        <v>4109640</v>
      </c>
      <c r="H146" s="233">
        <v>3780864</v>
      </c>
      <c r="I146" s="233">
        <v>4234568</v>
      </c>
      <c r="J146" s="233">
        <v>4234568</v>
      </c>
      <c r="K146" s="233">
        <v>4234568</v>
      </c>
      <c r="L146" s="233">
        <v>4234568</v>
      </c>
      <c r="M146" s="233">
        <v>3895808</v>
      </c>
      <c r="N146" s="233">
        <v>3895808</v>
      </c>
    </row>
    <row r="147" spans="1:14">
      <c r="A147" s="190">
        <f t="shared" si="3"/>
        <v>146</v>
      </c>
      <c r="B147" s="233">
        <v>924320</v>
      </c>
      <c r="C147" s="233">
        <v>924320</v>
      </c>
      <c r="D147" s="233">
        <v>924320</v>
      </c>
      <c r="E147" s="233">
        <v>924320</v>
      </c>
      <c r="F147" s="233">
        <v>850376</v>
      </c>
      <c r="G147" s="233">
        <v>850376</v>
      </c>
      <c r="H147" s="233">
        <v>850376</v>
      </c>
      <c r="I147" s="233">
        <v>850376</v>
      </c>
      <c r="J147" s="233">
        <v>952416</v>
      </c>
      <c r="K147" s="233">
        <v>952416</v>
      </c>
      <c r="L147" s="233">
        <v>952416</v>
      </c>
      <c r="M147" s="233">
        <v>952416</v>
      </c>
      <c r="N147" s="233">
        <v>952416</v>
      </c>
    </row>
    <row r="148" spans="1:14">
      <c r="A148" s="190">
        <f t="shared" si="3"/>
        <v>147</v>
      </c>
      <c r="B148" s="233">
        <v>1618480</v>
      </c>
      <c r="C148" s="233">
        <v>1618480</v>
      </c>
      <c r="D148" s="233">
        <v>1618480</v>
      </c>
      <c r="E148" s="233">
        <v>1618480</v>
      </c>
      <c r="F148" s="233">
        <v>1618480</v>
      </c>
      <c r="G148" s="233">
        <v>1618480</v>
      </c>
      <c r="H148" s="233">
        <v>1489000</v>
      </c>
      <c r="I148" s="233">
        <v>1489000</v>
      </c>
      <c r="J148" s="233">
        <v>1489000</v>
      </c>
      <c r="K148" s="233">
        <v>1489000</v>
      </c>
      <c r="L148" s="233">
        <v>0</v>
      </c>
      <c r="M148" s="233">
        <v>0</v>
      </c>
      <c r="N148" s="233">
        <v>0</v>
      </c>
    </row>
    <row r="149" spans="1:14">
      <c r="A149" s="190">
        <f t="shared" si="3"/>
        <v>148</v>
      </c>
      <c r="B149" s="233">
        <v>3561064</v>
      </c>
      <c r="C149" s="233">
        <v>3988392</v>
      </c>
      <c r="D149" s="233">
        <v>3988392</v>
      </c>
      <c r="E149" s="233">
        <v>3988392</v>
      </c>
      <c r="F149" s="233">
        <v>4467000</v>
      </c>
      <c r="G149" s="233">
        <v>4109640</v>
      </c>
      <c r="H149" s="233">
        <v>0</v>
      </c>
      <c r="I149" s="233">
        <v>0</v>
      </c>
      <c r="J149" s="233">
        <v>0</v>
      </c>
      <c r="K149" s="233">
        <v>0</v>
      </c>
      <c r="L149" s="233">
        <v>0</v>
      </c>
      <c r="M149" s="233">
        <v>0</v>
      </c>
      <c r="N149" s="233">
        <v>0</v>
      </c>
    </row>
    <row r="150" spans="1:14">
      <c r="A150" s="190">
        <f t="shared" si="3"/>
        <v>149</v>
      </c>
      <c r="B150" s="233">
        <v>1125256</v>
      </c>
      <c r="C150" s="233">
        <v>1125256</v>
      </c>
      <c r="D150" s="233">
        <v>1125256</v>
      </c>
      <c r="E150" s="233">
        <v>1125256</v>
      </c>
      <c r="F150" s="233">
        <v>1125256</v>
      </c>
      <c r="G150" s="233">
        <v>1125256</v>
      </c>
      <c r="H150" s="233">
        <v>1125256</v>
      </c>
      <c r="I150" s="233">
        <v>1035240</v>
      </c>
      <c r="J150" s="233">
        <v>1159464</v>
      </c>
      <c r="K150" s="233">
        <v>1159464</v>
      </c>
      <c r="L150" s="233">
        <v>1159464</v>
      </c>
      <c r="M150" s="233">
        <v>1159464</v>
      </c>
      <c r="N150" s="233">
        <v>1159464</v>
      </c>
    </row>
    <row r="151" spans="1:14">
      <c r="A151" s="190">
        <f t="shared" si="3"/>
        <v>150</v>
      </c>
      <c r="B151" s="233">
        <v>3456000</v>
      </c>
      <c r="C151" s="233">
        <v>3456000</v>
      </c>
      <c r="D151" s="233">
        <v>3456000</v>
      </c>
      <c r="E151" s="233">
        <v>3456000</v>
      </c>
      <c r="F151" s="233">
        <v>0</v>
      </c>
      <c r="G151" s="233">
        <v>0</v>
      </c>
      <c r="H151" s="233">
        <v>0</v>
      </c>
      <c r="I151" s="233">
        <v>0</v>
      </c>
      <c r="J151" s="233">
        <v>0</v>
      </c>
      <c r="K151" s="233">
        <v>0</v>
      </c>
      <c r="L151" s="233">
        <v>0</v>
      </c>
      <c r="M151" s="233">
        <v>0</v>
      </c>
      <c r="N151" s="233">
        <v>0</v>
      </c>
    </row>
    <row r="152" spans="1:14">
      <c r="A152" s="190">
        <f t="shared" si="3"/>
        <v>151</v>
      </c>
      <c r="B152" s="233">
        <v>2304000</v>
      </c>
      <c r="C152" s="233">
        <v>2304000</v>
      </c>
      <c r="D152" s="233">
        <v>2304000</v>
      </c>
      <c r="E152" s="233">
        <v>2580480</v>
      </c>
      <c r="F152" s="233">
        <v>2580480</v>
      </c>
      <c r="G152" s="233">
        <v>2580480</v>
      </c>
      <c r="H152" s="233">
        <v>2374040</v>
      </c>
      <c r="I152" s="233">
        <v>2658928</v>
      </c>
      <c r="J152" s="233">
        <v>2658928</v>
      </c>
      <c r="K152" s="233">
        <v>2658928</v>
      </c>
      <c r="L152" s="233">
        <v>0</v>
      </c>
      <c r="M152" s="233">
        <v>0</v>
      </c>
      <c r="N152" s="233">
        <v>0</v>
      </c>
    </row>
    <row r="153" spans="1:14">
      <c r="A153" s="190">
        <f t="shared" si="3"/>
        <v>152</v>
      </c>
      <c r="B153" s="233">
        <v>2857256</v>
      </c>
      <c r="C153" s="233">
        <v>3200128</v>
      </c>
      <c r="D153" s="233">
        <v>0</v>
      </c>
      <c r="E153" s="233">
        <v>0</v>
      </c>
      <c r="F153" s="233">
        <v>0</v>
      </c>
      <c r="G153" s="233">
        <v>0</v>
      </c>
      <c r="H153" s="233">
        <v>0</v>
      </c>
      <c r="I153" s="233">
        <v>0</v>
      </c>
      <c r="J153" s="233">
        <v>0</v>
      </c>
      <c r="K153" s="233">
        <v>0</v>
      </c>
      <c r="L153" s="233">
        <v>0</v>
      </c>
      <c r="M153" s="233">
        <v>0</v>
      </c>
      <c r="N153" s="233">
        <v>0</v>
      </c>
    </row>
    <row r="154" spans="1:14">
      <c r="A154" s="190">
        <f t="shared" si="3"/>
        <v>153</v>
      </c>
      <c r="B154" s="233">
        <v>2119680</v>
      </c>
      <c r="C154" s="233">
        <v>2119680</v>
      </c>
      <c r="D154" s="233">
        <v>2374040</v>
      </c>
      <c r="E154" s="233">
        <v>2374040</v>
      </c>
      <c r="F154" s="233">
        <v>2374040</v>
      </c>
      <c r="G154" s="233">
        <v>2374040</v>
      </c>
      <c r="H154" s="233">
        <v>2374040</v>
      </c>
      <c r="I154" s="233">
        <v>2184120</v>
      </c>
      <c r="J154" s="233">
        <v>2184120</v>
      </c>
      <c r="K154" s="233">
        <v>2184120</v>
      </c>
      <c r="L154" s="233">
        <v>2184120</v>
      </c>
      <c r="M154" s="233">
        <v>2184120</v>
      </c>
      <c r="N154" s="233">
        <v>2184120</v>
      </c>
    </row>
    <row r="155" spans="1:14">
      <c r="A155" s="190">
        <f t="shared" si="3"/>
        <v>154</v>
      </c>
      <c r="B155" s="233">
        <v>1223104</v>
      </c>
      <c r="C155" s="233">
        <v>1223104</v>
      </c>
      <c r="D155" s="233">
        <v>1223104</v>
      </c>
      <c r="E155" s="233">
        <v>1223104</v>
      </c>
      <c r="F155" s="233">
        <v>1223104</v>
      </c>
      <c r="G155" s="233">
        <v>1223104</v>
      </c>
      <c r="H155" s="233">
        <v>1223104</v>
      </c>
      <c r="I155" s="233">
        <v>1223104</v>
      </c>
      <c r="J155" s="233">
        <v>1223104</v>
      </c>
      <c r="K155" s="233">
        <v>1223104</v>
      </c>
      <c r="L155" s="233">
        <v>1125256</v>
      </c>
      <c r="M155" s="233">
        <v>1125256</v>
      </c>
      <c r="N155" s="233">
        <v>1125256</v>
      </c>
    </row>
    <row r="156" spans="1:14">
      <c r="A156" s="190">
        <f t="shared" si="3"/>
        <v>155</v>
      </c>
      <c r="B156" s="233">
        <v>3179520</v>
      </c>
      <c r="C156" s="233">
        <v>3179520</v>
      </c>
      <c r="D156" s="233">
        <v>3179520</v>
      </c>
      <c r="E156" s="233">
        <v>3179520</v>
      </c>
      <c r="F156" s="233">
        <v>3179520</v>
      </c>
      <c r="G156" s="233">
        <v>3179520</v>
      </c>
      <c r="H156" s="233">
        <v>3561064</v>
      </c>
      <c r="I156" s="233">
        <v>3561064</v>
      </c>
      <c r="J156" s="233">
        <v>3561064</v>
      </c>
      <c r="K156" s="233">
        <v>0</v>
      </c>
      <c r="L156" s="233">
        <v>0</v>
      </c>
      <c r="M156" s="233">
        <v>0</v>
      </c>
      <c r="N156" s="233">
        <v>0</v>
      </c>
    </row>
    <row r="157" spans="1:14">
      <c r="A157" s="190">
        <f t="shared" si="3"/>
        <v>156</v>
      </c>
      <c r="B157" s="233">
        <v>975056</v>
      </c>
      <c r="C157" s="233">
        <v>975056</v>
      </c>
      <c r="D157" s="233">
        <v>975056</v>
      </c>
      <c r="E157" s="233">
        <v>975056</v>
      </c>
      <c r="F157" s="233">
        <v>975056</v>
      </c>
      <c r="G157" s="233">
        <v>897048</v>
      </c>
      <c r="H157" s="233">
        <v>897048</v>
      </c>
      <c r="I157" s="233">
        <v>897048</v>
      </c>
      <c r="J157" s="233">
        <v>897048</v>
      </c>
      <c r="K157" s="233">
        <v>897048</v>
      </c>
      <c r="L157" s="233">
        <v>897048</v>
      </c>
      <c r="M157" s="233">
        <v>1004696</v>
      </c>
      <c r="N157" s="233">
        <v>1125256</v>
      </c>
    </row>
    <row r="158" spans="1:14">
      <c r="A158" s="190">
        <f t="shared" si="3"/>
        <v>157</v>
      </c>
      <c r="B158" s="233">
        <v>2580480</v>
      </c>
      <c r="C158" s="233">
        <v>2890136</v>
      </c>
      <c r="D158" s="233">
        <v>2890136</v>
      </c>
      <c r="E158" s="233">
        <v>2890136</v>
      </c>
      <c r="F158" s="233">
        <v>2890136</v>
      </c>
      <c r="G158" s="233">
        <v>3236952</v>
      </c>
      <c r="H158" s="233">
        <v>3236952</v>
      </c>
      <c r="I158" s="233">
        <v>3236952</v>
      </c>
      <c r="J158" s="233">
        <v>2978000</v>
      </c>
      <c r="K158" s="233">
        <v>2978000</v>
      </c>
      <c r="L158" s="233">
        <v>2978000</v>
      </c>
      <c r="M158" s="233">
        <v>2978000</v>
      </c>
      <c r="N158" s="233">
        <v>2978000</v>
      </c>
    </row>
    <row r="159" spans="1:14">
      <c r="A159" s="190">
        <f t="shared" si="3"/>
        <v>158</v>
      </c>
      <c r="B159" s="233">
        <v>1004696</v>
      </c>
      <c r="C159" s="233">
        <v>1125256</v>
      </c>
      <c r="D159" s="233">
        <v>1125256</v>
      </c>
      <c r="E159" s="233">
        <v>1125256</v>
      </c>
      <c r="F159" s="233">
        <v>1125256</v>
      </c>
      <c r="G159" s="233">
        <v>1035240</v>
      </c>
      <c r="H159" s="233">
        <v>1035240</v>
      </c>
      <c r="I159" s="233">
        <v>1035240</v>
      </c>
      <c r="J159" s="233">
        <v>1035240</v>
      </c>
      <c r="K159" s="233">
        <v>1035240</v>
      </c>
      <c r="L159" s="233">
        <v>1035240</v>
      </c>
      <c r="M159" s="233">
        <v>952416</v>
      </c>
      <c r="N159" s="233">
        <v>876224</v>
      </c>
    </row>
    <row r="160" spans="1:14">
      <c r="A160" s="190">
        <f t="shared" si="3"/>
        <v>159</v>
      </c>
      <c r="B160" s="233">
        <v>2304000</v>
      </c>
      <c r="C160" s="233">
        <v>2580480</v>
      </c>
      <c r="D160" s="233">
        <v>2580480</v>
      </c>
      <c r="E160" s="233">
        <v>2580480</v>
      </c>
      <c r="F160" s="233">
        <v>3236952</v>
      </c>
      <c r="G160" s="233">
        <v>3236952</v>
      </c>
      <c r="H160" s="233">
        <v>3236952</v>
      </c>
      <c r="I160" s="233">
        <v>2978000</v>
      </c>
      <c r="J160" s="233">
        <v>2978000</v>
      </c>
      <c r="K160" s="233">
        <v>2739760</v>
      </c>
      <c r="L160" s="233">
        <v>2739760</v>
      </c>
      <c r="M160" s="233">
        <v>2520576</v>
      </c>
      <c r="N160" s="233">
        <v>2520576</v>
      </c>
    </row>
    <row r="161" spans="1:14">
      <c r="A161" s="190">
        <f t="shared" si="3"/>
        <v>160</v>
      </c>
      <c r="B161" s="233">
        <v>3276176</v>
      </c>
      <c r="C161" s="233">
        <v>3276176</v>
      </c>
      <c r="D161" s="233">
        <v>3669320</v>
      </c>
      <c r="E161" s="233">
        <v>3375776</v>
      </c>
      <c r="F161" s="233">
        <v>3375776</v>
      </c>
      <c r="G161" s="233">
        <v>3375776</v>
      </c>
      <c r="H161" s="233">
        <v>3375776</v>
      </c>
      <c r="I161" s="233">
        <v>3375776</v>
      </c>
      <c r="J161" s="233">
        <v>3375776</v>
      </c>
      <c r="K161" s="233">
        <v>3375776</v>
      </c>
      <c r="L161" s="233">
        <v>3780864</v>
      </c>
      <c r="M161" s="233">
        <v>0</v>
      </c>
      <c r="N161" s="233">
        <v>0</v>
      </c>
    </row>
    <row r="162" spans="1:14">
      <c r="A162" s="190">
        <f t="shared" si="3"/>
        <v>161</v>
      </c>
      <c r="B162" s="233">
        <v>2580480</v>
      </c>
      <c r="C162" s="233">
        <v>2580480</v>
      </c>
      <c r="D162" s="233">
        <v>2580480</v>
      </c>
      <c r="E162" s="233">
        <v>2580480</v>
      </c>
      <c r="F162" s="233">
        <v>2580480</v>
      </c>
      <c r="G162" s="233">
        <v>2580480</v>
      </c>
      <c r="H162" s="233">
        <v>2580480</v>
      </c>
      <c r="I162" s="233">
        <v>2580480</v>
      </c>
      <c r="J162" s="233">
        <v>2890136</v>
      </c>
      <c r="K162" s="233">
        <v>2890136</v>
      </c>
      <c r="L162" s="233">
        <v>2890136</v>
      </c>
      <c r="M162" s="233">
        <v>2890136</v>
      </c>
      <c r="N162" s="233">
        <v>2890136</v>
      </c>
    </row>
    <row r="163" spans="1:14">
      <c r="A163" s="190">
        <f t="shared" si="3"/>
        <v>162</v>
      </c>
      <c r="B163" s="233">
        <v>3456000</v>
      </c>
      <c r="C163" s="233">
        <v>3870720</v>
      </c>
      <c r="D163" s="233">
        <v>3870720</v>
      </c>
      <c r="E163" s="233">
        <v>3870720</v>
      </c>
      <c r="F163" s="233">
        <v>0</v>
      </c>
      <c r="G163" s="233">
        <v>0</v>
      </c>
      <c r="H163" s="233">
        <v>0</v>
      </c>
      <c r="I163" s="233">
        <v>0</v>
      </c>
      <c r="J163" s="233">
        <v>0</v>
      </c>
      <c r="K163" s="233">
        <v>0</v>
      </c>
      <c r="L163" s="233">
        <v>0</v>
      </c>
      <c r="M163" s="233">
        <v>0</v>
      </c>
      <c r="N163" s="233">
        <v>0</v>
      </c>
    </row>
    <row r="164" spans="1:14">
      <c r="A164" s="190">
        <f t="shared" si="3"/>
        <v>163</v>
      </c>
      <c r="B164" s="233">
        <v>2304000</v>
      </c>
      <c r="C164" s="233">
        <v>2580480</v>
      </c>
      <c r="D164" s="233">
        <v>2580480</v>
      </c>
      <c r="E164" s="233">
        <v>2580480</v>
      </c>
      <c r="F164" s="233">
        <v>2580480</v>
      </c>
      <c r="G164" s="233">
        <v>2374040</v>
      </c>
      <c r="H164" s="233">
        <v>2374040</v>
      </c>
      <c r="I164" s="233">
        <v>2184120</v>
      </c>
      <c r="J164" s="233">
        <v>2184120</v>
      </c>
      <c r="K164" s="233">
        <v>0</v>
      </c>
      <c r="L164" s="233">
        <v>0</v>
      </c>
      <c r="M164" s="233">
        <v>0</v>
      </c>
      <c r="N164" s="233">
        <v>0</v>
      </c>
    </row>
    <row r="165" spans="1:14">
      <c r="A165" s="190">
        <f t="shared" si="3"/>
        <v>164</v>
      </c>
      <c r="B165" s="233">
        <v>1059840</v>
      </c>
      <c r="C165" s="233">
        <v>1329464</v>
      </c>
      <c r="D165" s="233">
        <v>1329464</v>
      </c>
      <c r="E165" s="233">
        <v>1223104</v>
      </c>
      <c r="F165" s="233">
        <v>1223104</v>
      </c>
      <c r="G165" s="233">
        <v>1223104</v>
      </c>
      <c r="H165" s="233">
        <v>1223104</v>
      </c>
      <c r="I165" s="233">
        <v>1125256</v>
      </c>
      <c r="J165" s="233">
        <v>0</v>
      </c>
      <c r="K165" s="233">
        <v>0</v>
      </c>
      <c r="L165" s="233">
        <v>0</v>
      </c>
      <c r="M165" s="233">
        <v>0</v>
      </c>
      <c r="N165" s="233">
        <v>0</v>
      </c>
    </row>
    <row r="166" spans="1:14">
      <c r="A166" s="190">
        <f t="shared" si="3"/>
        <v>165</v>
      </c>
      <c r="B166" s="233">
        <v>2119680</v>
      </c>
      <c r="C166" s="233">
        <v>2119680</v>
      </c>
      <c r="D166" s="233">
        <v>2119680</v>
      </c>
      <c r="E166" s="233">
        <v>2119680</v>
      </c>
      <c r="F166" s="233">
        <v>2374040</v>
      </c>
      <c r="G166" s="233">
        <v>2374040</v>
      </c>
      <c r="H166" s="233">
        <v>2184120</v>
      </c>
      <c r="I166" s="233">
        <v>2184120</v>
      </c>
      <c r="J166" s="233">
        <v>2446216</v>
      </c>
      <c r="K166" s="233">
        <v>2446216</v>
      </c>
      <c r="L166" s="233">
        <v>3068528</v>
      </c>
      <c r="M166" s="233">
        <v>2823048</v>
      </c>
      <c r="N166" s="233">
        <v>2823048</v>
      </c>
    </row>
    <row r="167" spans="1:14">
      <c r="A167" s="190">
        <f t="shared" si="3"/>
        <v>166</v>
      </c>
      <c r="B167" s="233">
        <v>1290240</v>
      </c>
      <c r="C167" s="233">
        <v>1290240</v>
      </c>
      <c r="D167" s="233">
        <v>1290240</v>
      </c>
      <c r="E167" s="233">
        <v>1445072</v>
      </c>
      <c r="F167" s="233">
        <v>1618480</v>
      </c>
      <c r="G167" s="233">
        <v>1812696</v>
      </c>
      <c r="H167" s="233">
        <v>1812696</v>
      </c>
      <c r="I167" s="233">
        <v>2030216</v>
      </c>
      <c r="J167" s="233">
        <v>2030216</v>
      </c>
      <c r="K167" s="233">
        <v>2030216</v>
      </c>
      <c r="L167" s="233">
        <v>2030216</v>
      </c>
      <c r="M167" s="233">
        <v>2030216</v>
      </c>
      <c r="N167" s="233">
        <v>2030216</v>
      </c>
    </row>
    <row r="168" spans="1:14">
      <c r="A168" s="190">
        <f t="shared" si="3"/>
        <v>167</v>
      </c>
      <c r="B168" s="233">
        <v>1152000</v>
      </c>
      <c r="C168" s="233">
        <v>1059840</v>
      </c>
      <c r="D168" s="233">
        <v>1059840</v>
      </c>
      <c r="E168" s="233">
        <v>1092056</v>
      </c>
      <c r="F168" s="233">
        <v>1092056</v>
      </c>
      <c r="G168" s="233">
        <v>1092056</v>
      </c>
      <c r="H168" s="233">
        <v>1092056</v>
      </c>
      <c r="I168" s="233">
        <v>0</v>
      </c>
      <c r="J168" s="233">
        <v>0</v>
      </c>
      <c r="K168" s="233">
        <v>0</v>
      </c>
      <c r="L168" s="233">
        <v>0</v>
      </c>
      <c r="M168" s="233">
        <v>0</v>
      </c>
      <c r="N168" s="233">
        <v>0</v>
      </c>
    </row>
    <row r="169" spans="1:14">
      <c r="A169" s="190">
        <f t="shared" si="3"/>
        <v>168</v>
      </c>
      <c r="B169" s="233">
        <v>975056</v>
      </c>
      <c r="C169" s="233">
        <v>975056</v>
      </c>
      <c r="D169" s="233">
        <v>897048</v>
      </c>
      <c r="E169" s="233">
        <v>897048</v>
      </c>
      <c r="F169" s="233">
        <v>897048</v>
      </c>
      <c r="G169" s="233">
        <v>1004696</v>
      </c>
      <c r="H169" s="233">
        <v>1125256</v>
      </c>
      <c r="I169" s="233">
        <v>1125256</v>
      </c>
      <c r="J169" s="233">
        <v>1035240</v>
      </c>
      <c r="K169" s="233">
        <v>1035240</v>
      </c>
      <c r="L169" s="233">
        <v>1035240</v>
      </c>
      <c r="M169" s="233">
        <v>1035240</v>
      </c>
      <c r="N169" s="233">
        <v>1035240</v>
      </c>
    </row>
    <row r="170" spans="1:14">
      <c r="A170" s="190">
        <f t="shared" si="3"/>
        <v>169</v>
      </c>
      <c r="B170" s="233">
        <v>2184120</v>
      </c>
      <c r="C170" s="233">
        <v>2184120</v>
      </c>
      <c r="D170" s="233">
        <v>2184120</v>
      </c>
      <c r="E170" s="233">
        <v>2446216</v>
      </c>
      <c r="F170" s="233">
        <v>2446216</v>
      </c>
      <c r="G170" s="233">
        <v>2446216</v>
      </c>
      <c r="H170" s="233">
        <v>2739760</v>
      </c>
      <c r="I170" s="233">
        <v>2520576</v>
      </c>
      <c r="J170" s="233">
        <v>2520576</v>
      </c>
      <c r="K170" s="233">
        <v>2823048</v>
      </c>
      <c r="L170" s="233">
        <v>3161816</v>
      </c>
      <c r="M170" s="233">
        <v>3161816</v>
      </c>
      <c r="N170" s="233">
        <v>3161816</v>
      </c>
    </row>
    <row r="171" spans="1:14">
      <c r="A171" s="190">
        <f t="shared" si="3"/>
        <v>170</v>
      </c>
      <c r="B171" s="233">
        <v>3276176</v>
      </c>
      <c r="C171" s="233">
        <v>3276176</v>
      </c>
      <c r="D171" s="233">
        <v>3669320</v>
      </c>
      <c r="E171" s="233">
        <v>3669320</v>
      </c>
      <c r="F171" s="233">
        <v>3669320</v>
      </c>
      <c r="G171" s="233">
        <v>0</v>
      </c>
      <c r="H171" s="233">
        <v>0</v>
      </c>
      <c r="I171" s="233">
        <v>0</v>
      </c>
      <c r="J171" s="233">
        <v>0</v>
      </c>
      <c r="K171" s="233">
        <v>0</v>
      </c>
      <c r="L171" s="233">
        <v>0</v>
      </c>
      <c r="M171" s="233">
        <v>0</v>
      </c>
      <c r="N171" s="233">
        <v>0</v>
      </c>
    </row>
    <row r="172" spans="1:14">
      <c r="A172" s="190">
        <f t="shared" si="3"/>
        <v>171</v>
      </c>
      <c r="B172" s="233">
        <v>1290240</v>
      </c>
      <c r="C172" s="233">
        <v>1290240</v>
      </c>
      <c r="D172" s="233">
        <v>1445072</v>
      </c>
      <c r="E172" s="233">
        <v>1329464</v>
      </c>
      <c r="F172" s="233">
        <v>1329464</v>
      </c>
      <c r="G172" s="233">
        <v>1329464</v>
      </c>
      <c r="H172" s="233">
        <v>1329464</v>
      </c>
      <c r="I172" s="233">
        <v>1329464</v>
      </c>
      <c r="J172" s="233">
        <v>1329464</v>
      </c>
      <c r="K172" s="233">
        <v>1329464</v>
      </c>
      <c r="L172" s="233">
        <v>1489000</v>
      </c>
      <c r="M172" s="233">
        <v>1489000</v>
      </c>
      <c r="N172" s="233">
        <v>1667680</v>
      </c>
    </row>
    <row r="173" spans="1:14">
      <c r="A173" s="190">
        <f t="shared" si="3"/>
        <v>172</v>
      </c>
      <c r="B173" s="233">
        <v>3456000</v>
      </c>
      <c r="C173" s="233">
        <v>3456000</v>
      </c>
      <c r="D173" s="233">
        <v>3179520</v>
      </c>
      <c r="E173" s="233">
        <v>3179520</v>
      </c>
      <c r="F173" s="233">
        <v>2925160</v>
      </c>
      <c r="G173" s="233">
        <v>3276176</v>
      </c>
      <c r="H173" s="233">
        <v>3375776</v>
      </c>
      <c r="I173" s="233">
        <v>3780864</v>
      </c>
      <c r="J173" s="233">
        <v>3780864</v>
      </c>
      <c r="K173" s="233">
        <v>3780864</v>
      </c>
      <c r="L173" s="233">
        <v>3780864</v>
      </c>
      <c r="M173" s="233">
        <v>3780864</v>
      </c>
      <c r="N173" s="233">
        <v>3780864</v>
      </c>
    </row>
    <row r="174" spans="1:14">
      <c r="A174" s="190">
        <f t="shared" si="3"/>
        <v>173</v>
      </c>
      <c r="B174" s="233">
        <v>2250512</v>
      </c>
      <c r="C174" s="233">
        <v>2250512</v>
      </c>
      <c r="D174" s="233">
        <v>2250512</v>
      </c>
      <c r="E174" s="233">
        <v>2250512</v>
      </c>
      <c r="F174" s="233">
        <v>2250512</v>
      </c>
      <c r="G174" s="233">
        <v>2250512</v>
      </c>
      <c r="H174" s="233">
        <v>2250512</v>
      </c>
      <c r="I174" s="233">
        <v>2250512</v>
      </c>
      <c r="J174" s="233">
        <v>2070472</v>
      </c>
      <c r="K174" s="233">
        <v>2318928</v>
      </c>
      <c r="L174" s="233">
        <v>2318928</v>
      </c>
      <c r="M174" s="233">
        <v>2318928</v>
      </c>
      <c r="N174" s="233">
        <v>2318928</v>
      </c>
    </row>
    <row r="175" spans="1:14">
      <c r="A175" s="190">
        <f t="shared" si="3"/>
        <v>174</v>
      </c>
      <c r="B175" s="233">
        <v>3870720</v>
      </c>
      <c r="C175" s="233">
        <v>3870720</v>
      </c>
      <c r="D175" s="233">
        <v>3870720</v>
      </c>
      <c r="E175" s="233">
        <v>3870720</v>
      </c>
      <c r="F175" s="233">
        <v>4335208</v>
      </c>
      <c r="G175" s="233">
        <v>4335208</v>
      </c>
      <c r="H175" s="233">
        <v>3988392</v>
      </c>
      <c r="I175" s="233">
        <v>4467000</v>
      </c>
      <c r="J175" s="233">
        <v>4467000</v>
      </c>
      <c r="K175" s="233">
        <v>4467000</v>
      </c>
      <c r="L175" s="233">
        <v>4467000</v>
      </c>
      <c r="M175" s="233">
        <v>4467000</v>
      </c>
      <c r="N175" s="233">
        <v>4467000</v>
      </c>
    </row>
    <row r="176" spans="1:14">
      <c r="A176" s="190">
        <f t="shared" si="3"/>
        <v>175</v>
      </c>
      <c r="B176" s="233">
        <v>1329464</v>
      </c>
      <c r="C176" s="233">
        <v>1329464</v>
      </c>
      <c r="D176" s="233">
        <v>1329464</v>
      </c>
      <c r="E176" s="233">
        <v>1329464</v>
      </c>
      <c r="F176" s="233">
        <v>1329464</v>
      </c>
      <c r="G176" s="233">
        <v>1329464</v>
      </c>
      <c r="H176" s="233">
        <v>1329464</v>
      </c>
      <c r="I176" s="233">
        <v>1329464</v>
      </c>
      <c r="J176" s="233">
        <v>1489000</v>
      </c>
      <c r="K176" s="233">
        <v>1489000</v>
      </c>
      <c r="L176" s="233">
        <v>1489000</v>
      </c>
      <c r="M176" s="233">
        <v>1489000</v>
      </c>
      <c r="N176" s="233">
        <v>1489000</v>
      </c>
    </row>
    <row r="177" spans="1:14">
      <c r="A177" s="190">
        <f t="shared" si="3"/>
        <v>176</v>
      </c>
      <c r="B177" s="233">
        <v>3456000</v>
      </c>
      <c r="C177" s="233">
        <v>3179520</v>
      </c>
      <c r="D177" s="233">
        <v>3179520</v>
      </c>
      <c r="E177" s="233">
        <v>3179520</v>
      </c>
      <c r="F177" s="233">
        <v>3561064</v>
      </c>
      <c r="G177" s="233">
        <v>3988392</v>
      </c>
      <c r="H177" s="233">
        <v>3988392</v>
      </c>
      <c r="I177" s="233">
        <v>3988392</v>
      </c>
      <c r="J177" s="233">
        <v>4467000</v>
      </c>
      <c r="K177" s="233">
        <v>0</v>
      </c>
      <c r="L177" s="233">
        <v>0</v>
      </c>
      <c r="M177" s="233">
        <v>0</v>
      </c>
      <c r="N177" s="233">
        <v>0</v>
      </c>
    </row>
    <row r="178" spans="1:14">
      <c r="A178" s="190">
        <f t="shared" si="3"/>
        <v>177</v>
      </c>
      <c r="B178" s="233">
        <v>2374040</v>
      </c>
      <c r="C178" s="233">
        <v>2374040</v>
      </c>
      <c r="D178" s="233">
        <v>2374040</v>
      </c>
      <c r="E178" s="233">
        <v>2374040</v>
      </c>
      <c r="F178" s="233">
        <v>2374040</v>
      </c>
      <c r="G178" s="233">
        <v>2374040</v>
      </c>
      <c r="H178" s="233">
        <v>2658928</v>
      </c>
      <c r="I178" s="233">
        <v>2978000</v>
      </c>
      <c r="J178" s="233">
        <v>2978000</v>
      </c>
      <c r="K178" s="233">
        <v>2978000</v>
      </c>
      <c r="L178" s="233">
        <v>2978000</v>
      </c>
      <c r="M178" s="233">
        <v>2978000</v>
      </c>
      <c r="N178" s="233">
        <v>2978000</v>
      </c>
    </row>
    <row r="179" spans="1:14">
      <c r="A179" s="190">
        <f t="shared" si="3"/>
        <v>178</v>
      </c>
      <c r="B179" s="233">
        <v>2890136</v>
      </c>
      <c r="C179" s="233">
        <v>2890136</v>
      </c>
      <c r="D179" s="233">
        <v>2890136</v>
      </c>
      <c r="E179" s="233">
        <v>2890136</v>
      </c>
      <c r="F179" s="233">
        <v>2890136</v>
      </c>
      <c r="G179" s="233">
        <v>2890136</v>
      </c>
      <c r="H179" s="233">
        <v>2658928</v>
      </c>
      <c r="I179" s="233">
        <v>2658928</v>
      </c>
      <c r="J179" s="233">
        <v>2658928</v>
      </c>
      <c r="K179" s="233">
        <v>2658928</v>
      </c>
      <c r="L179" s="233">
        <v>2658928</v>
      </c>
      <c r="M179" s="233">
        <v>2658928</v>
      </c>
      <c r="N179" s="233">
        <v>2658928</v>
      </c>
    </row>
    <row r="180" spans="1:14">
      <c r="A180" s="190">
        <f t="shared" si="3"/>
        <v>179</v>
      </c>
      <c r="B180" s="233">
        <v>2374040</v>
      </c>
      <c r="C180" s="233">
        <v>2374040</v>
      </c>
      <c r="D180" s="233">
        <v>2184120</v>
      </c>
      <c r="E180" s="233">
        <v>2184120</v>
      </c>
      <c r="F180" s="233">
        <v>2009392</v>
      </c>
      <c r="G180" s="233">
        <v>2009392</v>
      </c>
      <c r="H180" s="233">
        <v>2009392</v>
      </c>
      <c r="I180" s="233">
        <v>2009392</v>
      </c>
      <c r="J180" s="233">
        <v>1848640</v>
      </c>
      <c r="K180" s="233">
        <v>1848640</v>
      </c>
      <c r="L180" s="233">
        <v>1848640</v>
      </c>
      <c r="M180" s="233">
        <v>1848640</v>
      </c>
      <c r="N180" s="233">
        <v>1848640</v>
      </c>
    </row>
    <row r="181" spans="1:14">
      <c r="A181" s="190">
        <f t="shared" si="3"/>
        <v>180</v>
      </c>
      <c r="B181" s="233">
        <v>2374040</v>
      </c>
      <c r="C181" s="233">
        <v>2374040</v>
      </c>
      <c r="D181" s="233">
        <v>2374040</v>
      </c>
      <c r="E181" s="233">
        <v>2374040</v>
      </c>
      <c r="F181" s="233">
        <v>2374040</v>
      </c>
      <c r="G181" s="233">
        <v>2658928</v>
      </c>
      <c r="H181" s="233">
        <v>2978000</v>
      </c>
      <c r="I181" s="233">
        <v>2978000</v>
      </c>
      <c r="J181" s="233">
        <v>2978000</v>
      </c>
      <c r="K181" s="233">
        <v>2978000</v>
      </c>
      <c r="L181" s="233">
        <v>0</v>
      </c>
      <c r="M181" s="233">
        <v>0</v>
      </c>
      <c r="N181" s="233">
        <v>0</v>
      </c>
    </row>
    <row r="182" spans="1:14">
      <c r="A182" s="190">
        <f t="shared" si="3"/>
        <v>181</v>
      </c>
      <c r="B182" s="233">
        <v>1152000</v>
      </c>
      <c r="C182" s="233">
        <v>1152000</v>
      </c>
      <c r="D182" s="233">
        <v>1152000</v>
      </c>
      <c r="E182" s="233">
        <v>1152000</v>
      </c>
      <c r="F182" s="233">
        <v>1152000</v>
      </c>
      <c r="G182" s="233">
        <v>1152000</v>
      </c>
      <c r="H182" s="233">
        <v>1152000</v>
      </c>
      <c r="I182" s="233">
        <v>1059840</v>
      </c>
      <c r="J182" s="233">
        <v>1187024</v>
      </c>
      <c r="K182" s="233">
        <v>1187024</v>
      </c>
      <c r="L182" s="233">
        <v>1329464</v>
      </c>
      <c r="M182" s="233">
        <v>1223104</v>
      </c>
      <c r="N182" s="233">
        <v>1223104</v>
      </c>
    </row>
    <row r="183" spans="1:14">
      <c r="A183" s="190">
        <f t="shared" si="3"/>
        <v>182</v>
      </c>
      <c r="B183" s="233">
        <v>3335360</v>
      </c>
      <c r="C183" s="233">
        <v>3735600</v>
      </c>
      <c r="D183" s="233">
        <v>3161816</v>
      </c>
      <c r="E183" s="233">
        <v>2908864</v>
      </c>
      <c r="F183" s="233">
        <v>2676160</v>
      </c>
      <c r="G183" s="233">
        <v>2676160</v>
      </c>
      <c r="H183" s="233">
        <v>2997296</v>
      </c>
      <c r="I183" s="233">
        <v>2997296</v>
      </c>
      <c r="J183" s="233">
        <v>3356976</v>
      </c>
      <c r="K183" s="233">
        <v>3759808</v>
      </c>
      <c r="L183" s="233">
        <v>3759808</v>
      </c>
      <c r="M183" s="233">
        <v>3759808</v>
      </c>
      <c r="N183" s="233">
        <v>3759808</v>
      </c>
    </row>
    <row r="184" spans="1:14">
      <c r="A184" s="190">
        <f t="shared" si="3"/>
        <v>183</v>
      </c>
      <c r="B184" s="233">
        <v>2925160</v>
      </c>
      <c r="C184" s="233">
        <v>2925160</v>
      </c>
      <c r="D184" s="233">
        <v>2925160</v>
      </c>
      <c r="E184" s="233">
        <v>2925160</v>
      </c>
      <c r="F184" s="233">
        <v>2925160</v>
      </c>
      <c r="G184" s="233">
        <v>2925160</v>
      </c>
      <c r="H184" s="233">
        <v>2925160</v>
      </c>
      <c r="I184" s="233">
        <v>2475856</v>
      </c>
      <c r="J184" s="233">
        <v>2475856</v>
      </c>
      <c r="K184" s="233">
        <v>2475856</v>
      </c>
      <c r="L184" s="233">
        <v>2475856</v>
      </c>
      <c r="M184" s="233">
        <v>2475856</v>
      </c>
      <c r="N184" s="233">
        <v>2475856</v>
      </c>
    </row>
    <row r="185" spans="1:14">
      <c r="A185" s="190">
        <f t="shared" si="3"/>
        <v>184</v>
      </c>
      <c r="B185" s="233">
        <v>4335208</v>
      </c>
      <c r="C185" s="233">
        <v>4335208</v>
      </c>
      <c r="D185" s="233">
        <v>4855432</v>
      </c>
      <c r="E185" s="233">
        <v>4467000</v>
      </c>
      <c r="F185" s="233">
        <v>4467000</v>
      </c>
      <c r="G185" s="233">
        <v>4467000</v>
      </c>
      <c r="H185" s="233">
        <v>4467000</v>
      </c>
      <c r="I185" s="233">
        <v>4467000</v>
      </c>
      <c r="J185" s="233">
        <v>0</v>
      </c>
      <c r="K185" s="233">
        <v>0</v>
      </c>
      <c r="L185" s="233">
        <v>0</v>
      </c>
      <c r="M185" s="233">
        <v>0</v>
      </c>
      <c r="N185" s="233">
        <v>0</v>
      </c>
    </row>
    <row r="186" spans="1:14">
      <c r="A186" s="190">
        <f t="shared" si="3"/>
        <v>185</v>
      </c>
      <c r="B186" s="233">
        <v>1223104</v>
      </c>
      <c r="C186" s="233">
        <v>1369880</v>
      </c>
      <c r="D186" s="233">
        <v>1369880</v>
      </c>
      <c r="E186" s="233">
        <v>1369880</v>
      </c>
      <c r="F186" s="233">
        <v>1369880</v>
      </c>
      <c r="G186" s="233">
        <v>1369880</v>
      </c>
      <c r="H186" s="233">
        <v>1369880</v>
      </c>
      <c r="I186" s="233">
        <v>1534264</v>
      </c>
      <c r="J186" s="233">
        <v>1770616</v>
      </c>
      <c r="K186" s="233">
        <v>1628968</v>
      </c>
      <c r="L186" s="233">
        <v>1628968</v>
      </c>
      <c r="M186" s="233">
        <v>1628968</v>
      </c>
      <c r="N186" s="233">
        <v>1498648</v>
      </c>
    </row>
    <row r="187" spans="1:14">
      <c r="A187" s="190">
        <f t="shared" si="3"/>
        <v>186</v>
      </c>
      <c r="B187" s="233">
        <v>0</v>
      </c>
      <c r="C187" s="233">
        <v>2304000</v>
      </c>
      <c r="D187" s="233">
        <v>2304000</v>
      </c>
      <c r="E187" s="233">
        <v>2304000</v>
      </c>
      <c r="F187" s="233">
        <v>2304000</v>
      </c>
      <c r="G187" s="233">
        <v>2304000</v>
      </c>
      <c r="H187" s="233">
        <v>2119680</v>
      </c>
      <c r="I187" s="233">
        <v>2119680</v>
      </c>
      <c r="J187" s="233">
        <v>1950104</v>
      </c>
      <c r="K187" s="233">
        <v>2184120</v>
      </c>
      <c r="L187" s="233">
        <v>2009392</v>
      </c>
      <c r="M187" s="233">
        <v>2009392</v>
      </c>
      <c r="N187" s="233">
        <v>2009392</v>
      </c>
    </row>
    <row r="188" spans="1:14">
      <c r="A188" s="190">
        <f t="shared" si="3"/>
        <v>187</v>
      </c>
      <c r="B188" s="233">
        <v>2304000</v>
      </c>
      <c r="C188" s="233">
        <v>2304000</v>
      </c>
      <c r="D188" s="233">
        <v>2119680</v>
      </c>
      <c r="E188" s="233">
        <v>2119680</v>
      </c>
      <c r="F188" s="233">
        <v>2119680</v>
      </c>
      <c r="G188" s="233">
        <v>2374040</v>
      </c>
      <c r="H188" s="233">
        <v>2374040</v>
      </c>
      <c r="I188" s="233">
        <v>2374040</v>
      </c>
      <c r="J188" s="233">
        <v>2374040</v>
      </c>
      <c r="K188" s="233">
        <v>2658928</v>
      </c>
      <c r="L188" s="233">
        <v>2978000</v>
      </c>
      <c r="M188" s="233">
        <v>2978000</v>
      </c>
      <c r="N188" s="233">
        <v>2978000</v>
      </c>
    </row>
    <row r="189" spans="1:14">
      <c r="A189" s="190">
        <f t="shared" si="3"/>
        <v>188</v>
      </c>
      <c r="B189" s="233">
        <v>2374040</v>
      </c>
      <c r="C189" s="233">
        <v>2184120</v>
      </c>
      <c r="D189" s="233">
        <v>2184120</v>
      </c>
      <c r="E189" s="233">
        <v>2184120</v>
      </c>
      <c r="F189" s="233">
        <v>2184120</v>
      </c>
      <c r="G189" s="233">
        <v>2184120</v>
      </c>
      <c r="H189" s="233">
        <v>2446216</v>
      </c>
      <c r="I189" s="233">
        <v>2446216</v>
      </c>
      <c r="J189" s="233">
        <v>2446216</v>
      </c>
      <c r="K189" s="233">
        <v>2446216</v>
      </c>
      <c r="L189" s="233">
        <v>2446216</v>
      </c>
      <c r="M189" s="233">
        <v>2446216</v>
      </c>
      <c r="N189" s="233">
        <v>2739760</v>
      </c>
    </row>
    <row r="190" spans="1:14">
      <c r="A190" s="190">
        <f t="shared" si="3"/>
        <v>189</v>
      </c>
      <c r="B190" s="233">
        <v>3561064</v>
      </c>
      <c r="C190" s="233">
        <v>3561064</v>
      </c>
      <c r="D190" s="233">
        <v>3276176</v>
      </c>
      <c r="E190" s="233">
        <v>3276176</v>
      </c>
      <c r="F190" s="233">
        <v>3276176</v>
      </c>
      <c r="G190" s="233">
        <v>3276176</v>
      </c>
      <c r="H190" s="233">
        <v>3669320</v>
      </c>
      <c r="I190" s="233">
        <v>3669320</v>
      </c>
      <c r="J190" s="233">
        <v>3669320</v>
      </c>
      <c r="K190" s="233">
        <v>3375776</v>
      </c>
      <c r="L190" s="233">
        <v>3375776</v>
      </c>
      <c r="M190" s="233">
        <v>3375776</v>
      </c>
      <c r="N190" s="233">
        <v>3105712</v>
      </c>
    </row>
    <row r="191" spans="1:14">
      <c r="A191" s="190">
        <f t="shared" si="3"/>
        <v>190</v>
      </c>
      <c r="B191" s="233">
        <v>1290240</v>
      </c>
      <c r="C191" s="233">
        <v>1290240</v>
      </c>
      <c r="D191" s="233">
        <v>0</v>
      </c>
      <c r="E191" s="233">
        <v>0</v>
      </c>
      <c r="F191" s="233">
        <v>0</v>
      </c>
      <c r="G191" s="233">
        <v>0</v>
      </c>
      <c r="H191" s="233">
        <v>0</v>
      </c>
      <c r="I191" s="233">
        <v>0</v>
      </c>
      <c r="J191" s="233">
        <v>0</v>
      </c>
      <c r="K191" s="233">
        <v>0</v>
      </c>
      <c r="L191" s="233">
        <v>0</v>
      </c>
      <c r="M191" s="233">
        <v>0</v>
      </c>
      <c r="N191" s="233">
        <v>0</v>
      </c>
    </row>
    <row r="192" spans="1:14">
      <c r="A192" s="190">
        <f t="shared" si="3"/>
        <v>191</v>
      </c>
      <c r="B192" s="233">
        <v>2009392</v>
      </c>
      <c r="C192" s="233">
        <v>2009392</v>
      </c>
      <c r="D192" s="233">
        <v>2009392</v>
      </c>
      <c r="E192" s="233">
        <v>2009392</v>
      </c>
      <c r="F192" s="233">
        <v>2009392</v>
      </c>
      <c r="G192" s="233">
        <v>1848640</v>
      </c>
      <c r="H192" s="233">
        <v>1848640</v>
      </c>
      <c r="I192" s="233">
        <v>1848640</v>
      </c>
      <c r="J192" s="233">
        <v>1848640</v>
      </c>
      <c r="K192" s="233">
        <v>2070472</v>
      </c>
      <c r="L192" s="233">
        <v>2070472</v>
      </c>
      <c r="M192" s="233">
        <v>1904840</v>
      </c>
      <c r="N192" s="233">
        <v>1904840</v>
      </c>
    </row>
    <row r="193" spans="1:14">
      <c r="A193" s="190">
        <f t="shared" si="3"/>
        <v>192</v>
      </c>
      <c r="B193" s="233">
        <v>1059840</v>
      </c>
      <c r="C193" s="233">
        <v>975056</v>
      </c>
      <c r="D193" s="233">
        <v>1092056</v>
      </c>
      <c r="E193" s="233">
        <v>1092056</v>
      </c>
      <c r="F193" s="233">
        <v>1223104</v>
      </c>
      <c r="G193" s="233">
        <v>1125256</v>
      </c>
      <c r="H193" s="233">
        <v>1035240</v>
      </c>
      <c r="I193" s="233">
        <v>1035240</v>
      </c>
      <c r="J193" s="233">
        <v>952416</v>
      </c>
      <c r="K193" s="233">
        <v>876224</v>
      </c>
      <c r="L193" s="233">
        <v>981368</v>
      </c>
      <c r="M193" s="233">
        <v>981368</v>
      </c>
      <c r="N193" s="233">
        <v>981368</v>
      </c>
    </row>
    <row r="194" spans="1:14">
      <c r="A194" s="190">
        <f t="shared" si="3"/>
        <v>193</v>
      </c>
      <c r="B194" s="233">
        <v>3456000</v>
      </c>
      <c r="C194" s="233">
        <v>3456000</v>
      </c>
      <c r="D194" s="233">
        <v>3870720</v>
      </c>
      <c r="E194" s="233">
        <v>3870720</v>
      </c>
      <c r="F194" s="233">
        <v>3870720</v>
      </c>
      <c r="G194" s="233">
        <v>3870720</v>
      </c>
      <c r="H194" s="233">
        <v>3870720</v>
      </c>
      <c r="I194" s="233">
        <v>3870720</v>
      </c>
      <c r="J194" s="233">
        <v>3870720</v>
      </c>
      <c r="K194" s="233">
        <v>3870720</v>
      </c>
      <c r="L194" s="233">
        <v>3870720</v>
      </c>
      <c r="M194" s="233">
        <v>3870720</v>
      </c>
      <c r="N194" s="233">
        <v>3870720</v>
      </c>
    </row>
    <row r="195" spans="1:14">
      <c r="A195" s="190">
        <f t="shared" si="3"/>
        <v>194</v>
      </c>
      <c r="B195" s="233">
        <v>0</v>
      </c>
      <c r="C195" s="233">
        <v>3870720</v>
      </c>
      <c r="D195" s="233">
        <v>3870720</v>
      </c>
      <c r="E195" s="233">
        <v>3870720</v>
      </c>
      <c r="F195" s="233">
        <v>3870720</v>
      </c>
      <c r="G195" s="233">
        <v>3870720</v>
      </c>
      <c r="H195" s="233">
        <v>3870720</v>
      </c>
      <c r="I195" s="233">
        <v>3870720</v>
      </c>
      <c r="J195" s="233">
        <v>3561064</v>
      </c>
      <c r="K195" s="233">
        <v>3561064</v>
      </c>
      <c r="L195" s="233">
        <v>3988392</v>
      </c>
      <c r="M195" s="233">
        <v>3988392</v>
      </c>
      <c r="N195" s="233">
        <v>3669320</v>
      </c>
    </row>
    <row r="196" spans="1:14">
      <c r="A196" s="190">
        <f t="shared" si="3"/>
        <v>195</v>
      </c>
      <c r="B196" s="233">
        <v>2925160</v>
      </c>
      <c r="C196" s="233">
        <v>2925160</v>
      </c>
      <c r="D196" s="233">
        <v>2925160</v>
      </c>
      <c r="E196" s="233">
        <v>2925160</v>
      </c>
      <c r="F196" s="233">
        <v>2691144</v>
      </c>
      <c r="G196" s="233">
        <v>3014080</v>
      </c>
      <c r="H196" s="233">
        <v>3014080</v>
      </c>
      <c r="I196" s="233">
        <v>3014080</v>
      </c>
      <c r="J196" s="233">
        <v>3014080</v>
      </c>
      <c r="K196" s="233">
        <v>3375776</v>
      </c>
      <c r="L196" s="233">
        <v>3375776</v>
      </c>
      <c r="M196" s="233">
        <v>3105712</v>
      </c>
      <c r="N196" s="233">
        <v>3105712</v>
      </c>
    </row>
    <row r="197" spans="1:14">
      <c r="A197" s="190">
        <f t="shared" si="3"/>
        <v>196</v>
      </c>
      <c r="B197" s="233">
        <v>1489000</v>
      </c>
      <c r="C197" s="233">
        <v>1489000</v>
      </c>
      <c r="D197" s="233">
        <v>1489000</v>
      </c>
      <c r="E197" s="233">
        <v>1489000</v>
      </c>
      <c r="F197" s="233">
        <v>1489000</v>
      </c>
      <c r="G197" s="233">
        <v>1489000</v>
      </c>
      <c r="H197" s="233">
        <v>0</v>
      </c>
      <c r="I197" s="233">
        <v>0</v>
      </c>
      <c r="J197" s="233">
        <v>0</v>
      </c>
      <c r="K197" s="233">
        <v>0</v>
      </c>
      <c r="L197" s="233">
        <v>0</v>
      </c>
      <c r="M197" s="233">
        <v>0</v>
      </c>
      <c r="N197" s="233">
        <v>0</v>
      </c>
    </row>
  </sheetData>
  <pageMargins left="0.25" right="0.25" top="0.5" bottom="0.25" header="0.3" footer="0.3"/>
  <pageSetup scale="10" orientation="landscape" horizont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20C1-C684-44DB-80C6-22FD2D6F37AC}">
  <sheetPr>
    <tabColor theme="1"/>
  </sheetPr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10D9-B400-4BD4-9C02-899968814C70}">
  <dimension ref="A1:T45"/>
  <sheetViews>
    <sheetView showGridLines="0" zoomScale="120" zoomScaleNormal="120" zoomScaleSheetLayoutView="13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ColWidth="9.1328125" defaultRowHeight="13.15"/>
  <cols>
    <col min="1" max="1" width="9.1328125" style="1"/>
    <col min="2" max="2" width="28.796875" style="2" customWidth="1"/>
    <col min="3" max="4" width="11.3984375" style="2" customWidth="1"/>
    <col min="5" max="5" width="14.06640625" style="2" customWidth="1"/>
    <col min="6" max="7" width="12.9296875" style="2" customWidth="1"/>
    <col min="8" max="9" width="7.796875" style="2" customWidth="1"/>
    <col min="10" max="16384" width="9.1328125" style="1"/>
  </cols>
  <sheetData>
    <row r="1" spans="2:16" s="2" customFormat="1">
      <c r="B1" s="7"/>
    </row>
    <row r="2" spans="2:16" s="2" customFormat="1">
      <c r="B2" s="3" t="s">
        <v>79</v>
      </c>
      <c r="C2" s="29"/>
      <c r="D2" s="29"/>
      <c r="E2" s="29"/>
      <c r="F2" s="29"/>
      <c r="G2" s="288" t="s">
        <v>253</v>
      </c>
    </row>
    <row r="3" spans="2:16" s="96" customFormat="1" ht="14.35" customHeight="1">
      <c r="B3" s="97" t="s">
        <v>78</v>
      </c>
      <c r="C3" s="97"/>
      <c r="E3" s="97" t="s">
        <v>75</v>
      </c>
      <c r="F3" s="97"/>
      <c r="G3" s="97"/>
    </row>
    <row r="4" spans="2:16" s="96" customFormat="1" ht="14.35" customHeight="1">
      <c r="B4" s="96" t="s">
        <v>238</v>
      </c>
      <c r="C4" s="394">
        <f>Model!N36</f>
        <v>146.08859181810664</v>
      </c>
      <c r="D4" s="98"/>
      <c r="E4" s="96" t="s">
        <v>161</v>
      </c>
      <c r="G4" s="396">
        <f>G13-G5</f>
        <v>770.05181827234378</v>
      </c>
    </row>
    <row r="5" spans="2:16" s="96" customFormat="1" ht="14.35" customHeight="1">
      <c r="B5" s="96" t="s">
        <v>162</v>
      </c>
      <c r="C5" s="100">
        <v>10</v>
      </c>
      <c r="E5" s="96" t="s">
        <v>239</v>
      </c>
      <c r="G5" s="396">
        <f>+D21</f>
        <v>730.44295909053312</v>
      </c>
      <c r="I5" s="99"/>
    </row>
    <row r="6" spans="2:16" s="96" customFormat="1" ht="14.35" customHeight="1">
      <c r="B6" s="103" t="s">
        <v>242</v>
      </c>
      <c r="C6" s="395">
        <f>C5*C4</f>
        <v>1460.8859181810662</v>
      </c>
      <c r="E6" s="103" t="s">
        <v>167</v>
      </c>
      <c r="F6" s="103"/>
      <c r="G6" s="395">
        <f>SUM(G4:G5)</f>
        <v>1500.4947773628769</v>
      </c>
      <c r="I6" s="101"/>
      <c r="N6" s="102"/>
    </row>
    <row r="7" spans="2:16" s="96" customFormat="1" ht="14.35" customHeight="1">
      <c r="B7" s="105" t="s">
        <v>77</v>
      </c>
      <c r="C7" s="394">
        <f>Model!L61</f>
        <v>12.201000000000001</v>
      </c>
      <c r="I7" s="104"/>
      <c r="N7" s="102"/>
    </row>
    <row r="8" spans="2:16" s="96" customFormat="1" ht="14.35" customHeight="1">
      <c r="B8" s="105" t="s">
        <v>74</v>
      </c>
      <c r="C8" s="394">
        <f>Model!L50</f>
        <v>54.611141636816001</v>
      </c>
      <c r="E8" s="97" t="s">
        <v>76</v>
      </c>
      <c r="F8" s="97"/>
      <c r="G8" s="97"/>
      <c r="I8" s="104"/>
      <c r="N8" s="102"/>
    </row>
    <row r="9" spans="2:16" s="96" customFormat="1" ht="14.35" customHeight="1">
      <c r="B9" s="103" t="s">
        <v>243</v>
      </c>
      <c r="C9" s="395">
        <f>+C6-C7+C8</f>
        <v>1503.2960598178822</v>
      </c>
      <c r="E9" s="96" t="s">
        <v>242</v>
      </c>
      <c r="G9" s="397">
        <f>+C6</f>
        <v>1460.8859181810662</v>
      </c>
      <c r="I9" s="99"/>
    </row>
    <row r="10" spans="2:16" s="96" customFormat="1" ht="14.35" customHeight="1">
      <c r="B10" s="106"/>
      <c r="C10" s="202"/>
      <c r="E10" s="96" t="s">
        <v>245</v>
      </c>
      <c r="G10" s="398">
        <v>25</v>
      </c>
      <c r="I10" s="99"/>
    </row>
    <row r="11" spans="2:16" s="96" customFormat="1" ht="14.35" customHeight="1">
      <c r="B11" s="208" t="s">
        <v>233</v>
      </c>
      <c r="C11" s="209">
        <v>1230000</v>
      </c>
      <c r="E11" s="96" t="s">
        <v>244</v>
      </c>
      <c r="G11" s="399">
        <f>1%*C6</f>
        <v>14.608859181810663</v>
      </c>
      <c r="I11" s="99"/>
    </row>
    <row r="12" spans="2:16" s="96" customFormat="1" ht="14.35" customHeight="1">
      <c r="B12" s="208" t="s">
        <v>234</v>
      </c>
      <c r="C12" s="113">
        <f>+C9/C11*1000</f>
        <v>1.2221919185511236</v>
      </c>
      <c r="G12" s="341"/>
    </row>
    <row r="13" spans="2:16" s="96" customFormat="1" ht="14.35" customHeight="1">
      <c r="B13" s="208" t="s">
        <v>232</v>
      </c>
      <c r="C13" s="286">
        <f>+C11</f>
        <v>1230000</v>
      </c>
      <c r="E13" s="103" t="s">
        <v>166</v>
      </c>
      <c r="F13" s="343"/>
      <c r="G13" s="343">
        <f>SUM(G9:G12)</f>
        <v>1500.4947773628769</v>
      </c>
      <c r="I13" s="99"/>
    </row>
    <row r="14" spans="2:16" s="96" customFormat="1" ht="14.35" customHeight="1">
      <c r="B14" s="208"/>
      <c r="C14" s="286"/>
      <c r="E14" s="106"/>
      <c r="F14" s="202"/>
      <c r="G14" s="202"/>
      <c r="I14" s="99"/>
    </row>
    <row r="15" spans="2:16" s="96" customFormat="1" ht="14.35" customHeight="1">
      <c r="C15" s="286"/>
    </row>
    <row r="16" spans="2:16" s="2" customFormat="1">
      <c r="B16" s="4" t="s">
        <v>274</v>
      </c>
      <c r="C16" s="4"/>
      <c r="D16" s="4"/>
      <c r="E16" s="4"/>
      <c r="F16" s="96"/>
      <c r="G16" s="96"/>
      <c r="P16" s="344"/>
    </row>
    <row r="17" spans="2:20" s="2" customFormat="1" ht="14.25">
      <c r="B17" s="345"/>
      <c r="C17" s="346" t="s">
        <v>246</v>
      </c>
      <c r="D17" s="346" t="s">
        <v>247</v>
      </c>
      <c r="E17" s="346" t="s">
        <v>248</v>
      </c>
      <c r="F17" s="96"/>
      <c r="G17" s="96"/>
      <c r="P17" s="344"/>
    </row>
    <row r="18" spans="2:20" s="2" customFormat="1">
      <c r="B18" s="2" t="s">
        <v>249</v>
      </c>
      <c r="C18" s="347">
        <v>0</v>
      </c>
      <c r="D18" s="348">
        <f>C18*C$4</f>
        <v>0</v>
      </c>
      <c r="E18" s="349">
        <v>0.02</v>
      </c>
      <c r="F18" s="96"/>
      <c r="G18" s="96"/>
      <c r="R18" s="1"/>
      <c r="S18" s="1"/>
      <c r="T18" s="1"/>
    </row>
    <row r="19" spans="2:20" s="2" customFormat="1">
      <c r="B19" s="2" t="s">
        <v>261</v>
      </c>
      <c r="C19" s="347">
        <v>3</v>
      </c>
      <c r="D19" s="348">
        <f>C19*C$4</f>
        <v>438.26577545431991</v>
      </c>
      <c r="E19" s="349">
        <v>0.02</v>
      </c>
      <c r="F19" s="96"/>
      <c r="G19" s="96"/>
      <c r="R19" s="1"/>
      <c r="S19" s="1"/>
      <c r="T19" s="1"/>
    </row>
    <row r="20" spans="2:20" s="2" customFormat="1">
      <c r="B20" s="350" t="s">
        <v>265</v>
      </c>
      <c r="C20" s="351">
        <v>2</v>
      </c>
      <c r="D20" s="348">
        <f>C20*C$4</f>
        <v>292.17718363621327</v>
      </c>
      <c r="E20" s="349">
        <v>0.05</v>
      </c>
      <c r="F20" s="96"/>
      <c r="G20" s="96"/>
      <c r="R20" s="1"/>
      <c r="S20" s="1"/>
      <c r="T20" s="1"/>
    </row>
    <row r="21" spans="2:20" s="2" customFormat="1">
      <c r="B21" s="5" t="s">
        <v>270</v>
      </c>
      <c r="C21" s="352">
        <f>SUM(C18:C20)</f>
        <v>5</v>
      </c>
      <c r="D21" s="353">
        <f>SUM(D18:D20)</f>
        <v>730.44295909053312</v>
      </c>
      <c r="E21" s="353"/>
      <c r="F21" s="96"/>
      <c r="G21" s="96"/>
    </row>
    <row r="22" spans="2:20" s="2" customFormat="1">
      <c r="B22" s="5"/>
      <c r="C22" s="352"/>
      <c r="D22" s="354"/>
      <c r="F22" s="96"/>
      <c r="G22" s="96"/>
    </row>
    <row r="23" spans="2:20" ht="14.35" customHeight="1"/>
    <row r="24" spans="2:20" ht="14.35" customHeight="1">
      <c r="B24" s="3" t="s">
        <v>80</v>
      </c>
      <c r="C24" s="29"/>
      <c r="D24" s="29"/>
      <c r="E24" s="29"/>
      <c r="F24" s="29"/>
      <c r="G24" s="29"/>
    </row>
    <row r="25" spans="2:20" ht="14.35" customHeight="1">
      <c r="B25" s="115" t="s">
        <v>92</v>
      </c>
      <c r="E25" s="115" t="s">
        <v>95</v>
      </c>
    </row>
    <row r="26" spans="2:20" ht="14.35" customHeight="1">
      <c r="B26" s="2" t="s">
        <v>240</v>
      </c>
      <c r="C26" s="357">
        <f>Model!AH36</f>
        <v>176.07295740562751</v>
      </c>
      <c r="E26" s="2" t="s">
        <v>94</v>
      </c>
      <c r="G26" s="342">
        <v>1</v>
      </c>
    </row>
    <row r="27" spans="2:20" ht="14.35" customHeight="1">
      <c r="B27" s="2" t="s">
        <v>89</v>
      </c>
      <c r="C27" s="100">
        <v>10</v>
      </c>
      <c r="E27" s="2" t="s">
        <v>250</v>
      </c>
      <c r="F27" s="1"/>
      <c r="G27" s="210">
        <f>+Model!AH182</f>
        <v>5.7442590836689969E-2</v>
      </c>
    </row>
    <row r="28" spans="2:20" ht="14.35" customHeight="1">
      <c r="B28" s="9" t="s">
        <v>91</v>
      </c>
      <c r="C28" s="353">
        <f>C27*C26</f>
        <v>1760.7295740562749</v>
      </c>
      <c r="E28" s="9" t="s">
        <v>95</v>
      </c>
      <c r="F28" s="9"/>
      <c r="G28" s="117">
        <f>+G26*(1-G27)</f>
        <v>0.94255740916330999</v>
      </c>
    </row>
    <row r="29" spans="2:20" ht="14.35" customHeight="1">
      <c r="B29" s="105" t="s">
        <v>77</v>
      </c>
      <c r="C29" s="394">
        <f ca="1">+Model!AH62+Model!AH61</f>
        <v>546.27791707987558</v>
      </c>
      <c r="E29" s="1"/>
      <c r="F29" s="1"/>
    </row>
    <row r="30" spans="2:20" ht="14.35" customHeight="1">
      <c r="B30" s="105" t="s">
        <v>74</v>
      </c>
      <c r="C30" s="394">
        <f ca="1">+Model!AH50</f>
        <v>24.999999953819021</v>
      </c>
    </row>
    <row r="31" spans="2:20" ht="14.35" customHeight="1">
      <c r="B31" s="103" t="s">
        <v>93</v>
      </c>
      <c r="C31" s="395">
        <f ca="1">+C28+C30-C29</f>
        <v>1239.4516569302184</v>
      </c>
    </row>
    <row r="32" spans="2:20" ht="14.35" customHeight="1">
      <c r="B32" s="105" t="s">
        <v>96</v>
      </c>
      <c r="C32" s="116">
        <f>+G28</f>
        <v>0.94255740916330999</v>
      </c>
    </row>
    <row r="33" spans="1:14" ht="14.35" customHeight="1">
      <c r="B33" s="103" t="s">
        <v>97</v>
      </c>
      <c r="C33" s="395">
        <f ca="1">+C31*C32</f>
        <v>1168.2543425393185</v>
      </c>
    </row>
    <row r="34" spans="1:14" ht="14.35" customHeight="1" thickBot="1">
      <c r="B34" s="1"/>
      <c r="C34" s="1"/>
    </row>
    <row r="35" spans="1:14" s="2" customFormat="1" ht="14.35" customHeight="1" thickTop="1">
      <c r="A35" s="1"/>
      <c r="B35" s="118" t="s">
        <v>98</v>
      </c>
      <c r="C35" s="119">
        <f ca="1">XIRR(C39:C40, C41:C42)</f>
        <v>8.688517510890964E-2</v>
      </c>
      <c r="J35" s="1"/>
      <c r="K35" s="1"/>
      <c r="L35" s="1"/>
      <c r="M35" s="1"/>
      <c r="N35" s="1"/>
    </row>
    <row r="36" spans="1:14" s="2" customFormat="1" ht="14.35" customHeight="1" thickBot="1">
      <c r="A36" s="1"/>
      <c r="B36" s="120" t="s">
        <v>100</v>
      </c>
      <c r="C36" s="121">
        <f ca="1">+C40/(-C39)</f>
        <v>1.5171113356704862</v>
      </c>
      <c r="J36" s="1"/>
      <c r="K36" s="1"/>
      <c r="L36" s="1"/>
      <c r="M36" s="1"/>
      <c r="N36" s="1"/>
    </row>
    <row r="37" spans="1:14" s="2" customFormat="1" ht="14.35" customHeight="1" thickTop="1">
      <c r="A37" s="1"/>
      <c r="C37" s="1"/>
      <c r="J37" s="1"/>
      <c r="K37" s="1"/>
      <c r="L37" s="1"/>
      <c r="M37" s="1"/>
      <c r="N37" s="1"/>
    </row>
    <row r="38" spans="1:14" s="2" customFormat="1" ht="14.35" customHeight="1">
      <c r="A38" s="1"/>
      <c r="C38" s="1"/>
      <c r="J38" s="1"/>
      <c r="K38" s="1"/>
      <c r="L38" s="1"/>
      <c r="M38" s="1"/>
      <c r="N38" s="1"/>
    </row>
    <row r="39" spans="1:14" s="2" customFormat="1" ht="14.35" customHeight="1">
      <c r="A39" s="1"/>
      <c r="B39" s="2" t="s">
        <v>99</v>
      </c>
      <c r="C39" s="17">
        <f>+-G4</f>
        <v>-770.05181827234378</v>
      </c>
      <c r="J39" s="1"/>
      <c r="K39" s="1"/>
      <c r="L39" s="1"/>
      <c r="M39" s="1"/>
      <c r="N39" s="1"/>
    </row>
    <row r="40" spans="1:14" s="2" customFormat="1" ht="14.35" customHeight="1">
      <c r="A40" s="1"/>
      <c r="B40" s="2" t="s">
        <v>90</v>
      </c>
      <c r="C40" s="17">
        <f ca="1">+C33</f>
        <v>1168.2543425393185</v>
      </c>
      <c r="J40" s="1"/>
      <c r="K40" s="1"/>
      <c r="L40" s="1"/>
      <c r="M40" s="1"/>
      <c r="N40" s="1"/>
    </row>
    <row r="41" spans="1:14" s="2" customFormat="1" ht="14.35" customHeight="1">
      <c r="A41" s="1"/>
      <c r="B41" s="2" t="s">
        <v>88</v>
      </c>
      <c r="C41" s="114">
        <f>+Model!N4</f>
        <v>44926</v>
      </c>
      <c r="J41" s="1"/>
      <c r="K41" s="1"/>
      <c r="L41" s="1"/>
      <c r="M41" s="1"/>
      <c r="N41" s="1"/>
    </row>
    <row r="42" spans="1:14" s="2" customFormat="1" ht="14.35" customHeight="1">
      <c r="A42" s="1"/>
      <c r="B42" s="2" t="s">
        <v>87</v>
      </c>
      <c r="C42" s="114">
        <f>+Model!AH4</f>
        <v>46752</v>
      </c>
      <c r="J42" s="1"/>
      <c r="K42" s="1"/>
      <c r="L42" s="1"/>
      <c r="M42" s="1"/>
      <c r="N42" s="1"/>
    </row>
    <row r="43" spans="1:14" s="2" customFormat="1" ht="14.35" customHeight="1">
      <c r="A43" s="1"/>
      <c r="J43" s="1"/>
      <c r="K43" s="1"/>
      <c r="L43" s="1"/>
      <c r="M43" s="1"/>
      <c r="N43" s="1"/>
    </row>
    <row r="44" spans="1:14" s="2" customFormat="1" ht="14.35" customHeight="1">
      <c r="A44" s="1"/>
      <c r="J44" s="1"/>
      <c r="K44" s="1"/>
      <c r="L44" s="1"/>
      <c r="M44" s="1"/>
      <c r="N44" s="1"/>
    </row>
    <row r="45" spans="1:14" s="2" customFormat="1" ht="14.35" customHeight="1">
      <c r="A45" s="1"/>
      <c r="J45" s="1"/>
      <c r="K45" s="1"/>
      <c r="L45" s="1"/>
      <c r="M45" s="1"/>
      <c r="N45" s="1"/>
    </row>
  </sheetData>
  <pageMargins left="0.7" right="0.7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0523-3D04-4BA3-A24E-D2DB3A25DB42}">
  <dimension ref="A1:AI183"/>
  <sheetViews>
    <sheetView showGridLines="0" zoomScale="120" zoomScaleNormal="120" zoomScaleSheetLayoutView="130" workbookViewId="0"/>
  </sheetViews>
  <sheetFormatPr defaultColWidth="9.1328125" defaultRowHeight="13.15"/>
  <cols>
    <col min="1" max="1" width="3.59765625" style="1" customWidth="1"/>
    <col min="2" max="2" width="38.6640625" style="2" customWidth="1"/>
    <col min="3" max="13" width="7.796875" style="2" customWidth="1"/>
    <col min="14" max="14" width="7.9296875" style="62" customWidth="1"/>
    <col min="15" max="15" width="7.796875" style="70" customWidth="1"/>
    <col min="16" max="34" width="7.796875" style="1" customWidth="1"/>
    <col min="35" max="35" width="7.86328125" style="1" customWidth="1"/>
    <col min="36" max="16384" width="9.1328125" style="1"/>
  </cols>
  <sheetData>
    <row r="1" spans="2:35" s="2" customFormat="1">
      <c r="B1" s="7"/>
      <c r="N1" s="62"/>
      <c r="O1" s="63"/>
    </row>
    <row r="2" spans="2:35" s="2" customFormat="1">
      <c r="B2" s="3" t="s">
        <v>53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64"/>
      <c r="O2" s="65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88" t="s">
        <v>253</v>
      </c>
      <c r="AI2" s="172"/>
    </row>
    <row r="3" spans="2:35" s="2" customFormat="1">
      <c r="B3" s="4"/>
      <c r="C3" s="130">
        <f t="shared" ref="C3:AH3" si="0">YEAR(C4)</f>
        <v>2020</v>
      </c>
      <c r="D3" s="130">
        <f t="shared" si="0"/>
        <v>2020</v>
      </c>
      <c r="E3" s="130">
        <f t="shared" si="0"/>
        <v>2020</v>
      </c>
      <c r="F3" s="130">
        <f t="shared" si="0"/>
        <v>2020</v>
      </c>
      <c r="G3" s="130">
        <f t="shared" si="0"/>
        <v>2021</v>
      </c>
      <c r="H3" s="130">
        <f t="shared" si="0"/>
        <v>2021</v>
      </c>
      <c r="I3" s="130">
        <f t="shared" si="0"/>
        <v>2021</v>
      </c>
      <c r="J3" s="130">
        <f t="shared" si="0"/>
        <v>2021</v>
      </c>
      <c r="K3" s="130">
        <f t="shared" si="0"/>
        <v>2022</v>
      </c>
      <c r="L3" s="130">
        <f t="shared" si="0"/>
        <v>2022</v>
      </c>
      <c r="M3" s="130">
        <f t="shared" si="0"/>
        <v>2022</v>
      </c>
      <c r="N3" s="270">
        <f t="shared" si="0"/>
        <v>2022</v>
      </c>
      <c r="O3" s="194">
        <f t="shared" si="0"/>
        <v>2023</v>
      </c>
      <c r="P3" s="192">
        <f t="shared" si="0"/>
        <v>2023</v>
      </c>
      <c r="Q3" s="192">
        <f t="shared" si="0"/>
        <v>2023</v>
      </c>
      <c r="R3" s="192">
        <f t="shared" si="0"/>
        <v>2023</v>
      </c>
      <c r="S3" s="192">
        <f t="shared" si="0"/>
        <v>2024</v>
      </c>
      <c r="T3" s="192">
        <f t="shared" si="0"/>
        <v>2024</v>
      </c>
      <c r="U3" s="192">
        <f t="shared" si="0"/>
        <v>2024</v>
      </c>
      <c r="V3" s="192">
        <f t="shared" si="0"/>
        <v>2024</v>
      </c>
      <c r="W3" s="192">
        <f t="shared" si="0"/>
        <v>2025</v>
      </c>
      <c r="X3" s="192">
        <f t="shared" si="0"/>
        <v>2025</v>
      </c>
      <c r="Y3" s="192">
        <f t="shared" si="0"/>
        <v>2025</v>
      </c>
      <c r="Z3" s="192">
        <f t="shared" si="0"/>
        <v>2025</v>
      </c>
      <c r="AA3" s="192">
        <f t="shared" si="0"/>
        <v>2026</v>
      </c>
      <c r="AB3" s="192">
        <f t="shared" si="0"/>
        <v>2026</v>
      </c>
      <c r="AC3" s="192">
        <f t="shared" si="0"/>
        <v>2026</v>
      </c>
      <c r="AD3" s="192">
        <f t="shared" si="0"/>
        <v>2026</v>
      </c>
      <c r="AE3" s="192">
        <f t="shared" si="0"/>
        <v>2027</v>
      </c>
      <c r="AF3" s="192">
        <f t="shared" si="0"/>
        <v>2027</v>
      </c>
      <c r="AG3" s="192">
        <f t="shared" si="0"/>
        <v>2027</v>
      </c>
      <c r="AH3" s="192">
        <f t="shared" si="0"/>
        <v>2027</v>
      </c>
      <c r="AI3" s="173"/>
    </row>
    <row r="4" spans="2:35" s="2" customFormat="1">
      <c r="B4" s="287"/>
      <c r="C4" s="229">
        <v>43921</v>
      </c>
      <c r="D4" s="21">
        <f t="shared" ref="D4:AH4" si="1">EOMONTH(C4, 3)</f>
        <v>44012</v>
      </c>
      <c r="E4" s="21">
        <f t="shared" si="1"/>
        <v>44104</v>
      </c>
      <c r="F4" s="21">
        <f t="shared" si="1"/>
        <v>44196</v>
      </c>
      <c r="G4" s="21">
        <f t="shared" si="1"/>
        <v>44286</v>
      </c>
      <c r="H4" s="21">
        <f t="shared" si="1"/>
        <v>44377</v>
      </c>
      <c r="I4" s="21">
        <f t="shared" si="1"/>
        <v>44469</v>
      </c>
      <c r="J4" s="21">
        <f t="shared" si="1"/>
        <v>44561</v>
      </c>
      <c r="K4" s="21">
        <f t="shared" si="1"/>
        <v>44651</v>
      </c>
      <c r="L4" s="21">
        <f t="shared" si="1"/>
        <v>44742</v>
      </c>
      <c r="M4" s="21">
        <f t="shared" si="1"/>
        <v>44834</v>
      </c>
      <c r="N4" s="66">
        <f t="shared" si="1"/>
        <v>44926</v>
      </c>
      <c r="O4" s="195">
        <f t="shared" si="1"/>
        <v>45016</v>
      </c>
      <c r="P4" s="193">
        <f t="shared" si="1"/>
        <v>45107</v>
      </c>
      <c r="Q4" s="193">
        <f t="shared" si="1"/>
        <v>45199</v>
      </c>
      <c r="R4" s="193">
        <f t="shared" si="1"/>
        <v>45291</v>
      </c>
      <c r="S4" s="193">
        <f t="shared" si="1"/>
        <v>45382</v>
      </c>
      <c r="T4" s="193">
        <f t="shared" si="1"/>
        <v>45473</v>
      </c>
      <c r="U4" s="193">
        <f t="shared" si="1"/>
        <v>45565</v>
      </c>
      <c r="V4" s="193">
        <f t="shared" si="1"/>
        <v>45657</v>
      </c>
      <c r="W4" s="193">
        <f t="shared" si="1"/>
        <v>45747</v>
      </c>
      <c r="X4" s="193">
        <f t="shared" si="1"/>
        <v>45838</v>
      </c>
      <c r="Y4" s="193">
        <f t="shared" si="1"/>
        <v>45930</v>
      </c>
      <c r="Z4" s="193">
        <f t="shared" si="1"/>
        <v>46022</v>
      </c>
      <c r="AA4" s="193">
        <f t="shared" si="1"/>
        <v>46112</v>
      </c>
      <c r="AB4" s="193">
        <f t="shared" si="1"/>
        <v>46203</v>
      </c>
      <c r="AC4" s="193">
        <f t="shared" si="1"/>
        <v>46295</v>
      </c>
      <c r="AD4" s="193">
        <f t="shared" si="1"/>
        <v>46387</v>
      </c>
      <c r="AE4" s="193">
        <f t="shared" si="1"/>
        <v>46477</v>
      </c>
      <c r="AF4" s="193">
        <f t="shared" si="1"/>
        <v>46568</v>
      </c>
      <c r="AG4" s="193">
        <f t="shared" si="1"/>
        <v>46660</v>
      </c>
      <c r="AH4" s="193">
        <f t="shared" si="1"/>
        <v>46752</v>
      </c>
      <c r="AI4" s="126"/>
    </row>
    <row r="5" spans="2:35">
      <c r="B5" s="55" t="s">
        <v>10</v>
      </c>
      <c r="C5" s="388">
        <f>+'ARR Waterfall'!C11</f>
        <v>301.18760800000001</v>
      </c>
      <c r="D5" s="388">
        <f>+'ARR Waterfall'!D11</f>
        <v>304.47510400000004</v>
      </c>
      <c r="E5" s="388">
        <f>+'ARR Waterfall'!E11</f>
        <v>308.342376</v>
      </c>
      <c r="F5" s="388">
        <f>+'ARR Waterfall'!F11</f>
        <v>313.78571199999993</v>
      </c>
      <c r="G5" s="388">
        <f>+'ARR Waterfall'!G11</f>
        <v>310.36867199999995</v>
      </c>
      <c r="H5" s="388">
        <f>+'ARR Waterfall'!H11</f>
        <v>309.60269599999998</v>
      </c>
      <c r="I5" s="388">
        <f>+'ARR Waterfall'!I11</f>
        <v>312.48882399999997</v>
      </c>
      <c r="J5" s="388">
        <f>+'ARR Waterfall'!J11</f>
        <v>315.91418399999998</v>
      </c>
      <c r="K5" s="388">
        <f>+'ARR Waterfall'!K11</f>
        <v>318.54402399999998</v>
      </c>
      <c r="L5" s="388">
        <f>+'ARR Waterfall'!L11</f>
        <v>321.88423200000005</v>
      </c>
      <c r="M5" s="388">
        <f>+'ARR Waterfall'!M11</f>
        <v>327.87812800000012</v>
      </c>
      <c r="N5" s="389">
        <f>+'ARR Waterfall'!N11</f>
        <v>337.9140000000001</v>
      </c>
      <c r="O5" s="390">
        <f>+'ARR Waterfall'!O11</f>
        <v>339.6035700000001</v>
      </c>
      <c r="P5" s="388">
        <f>+'ARR Waterfall'!P11</f>
        <v>341.30158785000009</v>
      </c>
      <c r="Q5" s="388">
        <f>+'ARR Waterfall'!Q11</f>
        <v>343.00809578925009</v>
      </c>
      <c r="R5" s="388">
        <f>+'ARR Waterfall'!R11</f>
        <v>344.7231362681963</v>
      </c>
      <c r="S5" s="388">
        <f>+'ARR Waterfall'!S11</f>
        <v>346.44675194953726</v>
      </c>
      <c r="T5" s="388">
        <f>+'ARR Waterfall'!T11</f>
        <v>348.17898570928497</v>
      </c>
      <c r="U5" s="388">
        <f>+'ARR Waterfall'!U11</f>
        <v>349.9198806378314</v>
      </c>
      <c r="V5" s="388">
        <f>+'ARR Waterfall'!V11</f>
        <v>351.66948004102056</v>
      </c>
      <c r="W5" s="388">
        <f>+'ARR Waterfall'!W11</f>
        <v>353.42782744122565</v>
      </c>
      <c r="X5" s="388">
        <f>+'ARR Waterfall'!X11</f>
        <v>355.19496657843177</v>
      </c>
      <c r="Y5" s="388">
        <f>+'ARR Waterfall'!Y11</f>
        <v>356.97094141132391</v>
      </c>
      <c r="Z5" s="388">
        <f>+'ARR Waterfall'!Z11</f>
        <v>358.75579611838054</v>
      </c>
      <c r="AA5" s="388">
        <f>+'ARR Waterfall'!AA11</f>
        <v>360.54957509897247</v>
      </c>
      <c r="AB5" s="388">
        <f>+'ARR Waterfall'!AB11</f>
        <v>362.35232297446726</v>
      </c>
      <c r="AC5" s="388">
        <f>+'ARR Waterfall'!AC11</f>
        <v>364.16408458933961</v>
      </c>
      <c r="AD5" s="388">
        <f>+'ARR Waterfall'!AD11</f>
        <v>365.98490501228633</v>
      </c>
      <c r="AE5" s="388">
        <f>+'ARR Waterfall'!AE11</f>
        <v>367.81482953734775</v>
      </c>
      <c r="AF5" s="388">
        <f>+'ARR Waterfall'!AF11</f>
        <v>369.65390368503449</v>
      </c>
      <c r="AG5" s="388">
        <f>+'ARR Waterfall'!AG11</f>
        <v>371.50217320345962</v>
      </c>
      <c r="AH5" s="388">
        <f>+'ARR Waterfall'!AH11</f>
        <v>373.35968406947694</v>
      </c>
      <c r="AI5" s="42"/>
    </row>
    <row r="6" spans="2:35">
      <c r="B6" s="6" t="s">
        <v>42</v>
      </c>
      <c r="C6" s="36"/>
      <c r="D6" s="36"/>
      <c r="E6" s="36"/>
      <c r="F6" s="36"/>
      <c r="G6" s="239">
        <f t="shared" ref="G6:AH6" si="2">G5/C5-1</f>
        <v>3.0482874315333586E-2</v>
      </c>
      <c r="H6" s="239">
        <f t="shared" si="2"/>
        <v>1.6840759499338054E-2</v>
      </c>
      <c r="I6" s="239">
        <f t="shared" si="2"/>
        <v>1.3447545075672585E-2</v>
      </c>
      <c r="J6" s="239">
        <f t="shared" si="2"/>
        <v>6.7832024168137384E-3</v>
      </c>
      <c r="K6" s="239">
        <f t="shared" si="2"/>
        <v>2.6340777074304933E-2</v>
      </c>
      <c r="L6" s="239">
        <f t="shared" si="2"/>
        <v>3.9668698492212329E-2</v>
      </c>
      <c r="M6" s="239">
        <f t="shared" si="2"/>
        <v>4.9247534049410291E-2</v>
      </c>
      <c r="N6" s="242">
        <f t="shared" si="2"/>
        <v>6.9638582609510502E-2</v>
      </c>
      <c r="O6" s="240">
        <f t="shared" si="2"/>
        <v>6.6111885370042645E-2</v>
      </c>
      <c r="P6" s="241">
        <f t="shared" si="2"/>
        <v>6.0324035537099752E-2</v>
      </c>
      <c r="Q6" s="241">
        <f t="shared" si="2"/>
        <v>4.6145096293980226E-2</v>
      </c>
      <c r="R6" s="241">
        <f t="shared" si="2"/>
        <v>2.015050062499979E-2</v>
      </c>
      <c r="S6" s="241">
        <f t="shared" si="2"/>
        <v>2.015050062499979E-2</v>
      </c>
      <c r="T6" s="241">
        <f t="shared" si="2"/>
        <v>2.015050062499979E-2</v>
      </c>
      <c r="U6" s="241">
        <f t="shared" si="2"/>
        <v>2.015050062499979E-2</v>
      </c>
      <c r="V6" s="241">
        <f t="shared" si="2"/>
        <v>2.0150500625000012E-2</v>
      </c>
      <c r="W6" s="241">
        <f t="shared" si="2"/>
        <v>2.0150500625000012E-2</v>
      </c>
      <c r="X6" s="241">
        <f t="shared" si="2"/>
        <v>2.0150500625000012E-2</v>
      </c>
      <c r="Y6" s="241">
        <f t="shared" si="2"/>
        <v>2.015050062499979E-2</v>
      </c>
      <c r="Z6" s="241">
        <f t="shared" si="2"/>
        <v>2.0150500625000012E-2</v>
      </c>
      <c r="AA6" s="241">
        <f t="shared" si="2"/>
        <v>2.0150500625000012E-2</v>
      </c>
      <c r="AB6" s="241">
        <f t="shared" si="2"/>
        <v>2.015050062499979E-2</v>
      </c>
      <c r="AC6" s="241">
        <f t="shared" si="2"/>
        <v>2.0150500625000012E-2</v>
      </c>
      <c r="AD6" s="241">
        <f t="shared" si="2"/>
        <v>2.0150500625000012E-2</v>
      </c>
      <c r="AE6" s="241">
        <f t="shared" si="2"/>
        <v>2.015050062499979E-2</v>
      </c>
      <c r="AF6" s="241">
        <f t="shared" si="2"/>
        <v>2.0150500625000012E-2</v>
      </c>
      <c r="AG6" s="241">
        <f t="shared" si="2"/>
        <v>2.0150500625000012E-2</v>
      </c>
      <c r="AH6" s="241">
        <f t="shared" si="2"/>
        <v>2.0150500625000012E-2</v>
      </c>
      <c r="AI6" s="60"/>
    </row>
    <row r="7" spans="2:35">
      <c r="B7" s="6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218"/>
      <c r="O7" s="71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</row>
    <row r="8" spans="2:35">
      <c r="B8" s="57" t="s">
        <v>44</v>
      </c>
      <c r="C8" s="381">
        <v>73.455053844684898</v>
      </c>
      <c r="D8" s="381">
        <v>73.869140879016499</v>
      </c>
      <c r="E8" s="381">
        <v>77.137926099395457</v>
      </c>
      <c r="F8" s="381">
        <v>78.148580493719123</v>
      </c>
      <c r="G8" s="381">
        <v>76.990109884376636</v>
      </c>
      <c r="H8" s="381">
        <v>76.949729383066966</v>
      </c>
      <c r="I8" s="381">
        <v>77.996212108047388</v>
      </c>
      <c r="J8" s="381">
        <v>78.018904072427461</v>
      </c>
      <c r="K8" s="381">
        <v>79.197922403970693</v>
      </c>
      <c r="L8" s="381">
        <v>80.146254643870947</v>
      </c>
      <c r="M8" s="381">
        <v>81.768686123607793</v>
      </c>
      <c r="N8" s="381">
        <v>82.397302688478547</v>
      </c>
      <c r="O8" s="387">
        <f t="shared" ref="O8:AH8" si="3">O9*O5</f>
        <v>81.504856800000027</v>
      </c>
      <c r="P8" s="385">
        <f t="shared" si="3"/>
        <v>81.912381084000017</v>
      </c>
      <c r="Q8" s="385">
        <f t="shared" si="3"/>
        <v>82.321942989420023</v>
      </c>
      <c r="R8" s="385">
        <f t="shared" si="3"/>
        <v>82.733552704367114</v>
      </c>
      <c r="S8" s="385">
        <f t="shared" si="3"/>
        <v>83.147220467888943</v>
      </c>
      <c r="T8" s="385">
        <f t="shared" si="3"/>
        <v>83.562956570228394</v>
      </c>
      <c r="U8" s="385">
        <f t="shared" si="3"/>
        <v>83.980771353079533</v>
      </c>
      <c r="V8" s="385">
        <f t="shared" si="3"/>
        <v>84.400675209844934</v>
      </c>
      <c r="W8" s="385">
        <f t="shared" si="3"/>
        <v>84.822678585894153</v>
      </c>
      <c r="X8" s="385">
        <f t="shared" si="3"/>
        <v>85.246791978823623</v>
      </c>
      <c r="Y8" s="385">
        <f t="shared" si="3"/>
        <v>85.673025938717728</v>
      </c>
      <c r="Z8" s="385">
        <f t="shared" si="3"/>
        <v>86.101391068411331</v>
      </c>
      <c r="AA8" s="385">
        <f t="shared" si="3"/>
        <v>86.531898023753385</v>
      </c>
      <c r="AB8" s="385">
        <f t="shared" si="3"/>
        <v>86.964557513872137</v>
      </c>
      <c r="AC8" s="385">
        <f t="shared" si="3"/>
        <v>87.399380301441496</v>
      </c>
      <c r="AD8" s="385">
        <f t="shared" si="3"/>
        <v>87.836377202948711</v>
      </c>
      <c r="AE8" s="385">
        <f t="shared" si="3"/>
        <v>88.275559088963462</v>
      </c>
      <c r="AF8" s="385">
        <f t="shared" si="3"/>
        <v>88.71693688440827</v>
      </c>
      <c r="AG8" s="385">
        <f t="shared" si="3"/>
        <v>89.160521568830305</v>
      </c>
      <c r="AH8" s="385">
        <f t="shared" si="3"/>
        <v>89.606324176674462</v>
      </c>
      <c r="AI8" s="42"/>
    </row>
    <row r="9" spans="2:35">
      <c r="B9" s="6" t="s">
        <v>223</v>
      </c>
      <c r="C9" s="237">
        <f t="shared" ref="C9:M9" si="4">+C8/C5</f>
        <v>0.24388471468814513</v>
      </c>
      <c r="D9" s="237">
        <f t="shared" si="4"/>
        <v>0.24261143163618556</v>
      </c>
      <c r="E9" s="237">
        <f t="shared" si="4"/>
        <v>0.25016972075027227</v>
      </c>
      <c r="F9" s="237">
        <f t="shared" si="4"/>
        <v>0.249050793280604</v>
      </c>
      <c r="G9" s="237">
        <f t="shared" si="4"/>
        <v>0.24806018400071206</v>
      </c>
      <c r="H9" s="237">
        <f t="shared" si="4"/>
        <v>0.24854347322307221</v>
      </c>
      <c r="I9" s="237">
        <f t="shared" si="4"/>
        <v>0.24959680512621277</v>
      </c>
      <c r="J9" s="237">
        <f t="shared" si="4"/>
        <v>0.24696233351911628</v>
      </c>
      <c r="K9" s="237">
        <f t="shared" si="4"/>
        <v>0.24862473139339353</v>
      </c>
      <c r="L9" s="237">
        <f t="shared" si="4"/>
        <v>0.24899093113660484</v>
      </c>
      <c r="M9" s="237">
        <f t="shared" si="4"/>
        <v>0.24938743740664446</v>
      </c>
      <c r="N9" s="271">
        <f>+N8/N5</f>
        <v>0.24384104443283949</v>
      </c>
      <c r="O9" s="245">
        <v>0.24</v>
      </c>
      <c r="P9" s="238">
        <v>0.24</v>
      </c>
      <c r="Q9" s="238">
        <v>0.24</v>
      </c>
      <c r="R9" s="238">
        <v>0.24</v>
      </c>
      <c r="S9" s="238">
        <v>0.24</v>
      </c>
      <c r="T9" s="238">
        <v>0.24</v>
      </c>
      <c r="U9" s="238">
        <v>0.24</v>
      </c>
      <c r="V9" s="238">
        <v>0.24</v>
      </c>
      <c r="W9" s="238">
        <v>0.24</v>
      </c>
      <c r="X9" s="238">
        <v>0.24</v>
      </c>
      <c r="Y9" s="238">
        <v>0.24</v>
      </c>
      <c r="Z9" s="238">
        <v>0.24</v>
      </c>
      <c r="AA9" s="238">
        <v>0.24</v>
      </c>
      <c r="AB9" s="238">
        <v>0.24</v>
      </c>
      <c r="AC9" s="238">
        <v>0.24</v>
      </c>
      <c r="AD9" s="238">
        <v>0.24</v>
      </c>
      <c r="AE9" s="238">
        <v>0.24</v>
      </c>
      <c r="AF9" s="238">
        <v>0.24</v>
      </c>
      <c r="AG9" s="238">
        <v>0.24</v>
      </c>
      <c r="AH9" s="238">
        <v>0.24</v>
      </c>
      <c r="AI9" s="42"/>
    </row>
    <row r="10" spans="2:35">
      <c r="B10" s="6" t="s">
        <v>42</v>
      </c>
      <c r="C10" s="36"/>
      <c r="D10" s="36"/>
      <c r="E10" s="36"/>
      <c r="F10" s="36"/>
      <c r="G10" s="239">
        <f t="shared" ref="G10:AH10" si="5">G8/C8-1</f>
        <v>4.8125429833137723E-2</v>
      </c>
      <c r="H10" s="239">
        <f t="shared" si="5"/>
        <v>4.1703321135085014E-2</v>
      </c>
      <c r="I10" s="239">
        <f t="shared" si="5"/>
        <v>1.1126640967064505E-2</v>
      </c>
      <c r="J10" s="239">
        <f t="shared" si="5"/>
        <v>-1.6593573481745727E-3</v>
      </c>
      <c r="K10" s="239">
        <f t="shared" si="5"/>
        <v>2.8676573171667608E-2</v>
      </c>
      <c r="L10" s="239">
        <f t="shared" si="5"/>
        <v>4.1540435378157214E-2</v>
      </c>
      <c r="M10" s="239">
        <f t="shared" si="5"/>
        <v>4.8367400333934496E-2</v>
      </c>
      <c r="N10" s="242">
        <f t="shared" si="5"/>
        <v>5.6119714421859479E-2</v>
      </c>
      <c r="O10" s="240">
        <f t="shared" si="5"/>
        <v>2.9128723658458977E-2</v>
      </c>
      <c r="P10" s="241">
        <f t="shared" si="5"/>
        <v>2.2036294122249833E-2</v>
      </c>
      <c r="Q10" s="241">
        <f t="shared" si="5"/>
        <v>6.7661215073933079E-3</v>
      </c>
      <c r="R10" s="241">
        <f t="shared" si="5"/>
        <v>4.0808376599392737E-3</v>
      </c>
      <c r="S10" s="241">
        <f t="shared" si="5"/>
        <v>2.015050062499979E-2</v>
      </c>
      <c r="T10" s="241">
        <f t="shared" si="5"/>
        <v>2.0150500625000012E-2</v>
      </c>
      <c r="U10" s="241">
        <f t="shared" si="5"/>
        <v>2.015050062499979E-2</v>
      </c>
      <c r="V10" s="241">
        <f t="shared" si="5"/>
        <v>2.0150500625000012E-2</v>
      </c>
      <c r="W10" s="241">
        <f t="shared" si="5"/>
        <v>2.0150500625000012E-2</v>
      </c>
      <c r="X10" s="241">
        <f t="shared" si="5"/>
        <v>2.0150500625000012E-2</v>
      </c>
      <c r="Y10" s="241">
        <f t="shared" si="5"/>
        <v>2.015050062499979E-2</v>
      </c>
      <c r="Z10" s="241">
        <f t="shared" si="5"/>
        <v>2.0150500625000012E-2</v>
      </c>
      <c r="AA10" s="241">
        <f t="shared" si="5"/>
        <v>2.0150500625000012E-2</v>
      </c>
      <c r="AB10" s="241">
        <f t="shared" si="5"/>
        <v>2.015050062499979E-2</v>
      </c>
      <c r="AC10" s="241">
        <f t="shared" si="5"/>
        <v>2.0150500625000012E-2</v>
      </c>
      <c r="AD10" s="241">
        <f t="shared" si="5"/>
        <v>2.015050062499979E-2</v>
      </c>
      <c r="AE10" s="241">
        <f t="shared" si="5"/>
        <v>2.0150500625000012E-2</v>
      </c>
      <c r="AF10" s="241">
        <f t="shared" si="5"/>
        <v>2.0150500625000012E-2</v>
      </c>
      <c r="AG10" s="241">
        <f t="shared" si="5"/>
        <v>2.0150500625000012E-2</v>
      </c>
      <c r="AH10" s="241">
        <f t="shared" si="5"/>
        <v>2.0150500625000012E-2</v>
      </c>
      <c r="AI10" s="60"/>
    </row>
    <row r="11" spans="2:35">
      <c r="B11" s="6"/>
      <c r="C11" s="36"/>
      <c r="D11" s="36"/>
      <c r="E11" s="36"/>
      <c r="F11" s="36"/>
      <c r="G11" s="239"/>
      <c r="H11" s="239"/>
      <c r="I11" s="239"/>
      <c r="J11" s="239"/>
      <c r="K11" s="239"/>
      <c r="L11" s="239"/>
      <c r="M11" s="239"/>
      <c r="N11" s="242"/>
      <c r="O11" s="240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60"/>
    </row>
    <row r="12" spans="2:35">
      <c r="B12" s="57" t="s">
        <v>122</v>
      </c>
      <c r="C12" s="42"/>
      <c r="D12" s="42"/>
      <c r="E12" s="42"/>
      <c r="F12" s="385">
        <f>SUM(C8:F8)</f>
        <v>302.61070131681595</v>
      </c>
      <c r="G12" s="385">
        <f t="shared" ref="G12:AH12" si="6">SUM(D8:G8)</f>
        <v>306.14575735650772</v>
      </c>
      <c r="H12" s="385">
        <f t="shared" si="6"/>
        <v>309.22634586055818</v>
      </c>
      <c r="I12" s="385">
        <f t="shared" si="6"/>
        <v>310.08463186921011</v>
      </c>
      <c r="J12" s="385">
        <f t="shared" si="6"/>
        <v>309.95495544791845</v>
      </c>
      <c r="K12" s="385">
        <f t="shared" si="6"/>
        <v>312.16276796751254</v>
      </c>
      <c r="L12" s="385">
        <f t="shared" si="6"/>
        <v>315.35929322831646</v>
      </c>
      <c r="M12" s="385">
        <f t="shared" si="6"/>
        <v>319.13176724387688</v>
      </c>
      <c r="N12" s="386">
        <f t="shared" si="6"/>
        <v>323.51016585992795</v>
      </c>
      <c r="O12" s="387">
        <f t="shared" si="6"/>
        <v>325.81710025595731</v>
      </c>
      <c r="P12" s="385">
        <f t="shared" si="6"/>
        <v>327.5832266960864</v>
      </c>
      <c r="Q12" s="385">
        <f t="shared" si="6"/>
        <v>328.13648356189856</v>
      </c>
      <c r="R12" s="385">
        <f t="shared" si="6"/>
        <v>328.47273357778715</v>
      </c>
      <c r="S12" s="385">
        <f t="shared" si="6"/>
        <v>330.11509724567611</v>
      </c>
      <c r="T12" s="385">
        <f t="shared" si="6"/>
        <v>331.76567273190443</v>
      </c>
      <c r="U12" s="385">
        <f t="shared" si="6"/>
        <v>333.42450109556398</v>
      </c>
      <c r="V12" s="385">
        <f t="shared" si="6"/>
        <v>335.09162360104176</v>
      </c>
      <c r="W12" s="385">
        <f t="shared" si="6"/>
        <v>336.76708171904704</v>
      </c>
      <c r="X12" s="385">
        <f t="shared" si="6"/>
        <v>338.45091712764224</v>
      </c>
      <c r="Y12" s="385">
        <f t="shared" si="6"/>
        <v>340.14317171328042</v>
      </c>
      <c r="Z12" s="385">
        <f t="shared" si="6"/>
        <v>341.84388757184684</v>
      </c>
      <c r="AA12" s="385">
        <f t="shared" si="6"/>
        <v>343.55310700970608</v>
      </c>
      <c r="AB12" s="385">
        <f t="shared" si="6"/>
        <v>345.27087254475458</v>
      </c>
      <c r="AC12" s="385">
        <f t="shared" si="6"/>
        <v>346.99722690747836</v>
      </c>
      <c r="AD12" s="385">
        <f t="shared" si="6"/>
        <v>348.73221304201576</v>
      </c>
      <c r="AE12" s="385">
        <f t="shared" si="6"/>
        <v>350.47587410722582</v>
      </c>
      <c r="AF12" s="385">
        <f t="shared" si="6"/>
        <v>352.22825347776194</v>
      </c>
      <c r="AG12" s="385">
        <f t="shared" si="6"/>
        <v>353.98939474515072</v>
      </c>
      <c r="AH12" s="385">
        <f t="shared" si="6"/>
        <v>355.7593417188765</v>
      </c>
      <c r="AI12" s="42"/>
    </row>
    <row r="13" spans="2:35">
      <c r="B13" s="6"/>
    </row>
    <row r="14" spans="2:35">
      <c r="B14" s="16" t="s">
        <v>43</v>
      </c>
      <c r="C14" s="382"/>
    </row>
    <row r="15" spans="2:35">
      <c r="B15" s="2" t="s">
        <v>150</v>
      </c>
      <c r="C15" s="382">
        <v>16.8141840103441</v>
      </c>
      <c r="D15" s="382">
        <v>16.439783752897039</v>
      </c>
      <c r="E15" s="382">
        <v>17.243158901781904</v>
      </c>
      <c r="F15" s="382">
        <v>17.381202258279334</v>
      </c>
      <c r="G15" s="382">
        <v>17.181648832083482</v>
      </c>
      <c r="H15" s="382">
        <v>17.041216531252186</v>
      </c>
      <c r="I15" s="382">
        <v>17.760996158505755</v>
      </c>
      <c r="J15" s="382">
        <v>17.260386891231359</v>
      </c>
      <c r="K15" s="382">
        <v>18.194631954639643</v>
      </c>
      <c r="L15" s="382">
        <v>18.159883405173499</v>
      </c>
      <c r="M15" s="382">
        <v>18.430076587743311</v>
      </c>
      <c r="N15" s="382">
        <v>18.925570742178607</v>
      </c>
      <c r="O15" s="391">
        <f t="shared" ref="O15:AH15" si="7">(1-O17)*O8</f>
        <v>18.746117064000003</v>
      </c>
      <c r="P15" s="392">
        <f t="shared" si="7"/>
        <v>18.839847649320003</v>
      </c>
      <c r="Q15" s="392">
        <f t="shared" si="7"/>
        <v>18.934046887566605</v>
      </c>
      <c r="R15" s="392">
        <f t="shared" si="7"/>
        <v>19.028717122004434</v>
      </c>
      <c r="S15" s="392">
        <f t="shared" si="7"/>
        <v>19.123860707614455</v>
      </c>
      <c r="T15" s="392">
        <f t="shared" si="7"/>
        <v>19.21948001115253</v>
      </c>
      <c r="U15" s="392">
        <f t="shared" si="7"/>
        <v>19.315577411208292</v>
      </c>
      <c r="V15" s="392">
        <f t="shared" si="7"/>
        <v>19.412155298264334</v>
      </c>
      <c r="W15" s="392">
        <f t="shared" si="7"/>
        <v>19.509216074755653</v>
      </c>
      <c r="X15" s="392">
        <f t="shared" si="7"/>
        <v>19.606762155129431</v>
      </c>
      <c r="Y15" s="392">
        <f t="shared" si="7"/>
        <v>19.704795965905078</v>
      </c>
      <c r="Z15" s="392">
        <f t="shared" si="7"/>
        <v>19.803319945734604</v>
      </c>
      <c r="AA15" s="392">
        <f t="shared" si="7"/>
        <v>19.902336545463278</v>
      </c>
      <c r="AB15" s="392">
        <f t="shared" si="7"/>
        <v>20.001848228190589</v>
      </c>
      <c r="AC15" s="392">
        <f t="shared" si="7"/>
        <v>20.101857469331541</v>
      </c>
      <c r="AD15" s="392">
        <f t="shared" si="7"/>
        <v>20.202366756678202</v>
      </c>
      <c r="AE15" s="392">
        <f t="shared" si="7"/>
        <v>20.303378590461595</v>
      </c>
      <c r="AF15" s="392">
        <f t="shared" si="7"/>
        <v>20.404895483413899</v>
      </c>
      <c r="AG15" s="392">
        <f t="shared" si="7"/>
        <v>20.50691996083097</v>
      </c>
      <c r="AH15" s="392">
        <f t="shared" si="7"/>
        <v>20.609454560635125</v>
      </c>
      <c r="AI15" s="40"/>
    </row>
    <row r="16" spans="2:35">
      <c r="B16" s="55" t="s">
        <v>43</v>
      </c>
      <c r="C16" s="358">
        <f t="shared" ref="C16:AH16" si="8">C8-C15</f>
        <v>56.640869834340798</v>
      </c>
      <c r="D16" s="358">
        <f t="shared" si="8"/>
        <v>57.429357126119456</v>
      </c>
      <c r="E16" s="358">
        <f t="shared" si="8"/>
        <v>59.894767197613554</v>
      </c>
      <c r="F16" s="358">
        <f t="shared" si="8"/>
        <v>60.767378235439793</v>
      </c>
      <c r="G16" s="358">
        <f t="shared" si="8"/>
        <v>59.808461052293154</v>
      </c>
      <c r="H16" s="358">
        <f t="shared" si="8"/>
        <v>59.908512851814777</v>
      </c>
      <c r="I16" s="358">
        <f t="shared" si="8"/>
        <v>60.235215949541633</v>
      </c>
      <c r="J16" s="358">
        <f t="shared" si="8"/>
        <v>60.758517181196098</v>
      </c>
      <c r="K16" s="358">
        <f t="shared" si="8"/>
        <v>61.003290449331047</v>
      </c>
      <c r="L16" s="358">
        <f t="shared" si="8"/>
        <v>61.986371238697444</v>
      </c>
      <c r="M16" s="358">
        <f t="shared" si="8"/>
        <v>63.338609535864478</v>
      </c>
      <c r="N16" s="359">
        <f t="shared" si="8"/>
        <v>63.47173194629994</v>
      </c>
      <c r="O16" s="368">
        <f t="shared" si="8"/>
        <v>62.758739736000024</v>
      </c>
      <c r="P16" s="358">
        <f t="shared" si="8"/>
        <v>63.072533434680011</v>
      </c>
      <c r="Q16" s="358">
        <f t="shared" si="8"/>
        <v>63.387896101853414</v>
      </c>
      <c r="R16" s="358">
        <f t="shared" si="8"/>
        <v>63.704835582362676</v>
      </c>
      <c r="S16" s="358">
        <f t="shared" si="8"/>
        <v>64.023359760274488</v>
      </c>
      <c r="T16" s="358">
        <f t="shared" si="8"/>
        <v>64.343476559075867</v>
      </c>
      <c r="U16" s="358">
        <f t="shared" si="8"/>
        <v>64.665193941871237</v>
      </c>
      <c r="V16" s="358">
        <f t="shared" si="8"/>
        <v>64.988519911580596</v>
      </c>
      <c r="W16" s="358">
        <f t="shared" si="8"/>
        <v>65.313462511138496</v>
      </c>
      <c r="X16" s="358">
        <f t="shared" si="8"/>
        <v>65.640029823694192</v>
      </c>
      <c r="Y16" s="358">
        <f t="shared" si="8"/>
        <v>65.968229972812651</v>
      </c>
      <c r="Z16" s="358">
        <f t="shared" si="8"/>
        <v>66.298071122676731</v>
      </c>
      <c r="AA16" s="358">
        <f t="shared" si="8"/>
        <v>66.6295614782901</v>
      </c>
      <c r="AB16" s="358">
        <f t="shared" si="8"/>
        <v>66.962709285681541</v>
      </c>
      <c r="AC16" s="358">
        <f t="shared" si="8"/>
        <v>67.297522832109962</v>
      </c>
      <c r="AD16" s="358">
        <f t="shared" si="8"/>
        <v>67.634010446270509</v>
      </c>
      <c r="AE16" s="358">
        <f t="shared" si="8"/>
        <v>67.972180498501871</v>
      </c>
      <c r="AF16" s="358">
        <f t="shared" si="8"/>
        <v>68.312041400994374</v>
      </c>
      <c r="AG16" s="358">
        <f t="shared" si="8"/>
        <v>68.653601607999335</v>
      </c>
      <c r="AH16" s="358">
        <f t="shared" si="8"/>
        <v>68.996869616039334</v>
      </c>
      <c r="AI16" s="42"/>
    </row>
    <row r="17" spans="2:35">
      <c r="B17" s="6" t="s">
        <v>222</v>
      </c>
      <c r="C17" s="241">
        <f t="shared" ref="C17:N17" si="9">C16/C8</f>
        <v>0.77109561384440062</v>
      </c>
      <c r="D17" s="241">
        <f t="shared" si="9"/>
        <v>0.77744720518921073</v>
      </c>
      <c r="E17" s="241">
        <f t="shared" si="9"/>
        <v>0.77646328111591478</v>
      </c>
      <c r="F17" s="241">
        <f t="shared" si="9"/>
        <v>0.77758774185698387</v>
      </c>
      <c r="G17" s="241">
        <f t="shared" si="9"/>
        <v>0.77683303923209357</v>
      </c>
      <c r="H17" s="241">
        <f t="shared" si="9"/>
        <v>0.77854091667537217</v>
      </c>
      <c r="I17" s="241">
        <f t="shared" si="9"/>
        <v>0.77228386253038006</v>
      </c>
      <c r="J17" s="241">
        <f t="shared" si="9"/>
        <v>0.77876660667768427</v>
      </c>
      <c r="K17" s="241">
        <f t="shared" si="9"/>
        <v>0.77026377204905772</v>
      </c>
      <c r="L17" s="241">
        <f t="shared" si="9"/>
        <v>0.77341569502072482</v>
      </c>
      <c r="M17" s="241">
        <f t="shared" si="9"/>
        <v>0.77460715756294529</v>
      </c>
      <c r="N17" s="272">
        <f t="shared" si="9"/>
        <v>0.77031322476985731</v>
      </c>
      <c r="O17" s="245">
        <v>0.77</v>
      </c>
      <c r="P17" s="238">
        <v>0.77</v>
      </c>
      <c r="Q17" s="238">
        <v>0.77</v>
      </c>
      <c r="R17" s="238">
        <v>0.77</v>
      </c>
      <c r="S17" s="238">
        <v>0.77</v>
      </c>
      <c r="T17" s="238">
        <v>0.77</v>
      </c>
      <c r="U17" s="238">
        <v>0.77</v>
      </c>
      <c r="V17" s="238">
        <v>0.77</v>
      </c>
      <c r="W17" s="238">
        <v>0.77</v>
      </c>
      <c r="X17" s="238">
        <v>0.77</v>
      </c>
      <c r="Y17" s="238">
        <v>0.77</v>
      </c>
      <c r="Z17" s="238">
        <v>0.77</v>
      </c>
      <c r="AA17" s="238">
        <v>0.77</v>
      </c>
      <c r="AB17" s="238">
        <v>0.77</v>
      </c>
      <c r="AC17" s="238">
        <v>0.77</v>
      </c>
      <c r="AD17" s="238">
        <v>0.77</v>
      </c>
      <c r="AE17" s="238">
        <v>0.77</v>
      </c>
      <c r="AF17" s="238">
        <v>0.77</v>
      </c>
      <c r="AG17" s="238">
        <v>0.77</v>
      </c>
      <c r="AH17" s="238">
        <v>0.77</v>
      </c>
      <c r="AI17" s="60"/>
    </row>
    <row r="19" spans="2:35">
      <c r="B19" s="16" t="s">
        <v>47</v>
      </c>
    </row>
    <row r="20" spans="2:35">
      <c r="B20" s="2" t="s">
        <v>21</v>
      </c>
      <c r="C20" s="382">
        <v>14.003969528003877</v>
      </c>
      <c r="D20" s="382">
        <v>14.083162297273198</v>
      </c>
      <c r="E20" s="382">
        <v>14.056085090656572</v>
      </c>
      <c r="F20" s="382">
        <v>14.845196324956168</v>
      </c>
      <c r="G20" s="382">
        <v>13.968858753550391</v>
      </c>
      <c r="H20" s="382">
        <v>14.048706080988852</v>
      </c>
      <c r="I20" s="382">
        <v>14.759203826691357</v>
      </c>
      <c r="J20" s="382">
        <v>14.257531617198369</v>
      </c>
      <c r="K20" s="382">
        <v>14.673867768404181</v>
      </c>
      <c r="L20" s="382">
        <v>15.107327385645698</v>
      </c>
      <c r="M20" s="382">
        <v>15.409771901603062</v>
      </c>
      <c r="N20" s="382">
        <v>15.384977667426883</v>
      </c>
      <c r="O20" s="391">
        <f>O$8*O24</f>
        <v>14.670874224000004</v>
      </c>
      <c r="P20" s="392">
        <f t="shared" ref="P20:AH22" si="10">P$8*P24</f>
        <v>14.744228595120003</v>
      </c>
      <c r="Q20" s="392">
        <f t="shared" si="10"/>
        <v>14.817949738095603</v>
      </c>
      <c r="R20" s="392">
        <f t="shared" si="10"/>
        <v>14.89203948678608</v>
      </c>
      <c r="S20" s="392">
        <f t="shared" si="10"/>
        <v>14.966499684220009</v>
      </c>
      <c r="T20" s="392">
        <f t="shared" si="10"/>
        <v>15.04133218264111</v>
      </c>
      <c r="U20" s="392">
        <f t="shared" si="10"/>
        <v>15.116538843554315</v>
      </c>
      <c r="V20" s="392">
        <f t="shared" si="10"/>
        <v>15.192121537772088</v>
      </c>
      <c r="W20" s="392">
        <f t="shared" si="10"/>
        <v>15.268082145460946</v>
      </c>
      <c r="X20" s="392">
        <f t="shared" si="10"/>
        <v>15.344422556188251</v>
      </c>
      <c r="Y20" s="392">
        <f t="shared" si="10"/>
        <v>15.421144668969191</v>
      </c>
      <c r="Z20" s="392">
        <f t="shared" si="10"/>
        <v>15.49825039231404</v>
      </c>
      <c r="AA20" s="392">
        <f t="shared" si="10"/>
        <v>15.57574164427561</v>
      </c>
      <c r="AB20" s="392">
        <f t="shared" si="10"/>
        <v>15.653620352496985</v>
      </c>
      <c r="AC20" s="392">
        <f t="shared" si="10"/>
        <v>15.731888454259469</v>
      </c>
      <c r="AD20" s="392">
        <f t="shared" si="10"/>
        <v>15.810547896530768</v>
      </c>
      <c r="AE20" s="392">
        <f t="shared" si="10"/>
        <v>15.889600636013423</v>
      </c>
      <c r="AF20" s="392">
        <f t="shared" si="10"/>
        <v>15.969048639193488</v>
      </c>
      <c r="AG20" s="392">
        <f t="shared" si="10"/>
        <v>16.048893882389454</v>
      </c>
      <c r="AH20" s="392">
        <f t="shared" si="10"/>
        <v>16.129138351801402</v>
      </c>
      <c r="AI20" s="38"/>
    </row>
    <row r="21" spans="2:35">
      <c r="B21" s="2" t="s">
        <v>45</v>
      </c>
      <c r="C21" s="382">
        <v>9.2062253932624767</v>
      </c>
      <c r="D21" s="382">
        <v>9.6841711421192791</v>
      </c>
      <c r="E21" s="382">
        <v>9.7135544029484571</v>
      </c>
      <c r="F21" s="382">
        <v>10.072549596790582</v>
      </c>
      <c r="G21" s="382">
        <v>9.3605583227883624</v>
      </c>
      <c r="H21" s="382">
        <v>9.9635406480411888</v>
      </c>
      <c r="I21" s="382">
        <v>9.5611794225788422</v>
      </c>
      <c r="J21" s="382">
        <v>9.4684992289746042</v>
      </c>
      <c r="K21" s="382">
        <v>10.008531316998704</v>
      </c>
      <c r="L21" s="382">
        <v>9.9327403469094335</v>
      </c>
      <c r="M21" s="382">
        <v>10.530411783815669</v>
      </c>
      <c r="N21" s="382">
        <v>10.727016837040445</v>
      </c>
      <c r="O21" s="391">
        <f t="shared" ref="O21:AD22" si="11">O$8*O25</f>
        <v>9.7805828160000026</v>
      </c>
      <c r="P21" s="392">
        <f t="shared" si="11"/>
        <v>9.8294857300800018</v>
      </c>
      <c r="Q21" s="392">
        <f t="shared" si="11"/>
        <v>9.8786331587304019</v>
      </c>
      <c r="R21" s="392">
        <f t="shared" si="11"/>
        <v>9.928026324524053</v>
      </c>
      <c r="S21" s="392">
        <f t="shared" si="11"/>
        <v>9.9776664561466735</v>
      </c>
      <c r="T21" s="392">
        <f t="shared" si="11"/>
        <v>10.027554788427407</v>
      </c>
      <c r="U21" s="392">
        <f t="shared" si="11"/>
        <v>10.077692562369544</v>
      </c>
      <c r="V21" s="392">
        <f t="shared" si="11"/>
        <v>10.128081025181391</v>
      </c>
      <c r="W21" s="392">
        <f t="shared" si="11"/>
        <v>10.178721430307299</v>
      </c>
      <c r="X21" s="392">
        <f t="shared" si="11"/>
        <v>10.229615037458835</v>
      </c>
      <c r="Y21" s="392">
        <f t="shared" si="11"/>
        <v>10.280763112646127</v>
      </c>
      <c r="Z21" s="392">
        <f t="shared" si="11"/>
        <v>10.332166928209359</v>
      </c>
      <c r="AA21" s="392">
        <f t="shared" si="11"/>
        <v>10.383827762850405</v>
      </c>
      <c r="AB21" s="392">
        <f t="shared" si="11"/>
        <v>10.435746901664656</v>
      </c>
      <c r="AC21" s="392">
        <f t="shared" si="11"/>
        <v>10.48792563617298</v>
      </c>
      <c r="AD21" s="392">
        <f t="shared" si="11"/>
        <v>10.540365264353845</v>
      </c>
      <c r="AE21" s="392">
        <f t="shared" si="10"/>
        <v>10.593067090675614</v>
      </c>
      <c r="AF21" s="392">
        <f t="shared" si="10"/>
        <v>10.646032426128992</v>
      </c>
      <c r="AG21" s="392">
        <f t="shared" si="10"/>
        <v>10.699262588259636</v>
      </c>
      <c r="AH21" s="392">
        <f t="shared" si="10"/>
        <v>10.752758901200934</v>
      </c>
      <c r="AI21" s="38"/>
    </row>
    <row r="22" spans="2:35">
      <c r="B22" s="2" t="s">
        <v>46</v>
      </c>
      <c r="C22" s="382">
        <v>7.8364503170334032</v>
      </c>
      <c r="D22" s="382">
        <v>7.740883543589856</v>
      </c>
      <c r="E22" s="382">
        <v>8.5227341422157235</v>
      </c>
      <c r="F22" s="382">
        <v>8.2979269582350899</v>
      </c>
      <c r="G22" s="382">
        <v>7.7674467455211564</v>
      </c>
      <c r="H22" s="382">
        <v>8.4813745806414111</v>
      </c>
      <c r="I22" s="382">
        <v>8.1831799063775481</v>
      </c>
      <c r="J22" s="382">
        <v>8.5208100679706842</v>
      </c>
      <c r="K22" s="382">
        <v>8.1719339181247133</v>
      </c>
      <c r="L22" s="382">
        <v>8.6967456456881784</v>
      </c>
      <c r="M22" s="382">
        <v>8.4261176355644203</v>
      </c>
      <c r="N22" s="382">
        <v>9.0984911667239086</v>
      </c>
      <c r="O22" s="391">
        <f t="shared" si="11"/>
        <v>8.9655342480000026</v>
      </c>
      <c r="P22" s="392">
        <f t="shared" si="10"/>
        <v>9.0103619192400028</v>
      </c>
      <c r="Q22" s="392">
        <f t="shared" si="10"/>
        <v>9.0554137288362018</v>
      </c>
      <c r="R22" s="392">
        <f t="shared" si="10"/>
        <v>9.1006907974803823</v>
      </c>
      <c r="S22" s="392">
        <f t="shared" si="10"/>
        <v>9.146194251467783</v>
      </c>
      <c r="T22" s="392">
        <f t="shared" si="10"/>
        <v>9.1919252227251231</v>
      </c>
      <c r="U22" s="392">
        <f t="shared" si="10"/>
        <v>9.2378848488387479</v>
      </c>
      <c r="V22" s="392">
        <f t="shared" si="10"/>
        <v>9.2840742730829433</v>
      </c>
      <c r="W22" s="392">
        <f t="shared" si="10"/>
        <v>9.3304946444483576</v>
      </c>
      <c r="X22" s="392">
        <f t="shared" si="10"/>
        <v>9.3771471176705994</v>
      </c>
      <c r="Y22" s="392">
        <f t="shared" si="10"/>
        <v>9.4240328532589501</v>
      </c>
      <c r="Z22" s="392">
        <f t="shared" si="10"/>
        <v>9.4711530175252463</v>
      </c>
      <c r="AA22" s="392">
        <f t="shared" si="10"/>
        <v>9.5185087826128729</v>
      </c>
      <c r="AB22" s="392">
        <f t="shared" si="10"/>
        <v>9.5661013265259349</v>
      </c>
      <c r="AC22" s="392">
        <f t="shared" si="10"/>
        <v>9.6139318331585653</v>
      </c>
      <c r="AD22" s="392">
        <f t="shared" si="10"/>
        <v>9.6620014923243591</v>
      </c>
      <c r="AE22" s="392">
        <f t="shared" si="10"/>
        <v>9.7103114997859805</v>
      </c>
      <c r="AF22" s="392">
        <f t="shared" si="10"/>
        <v>9.7588630572849091</v>
      </c>
      <c r="AG22" s="392">
        <f t="shared" si="10"/>
        <v>9.8076573725713327</v>
      </c>
      <c r="AH22" s="392">
        <f t="shared" si="10"/>
        <v>9.856695659434191</v>
      </c>
      <c r="AI22" s="38"/>
    </row>
    <row r="23" spans="2:35">
      <c r="B23" s="55" t="s">
        <v>47</v>
      </c>
      <c r="C23" s="358">
        <f t="shared" ref="C23:O23" si="12">SUM(C20:C22)</f>
        <v>31.046645238299757</v>
      </c>
      <c r="D23" s="358">
        <f t="shared" si="12"/>
        <v>31.508216982982333</v>
      </c>
      <c r="E23" s="358">
        <f t="shared" si="12"/>
        <v>32.292373635820752</v>
      </c>
      <c r="F23" s="358">
        <f t="shared" si="12"/>
        <v>33.215672879981838</v>
      </c>
      <c r="G23" s="358">
        <f t="shared" si="12"/>
        <v>31.096863821859909</v>
      </c>
      <c r="H23" s="358">
        <f t="shared" si="12"/>
        <v>32.493621309671454</v>
      </c>
      <c r="I23" s="358">
        <f t="shared" si="12"/>
        <v>32.503563155647747</v>
      </c>
      <c r="J23" s="358">
        <f t="shared" si="12"/>
        <v>32.246840914143661</v>
      </c>
      <c r="K23" s="358">
        <f t="shared" si="12"/>
        <v>32.8543330035276</v>
      </c>
      <c r="L23" s="358">
        <f t="shared" si="12"/>
        <v>33.736813378243312</v>
      </c>
      <c r="M23" s="358">
        <f t="shared" si="12"/>
        <v>34.366301320983155</v>
      </c>
      <c r="N23" s="359">
        <f t="shared" si="12"/>
        <v>35.210485671191236</v>
      </c>
      <c r="O23" s="368">
        <f t="shared" si="12"/>
        <v>33.416991288000013</v>
      </c>
      <c r="P23" s="358">
        <f t="shared" ref="P23:AH23" si="13">SUM(P20:P22)</f>
        <v>33.584076244440006</v>
      </c>
      <c r="Q23" s="358">
        <f t="shared" si="13"/>
        <v>33.751996625662208</v>
      </c>
      <c r="R23" s="358">
        <f t="shared" si="13"/>
        <v>33.920756608790512</v>
      </c>
      <c r="S23" s="358">
        <f t="shared" si="13"/>
        <v>34.090360391834466</v>
      </c>
      <c r="T23" s="358">
        <f t="shared" si="13"/>
        <v>34.26081219379364</v>
      </c>
      <c r="U23" s="358">
        <f t="shared" si="13"/>
        <v>34.432116254762605</v>
      </c>
      <c r="V23" s="358">
        <f t="shared" si="13"/>
        <v>34.604276836036419</v>
      </c>
      <c r="W23" s="358">
        <f t="shared" si="13"/>
        <v>34.777298220216601</v>
      </c>
      <c r="X23" s="358">
        <f t="shared" si="13"/>
        <v>34.95118471131768</v>
      </c>
      <c r="Y23" s="358">
        <f t="shared" si="13"/>
        <v>35.125940634874269</v>
      </c>
      <c r="Z23" s="358">
        <f t="shared" si="13"/>
        <v>35.301570338048649</v>
      </c>
      <c r="AA23" s="358">
        <f t="shared" si="13"/>
        <v>35.478078189738888</v>
      </c>
      <c r="AB23" s="358">
        <f t="shared" si="13"/>
        <v>35.655468580687575</v>
      </c>
      <c r="AC23" s="358">
        <f t="shared" si="13"/>
        <v>35.833745923591017</v>
      </c>
      <c r="AD23" s="358">
        <f t="shared" si="13"/>
        <v>36.012914653208973</v>
      </c>
      <c r="AE23" s="358">
        <f t="shared" si="13"/>
        <v>36.192979226475018</v>
      </c>
      <c r="AF23" s="358">
        <f t="shared" si="13"/>
        <v>36.373944122607384</v>
      </c>
      <c r="AG23" s="358">
        <f t="shared" si="13"/>
        <v>36.55581384322042</v>
      </c>
      <c r="AH23" s="358">
        <f t="shared" si="13"/>
        <v>36.73859291243653</v>
      </c>
      <c r="AI23" s="42"/>
    </row>
    <row r="24" spans="2:35">
      <c r="B24" s="6" t="str">
        <f>B20&amp;" as % of Revenue"</f>
        <v>S&amp;M as % of Revenue</v>
      </c>
      <c r="C24" s="241">
        <f t="shared" ref="C24:N24" si="14">+C20/C$8</f>
        <v>0.19064678051443815</v>
      </c>
      <c r="D24" s="241">
        <f t="shared" si="14"/>
        <v>0.19065014334387237</v>
      </c>
      <c r="E24" s="241">
        <f t="shared" si="14"/>
        <v>0.18222015811709424</v>
      </c>
      <c r="F24" s="241">
        <f t="shared" si="14"/>
        <v>0.1899611769166977</v>
      </c>
      <c r="G24" s="241">
        <f t="shared" si="14"/>
        <v>0.18143705437657842</v>
      </c>
      <c r="H24" s="241">
        <f t="shared" si="14"/>
        <v>0.18256992186486254</v>
      </c>
      <c r="I24" s="241">
        <f t="shared" si="14"/>
        <v>0.18922975139158779</v>
      </c>
      <c r="J24" s="241">
        <f t="shared" si="14"/>
        <v>0.18274457692923554</v>
      </c>
      <c r="K24" s="241">
        <f t="shared" si="14"/>
        <v>0.18528096852788764</v>
      </c>
      <c r="L24" s="241">
        <f t="shared" si="14"/>
        <v>0.18849698532732378</v>
      </c>
      <c r="M24" s="241">
        <f t="shared" si="14"/>
        <v>0.18845566233397065</v>
      </c>
      <c r="N24" s="272">
        <f t="shared" si="14"/>
        <v>0.18671700608444958</v>
      </c>
      <c r="O24" s="245">
        <v>0.18</v>
      </c>
      <c r="P24" s="238">
        <v>0.18</v>
      </c>
      <c r="Q24" s="238">
        <v>0.18</v>
      </c>
      <c r="R24" s="238">
        <v>0.18</v>
      </c>
      <c r="S24" s="238">
        <v>0.18</v>
      </c>
      <c r="T24" s="238">
        <v>0.18</v>
      </c>
      <c r="U24" s="238">
        <v>0.18</v>
      </c>
      <c r="V24" s="238">
        <v>0.18</v>
      </c>
      <c r="W24" s="238">
        <v>0.18</v>
      </c>
      <c r="X24" s="238">
        <v>0.18</v>
      </c>
      <c r="Y24" s="238">
        <v>0.18</v>
      </c>
      <c r="Z24" s="238">
        <v>0.18</v>
      </c>
      <c r="AA24" s="238">
        <v>0.18</v>
      </c>
      <c r="AB24" s="238">
        <v>0.18</v>
      </c>
      <c r="AC24" s="238">
        <v>0.18</v>
      </c>
      <c r="AD24" s="238">
        <v>0.18</v>
      </c>
      <c r="AE24" s="238">
        <v>0.18</v>
      </c>
      <c r="AF24" s="238">
        <v>0.18</v>
      </c>
      <c r="AG24" s="238">
        <v>0.18</v>
      </c>
      <c r="AH24" s="238">
        <v>0.18</v>
      </c>
      <c r="AI24" s="60"/>
    </row>
    <row r="25" spans="2:35">
      <c r="B25" s="6" t="str">
        <f>B21&amp;" as % of Revenue"</f>
        <v>R&amp;D as % of Revenue</v>
      </c>
      <c r="C25" s="241">
        <f t="shared" ref="C25:N25" si="15">+C21/C$8</f>
        <v>0.1253314089555817</v>
      </c>
      <c r="D25" s="241">
        <f t="shared" si="15"/>
        <v>0.1310990086913302</v>
      </c>
      <c r="E25" s="241">
        <f t="shared" si="15"/>
        <v>0.12592449517546186</v>
      </c>
      <c r="F25" s="241">
        <f t="shared" si="15"/>
        <v>0.12888973200991313</v>
      </c>
      <c r="G25" s="241">
        <f t="shared" si="15"/>
        <v>0.12158130877908867</v>
      </c>
      <c r="H25" s="241">
        <f t="shared" si="15"/>
        <v>0.12948116553394531</v>
      </c>
      <c r="I25" s="241">
        <f t="shared" si="15"/>
        <v>0.12258517643566888</v>
      </c>
      <c r="J25" s="241">
        <f t="shared" si="15"/>
        <v>0.12136160256986808</v>
      </c>
      <c r="K25" s="241">
        <f t="shared" si="15"/>
        <v>0.1263736599799607</v>
      </c>
      <c r="L25" s="241">
        <f t="shared" si="15"/>
        <v>0.12393268270670242</v>
      </c>
      <c r="M25" s="241">
        <f t="shared" si="15"/>
        <v>0.12878293981509126</v>
      </c>
      <c r="N25" s="272">
        <f t="shared" si="15"/>
        <v>0.13018650474028665</v>
      </c>
      <c r="O25" s="245">
        <v>0.12</v>
      </c>
      <c r="P25" s="238">
        <v>0.12</v>
      </c>
      <c r="Q25" s="238">
        <v>0.12</v>
      </c>
      <c r="R25" s="238">
        <v>0.12</v>
      </c>
      <c r="S25" s="238">
        <v>0.12</v>
      </c>
      <c r="T25" s="238">
        <v>0.12</v>
      </c>
      <c r="U25" s="238">
        <v>0.12</v>
      </c>
      <c r="V25" s="238">
        <v>0.12</v>
      </c>
      <c r="W25" s="238">
        <v>0.12</v>
      </c>
      <c r="X25" s="238">
        <v>0.12</v>
      </c>
      <c r="Y25" s="238">
        <v>0.12</v>
      </c>
      <c r="Z25" s="238">
        <v>0.12</v>
      </c>
      <c r="AA25" s="238">
        <v>0.12</v>
      </c>
      <c r="AB25" s="238">
        <v>0.12</v>
      </c>
      <c r="AC25" s="238">
        <v>0.12</v>
      </c>
      <c r="AD25" s="238">
        <v>0.12</v>
      </c>
      <c r="AE25" s="238">
        <v>0.12</v>
      </c>
      <c r="AF25" s="238">
        <v>0.12</v>
      </c>
      <c r="AG25" s="238">
        <v>0.12</v>
      </c>
      <c r="AH25" s="238">
        <v>0.12</v>
      </c>
      <c r="AI25" s="60"/>
    </row>
    <row r="26" spans="2:35">
      <c r="B26" s="6" t="str">
        <f>B22&amp;" as % of Revenue"</f>
        <v>G&amp;A as % of Revenue</v>
      </c>
      <c r="C26" s="241">
        <f t="shared" ref="C26:N26" si="16">+C22/C$8</f>
        <v>0.10668361000187923</v>
      </c>
      <c r="D26" s="241">
        <f t="shared" si="16"/>
        <v>0.1047918447605603</v>
      </c>
      <c r="E26" s="241">
        <f t="shared" si="16"/>
        <v>0.11048694945770025</v>
      </c>
      <c r="F26" s="241">
        <f t="shared" si="16"/>
        <v>0.10618141629459286</v>
      </c>
      <c r="G26" s="241">
        <f t="shared" si="16"/>
        <v>0.10088889023780158</v>
      </c>
      <c r="H26" s="241">
        <f t="shared" si="16"/>
        <v>0.11021968041524736</v>
      </c>
      <c r="I26" s="241">
        <f t="shared" si="16"/>
        <v>0.10491765798884527</v>
      </c>
      <c r="J26" s="241">
        <f t="shared" si="16"/>
        <v>0.10921468545700849</v>
      </c>
      <c r="K26" s="241">
        <f t="shared" si="16"/>
        <v>0.10318369055745587</v>
      </c>
      <c r="L26" s="241">
        <f t="shared" si="16"/>
        <v>0.10851094270508432</v>
      </c>
      <c r="M26" s="241">
        <f t="shared" si="16"/>
        <v>0.10304822096354657</v>
      </c>
      <c r="N26" s="272">
        <f t="shared" si="16"/>
        <v>0.11042219672072023</v>
      </c>
      <c r="O26" s="245">
        <v>0.11</v>
      </c>
      <c r="P26" s="238">
        <v>0.11</v>
      </c>
      <c r="Q26" s="238">
        <v>0.11</v>
      </c>
      <c r="R26" s="238">
        <v>0.11</v>
      </c>
      <c r="S26" s="238">
        <v>0.11</v>
      </c>
      <c r="T26" s="238">
        <v>0.11</v>
      </c>
      <c r="U26" s="238">
        <v>0.11</v>
      </c>
      <c r="V26" s="238">
        <v>0.11</v>
      </c>
      <c r="W26" s="238">
        <v>0.11</v>
      </c>
      <c r="X26" s="238">
        <v>0.11</v>
      </c>
      <c r="Y26" s="238">
        <v>0.11</v>
      </c>
      <c r="Z26" s="238">
        <v>0.11</v>
      </c>
      <c r="AA26" s="238">
        <v>0.11</v>
      </c>
      <c r="AB26" s="238">
        <v>0.11</v>
      </c>
      <c r="AC26" s="238">
        <v>0.11</v>
      </c>
      <c r="AD26" s="238">
        <v>0.11</v>
      </c>
      <c r="AE26" s="238">
        <v>0.11</v>
      </c>
      <c r="AF26" s="238">
        <v>0.11</v>
      </c>
      <c r="AG26" s="238">
        <v>0.11</v>
      </c>
      <c r="AH26" s="238">
        <v>0.11</v>
      </c>
      <c r="AI26" s="60"/>
    </row>
    <row r="27" spans="2:35">
      <c r="B27" s="6" t="str">
        <f>B23&amp;" as % of Revenue"</f>
        <v>Operating Expenses as % of Revenue</v>
      </c>
      <c r="C27" s="241">
        <f t="shared" ref="C27:N27" si="17">+C23/C$8</f>
        <v>0.42266179947189908</v>
      </c>
      <c r="D27" s="241">
        <f t="shared" si="17"/>
        <v>0.42654099679576285</v>
      </c>
      <c r="E27" s="241">
        <f t="shared" si="17"/>
        <v>0.41863160275025635</v>
      </c>
      <c r="F27" s="241">
        <f t="shared" si="17"/>
        <v>0.42503232522120366</v>
      </c>
      <c r="G27" s="241">
        <f t="shared" si="17"/>
        <v>0.40390725339346867</v>
      </c>
      <c r="H27" s="241">
        <f t="shared" si="17"/>
        <v>0.4222707678140552</v>
      </c>
      <c r="I27" s="241">
        <f t="shared" si="17"/>
        <v>0.41673258581610195</v>
      </c>
      <c r="J27" s="241">
        <f t="shared" si="17"/>
        <v>0.4133208649561122</v>
      </c>
      <c r="K27" s="241">
        <f t="shared" si="17"/>
        <v>0.41483831906530422</v>
      </c>
      <c r="L27" s="241">
        <f t="shared" si="17"/>
        <v>0.42094061073911054</v>
      </c>
      <c r="M27" s="241">
        <f t="shared" si="17"/>
        <v>0.42028682311260851</v>
      </c>
      <c r="N27" s="272">
        <f t="shared" si="17"/>
        <v>0.42732570754545646</v>
      </c>
      <c r="O27" s="240">
        <f>+O23/O$8</f>
        <v>0.41000000000000003</v>
      </c>
      <c r="P27" s="241">
        <f t="shared" ref="P27:AH27" si="18">+P23/P$8</f>
        <v>0.41</v>
      </c>
      <c r="Q27" s="241">
        <f t="shared" si="18"/>
        <v>0.41</v>
      </c>
      <c r="R27" s="241">
        <f t="shared" si="18"/>
        <v>0.40999999999999992</v>
      </c>
      <c r="S27" s="241">
        <f t="shared" si="18"/>
        <v>0.41</v>
      </c>
      <c r="T27" s="241">
        <f t="shared" si="18"/>
        <v>0.41</v>
      </c>
      <c r="U27" s="241">
        <f t="shared" si="18"/>
        <v>0.41</v>
      </c>
      <c r="V27" s="241">
        <f t="shared" si="18"/>
        <v>0.41</v>
      </c>
      <c r="W27" s="241">
        <f t="shared" si="18"/>
        <v>0.41</v>
      </c>
      <c r="X27" s="241">
        <f t="shared" si="18"/>
        <v>0.40999999999999992</v>
      </c>
      <c r="Y27" s="241">
        <f t="shared" si="18"/>
        <v>0.41</v>
      </c>
      <c r="Z27" s="241">
        <f t="shared" si="18"/>
        <v>0.41000000000000003</v>
      </c>
      <c r="AA27" s="241">
        <f t="shared" si="18"/>
        <v>0.41</v>
      </c>
      <c r="AB27" s="241">
        <f t="shared" si="18"/>
        <v>0.41</v>
      </c>
      <c r="AC27" s="241">
        <f t="shared" si="18"/>
        <v>0.41000000000000003</v>
      </c>
      <c r="AD27" s="241">
        <f t="shared" si="18"/>
        <v>0.41000000000000003</v>
      </c>
      <c r="AE27" s="241">
        <f t="shared" si="18"/>
        <v>0.41</v>
      </c>
      <c r="AF27" s="241">
        <f t="shared" si="18"/>
        <v>0.40999999999999992</v>
      </c>
      <c r="AG27" s="241">
        <f t="shared" si="18"/>
        <v>0.40999999999999992</v>
      </c>
      <c r="AH27" s="241">
        <f t="shared" si="18"/>
        <v>0.41000000000000003</v>
      </c>
      <c r="AI27" s="60"/>
    </row>
    <row r="29" spans="2:35">
      <c r="B29" s="55" t="s">
        <v>52</v>
      </c>
      <c r="C29" s="358">
        <f t="shared" ref="C29:AH29" si="19">+C16-C23</f>
        <v>25.594224596041041</v>
      </c>
      <c r="D29" s="358">
        <f t="shared" si="19"/>
        <v>25.921140143137123</v>
      </c>
      <c r="E29" s="358">
        <f t="shared" si="19"/>
        <v>27.602393561792802</v>
      </c>
      <c r="F29" s="358">
        <f t="shared" si="19"/>
        <v>27.551705355457955</v>
      </c>
      <c r="G29" s="358">
        <f t="shared" si="19"/>
        <v>28.711597230433245</v>
      </c>
      <c r="H29" s="358">
        <f t="shared" si="19"/>
        <v>27.414891542143323</v>
      </c>
      <c r="I29" s="358">
        <f t="shared" si="19"/>
        <v>27.731652793893886</v>
      </c>
      <c r="J29" s="358">
        <f t="shared" si="19"/>
        <v>28.511676267052437</v>
      </c>
      <c r="K29" s="358">
        <f t="shared" si="19"/>
        <v>28.148957445803447</v>
      </c>
      <c r="L29" s="358">
        <f t="shared" si="19"/>
        <v>28.249557860454132</v>
      </c>
      <c r="M29" s="358">
        <f t="shared" si="19"/>
        <v>28.972308214881323</v>
      </c>
      <c r="N29" s="359">
        <f t="shared" si="19"/>
        <v>28.261246275108704</v>
      </c>
      <c r="O29" s="368">
        <f t="shared" si="19"/>
        <v>29.341748448000011</v>
      </c>
      <c r="P29" s="358">
        <f t="shared" si="19"/>
        <v>29.488457190240005</v>
      </c>
      <c r="Q29" s="358">
        <f t="shared" si="19"/>
        <v>29.635899476191206</v>
      </c>
      <c r="R29" s="358">
        <f t="shared" si="19"/>
        <v>29.784078973572164</v>
      </c>
      <c r="S29" s="358">
        <f t="shared" si="19"/>
        <v>29.932999368440022</v>
      </c>
      <c r="T29" s="358">
        <f t="shared" si="19"/>
        <v>30.082664365282227</v>
      </c>
      <c r="U29" s="358">
        <f t="shared" si="19"/>
        <v>30.233077687108633</v>
      </c>
      <c r="V29" s="358">
        <f t="shared" si="19"/>
        <v>30.384243075544177</v>
      </c>
      <c r="W29" s="358">
        <f t="shared" si="19"/>
        <v>30.536164290921896</v>
      </c>
      <c r="X29" s="358">
        <f t="shared" si="19"/>
        <v>30.688845112376512</v>
      </c>
      <c r="Y29" s="358">
        <f t="shared" si="19"/>
        <v>30.842289337938382</v>
      </c>
      <c r="Z29" s="358">
        <f t="shared" si="19"/>
        <v>30.996500784628083</v>
      </c>
      <c r="AA29" s="358">
        <f t="shared" si="19"/>
        <v>31.151483288551212</v>
      </c>
      <c r="AB29" s="358">
        <f t="shared" si="19"/>
        <v>31.307240704993966</v>
      </c>
      <c r="AC29" s="358">
        <f t="shared" si="19"/>
        <v>31.463776908518945</v>
      </c>
      <c r="AD29" s="358">
        <f t="shared" si="19"/>
        <v>31.621095793061535</v>
      </c>
      <c r="AE29" s="358">
        <f t="shared" si="19"/>
        <v>31.779201272026853</v>
      </c>
      <c r="AF29" s="358">
        <f t="shared" si="19"/>
        <v>31.938097278386991</v>
      </c>
      <c r="AG29" s="358">
        <f t="shared" si="19"/>
        <v>32.097787764778914</v>
      </c>
      <c r="AH29" s="358">
        <f t="shared" si="19"/>
        <v>32.258276703602803</v>
      </c>
      <c r="AI29" s="42"/>
    </row>
    <row r="30" spans="2:35">
      <c r="B30" s="6" t="s">
        <v>69</v>
      </c>
      <c r="C30" s="60">
        <f t="shared" ref="C30:AH30" si="20">+C29/C8</f>
        <v>0.34843381437250154</v>
      </c>
      <c r="D30" s="60">
        <f t="shared" si="20"/>
        <v>0.35090620839344788</v>
      </c>
      <c r="E30" s="60">
        <f t="shared" si="20"/>
        <v>0.35783167836565838</v>
      </c>
      <c r="F30" s="241">
        <f t="shared" si="20"/>
        <v>0.35255541663578027</v>
      </c>
      <c r="G30" s="241">
        <f t="shared" si="20"/>
        <v>0.37292578583862496</v>
      </c>
      <c r="H30" s="241">
        <f t="shared" si="20"/>
        <v>0.35627014886131697</v>
      </c>
      <c r="I30" s="241">
        <f t="shared" si="20"/>
        <v>0.35555127671427811</v>
      </c>
      <c r="J30" s="241">
        <f t="shared" si="20"/>
        <v>0.36544574172157213</v>
      </c>
      <c r="K30" s="241">
        <f t="shared" si="20"/>
        <v>0.35542545298375355</v>
      </c>
      <c r="L30" s="241">
        <f t="shared" si="20"/>
        <v>0.35247508428161428</v>
      </c>
      <c r="M30" s="241">
        <f t="shared" si="20"/>
        <v>0.35432033445033678</v>
      </c>
      <c r="N30" s="272">
        <f t="shared" si="20"/>
        <v>0.3429875172244008</v>
      </c>
      <c r="O30" s="240">
        <f t="shared" si="20"/>
        <v>0.36000000000000004</v>
      </c>
      <c r="P30" s="241">
        <f t="shared" si="20"/>
        <v>0.36</v>
      </c>
      <c r="Q30" s="241">
        <f t="shared" si="20"/>
        <v>0.36</v>
      </c>
      <c r="R30" s="241">
        <f t="shared" si="20"/>
        <v>0.36000000000000004</v>
      </c>
      <c r="S30" s="241">
        <f t="shared" si="20"/>
        <v>0.36000000000000004</v>
      </c>
      <c r="T30" s="241">
        <f t="shared" si="20"/>
        <v>0.36000000000000004</v>
      </c>
      <c r="U30" s="241">
        <f t="shared" si="20"/>
        <v>0.36</v>
      </c>
      <c r="V30" s="241">
        <f t="shared" si="20"/>
        <v>0.36</v>
      </c>
      <c r="W30" s="241">
        <f t="shared" si="20"/>
        <v>0.36</v>
      </c>
      <c r="X30" s="241">
        <f t="shared" si="20"/>
        <v>0.3600000000000001</v>
      </c>
      <c r="Y30" s="241">
        <f t="shared" si="20"/>
        <v>0.36</v>
      </c>
      <c r="Z30" s="241">
        <f t="shared" si="20"/>
        <v>0.36000000000000004</v>
      </c>
      <c r="AA30" s="241">
        <f t="shared" si="20"/>
        <v>0.35999999999999993</v>
      </c>
      <c r="AB30" s="241">
        <f t="shared" si="20"/>
        <v>0.35999999999999993</v>
      </c>
      <c r="AC30" s="241">
        <f t="shared" si="20"/>
        <v>0.36000000000000004</v>
      </c>
      <c r="AD30" s="241">
        <f t="shared" si="20"/>
        <v>0.36</v>
      </c>
      <c r="AE30" s="241">
        <f t="shared" si="20"/>
        <v>0.3600000000000001</v>
      </c>
      <c r="AF30" s="241">
        <f t="shared" si="20"/>
        <v>0.36000000000000015</v>
      </c>
      <c r="AG30" s="241">
        <f t="shared" si="20"/>
        <v>0.36000000000000004</v>
      </c>
      <c r="AH30" s="241">
        <f t="shared" si="20"/>
        <v>0.36</v>
      </c>
      <c r="AI30" s="60"/>
    </row>
    <row r="32" spans="2:35">
      <c r="B32" s="24" t="s">
        <v>66</v>
      </c>
      <c r="C32" s="134"/>
      <c r="D32" s="134"/>
      <c r="E32" s="134"/>
      <c r="F32" s="382">
        <v>7.6474564875053659</v>
      </c>
      <c r="G32" s="382">
        <v>7.8761646365755036</v>
      </c>
      <c r="H32" s="382">
        <v>7.8292758591196794</v>
      </c>
      <c r="I32" s="382">
        <v>7.9909183383824516</v>
      </c>
      <c r="J32" s="382">
        <v>7.7891752762431841</v>
      </c>
      <c r="K32" s="382">
        <v>7.8819780050899544</v>
      </c>
      <c r="L32" s="382">
        <v>8.1080011456450443</v>
      </c>
      <c r="M32" s="382">
        <v>8.0909789747983734</v>
      </c>
      <c r="N32" s="382">
        <v>8.3755638963256622</v>
      </c>
      <c r="O32" s="383">
        <f>+O149+O150</f>
        <v>9.2804907295592542</v>
      </c>
      <c r="P32" s="384">
        <f t="shared" ref="P32:AH32" si="21">+P149+P150</f>
        <v>9.5141426826224809</v>
      </c>
      <c r="Q32" s="384">
        <f t="shared" si="21"/>
        <v>9.7184203902880864</v>
      </c>
      <c r="R32" s="384">
        <f t="shared" si="21"/>
        <v>9.9182251581357033</v>
      </c>
      <c r="S32" s="384">
        <f t="shared" si="21"/>
        <v>10.15163975987058</v>
      </c>
      <c r="T32" s="384">
        <f t="shared" si="21"/>
        <v>10.386221434614129</v>
      </c>
      <c r="U32" s="384">
        <f t="shared" si="21"/>
        <v>10.6219760177314</v>
      </c>
      <c r="V32" s="384">
        <f t="shared" si="21"/>
        <v>10.858909373764254</v>
      </c>
      <c r="W32" s="384">
        <f t="shared" si="21"/>
        <v>11.097027396577275</v>
      </c>
      <c r="X32" s="384">
        <f t="shared" si="21"/>
        <v>11.336336009504357</v>
      </c>
      <c r="Y32" s="384">
        <f t="shared" si="21"/>
        <v>11.576841165496079</v>
      </c>
      <c r="Z32" s="384">
        <f t="shared" si="21"/>
        <v>11.818548847267756</v>
      </c>
      <c r="AA32" s="384">
        <f t="shared" si="21"/>
        <v>12.061465067448296</v>
      </c>
      <c r="AB32" s="384">
        <f t="shared" si="21"/>
        <v>12.305595868729734</v>
      </c>
      <c r="AC32" s="384">
        <f t="shared" si="21"/>
        <v>12.550947324017582</v>
      </c>
      <c r="AD32" s="384">
        <f t="shared" si="21"/>
        <v>12.797525536581869</v>
      </c>
      <c r="AE32" s="384">
        <f t="shared" si="21"/>
        <v>11.910273417048653</v>
      </c>
      <c r="AF32" s="384">
        <f t="shared" si="21"/>
        <v>11.969824784133897</v>
      </c>
      <c r="AG32" s="384">
        <f t="shared" si="21"/>
        <v>12.029673908054566</v>
      </c>
      <c r="AH32" s="384">
        <f t="shared" si="21"/>
        <v>12.089822277594839</v>
      </c>
      <c r="AI32" s="43"/>
    </row>
    <row r="33" spans="2:35">
      <c r="B33" s="55" t="s">
        <v>124</v>
      </c>
      <c r="C33" s="22"/>
      <c r="D33" s="22"/>
      <c r="E33" s="22"/>
      <c r="F33" s="358">
        <f t="shared" ref="F33:AH33" si="22">+F29+F32</f>
        <v>35.199161842963321</v>
      </c>
      <c r="G33" s="358">
        <f t="shared" si="22"/>
        <v>36.587761867008751</v>
      </c>
      <c r="H33" s="358">
        <f t="shared" si="22"/>
        <v>35.244167401262999</v>
      </c>
      <c r="I33" s="358">
        <f t="shared" si="22"/>
        <v>35.722571132276336</v>
      </c>
      <c r="J33" s="358">
        <f t="shared" si="22"/>
        <v>36.300851543295622</v>
      </c>
      <c r="K33" s="358">
        <f t="shared" si="22"/>
        <v>36.030935450893402</v>
      </c>
      <c r="L33" s="358">
        <f t="shared" si="22"/>
        <v>36.35755900609918</v>
      </c>
      <c r="M33" s="358">
        <f t="shared" si="22"/>
        <v>37.063287189679698</v>
      </c>
      <c r="N33" s="359">
        <f t="shared" si="22"/>
        <v>36.636810171434362</v>
      </c>
      <c r="O33" s="368">
        <f t="shared" si="22"/>
        <v>38.622239177559265</v>
      </c>
      <c r="P33" s="358">
        <f t="shared" si="22"/>
        <v>39.00259987286249</v>
      </c>
      <c r="Q33" s="358">
        <f t="shared" si="22"/>
        <v>39.354319866479294</v>
      </c>
      <c r="R33" s="358">
        <f t="shared" si="22"/>
        <v>39.702304131707869</v>
      </c>
      <c r="S33" s="358">
        <f t="shared" si="22"/>
        <v>40.084639128310599</v>
      </c>
      <c r="T33" s="358">
        <f t="shared" si="22"/>
        <v>40.468885799896356</v>
      </c>
      <c r="U33" s="358">
        <f t="shared" si="22"/>
        <v>40.855053704840032</v>
      </c>
      <c r="V33" s="358">
        <f t="shared" si="22"/>
        <v>41.243152449308432</v>
      </c>
      <c r="W33" s="358">
        <f t="shared" si="22"/>
        <v>41.633191687499171</v>
      </c>
      <c r="X33" s="358">
        <f t="shared" si="22"/>
        <v>42.02518112188087</v>
      </c>
      <c r="Y33" s="358">
        <f t="shared" si="22"/>
        <v>42.419130503434459</v>
      </c>
      <c r="Z33" s="358">
        <f t="shared" si="22"/>
        <v>42.815049631895839</v>
      </c>
      <c r="AA33" s="358">
        <f t="shared" si="22"/>
        <v>43.212948355999508</v>
      </c>
      <c r="AB33" s="358">
        <f t="shared" si="22"/>
        <v>43.612836573723698</v>
      </c>
      <c r="AC33" s="358">
        <f t="shared" si="22"/>
        <v>44.014724232536523</v>
      </c>
      <c r="AD33" s="358">
        <f t="shared" si="22"/>
        <v>44.4186213296434</v>
      </c>
      <c r="AE33" s="358">
        <f t="shared" si="22"/>
        <v>43.68947468907551</v>
      </c>
      <c r="AF33" s="358">
        <f t="shared" si="22"/>
        <v>43.907922062520889</v>
      </c>
      <c r="AG33" s="358">
        <f t="shared" si="22"/>
        <v>44.127461672833476</v>
      </c>
      <c r="AH33" s="358">
        <f t="shared" si="22"/>
        <v>44.348098981197644</v>
      </c>
      <c r="AI33" s="42"/>
    </row>
    <row r="34" spans="2:35">
      <c r="B34" s="6" t="s">
        <v>69</v>
      </c>
      <c r="C34" s="60"/>
      <c r="D34" s="60"/>
      <c r="E34" s="60"/>
      <c r="F34" s="241">
        <f t="shared" ref="F34:AH34" si="23">+F33/F8</f>
        <v>0.45041332319263699</v>
      </c>
      <c r="G34" s="241">
        <f t="shared" si="23"/>
        <v>0.47522677811417685</v>
      </c>
      <c r="H34" s="241">
        <f t="shared" si="23"/>
        <v>0.45801548210536774</v>
      </c>
      <c r="I34" s="241">
        <f t="shared" si="23"/>
        <v>0.45800392309808852</v>
      </c>
      <c r="J34" s="241">
        <f t="shared" si="23"/>
        <v>0.46528276672018326</v>
      </c>
      <c r="K34" s="241">
        <f t="shared" si="23"/>
        <v>0.45494798799276259</v>
      </c>
      <c r="L34" s="241">
        <f t="shared" si="23"/>
        <v>0.45364015034331445</v>
      </c>
      <c r="M34" s="241">
        <f t="shared" si="23"/>
        <v>0.45326993677814514</v>
      </c>
      <c r="N34" s="272">
        <f t="shared" si="23"/>
        <v>0.44463603754054942</v>
      </c>
      <c r="O34" s="240">
        <f t="shared" si="23"/>
        <v>0.4738642664244182</v>
      </c>
      <c r="P34" s="241">
        <f t="shared" si="23"/>
        <v>0.47615023952076135</v>
      </c>
      <c r="Q34" s="241">
        <f t="shared" si="23"/>
        <v>0.47805382668794749</v>
      </c>
      <c r="R34" s="241">
        <f t="shared" si="23"/>
        <v>0.47988153335535622</v>
      </c>
      <c r="S34" s="241">
        <f t="shared" si="23"/>
        <v>0.48209235260956312</v>
      </c>
      <c r="T34" s="241">
        <f t="shared" si="23"/>
        <v>0.48429217276300285</v>
      </c>
      <c r="U34" s="241">
        <f t="shared" si="23"/>
        <v>0.48648104853756974</v>
      </c>
      <c r="V34" s="241">
        <f t="shared" si="23"/>
        <v>0.48865903438290997</v>
      </c>
      <c r="W34" s="241">
        <f t="shared" si="23"/>
        <v>0.49082618447777587</v>
      </c>
      <c r="X34" s="241">
        <f t="shared" si="23"/>
        <v>0.49298255273137381</v>
      </c>
      <c r="Y34" s="241">
        <f t="shared" si="23"/>
        <v>0.49512819278470493</v>
      </c>
      <c r="Z34" s="241">
        <f t="shared" si="23"/>
        <v>0.49726315801190024</v>
      </c>
      <c r="AA34" s="241">
        <f t="shared" si="23"/>
        <v>0.49938750152154715</v>
      </c>
      <c r="AB34" s="241">
        <f t="shared" si="23"/>
        <v>0.50150127615801188</v>
      </c>
      <c r="AC34" s="241">
        <f t="shared" si="23"/>
        <v>0.503604534502753</v>
      </c>
      <c r="AD34" s="241">
        <f t="shared" si="23"/>
        <v>0.50569732887562946</v>
      </c>
      <c r="AE34" s="241">
        <f t="shared" si="23"/>
        <v>0.49492152912954734</v>
      </c>
      <c r="AF34" s="241">
        <f t="shared" si="23"/>
        <v>0.49492152912954746</v>
      </c>
      <c r="AG34" s="241">
        <f t="shared" si="23"/>
        <v>0.49492152912954729</v>
      </c>
      <c r="AH34" s="241">
        <f t="shared" si="23"/>
        <v>0.49492152912954723</v>
      </c>
      <c r="AI34" s="60"/>
    </row>
    <row r="35" spans="2:35">
      <c r="B35" s="6"/>
      <c r="C35" s="60"/>
      <c r="D35" s="60"/>
      <c r="E35" s="60"/>
      <c r="F35" s="241"/>
      <c r="G35" s="241"/>
      <c r="H35" s="241"/>
      <c r="I35" s="241"/>
      <c r="J35" s="241"/>
      <c r="K35" s="241"/>
      <c r="L35" s="241"/>
      <c r="M35" s="241"/>
      <c r="N35" s="272"/>
      <c r="O35" s="240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  <c r="AG35" s="241"/>
      <c r="AH35" s="241"/>
      <c r="AI35" s="60"/>
    </row>
    <row r="36" spans="2:35">
      <c r="B36" s="55" t="s">
        <v>123</v>
      </c>
      <c r="C36" s="22"/>
      <c r="D36" s="22"/>
      <c r="E36" s="22"/>
      <c r="F36" s="22"/>
      <c r="G36" s="22"/>
      <c r="H36" s="22"/>
      <c r="I36" s="358">
        <f>SUM(F33:I33)</f>
        <v>142.7536622435114</v>
      </c>
      <c r="J36" s="358">
        <f t="shared" ref="J36:AH36" si="24">SUM(G33:J33)</f>
        <v>143.85535194384369</v>
      </c>
      <c r="K36" s="358">
        <f t="shared" si="24"/>
        <v>143.29852552772837</v>
      </c>
      <c r="L36" s="358">
        <f t="shared" si="24"/>
        <v>144.41191713256455</v>
      </c>
      <c r="M36" s="358">
        <f t="shared" si="24"/>
        <v>145.75263318996792</v>
      </c>
      <c r="N36" s="359">
        <f t="shared" si="24"/>
        <v>146.08859181810664</v>
      </c>
      <c r="O36" s="368">
        <f t="shared" si="24"/>
        <v>148.67989554477251</v>
      </c>
      <c r="P36" s="358">
        <f t="shared" si="24"/>
        <v>151.32493641153582</v>
      </c>
      <c r="Q36" s="358">
        <f t="shared" si="24"/>
        <v>153.61596908833542</v>
      </c>
      <c r="R36" s="358">
        <f t="shared" si="24"/>
        <v>156.68146304860892</v>
      </c>
      <c r="S36" s="358">
        <f t="shared" si="24"/>
        <v>158.14386299936024</v>
      </c>
      <c r="T36" s="358">
        <f t="shared" si="24"/>
        <v>159.61014892639412</v>
      </c>
      <c r="U36" s="358">
        <f t="shared" si="24"/>
        <v>161.11088276475485</v>
      </c>
      <c r="V36" s="358">
        <f t="shared" si="24"/>
        <v>162.65173108235541</v>
      </c>
      <c r="W36" s="358">
        <f t="shared" si="24"/>
        <v>164.20028364154399</v>
      </c>
      <c r="X36" s="358">
        <f t="shared" si="24"/>
        <v>165.75657896352851</v>
      </c>
      <c r="Y36" s="358">
        <f t="shared" si="24"/>
        <v>167.32065576212295</v>
      </c>
      <c r="Z36" s="358">
        <f t="shared" si="24"/>
        <v>168.89255294471033</v>
      </c>
      <c r="AA36" s="358">
        <f t="shared" si="24"/>
        <v>170.47230961321068</v>
      </c>
      <c r="AB36" s="358">
        <f t="shared" si="24"/>
        <v>172.05996506505352</v>
      </c>
      <c r="AC36" s="358">
        <f t="shared" si="24"/>
        <v>173.65555879415558</v>
      </c>
      <c r="AD36" s="358">
        <f t="shared" si="24"/>
        <v>175.25913049190311</v>
      </c>
      <c r="AE36" s="358">
        <f t="shared" si="24"/>
        <v>175.73565682497912</v>
      </c>
      <c r="AF36" s="358">
        <f t="shared" si="24"/>
        <v>176.03074231377633</v>
      </c>
      <c r="AG36" s="358">
        <f t="shared" si="24"/>
        <v>176.14347975407327</v>
      </c>
      <c r="AH36" s="358">
        <f t="shared" si="24"/>
        <v>176.07295740562751</v>
      </c>
      <c r="AI36" s="42"/>
    </row>
    <row r="37" spans="2:35">
      <c r="B37" s="57"/>
      <c r="C37" s="42"/>
      <c r="D37" s="42"/>
      <c r="E37" s="263"/>
      <c r="F37" s="263"/>
      <c r="G37" s="263"/>
      <c r="H37" s="263"/>
      <c r="I37" s="263"/>
      <c r="J37" s="263"/>
      <c r="K37" s="263"/>
      <c r="L37" s="263"/>
      <c r="M37" s="263"/>
      <c r="N37" s="273"/>
      <c r="O37" s="274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  <c r="AA37" s="281"/>
      <c r="AB37" s="281"/>
      <c r="AC37" s="42"/>
      <c r="AD37" s="42"/>
      <c r="AE37" s="42"/>
      <c r="AF37" s="42"/>
      <c r="AG37" s="42"/>
      <c r="AH37" s="42"/>
      <c r="AI37" s="42"/>
    </row>
    <row r="38" spans="2:35">
      <c r="B38" s="24" t="s">
        <v>48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87"/>
      <c r="O38" s="373">
        <f ca="1">O140</f>
        <v>23.3377179116615</v>
      </c>
      <c r="P38" s="374">
        <f t="shared" ref="P38:AH38" ca="1" si="25">P140</f>
        <v>23.261522446661218</v>
      </c>
      <c r="Q38" s="374">
        <f t="shared" ca="1" si="25"/>
        <v>23.15987613480052</v>
      </c>
      <c r="R38" s="374">
        <f t="shared" ca="1" si="25"/>
        <v>23.002741587090988</v>
      </c>
      <c r="S38" s="374">
        <f t="shared" ca="1" si="25"/>
        <v>22.854346768605225</v>
      </c>
      <c r="T38" s="374">
        <f t="shared" ca="1" si="25"/>
        <v>22.74444367108001</v>
      </c>
      <c r="U38" s="374">
        <f t="shared" ca="1" si="25"/>
        <v>22.609001061654943</v>
      </c>
      <c r="V38" s="374">
        <f t="shared" ca="1" si="25"/>
        <v>22.418070658644101</v>
      </c>
      <c r="W38" s="374">
        <f t="shared" ca="1" si="25"/>
        <v>22.234837579791048</v>
      </c>
      <c r="X38" s="374">
        <f t="shared" ca="1" si="25"/>
        <v>22.088913973622759</v>
      </c>
      <c r="Y38" s="374">
        <f t="shared" ca="1" si="25"/>
        <v>21.916773176748947</v>
      </c>
      <c r="Z38" s="374">
        <f t="shared" ca="1" si="25"/>
        <v>21.688455999045395</v>
      </c>
      <c r="AA38" s="374">
        <f t="shared" ca="1" si="25"/>
        <v>21.467136481622116</v>
      </c>
      <c r="AB38" s="374">
        <f t="shared" ca="1" si="25"/>
        <v>21.282415525618621</v>
      </c>
      <c r="AC38" s="374">
        <f t="shared" ca="1" si="25"/>
        <v>21.070755046905855</v>
      </c>
      <c r="AD38" s="374">
        <f t="shared" ca="1" si="25"/>
        <v>20.802184258632757</v>
      </c>
      <c r="AE38" s="374">
        <f t="shared" ca="1" si="25"/>
        <v>20.551301831788898</v>
      </c>
      <c r="AF38" s="374">
        <f t="shared" ca="1" si="25"/>
        <v>20.349778860865786</v>
      </c>
      <c r="AG38" s="374">
        <f t="shared" ca="1" si="25"/>
        <v>20.124751880483537</v>
      </c>
      <c r="AH38" s="374">
        <f t="shared" ca="1" si="25"/>
        <v>19.84632047269438</v>
      </c>
      <c r="AI38" s="61"/>
    </row>
    <row r="39" spans="2:35">
      <c r="B39" s="55" t="s">
        <v>49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68"/>
      <c r="O39" s="368">
        <f t="shared" ref="O39:AH39" ca="1" si="26">+O29-O38</f>
        <v>6.0040305363385116</v>
      </c>
      <c r="P39" s="358">
        <f t="shared" ca="1" si="26"/>
        <v>6.2269347435787878</v>
      </c>
      <c r="Q39" s="358">
        <f t="shared" ca="1" si="26"/>
        <v>6.476023341390686</v>
      </c>
      <c r="R39" s="358">
        <f t="shared" ca="1" si="26"/>
        <v>6.7813373864811766</v>
      </c>
      <c r="S39" s="358">
        <f t="shared" ca="1" si="26"/>
        <v>7.0786525998347969</v>
      </c>
      <c r="T39" s="358">
        <f t="shared" ca="1" si="26"/>
        <v>7.3382206942022172</v>
      </c>
      <c r="U39" s="358">
        <f t="shared" ca="1" si="26"/>
        <v>7.6240766254536894</v>
      </c>
      <c r="V39" s="358">
        <f t="shared" ca="1" si="26"/>
        <v>7.9661724169000756</v>
      </c>
      <c r="W39" s="358">
        <f t="shared" ca="1" si="26"/>
        <v>8.301326711130848</v>
      </c>
      <c r="X39" s="358">
        <f t="shared" ca="1" si="26"/>
        <v>8.5999311387537531</v>
      </c>
      <c r="Y39" s="358">
        <f t="shared" ca="1" si="26"/>
        <v>8.9255161611894351</v>
      </c>
      <c r="Z39" s="358">
        <f t="shared" ca="1" si="26"/>
        <v>9.3080447855826876</v>
      </c>
      <c r="AA39" s="358">
        <f t="shared" ca="1" si="26"/>
        <v>9.6843468069290957</v>
      </c>
      <c r="AB39" s="358">
        <f t="shared" ca="1" si="26"/>
        <v>10.024825179375345</v>
      </c>
      <c r="AC39" s="358">
        <f t="shared" ca="1" si="26"/>
        <v>10.393021861613089</v>
      </c>
      <c r="AD39" s="358">
        <f t="shared" ca="1" si="26"/>
        <v>10.818911534428779</v>
      </c>
      <c r="AE39" s="358">
        <f t="shared" ca="1" si="26"/>
        <v>11.227899440237955</v>
      </c>
      <c r="AF39" s="358">
        <f t="shared" ca="1" si="26"/>
        <v>11.588318417521204</v>
      </c>
      <c r="AG39" s="358">
        <f t="shared" ca="1" si="26"/>
        <v>11.973035884295378</v>
      </c>
      <c r="AH39" s="358">
        <f t="shared" ca="1" si="26"/>
        <v>12.411956230908423</v>
      </c>
      <c r="AI39" s="42"/>
    </row>
    <row r="40" spans="2:35">
      <c r="O40" s="366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  <c r="AA40" s="393"/>
      <c r="AB40" s="393"/>
      <c r="AC40" s="393"/>
      <c r="AD40" s="393"/>
      <c r="AE40" s="393"/>
      <c r="AF40" s="393"/>
      <c r="AG40" s="393"/>
      <c r="AH40" s="393"/>
    </row>
    <row r="41" spans="2:35">
      <c r="B41" s="24" t="s">
        <v>2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87"/>
      <c r="O41" s="325">
        <f t="shared" ref="O41:AH41" ca="1" si="27">IF(O39&lt;0,  0,  O39*O42)</f>
        <v>1.5010076340846279</v>
      </c>
      <c r="P41" s="326">
        <f t="shared" ca="1" si="27"/>
        <v>1.556733685894697</v>
      </c>
      <c r="Q41" s="326">
        <f t="shared" ca="1" si="27"/>
        <v>1.6190058353476715</v>
      </c>
      <c r="R41" s="326">
        <f t="shared" ca="1" si="27"/>
        <v>1.6953343466202941</v>
      </c>
      <c r="S41" s="326">
        <f t="shared" ca="1" si="27"/>
        <v>1.7696631499586992</v>
      </c>
      <c r="T41" s="326">
        <f t="shared" ca="1" si="27"/>
        <v>1.8345551735505543</v>
      </c>
      <c r="U41" s="326">
        <f t="shared" ca="1" si="27"/>
        <v>1.9060191563634223</v>
      </c>
      <c r="V41" s="326">
        <f t="shared" ca="1" si="27"/>
        <v>1.9915431042250189</v>
      </c>
      <c r="W41" s="326">
        <f t="shared" ca="1" si="27"/>
        <v>2.075331677782712</v>
      </c>
      <c r="X41" s="326">
        <f t="shared" ca="1" si="27"/>
        <v>2.1499827846884383</v>
      </c>
      <c r="Y41" s="326">
        <f t="shared" ca="1" si="27"/>
        <v>2.2313790402973588</v>
      </c>
      <c r="Z41" s="326">
        <f t="shared" ca="1" si="27"/>
        <v>2.3270111963956719</v>
      </c>
      <c r="AA41" s="326">
        <f t="shared" ca="1" si="27"/>
        <v>2.4210867017322739</v>
      </c>
      <c r="AB41" s="326">
        <f t="shared" ca="1" si="27"/>
        <v>2.5062062948438362</v>
      </c>
      <c r="AC41" s="326">
        <f t="shared" ca="1" si="27"/>
        <v>2.5982554654032723</v>
      </c>
      <c r="AD41" s="326">
        <f t="shared" ca="1" si="27"/>
        <v>2.7047278836071946</v>
      </c>
      <c r="AE41" s="326">
        <f t="shared" ca="1" si="27"/>
        <v>2.8069748600594888</v>
      </c>
      <c r="AF41" s="326">
        <f t="shared" ca="1" si="27"/>
        <v>2.8970796043803011</v>
      </c>
      <c r="AG41" s="326">
        <f t="shared" ca="1" si="27"/>
        <v>2.9932589710738444</v>
      </c>
      <c r="AH41" s="326">
        <f t="shared" ca="1" si="27"/>
        <v>3.1029890577271058</v>
      </c>
      <c r="AI41" s="43"/>
    </row>
    <row r="42" spans="2:35">
      <c r="B42" s="6" t="s">
        <v>50</v>
      </c>
      <c r="C42" s="90"/>
      <c r="D42" s="90"/>
      <c r="E42" s="90"/>
      <c r="F42" s="244"/>
      <c r="G42" s="244"/>
      <c r="H42" s="244"/>
      <c r="I42" s="244"/>
      <c r="J42" s="244"/>
      <c r="K42" s="244"/>
      <c r="L42" s="244"/>
      <c r="M42" s="244"/>
      <c r="N42" s="275"/>
      <c r="O42" s="245">
        <v>0.25</v>
      </c>
      <c r="P42" s="238">
        <v>0.25</v>
      </c>
      <c r="Q42" s="238">
        <v>0.25</v>
      </c>
      <c r="R42" s="238">
        <v>0.25</v>
      </c>
      <c r="S42" s="238">
        <v>0.25</v>
      </c>
      <c r="T42" s="238">
        <v>0.25</v>
      </c>
      <c r="U42" s="238">
        <v>0.25</v>
      </c>
      <c r="V42" s="238">
        <v>0.25</v>
      </c>
      <c r="W42" s="238">
        <v>0.25</v>
      </c>
      <c r="X42" s="238">
        <v>0.25</v>
      </c>
      <c r="Y42" s="238">
        <v>0.25</v>
      </c>
      <c r="Z42" s="238">
        <v>0.25</v>
      </c>
      <c r="AA42" s="238">
        <v>0.25</v>
      </c>
      <c r="AB42" s="238">
        <v>0.25</v>
      </c>
      <c r="AC42" s="238">
        <v>0.25</v>
      </c>
      <c r="AD42" s="238">
        <v>0.25</v>
      </c>
      <c r="AE42" s="238">
        <v>0.25</v>
      </c>
      <c r="AF42" s="238">
        <v>0.25</v>
      </c>
      <c r="AG42" s="238">
        <v>0.25</v>
      </c>
      <c r="AH42" s="238">
        <v>0.25</v>
      </c>
      <c r="AI42" s="90"/>
    </row>
    <row r="43" spans="2:35">
      <c r="B43" s="24"/>
    </row>
    <row r="44" spans="2:35">
      <c r="B44" s="55" t="s">
        <v>51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68"/>
      <c r="O44" s="368">
        <f t="shared" ref="O44:AH44" ca="1" si="28">+O39-O41</f>
        <v>4.5030229022538837</v>
      </c>
      <c r="P44" s="358">
        <f t="shared" ca="1" si="28"/>
        <v>4.6702010576840909</v>
      </c>
      <c r="Q44" s="358">
        <f t="shared" ca="1" si="28"/>
        <v>4.8570175060430145</v>
      </c>
      <c r="R44" s="358">
        <f t="shared" ca="1" si="28"/>
        <v>5.0860030398608824</v>
      </c>
      <c r="S44" s="358">
        <f t="shared" ca="1" si="28"/>
        <v>5.3089894498760977</v>
      </c>
      <c r="T44" s="358">
        <f t="shared" ca="1" si="28"/>
        <v>5.5036655206516629</v>
      </c>
      <c r="U44" s="358">
        <f t="shared" ca="1" si="28"/>
        <v>5.718057469090267</v>
      </c>
      <c r="V44" s="358">
        <f t="shared" ca="1" si="28"/>
        <v>5.9746293126750567</v>
      </c>
      <c r="W44" s="358">
        <f t="shared" ca="1" si="28"/>
        <v>6.225995033348136</v>
      </c>
      <c r="X44" s="358">
        <f t="shared" ca="1" si="28"/>
        <v>6.4499483540653149</v>
      </c>
      <c r="Y44" s="358">
        <f t="shared" ca="1" si="28"/>
        <v>6.6941371208920764</v>
      </c>
      <c r="Z44" s="358">
        <f t="shared" ca="1" si="28"/>
        <v>6.9810335891870157</v>
      </c>
      <c r="AA44" s="358">
        <f t="shared" ca="1" si="28"/>
        <v>7.2632601051968217</v>
      </c>
      <c r="AB44" s="358">
        <f t="shared" ca="1" si="28"/>
        <v>7.5186188845315085</v>
      </c>
      <c r="AC44" s="358">
        <f t="shared" ca="1" si="28"/>
        <v>7.794766396209817</v>
      </c>
      <c r="AD44" s="358">
        <f t="shared" ca="1" si="28"/>
        <v>8.1141836508215839</v>
      </c>
      <c r="AE44" s="358">
        <f t="shared" ca="1" si="28"/>
        <v>8.4209245801784665</v>
      </c>
      <c r="AF44" s="358">
        <f t="shared" ca="1" si="28"/>
        <v>8.6912388131409024</v>
      </c>
      <c r="AG44" s="358">
        <f t="shared" ca="1" si="28"/>
        <v>8.9797769132215333</v>
      </c>
      <c r="AH44" s="358">
        <f t="shared" ca="1" si="28"/>
        <v>9.3089671731813173</v>
      </c>
      <c r="AI44" s="42"/>
    </row>
    <row r="45" spans="2:35">
      <c r="B45" s="6" t="s">
        <v>69</v>
      </c>
      <c r="C45" s="60"/>
      <c r="D45" s="60"/>
      <c r="E45" s="60"/>
      <c r="F45" s="241"/>
      <c r="G45" s="241"/>
      <c r="H45" s="241"/>
      <c r="I45" s="241"/>
      <c r="J45" s="241"/>
      <c r="K45" s="241"/>
      <c r="L45" s="241"/>
      <c r="M45" s="241"/>
      <c r="N45" s="272"/>
      <c r="O45" s="240">
        <f t="shared" ref="O45:AH45" ca="1" si="29">+O44/O8</f>
        <v>5.5248522346387122E-2</v>
      </c>
      <c r="P45" s="241">
        <f t="shared" ca="1" si="29"/>
        <v>5.7014592859837197E-2</v>
      </c>
      <c r="Q45" s="241">
        <f t="shared" ca="1" si="29"/>
        <v>5.9000277807670747E-2</v>
      </c>
      <c r="R45" s="241">
        <f t="shared" ca="1" si="29"/>
        <v>6.1474490984749122E-2</v>
      </c>
      <c r="S45" s="241">
        <f t="shared" ca="1" si="29"/>
        <v>6.385047413492799E-2</v>
      </c>
      <c r="T45" s="241">
        <f t="shared" ca="1" si="29"/>
        <v>6.5862503512860326E-2</v>
      </c>
      <c r="U45" s="241">
        <f t="shared" ca="1" si="29"/>
        <v>6.8087698850131939E-2</v>
      </c>
      <c r="V45" s="241">
        <f t="shared" ca="1" si="29"/>
        <v>7.0788880513341493E-2</v>
      </c>
      <c r="W45" s="241">
        <f t="shared" ca="1" si="29"/>
        <v>7.340012290514375E-2</v>
      </c>
      <c r="X45" s="241">
        <f t="shared" ca="1" si="29"/>
        <v>7.566206544954282E-2</v>
      </c>
      <c r="Y45" s="241">
        <f t="shared" ca="1" si="29"/>
        <v>7.8135878213061144E-2</v>
      </c>
      <c r="Z45" s="241">
        <f t="shared" ca="1" si="29"/>
        <v>8.1079219540602751E-2</v>
      </c>
      <c r="AA45" s="241">
        <f t="shared" ca="1" si="29"/>
        <v>8.3937371894963225E-2</v>
      </c>
      <c r="AB45" s="241">
        <f t="shared" ca="1" si="29"/>
        <v>8.6456127639494715E-2</v>
      </c>
      <c r="AC45" s="241">
        <f t="shared" ca="1" si="29"/>
        <v>8.9185602567496192E-2</v>
      </c>
      <c r="AD45" s="241">
        <f t="shared" ca="1" si="29"/>
        <v>9.2378396163511012E-2</v>
      </c>
      <c r="AE45" s="241">
        <f t="shared" ca="1" si="29"/>
        <v>9.5393613669350091E-2</v>
      </c>
      <c r="AF45" s="241">
        <f t="shared" ca="1" si="29"/>
        <v>9.7965947860271102E-2</v>
      </c>
      <c r="AG45" s="241">
        <f t="shared" ca="1" si="29"/>
        <v>0.10071471942085163</v>
      </c>
      <c r="AH45" s="241">
        <f t="shared" ca="1" si="29"/>
        <v>0.10388739030101345</v>
      </c>
      <c r="AI45" s="60"/>
    </row>
    <row r="48" spans="2:35" s="2" customFormat="1">
      <c r="B48" s="3" t="s">
        <v>54</v>
      </c>
      <c r="C48" s="29"/>
      <c r="D48" s="29"/>
      <c r="E48" s="29"/>
      <c r="F48" s="29"/>
      <c r="G48" s="29"/>
      <c r="H48" s="29"/>
      <c r="I48" s="29"/>
      <c r="J48" s="29"/>
      <c r="K48" s="29"/>
      <c r="L48" s="204" t="s">
        <v>192</v>
      </c>
      <c r="M48" s="29"/>
      <c r="N48" s="276" t="s">
        <v>193</v>
      </c>
      <c r="O48" s="65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88" t="s">
        <v>253</v>
      </c>
      <c r="AI48" s="172"/>
    </row>
    <row r="49" spans="1:35" s="2" customFormat="1">
      <c r="A49" s="203"/>
      <c r="B49" s="4"/>
      <c r="C49" s="76"/>
      <c r="D49" s="76"/>
      <c r="E49" s="76"/>
      <c r="F49" s="76"/>
      <c r="G49" s="76"/>
      <c r="H49" s="76"/>
      <c r="I49" s="76"/>
      <c r="J49" s="76"/>
      <c r="K49" s="76"/>
      <c r="L49" s="76">
        <f>N4</f>
        <v>44926</v>
      </c>
      <c r="M49" s="95" t="s">
        <v>73</v>
      </c>
      <c r="N49" s="91">
        <f>+L49</f>
        <v>44926</v>
      </c>
      <c r="O49" s="92">
        <f t="shared" ref="O49:AH49" si="30">O4</f>
        <v>45016</v>
      </c>
      <c r="P49" s="76">
        <f t="shared" si="30"/>
        <v>45107</v>
      </c>
      <c r="Q49" s="76">
        <f t="shared" si="30"/>
        <v>45199</v>
      </c>
      <c r="R49" s="76">
        <f t="shared" si="30"/>
        <v>45291</v>
      </c>
      <c r="S49" s="76">
        <f t="shared" si="30"/>
        <v>45382</v>
      </c>
      <c r="T49" s="76">
        <f t="shared" si="30"/>
        <v>45473</v>
      </c>
      <c r="U49" s="76">
        <f t="shared" si="30"/>
        <v>45565</v>
      </c>
      <c r="V49" s="76">
        <f t="shared" si="30"/>
        <v>45657</v>
      </c>
      <c r="W49" s="76">
        <f t="shared" si="30"/>
        <v>45747</v>
      </c>
      <c r="X49" s="76">
        <f t="shared" si="30"/>
        <v>45838</v>
      </c>
      <c r="Y49" s="76">
        <f t="shared" si="30"/>
        <v>45930</v>
      </c>
      <c r="Z49" s="76">
        <f t="shared" si="30"/>
        <v>46022</v>
      </c>
      <c r="AA49" s="76">
        <f t="shared" si="30"/>
        <v>46112</v>
      </c>
      <c r="AB49" s="76">
        <f t="shared" si="30"/>
        <v>46203</v>
      </c>
      <c r="AC49" s="76">
        <f t="shared" si="30"/>
        <v>46295</v>
      </c>
      <c r="AD49" s="76">
        <f t="shared" si="30"/>
        <v>46387</v>
      </c>
      <c r="AE49" s="76">
        <f t="shared" si="30"/>
        <v>46477</v>
      </c>
      <c r="AF49" s="76">
        <f t="shared" si="30"/>
        <v>46568</v>
      </c>
      <c r="AG49" s="76">
        <f t="shared" si="30"/>
        <v>46660</v>
      </c>
      <c r="AH49" s="76">
        <f t="shared" si="30"/>
        <v>46752</v>
      </c>
      <c r="AI49" s="174"/>
    </row>
    <row r="50" spans="1:35">
      <c r="A50" s="205"/>
      <c r="B50" s="2" t="s">
        <v>56</v>
      </c>
      <c r="C50" s="43"/>
      <c r="D50" s="43"/>
      <c r="E50" s="43"/>
      <c r="F50" s="43"/>
      <c r="G50" s="43"/>
      <c r="H50" s="43"/>
      <c r="I50" s="43"/>
      <c r="J50" s="43"/>
      <c r="K50" s="365"/>
      <c r="L50" s="365">
        <f>(55601.141636816-990)/1000</f>
        <v>54.611141636816001</v>
      </c>
      <c r="M50" s="483">
        <f>+-L50+Transaction!G10</f>
        <v>-29.611141636816001</v>
      </c>
      <c r="N50" s="356">
        <f t="shared" ref="N50:N56" si="31">+M50+L50</f>
        <v>25</v>
      </c>
      <c r="O50" s="366">
        <f ca="1">+O165</f>
        <v>25</v>
      </c>
      <c r="P50" s="348">
        <f t="shared" ref="P50:AH50" ca="1" si="32">+P165</f>
        <v>25</v>
      </c>
      <c r="Q50" s="348">
        <f t="shared" ca="1" si="32"/>
        <v>25</v>
      </c>
      <c r="R50" s="348">
        <f t="shared" ca="1" si="32"/>
        <v>25</v>
      </c>
      <c r="S50" s="348">
        <f t="shared" ca="1" si="32"/>
        <v>25</v>
      </c>
      <c r="T50" s="348">
        <f t="shared" ca="1" si="32"/>
        <v>25</v>
      </c>
      <c r="U50" s="348">
        <f t="shared" ca="1" si="32"/>
        <v>25</v>
      </c>
      <c r="V50" s="348">
        <f t="shared" ca="1" si="32"/>
        <v>25</v>
      </c>
      <c r="W50" s="348">
        <f t="shared" ca="1" si="32"/>
        <v>25</v>
      </c>
      <c r="X50" s="348">
        <f t="shared" ca="1" si="32"/>
        <v>25</v>
      </c>
      <c r="Y50" s="348">
        <f t="shared" ca="1" si="32"/>
        <v>25</v>
      </c>
      <c r="Z50" s="348">
        <f t="shared" ca="1" si="32"/>
        <v>25</v>
      </c>
      <c r="AA50" s="348">
        <f t="shared" ca="1" si="32"/>
        <v>25</v>
      </c>
      <c r="AB50" s="348">
        <f t="shared" ca="1" si="32"/>
        <v>25</v>
      </c>
      <c r="AC50" s="348">
        <f t="shared" ca="1" si="32"/>
        <v>25</v>
      </c>
      <c r="AD50" s="348">
        <f t="shared" ca="1" si="32"/>
        <v>25</v>
      </c>
      <c r="AE50" s="348">
        <f t="shared" ca="1" si="32"/>
        <v>25.000000000000043</v>
      </c>
      <c r="AF50" s="348">
        <f t="shared" ca="1" si="32"/>
        <v>24.999999999992916</v>
      </c>
      <c r="AG50" s="348">
        <f t="shared" ca="1" si="32"/>
        <v>25.00000000062678</v>
      </c>
      <c r="AH50" s="348">
        <f t="shared" ca="1" si="32"/>
        <v>24.999999953819021</v>
      </c>
      <c r="AI50" s="17"/>
    </row>
    <row r="51" spans="1:35">
      <c r="A51" s="214"/>
      <c r="B51" s="2" t="s">
        <v>36</v>
      </c>
      <c r="C51" s="43"/>
      <c r="D51" s="43"/>
      <c r="E51" s="43"/>
      <c r="F51" s="43"/>
      <c r="G51" s="43"/>
      <c r="H51" s="43"/>
      <c r="I51" s="43"/>
      <c r="J51" s="43"/>
      <c r="K51" s="43"/>
      <c r="L51" s="365">
        <v>12.312162718084101</v>
      </c>
      <c r="M51" s="484"/>
      <c r="N51" s="356">
        <f t="shared" si="31"/>
        <v>12.312162718084101</v>
      </c>
      <c r="O51" s="325">
        <f t="shared" ref="O51:AH51" si="33">O96</f>
        <v>11.48491944968535</v>
      </c>
      <c r="P51" s="326">
        <f t="shared" si="33"/>
        <v>11.696748989357189</v>
      </c>
      <c r="Q51" s="326">
        <f t="shared" si="33"/>
        <v>12.046712134412076</v>
      </c>
      <c r="R51" s="326">
        <f t="shared" si="33"/>
        <v>12.568749078301423</v>
      </c>
      <c r="S51" s="326">
        <f t="shared" si="33"/>
        <v>11.742788741703777</v>
      </c>
      <c r="T51" s="326">
        <f t="shared" si="33"/>
        <v>11.9559076278357</v>
      </c>
      <c r="U51" s="326">
        <f t="shared" si="33"/>
        <v>12.307166566082984</v>
      </c>
      <c r="V51" s="326">
        <f t="shared" si="33"/>
        <v>12.8305057821307</v>
      </c>
      <c r="W51" s="326">
        <f t="shared" si="33"/>
        <v>12.005854229052204</v>
      </c>
      <c r="X51" s="326">
        <f t="shared" si="33"/>
        <v>12.22028844262087</v>
      </c>
      <c r="Y51" s="326">
        <f t="shared" si="33"/>
        <v>12.572869284942072</v>
      </c>
      <c r="Z51" s="326">
        <f t="shared" si="33"/>
        <v>13.097537014584077</v>
      </c>
      <c r="AA51" s="326">
        <f t="shared" si="33"/>
        <v>12.274220617667837</v>
      </c>
      <c r="AB51" s="326">
        <f t="shared" si="33"/>
        <v>12.489996663179582</v>
      </c>
      <c r="AC51" s="326">
        <f t="shared" si="33"/>
        <v>12.843926046603571</v>
      </c>
      <c r="AD51" s="326">
        <f t="shared" si="33"/>
        <v>13.369949060053898</v>
      </c>
      <c r="AE51" s="326">
        <f t="shared" si="33"/>
        <v>12.547994723365008</v>
      </c>
      <c r="AF51" s="326">
        <f t="shared" si="33"/>
        <v>12.765139639405234</v>
      </c>
      <c r="AG51" s="326">
        <f t="shared" si="33"/>
        <v>13.120444737710358</v>
      </c>
      <c r="AH51" s="326">
        <f t="shared" si="33"/>
        <v>13.647850344616202</v>
      </c>
      <c r="AI51" s="59"/>
    </row>
    <row r="52" spans="1:35">
      <c r="A52" s="214"/>
      <c r="B52" s="2" t="s">
        <v>57</v>
      </c>
      <c r="C52" s="43"/>
      <c r="D52" s="43"/>
      <c r="E52" s="43"/>
      <c r="F52" s="43"/>
      <c r="G52" s="43"/>
      <c r="H52" s="43"/>
      <c r="I52" s="43"/>
      <c r="J52" s="43"/>
      <c r="K52" s="43"/>
      <c r="L52" s="365">
        <v>35.699125050049275</v>
      </c>
      <c r="M52" s="484"/>
      <c r="N52" s="356">
        <f t="shared" si="31"/>
        <v>35.699125050049275</v>
      </c>
      <c r="O52" s="366">
        <f t="shared" ref="O52:AH52" si="34">+O86</f>
        <v>36.51366780068917</v>
      </c>
      <c r="P52" s="348">
        <f t="shared" si="34"/>
        <v>37.332625867429385</v>
      </c>
      <c r="Q52" s="348">
        <f t="shared" si="34"/>
        <v>38.152967076334136</v>
      </c>
      <c r="R52" s="348">
        <f t="shared" si="34"/>
        <v>38.974148910278601</v>
      </c>
      <c r="S52" s="348">
        <f t="shared" si="34"/>
        <v>39.799436653392789</v>
      </c>
      <c r="T52" s="348">
        <f t="shared" si="34"/>
        <v>40.628850835222551</v>
      </c>
      <c r="U52" s="348">
        <f t="shared" si="34"/>
        <v>41.462412087961454</v>
      </c>
      <c r="V52" s="348">
        <f t="shared" si="34"/>
        <v>42.300141146964059</v>
      </c>
      <c r="W52" s="348">
        <f t="shared" si="34"/>
        <v>43.14205885126168</v>
      </c>
      <c r="X52" s="348">
        <f t="shared" si="34"/>
        <v>43.988186144080785</v>
      </c>
      <c r="Y52" s="348">
        <f t="shared" si="34"/>
        <v>44.838544073363991</v>
      </c>
      <c r="Z52" s="348">
        <f t="shared" si="34"/>
        <v>45.693153792293607</v>
      </c>
      <c r="AA52" s="348">
        <f t="shared" si="34"/>
        <v>46.552036559817871</v>
      </c>
      <c r="AB52" s="348">
        <f t="shared" si="34"/>
        <v>47.415213741179755</v>
      </c>
      <c r="AC52" s="348">
        <f t="shared" si="34"/>
        <v>48.282706808448445</v>
      </c>
      <c r="AD52" s="348">
        <f t="shared" si="34"/>
        <v>49.154537341053484</v>
      </c>
      <c r="AE52" s="348">
        <f t="shared" si="34"/>
        <v>50.030727026321543</v>
      </c>
      <c r="AF52" s="348">
        <f t="shared" si="34"/>
        <v>50.911297660015947</v>
      </c>
      <c r="AG52" s="348">
        <f t="shared" si="34"/>
        <v>51.796271146878823</v>
      </c>
      <c r="AH52" s="348">
        <f t="shared" si="34"/>
        <v>52.685669501176008</v>
      </c>
      <c r="AI52" s="17"/>
    </row>
    <row r="53" spans="1:35">
      <c r="A53" s="214"/>
      <c r="B53" s="2" t="s">
        <v>71</v>
      </c>
      <c r="C53" s="43"/>
      <c r="D53" s="43"/>
      <c r="E53" s="43"/>
      <c r="F53" s="43"/>
      <c r="G53" s="43"/>
      <c r="H53" s="43"/>
      <c r="I53" s="43"/>
      <c r="J53" s="43"/>
      <c r="K53" s="43"/>
      <c r="L53" s="365">
        <v>13.122154681520209</v>
      </c>
      <c r="M53" s="484"/>
      <c r="N53" s="356">
        <f t="shared" si="31"/>
        <v>13.122154681520209</v>
      </c>
      <c r="O53" s="325">
        <f t="shared" ref="O53:AH53" si="35">O77*O68</f>
        <v>13.032684010238293</v>
      </c>
      <c r="P53" s="326">
        <f t="shared" si="35"/>
        <v>13.103329067843456</v>
      </c>
      <c r="Q53" s="326">
        <f t="shared" si="35"/>
        <v>13.125459342475942</v>
      </c>
      <c r="R53" s="326">
        <f t="shared" si="35"/>
        <v>13.138909343111486</v>
      </c>
      <c r="S53" s="326">
        <f t="shared" si="35"/>
        <v>13.204603889827045</v>
      </c>
      <c r="T53" s="326">
        <f t="shared" si="35"/>
        <v>13.270626909276178</v>
      </c>
      <c r="U53" s="326">
        <f t="shared" si="35"/>
        <v>13.33698004382256</v>
      </c>
      <c r="V53" s="326">
        <f t="shared" si="35"/>
        <v>13.403664944041671</v>
      </c>
      <c r="W53" s="326">
        <f t="shared" si="35"/>
        <v>13.470683268761881</v>
      </c>
      <c r="X53" s="326">
        <f t="shared" si="35"/>
        <v>13.538036685105689</v>
      </c>
      <c r="Y53" s="326">
        <f t="shared" si="35"/>
        <v>13.605726868531217</v>
      </c>
      <c r="Z53" s="326">
        <f t="shared" si="35"/>
        <v>13.673755502873874</v>
      </c>
      <c r="AA53" s="326">
        <f t="shared" si="35"/>
        <v>13.742124280388243</v>
      </c>
      <c r="AB53" s="326">
        <f t="shared" si="35"/>
        <v>13.810834901790184</v>
      </c>
      <c r="AC53" s="326">
        <f t="shared" si="35"/>
        <v>13.879889076299134</v>
      </c>
      <c r="AD53" s="326">
        <f t="shared" si="35"/>
        <v>13.94928852168063</v>
      </c>
      <c r="AE53" s="326">
        <f t="shared" si="35"/>
        <v>14.019034964289034</v>
      </c>
      <c r="AF53" s="326">
        <f t="shared" si="35"/>
        <v>14.089130139110479</v>
      </c>
      <c r="AG53" s="326">
        <f t="shared" si="35"/>
        <v>14.159575789806029</v>
      </c>
      <c r="AH53" s="326">
        <f t="shared" si="35"/>
        <v>14.23037366875506</v>
      </c>
      <c r="AI53" s="43"/>
    </row>
    <row r="54" spans="1:35">
      <c r="A54" s="214"/>
      <c r="B54" s="2" t="s">
        <v>70</v>
      </c>
      <c r="C54" s="43"/>
      <c r="D54" s="43"/>
      <c r="E54" s="43"/>
      <c r="F54" s="43"/>
      <c r="G54" s="43"/>
      <c r="H54" s="43"/>
      <c r="I54" s="43"/>
      <c r="J54" s="43"/>
      <c r="K54" s="43"/>
      <c r="L54" s="365">
        <v>14.2204</v>
      </c>
      <c r="M54" s="484"/>
      <c r="N54" s="356">
        <f t="shared" si="31"/>
        <v>14.2204</v>
      </c>
      <c r="O54" s="367">
        <f>Capitalizations!H9</f>
        <v>15.972382360319999</v>
      </c>
      <c r="P54" s="357">
        <f>Capitalizations!I9</f>
        <v>17.572521172421599</v>
      </c>
      <c r="Q54" s="357">
        <f>Capitalizations!J9</f>
        <v>19.020057218563707</v>
      </c>
      <c r="R54" s="357">
        <f>Capitalizations!K9</f>
        <v>20.314227484916529</v>
      </c>
      <c r="S54" s="357">
        <f>Capitalizations!L9</f>
        <v>21.454265142581111</v>
      </c>
      <c r="T54" s="357">
        <f>Capitalizations!M9</f>
        <v>22.439399528514016</v>
      </c>
      <c r="U54" s="357">
        <f>Capitalizations!N9</f>
        <v>23.268856126356585</v>
      </c>
      <c r="V54" s="357">
        <f>Capitalizations!O9</f>
        <v>23.941856547168371</v>
      </c>
      <c r="W54" s="357">
        <f>Capitalizations!P9</f>
        <v>24.457618510064211</v>
      </c>
      <c r="X54" s="357">
        <f>Capitalizations!Q9</f>
        <v>24.81535582275453</v>
      </c>
      <c r="Y54" s="357">
        <f>Capitalizations!R9</f>
        <v>25.014278361988303</v>
      </c>
      <c r="Z54" s="357">
        <f>Capitalizations!S9</f>
        <v>25.053592053898246</v>
      </c>
      <c r="AA54" s="357">
        <f>Capitalizations!T9</f>
        <v>24.932498854247736</v>
      </c>
      <c r="AB54" s="357">
        <f>Capitalizations!U9</f>
        <v>24.650196728578976</v>
      </c>
      <c r="AC54" s="357">
        <f>Capitalizations!V9</f>
        <v>24.205879632261869</v>
      </c>
      <c r="AD54" s="357">
        <f>Capitalizations!W9</f>
        <v>23.598737490443181</v>
      </c>
      <c r="AE54" s="357">
        <f>Capitalizations!X9</f>
        <v>23.716731177895397</v>
      </c>
      <c r="AF54" s="357">
        <f>Capitalizations!Y9</f>
        <v>23.835314833784874</v>
      </c>
      <c r="AG54" s="357">
        <f>Capitalizations!Z9</f>
        <v>23.9544914079538</v>
      </c>
      <c r="AH54" s="357">
        <f>Capitalizations!AA9</f>
        <v>24.074263864993569</v>
      </c>
      <c r="AI54" s="59"/>
    </row>
    <row r="55" spans="1:35">
      <c r="A55" s="214"/>
      <c r="B55" s="2" t="s">
        <v>110</v>
      </c>
      <c r="C55" s="43"/>
      <c r="D55" s="43"/>
      <c r="E55" s="43"/>
      <c r="F55" s="43"/>
      <c r="G55" s="43"/>
      <c r="H55" s="43"/>
      <c r="I55" s="43"/>
      <c r="J55" s="43"/>
      <c r="K55" s="43"/>
      <c r="L55" s="365">
        <v>5.9109173558477197</v>
      </c>
      <c r="M55" s="484"/>
      <c r="N55" s="356">
        <f t="shared" si="31"/>
        <v>5.9109173558477197</v>
      </c>
      <c r="O55" s="367">
        <f>Capitalizations!H49</f>
        <v>6.2514641016473975</v>
      </c>
      <c r="P55" s="357">
        <f>Capitalizations!I49</f>
        <v>6.5704935652518763</v>
      </c>
      <c r="Q55" s="357">
        <f>Capitalizations!J49</f>
        <v>6.8678981602501787</v>
      </c>
      <c r="R55" s="357">
        <f>Capitalizations!K49</f>
        <v>7.1435697622992747</v>
      </c>
      <c r="S55" s="357">
        <f>Capitalizations!L49</f>
        <v>7.3973997064344177</v>
      </c>
      <c r="T55" s="357">
        <f>Capitalizations!M49</f>
        <v>7.6292787843660372</v>
      </c>
      <c r="U55" s="357">
        <f>Capitalizations!N49</f>
        <v>7.8390972417631177</v>
      </c>
      <c r="V55" s="357">
        <f>Capitalizations!O49</f>
        <v>8.0267447755229853</v>
      </c>
      <c r="W55" s="357">
        <f>Capitalizations!P49</f>
        <v>8.1921105310274527</v>
      </c>
      <c r="X55" s="357">
        <f>Capitalizations!Q49</f>
        <v>8.3350830993852441</v>
      </c>
      <c r="Y55" s="357">
        <f>Capitalizations!R49</f>
        <v>8.4555505146606258</v>
      </c>
      <c r="Z55" s="357">
        <f>Capitalizations!S49</f>
        <v>8.5534002510881866</v>
      </c>
      <c r="AA55" s="357">
        <f>Capitalizations!T49</f>
        <v>8.6285192202736862</v>
      </c>
      <c r="AB55" s="357">
        <f>Capitalizations!U49</f>
        <v>8.6807937683809158</v>
      </c>
      <c r="AC55" s="357">
        <f>Capitalizations!V49</f>
        <v>8.7101096733044834</v>
      </c>
      <c r="AD55" s="357">
        <f>Capitalizations!W49</f>
        <v>8.7163521418284695</v>
      </c>
      <c r="AE55" s="357">
        <f>Capitalizations!X49</f>
        <v>8.9456940299311984</v>
      </c>
      <c r="AF55" s="357">
        <f>Capitalizations!Y49</f>
        <v>9.1761826274744429</v>
      </c>
      <c r="AG55" s="357">
        <f>Capitalizations!Z49</f>
        <v>9.4078236680054026</v>
      </c>
      <c r="AH55" s="357">
        <f>Capitalizations!AA49</f>
        <v>9.6406229137390174</v>
      </c>
      <c r="AI55" s="59"/>
    </row>
    <row r="56" spans="1:35">
      <c r="A56" s="214"/>
      <c r="B56" s="2" t="s">
        <v>251</v>
      </c>
      <c r="C56" s="43"/>
      <c r="D56" s="43"/>
      <c r="E56" s="43"/>
      <c r="F56" s="43"/>
      <c r="G56" s="43"/>
      <c r="H56" s="43"/>
      <c r="I56" s="43"/>
      <c r="J56" s="43"/>
      <c r="K56" s="43"/>
      <c r="L56" s="365">
        <v>0</v>
      </c>
      <c r="M56" s="483">
        <f>Transaction!C9-Model!L63</f>
        <v>1412.2859066664423</v>
      </c>
      <c r="N56" s="356">
        <f t="shared" si="31"/>
        <v>1412.2859066664423</v>
      </c>
      <c r="O56" s="369">
        <f t="shared" ref="O56" si="36">N56</f>
        <v>1412.2859066664423</v>
      </c>
      <c r="P56" s="370">
        <f t="shared" ref="P56" si="37">O56</f>
        <v>1412.2859066664423</v>
      </c>
      <c r="Q56" s="370">
        <f t="shared" ref="Q56" si="38">P56</f>
        <v>1412.2859066664423</v>
      </c>
      <c r="R56" s="370">
        <f t="shared" ref="R56" si="39">Q56</f>
        <v>1412.2859066664423</v>
      </c>
      <c r="S56" s="370">
        <f t="shared" ref="S56" si="40">R56</f>
        <v>1412.2859066664423</v>
      </c>
      <c r="T56" s="370">
        <f t="shared" ref="T56" si="41">S56</f>
        <v>1412.2859066664423</v>
      </c>
      <c r="U56" s="370">
        <f t="shared" ref="U56" si="42">T56</f>
        <v>1412.2859066664423</v>
      </c>
      <c r="V56" s="370">
        <f t="shared" ref="V56" si="43">U56</f>
        <v>1412.2859066664423</v>
      </c>
      <c r="W56" s="370">
        <f t="shared" ref="W56" si="44">V56</f>
        <v>1412.2859066664423</v>
      </c>
      <c r="X56" s="370">
        <f t="shared" ref="X56" si="45">W56</f>
        <v>1412.2859066664423</v>
      </c>
      <c r="Y56" s="370">
        <f t="shared" ref="Y56" si="46">X56</f>
        <v>1412.2859066664423</v>
      </c>
      <c r="Z56" s="370">
        <f t="shared" ref="Z56" si="47">Y56</f>
        <v>1412.2859066664423</v>
      </c>
      <c r="AA56" s="370">
        <f t="shared" ref="AA56" si="48">Z56</f>
        <v>1412.2859066664423</v>
      </c>
      <c r="AB56" s="370">
        <f t="shared" ref="AB56" si="49">AA56</f>
        <v>1412.2859066664423</v>
      </c>
      <c r="AC56" s="370">
        <f t="shared" ref="AC56" si="50">AB56</f>
        <v>1412.2859066664423</v>
      </c>
      <c r="AD56" s="370">
        <f t="shared" ref="AD56" si="51">AC56</f>
        <v>1412.2859066664423</v>
      </c>
      <c r="AE56" s="370">
        <f t="shared" ref="AE56" si="52">AD56</f>
        <v>1412.2859066664423</v>
      </c>
      <c r="AF56" s="370">
        <f t="shared" ref="AF56" si="53">AE56</f>
        <v>1412.2859066664423</v>
      </c>
      <c r="AG56" s="370">
        <f t="shared" ref="AG56" si="54">AF56</f>
        <v>1412.2859066664423</v>
      </c>
      <c r="AH56" s="370">
        <f t="shared" ref="AH56" si="55">AG56</f>
        <v>1412.2859066664423</v>
      </c>
      <c r="AI56" s="59"/>
    </row>
    <row r="57" spans="1:35">
      <c r="A57" s="205"/>
      <c r="B57" s="9" t="s">
        <v>59</v>
      </c>
      <c r="C57" s="22"/>
      <c r="D57" s="22"/>
      <c r="E57" s="22"/>
      <c r="F57" s="22"/>
      <c r="G57" s="22"/>
      <c r="H57" s="22"/>
      <c r="I57" s="22"/>
      <c r="J57" s="22"/>
      <c r="K57" s="22"/>
      <c r="L57" s="358">
        <f>SUM(L50:L56)</f>
        <v>135.87590144231731</v>
      </c>
      <c r="M57" s="485"/>
      <c r="N57" s="359">
        <f t="shared" ref="N57:AH57" si="56">SUM(N50:N56)</f>
        <v>1518.5506664719437</v>
      </c>
      <c r="O57" s="368">
        <f t="shared" ca="1" si="56"/>
        <v>1520.5410243890226</v>
      </c>
      <c r="P57" s="358">
        <f t="shared" ca="1" si="56"/>
        <v>1523.5616253287458</v>
      </c>
      <c r="Q57" s="358">
        <f t="shared" ca="1" si="56"/>
        <v>1526.4990005984785</v>
      </c>
      <c r="R57" s="358">
        <f t="shared" ca="1" si="56"/>
        <v>1529.4255112453498</v>
      </c>
      <c r="S57" s="358">
        <f t="shared" ca="1" si="56"/>
        <v>1530.8844008003814</v>
      </c>
      <c r="T57" s="358">
        <f t="shared" ca="1" si="56"/>
        <v>1533.2099703516567</v>
      </c>
      <c r="U57" s="358">
        <f t="shared" ca="1" si="56"/>
        <v>1535.5004187324289</v>
      </c>
      <c r="V57" s="358">
        <f t="shared" ca="1" si="56"/>
        <v>1537.78881986227</v>
      </c>
      <c r="W57" s="358">
        <f t="shared" ca="1" si="56"/>
        <v>1538.5542320566096</v>
      </c>
      <c r="X57" s="358">
        <f t="shared" ca="1" si="56"/>
        <v>1540.1828568603894</v>
      </c>
      <c r="Y57" s="358">
        <f t="shared" ca="1" si="56"/>
        <v>1541.7728757699285</v>
      </c>
      <c r="Z57" s="358">
        <f t="shared" ca="1" si="56"/>
        <v>1543.3573452811802</v>
      </c>
      <c r="AA57" s="358">
        <f t="shared" ca="1" si="56"/>
        <v>1543.4153061988377</v>
      </c>
      <c r="AB57" s="358">
        <f t="shared" ca="1" si="56"/>
        <v>1544.3329424695517</v>
      </c>
      <c r="AC57" s="358">
        <f t="shared" ca="1" si="56"/>
        <v>1545.2084179033598</v>
      </c>
      <c r="AD57" s="358">
        <f t="shared" ca="1" si="56"/>
        <v>1546.074771221502</v>
      </c>
      <c r="AE57" s="358">
        <f t="shared" ca="1" si="56"/>
        <v>1546.5460885882446</v>
      </c>
      <c r="AF57" s="358">
        <f t="shared" ca="1" si="56"/>
        <v>1548.0629715662262</v>
      </c>
      <c r="AG57" s="358">
        <f t="shared" ca="1" si="56"/>
        <v>1549.7245134174236</v>
      </c>
      <c r="AH57" s="358">
        <f t="shared" ca="1" si="56"/>
        <v>1551.5646869135412</v>
      </c>
      <c r="AI57" s="42"/>
    </row>
    <row r="58" spans="1:35">
      <c r="A58" s="205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84"/>
      <c r="N58" s="7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>
      <c r="A59" s="205"/>
      <c r="B59" s="2" t="s">
        <v>61</v>
      </c>
      <c r="C59" s="43"/>
      <c r="D59" s="43"/>
      <c r="E59" s="43"/>
      <c r="F59" s="43"/>
      <c r="G59" s="43"/>
      <c r="H59" s="43"/>
      <c r="I59" s="43"/>
      <c r="J59" s="43"/>
      <c r="K59" s="43"/>
      <c r="L59" s="365">
        <v>14.671147137165701</v>
      </c>
      <c r="M59" s="484"/>
      <c r="N59" s="356">
        <f>+M59+L59</f>
        <v>14.671147137165701</v>
      </c>
      <c r="O59" s="325">
        <f t="shared" ref="O59:AH59" si="57">O76*O15/90</f>
        <v>14.580313272000001</v>
      </c>
      <c r="P59" s="326">
        <f t="shared" si="57"/>
        <v>14.653214838360002</v>
      </c>
      <c r="Q59" s="326">
        <f t="shared" si="57"/>
        <v>14.726480912551803</v>
      </c>
      <c r="R59" s="326">
        <f t="shared" si="57"/>
        <v>14.800113317114558</v>
      </c>
      <c r="S59" s="326">
        <f t="shared" si="57"/>
        <v>14.874113883700131</v>
      </c>
      <c r="T59" s="326">
        <f t="shared" si="57"/>
        <v>14.948484453118635</v>
      </c>
      <c r="U59" s="326">
        <f t="shared" si="57"/>
        <v>15.023226875384227</v>
      </c>
      <c r="V59" s="326">
        <f t="shared" si="57"/>
        <v>15.09834300976115</v>
      </c>
      <c r="W59" s="326">
        <f t="shared" si="57"/>
        <v>15.173834724809952</v>
      </c>
      <c r="X59" s="326">
        <f t="shared" si="57"/>
        <v>15.249703898434003</v>
      </c>
      <c r="Y59" s="326">
        <f t="shared" si="57"/>
        <v>15.325952417926171</v>
      </c>
      <c r="Z59" s="326">
        <f t="shared" si="57"/>
        <v>15.402582180015802</v>
      </c>
      <c r="AA59" s="326">
        <f t="shared" si="57"/>
        <v>15.479595090915883</v>
      </c>
      <c r="AB59" s="326">
        <f t="shared" si="57"/>
        <v>15.556993066370458</v>
      </c>
      <c r="AC59" s="326">
        <f t="shared" si="57"/>
        <v>15.634778031702311</v>
      </c>
      <c r="AD59" s="326">
        <f t="shared" si="57"/>
        <v>15.712951921860824</v>
      </c>
      <c r="AE59" s="326">
        <f t="shared" si="57"/>
        <v>15.79151668147013</v>
      </c>
      <c r="AF59" s="326">
        <f t="shared" si="57"/>
        <v>15.870474264877478</v>
      </c>
      <c r="AG59" s="326">
        <f t="shared" si="57"/>
        <v>15.949826636201866</v>
      </c>
      <c r="AH59" s="326">
        <f t="shared" si="57"/>
        <v>16.029575769382873</v>
      </c>
      <c r="AI59" s="43"/>
    </row>
    <row r="60" spans="1:35">
      <c r="A60" s="214"/>
      <c r="B60" s="2" t="s">
        <v>18</v>
      </c>
      <c r="C60" s="43"/>
      <c r="D60" s="43"/>
      <c r="E60" s="43"/>
      <c r="F60" s="43"/>
      <c r="G60" s="43"/>
      <c r="H60" s="43"/>
      <c r="I60" s="43"/>
      <c r="J60" s="43"/>
      <c r="K60" s="61"/>
      <c r="L60" s="365">
        <v>17.993601153711637</v>
      </c>
      <c r="M60" s="484"/>
      <c r="N60" s="356">
        <f>+M60+L60</f>
        <v>17.993601153711637</v>
      </c>
      <c r="O60" s="325">
        <f t="shared" ref="O60:AH60" si="58">O102</f>
        <v>14.647959665623617</v>
      </c>
      <c r="P60" s="326">
        <f t="shared" si="58"/>
        <v>12.306990824681193</v>
      </c>
      <c r="Q60" s="326">
        <f t="shared" si="58"/>
        <v>11.889547712017944</v>
      </c>
      <c r="R60" s="326">
        <f t="shared" si="58"/>
        <v>14.540741177003312</v>
      </c>
      <c r="S60" s="326">
        <f t="shared" si="58"/>
        <v>11.27186463448254</v>
      </c>
      <c r="T60" s="326">
        <f t="shared" si="58"/>
        <v>9.0080445638351563</v>
      </c>
      <c r="U60" s="326">
        <f t="shared" si="58"/>
        <v>8.6681359653184415</v>
      </c>
      <c r="V60" s="326">
        <f t="shared" si="58"/>
        <v>11.39725161702107</v>
      </c>
      <c r="W60" s="326">
        <f t="shared" si="58"/>
        <v>8.2066868721511241</v>
      </c>
      <c r="X60" s="326">
        <f t="shared" si="58"/>
        <v>6.0215701581428362</v>
      </c>
      <c r="Y60" s="326">
        <f t="shared" si="58"/>
        <v>5.7607584330484229</v>
      </c>
      <c r="Z60" s="326">
        <f t="shared" si="58"/>
        <v>8.5693664425404563</v>
      </c>
      <c r="AA60" s="326">
        <f t="shared" si="58"/>
        <v>5.4586915172488801</v>
      </c>
      <c r="AB60" s="326">
        <f t="shared" si="58"/>
        <v>3.353864071916874</v>
      </c>
      <c r="AC60" s="326">
        <f t="shared" si="58"/>
        <v>3.1737430618420888</v>
      </c>
      <c r="AD60" s="326">
        <f t="shared" si="58"/>
        <v>6.0634452399288676</v>
      </c>
      <c r="AE60" s="326">
        <f t="shared" si="58"/>
        <v>3.0342699540750004</v>
      </c>
      <c r="AF60" s="326">
        <f t="shared" si="58"/>
        <v>1.011349646377866</v>
      </c>
      <c r="AG60" s="326">
        <f t="shared" si="58"/>
        <v>0.91354530962614433</v>
      </c>
      <c r="AH60" s="326">
        <f t="shared" si="58"/>
        <v>3.885975744402586</v>
      </c>
      <c r="AI60" s="59"/>
    </row>
    <row r="61" spans="1:35">
      <c r="A61" s="205"/>
      <c r="B61" s="2" t="s">
        <v>252</v>
      </c>
      <c r="C61" s="43"/>
      <c r="D61" s="43"/>
      <c r="E61" s="43"/>
      <c r="F61" s="43"/>
      <c r="G61" s="43"/>
      <c r="H61" s="43"/>
      <c r="I61" s="43"/>
      <c r="J61" s="43"/>
      <c r="K61" s="43"/>
      <c r="L61" s="365">
        <v>12.201000000000001</v>
      </c>
      <c r="M61" s="486">
        <f>-L61</f>
        <v>-12.201000000000001</v>
      </c>
      <c r="N61" s="356">
        <f>+M61+L61</f>
        <v>0</v>
      </c>
      <c r="O61" s="369">
        <f t="shared" ref="O61:AH61" si="59">N61</f>
        <v>0</v>
      </c>
      <c r="P61" s="370">
        <f t="shared" si="59"/>
        <v>0</v>
      </c>
      <c r="Q61" s="370">
        <f t="shared" si="59"/>
        <v>0</v>
      </c>
      <c r="R61" s="370">
        <f t="shared" si="59"/>
        <v>0</v>
      </c>
      <c r="S61" s="370">
        <f t="shared" si="59"/>
        <v>0</v>
      </c>
      <c r="T61" s="370">
        <f t="shared" si="59"/>
        <v>0</v>
      </c>
      <c r="U61" s="370">
        <f t="shared" si="59"/>
        <v>0</v>
      </c>
      <c r="V61" s="370">
        <f t="shared" si="59"/>
        <v>0</v>
      </c>
      <c r="W61" s="370">
        <f t="shared" si="59"/>
        <v>0</v>
      </c>
      <c r="X61" s="370">
        <f t="shared" si="59"/>
        <v>0</v>
      </c>
      <c r="Y61" s="370">
        <f t="shared" si="59"/>
        <v>0</v>
      </c>
      <c r="Z61" s="370">
        <f t="shared" si="59"/>
        <v>0</v>
      </c>
      <c r="AA61" s="370">
        <f t="shared" si="59"/>
        <v>0</v>
      </c>
      <c r="AB61" s="370">
        <f t="shared" si="59"/>
        <v>0</v>
      </c>
      <c r="AC61" s="370">
        <f t="shared" si="59"/>
        <v>0</v>
      </c>
      <c r="AD61" s="370">
        <f t="shared" si="59"/>
        <v>0</v>
      </c>
      <c r="AE61" s="370">
        <f t="shared" si="59"/>
        <v>0</v>
      </c>
      <c r="AF61" s="370">
        <f t="shared" si="59"/>
        <v>0</v>
      </c>
      <c r="AG61" s="370">
        <f t="shared" si="59"/>
        <v>0</v>
      </c>
      <c r="AH61" s="370">
        <f t="shared" si="59"/>
        <v>0</v>
      </c>
      <c r="AI61" s="61"/>
    </row>
    <row r="62" spans="1:35">
      <c r="A62" s="205"/>
      <c r="B62" s="2" t="s">
        <v>239</v>
      </c>
      <c r="C62" s="43"/>
      <c r="D62" s="43"/>
      <c r="E62" s="43"/>
      <c r="F62" s="43"/>
      <c r="G62" s="43"/>
      <c r="H62" s="43"/>
      <c r="I62" s="43"/>
      <c r="J62" s="43"/>
      <c r="K62" s="43"/>
      <c r="L62" s="365">
        <v>0</v>
      </c>
      <c r="M62" s="483">
        <f>+Transaction!G5</f>
        <v>730.44295909053312</v>
      </c>
      <c r="N62" s="356">
        <f>+M62+L62</f>
        <v>730.44295909053312</v>
      </c>
      <c r="O62" s="325">
        <f ca="1">+O138</f>
        <v>726.79728116697675</v>
      </c>
      <c r="P62" s="326">
        <f t="shared" ref="P62:AH62" ca="1" si="60">+P138</f>
        <v>722.82341259050497</v>
      </c>
      <c r="Q62" s="326">
        <f t="shared" ca="1" si="60"/>
        <v>716.6326499809071</v>
      </c>
      <c r="R62" s="326">
        <f t="shared" ca="1" si="60"/>
        <v>707.10995781955171</v>
      </c>
      <c r="S62" s="326">
        <f t="shared" ca="1" si="60"/>
        <v>701.79316813233095</v>
      </c>
      <c r="T62" s="326">
        <f t="shared" ca="1" si="60"/>
        <v>696.1196480670302</v>
      </c>
      <c r="U62" s="326">
        <f t="shared" ca="1" si="60"/>
        <v>688.24890718982419</v>
      </c>
      <c r="V62" s="326">
        <f t="shared" ca="1" si="60"/>
        <v>677.02660776594598</v>
      </c>
      <c r="W62" s="326">
        <f t="shared" ca="1" si="60"/>
        <v>669.92559930451898</v>
      </c>
      <c r="X62" s="326">
        <f t="shared" ca="1" si="60"/>
        <v>662.4342471491168</v>
      </c>
      <c r="Y62" s="326">
        <f t="shared" ca="1" si="60"/>
        <v>652.71151961713781</v>
      </c>
      <c r="Z62" s="326">
        <f t="shared" ca="1" si="60"/>
        <v>639.60252937876157</v>
      </c>
      <c r="AA62" s="326">
        <f t="shared" ca="1" si="60"/>
        <v>630.57956787480998</v>
      </c>
      <c r="AB62" s="326">
        <f t="shared" ca="1" si="60"/>
        <v>621.13043377841223</v>
      </c>
      <c r="AC62" s="326">
        <f t="shared" ca="1" si="60"/>
        <v>609.41352000353334</v>
      </c>
      <c r="AD62" s="326">
        <f t="shared" ca="1" si="60"/>
        <v>594.27335495110242</v>
      </c>
      <c r="AE62" s="326">
        <f t="shared" ca="1" si="60"/>
        <v>584.32527731914752</v>
      </c>
      <c r="AF62" s="326">
        <f t="shared" ca="1" si="60"/>
        <v>574.12105785879112</v>
      </c>
      <c r="AG62" s="326">
        <f t="shared" ca="1" si="60"/>
        <v>561.82257928092235</v>
      </c>
      <c r="AH62" s="326">
        <f t="shared" ca="1" si="60"/>
        <v>546.27791707987558</v>
      </c>
      <c r="AI62" s="61"/>
    </row>
    <row r="63" spans="1:35">
      <c r="A63" s="205"/>
      <c r="B63" s="2" t="s">
        <v>58</v>
      </c>
      <c r="C63" s="43"/>
      <c r="D63" s="43"/>
      <c r="E63" s="43"/>
      <c r="F63" s="43"/>
      <c r="G63" s="43"/>
      <c r="H63" s="43"/>
      <c r="I63" s="43"/>
      <c r="J63" s="43"/>
      <c r="K63" s="43"/>
      <c r="L63" s="365">
        <v>91.010153151439994</v>
      </c>
      <c r="M63" s="483">
        <f>+-L63+Transaction!G4-Transaction!G11</f>
        <v>664.4328059390931</v>
      </c>
      <c r="N63" s="356">
        <f>+M63+L63</f>
        <v>755.44295909053312</v>
      </c>
      <c r="O63" s="371">
        <f t="shared" ref="O63:AH63" ca="1" si="61">N63+O44+O152</f>
        <v>764.51547028442224</v>
      </c>
      <c r="P63" s="372">
        <f t="shared" ca="1" si="61"/>
        <v>773.77800707519964</v>
      </c>
      <c r="Q63" s="372">
        <f t="shared" ca="1" si="61"/>
        <v>783.25032199300153</v>
      </c>
      <c r="R63" s="372">
        <f t="shared" ca="1" si="61"/>
        <v>792.97469893168011</v>
      </c>
      <c r="S63" s="372">
        <f t="shared" ca="1" si="61"/>
        <v>802.94525414986788</v>
      </c>
      <c r="T63" s="372">
        <f t="shared" ca="1" si="61"/>
        <v>813.13379326767279</v>
      </c>
      <c r="U63" s="372">
        <f t="shared" ca="1" si="61"/>
        <v>823.56014870190211</v>
      </c>
      <c r="V63" s="372">
        <f t="shared" ca="1" si="61"/>
        <v>834.26661746954187</v>
      </c>
      <c r="W63" s="372">
        <f t="shared" ca="1" si="61"/>
        <v>845.24811115512955</v>
      </c>
      <c r="X63" s="372">
        <f t="shared" ca="1" si="61"/>
        <v>856.47733565469559</v>
      </c>
      <c r="Y63" s="372">
        <f t="shared" ca="1" si="61"/>
        <v>867.97464530181594</v>
      </c>
      <c r="Z63" s="372">
        <f t="shared" ca="1" si="61"/>
        <v>879.78286727986244</v>
      </c>
      <c r="AA63" s="372">
        <f t="shared" ca="1" si="61"/>
        <v>891.89745171586299</v>
      </c>
      <c r="AB63" s="372">
        <f t="shared" ca="1" si="61"/>
        <v>904.29165155285227</v>
      </c>
      <c r="AC63" s="372">
        <f t="shared" ca="1" si="61"/>
        <v>916.98637680628212</v>
      </c>
      <c r="AD63" s="372">
        <f t="shared" ca="1" si="61"/>
        <v>930.02501910860985</v>
      </c>
      <c r="AE63" s="372">
        <f t="shared" ca="1" si="61"/>
        <v>943.395024633552</v>
      </c>
      <c r="AF63" s="372">
        <f t="shared" ca="1" si="61"/>
        <v>957.06008979618036</v>
      </c>
      <c r="AG63" s="372">
        <f t="shared" ca="1" si="61"/>
        <v>971.03856219063675</v>
      </c>
      <c r="AH63" s="372">
        <f t="shared" ca="1" si="61"/>
        <v>985.37121832245919</v>
      </c>
      <c r="AI63" s="17"/>
    </row>
    <row r="64" spans="1:35">
      <c r="A64" s="205"/>
      <c r="B64" s="9" t="s">
        <v>60</v>
      </c>
      <c r="C64" s="22"/>
      <c r="D64" s="22"/>
      <c r="E64" s="22"/>
      <c r="F64" s="22"/>
      <c r="G64" s="22"/>
      <c r="H64" s="22"/>
      <c r="I64" s="22"/>
      <c r="J64" s="22"/>
      <c r="K64" s="22"/>
      <c r="L64" s="358">
        <f>SUM(L59:L63)</f>
        <v>135.87590144231734</v>
      </c>
      <c r="M64" s="94"/>
      <c r="N64" s="359">
        <f t="shared" ref="N64:AH64" si="62">SUM(N59:N63)</f>
        <v>1518.5506664719437</v>
      </c>
      <c r="O64" s="368">
        <f t="shared" ca="1" si="62"/>
        <v>1520.5410243890226</v>
      </c>
      <c r="P64" s="358">
        <f t="shared" ca="1" si="62"/>
        <v>1523.5616253287458</v>
      </c>
      <c r="Q64" s="358">
        <f t="shared" ca="1" si="62"/>
        <v>1526.4990005984782</v>
      </c>
      <c r="R64" s="358">
        <f t="shared" ca="1" si="62"/>
        <v>1529.4255112453498</v>
      </c>
      <c r="S64" s="358">
        <f t="shared" ca="1" si="62"/>
        <v>1530.8844008003816</v>
      </c>
      <c r="T64" s="358">
        <f t="shared" ca="1" si="62"/>
        <v>1533.2099703516569</v>
      </c>
      <c r="U64" s="358">
        <f t="shared" ca="1" si="62"/>
        <v>1535.5004187324289</v>
      </c>
      <c r="V64" s="358">
        <f t="shared" ca="1" si="62"/>
        <v>1537.78881986227</v>
      </c>
      <c r="W64" s="358">
        <f t="shared" ca="1" si="62"/>
        <v>1538.5542320566096</v>
      </c>
      <c r="X64" s="358">
        <f t="shared" ca="1" si="62"/>
        <v>1540.1828568603892</v>
      </c>
      <c r="Y64" s="358">
        <f t="shared" ca="1" si="62"/>
        <v>1541.7728757699283</v>
      </c>
      <c r="Z64" s="358">
        <f t="shared" ca="1" si="62"/>
        <v>1543.3573452811802</v>
      </c>
      <c r="AA64" s="358">
        <f t="shared" ca="1" si="62"/>
        <v>1543.4153061988377</v>
      </c>
      <c r="AB64" s="358">
        <f t="shared" ca="1" si="62"/>
        <v>1544.3329424695519</v>
      </c>
      <c r="AC64" s="358">
        <f t="shared" ca="1" si="62"/>
        <v>1545.20841790336</v>
      </c>
      <c r="AD64" s="358">
        <f t="shared" ca="1" si="62"/>
        <v>1546.074771221502</v>
      </c>
      <c r="AE64" s="358">
        <f t="shared" ca="1" si="62"/>
        <v>1546.5460885882446</v>
      </c>
      <c r="AF64" s="358">
        <f t="shared" ca="1" si="62"/>
        <v>1548.0629715662267</v>
      </c>
      <c r="AG64" s="358">
        <f t="shared" ca="1" si="62"/>
        <v>1549.7245134173872</v>
      </c>
      <c r="AH64" s="358">
        <f t="shared" ca="1" si="62"/>
        <v>1551.5646869161201</v>
      </c>
      <c r="AI64" s="42"/>
    </row>
    <row r="65" spans="1:35">
      <c r="A65" s="206"/>
      <c r="B65" s="7" t="s">
        <v>11</v>
      </c>
      <c r="L65" s="14">
        <f>+L57-L64</f>
        <v>0</v>
      </c>
      <c r="M65" s="265"/>
      <c r="N65" s="84">
        <f t="shared" ref="N65:AH65" si="63">+N57-N64</f>
        <v>0</v>
      </c>
      <c r="O65" s="86">
        <f t="shared" ca="1" si="63"/>
        <v>0</v>
      </c>
      <c r="P65" s="14">
        <f t="shared" ca="1" si="63"/>
        <v>0</v>
      </c>
      <c r="Q65" s="14">
        <f t="shared" ca="1" si="63"/>
        <v>0</v>
      </c>
      <c r="R65" s="14">
        <f t="shared" ca="1" si="63"/>
        <v>0</v>
      </c>
      <c r="S65" s="14">
        <f t="shared" ca="1" si="63"/>
        <v>0</v>
      </c>
      <c r="T65" s="14">
        <f t="shared" ca="1" si="63"/>
        <v>0</v>
      </c>
      <c r="U65" s="14">
        <f t="shared" ca="1" si="63"/>
        <v>0</v>
      </c>
      <c r="V65" s="14">
        <f t="shared" ca="1" si="63"/>
        <v>0</v>
      </c>
      <c r="W65" s="14">
        <f t="shared" ca="1" si="63"/>
        <v>0</v>
      </c>
      <c r="X65" s="14">
        <f t="shared" ca="1" si="63"/>
        <v>0</v>
      </c>
      <c r="Y65" s="14">
        <f t="shared" ca="1" si="63"/>
        <v>0</v>
      </c>
      <c r="Z65" s="14">
        <f t="shared" ca="1" si="63"/>
        <v>0</v>
      </c>
      <c r="AA65" s="14">
        <f t="shared" ca="1" si="63"/>
        <v>0</v>
      </c>
      <c r="AB65" s="14">
        <f t="shared" ca="1" si="63"/>
        <v>0</v>
      </c>
      <c r="AC65" s="14">
        <f t="shared" ca="1" si="63"/>
        <v>0</v>
      </c>
      <c r="AD65" s="14">
        <f t="shared" ca="1" si="63"/>
        <v>0</v>
      </c>
      <c r="AE65" s="14">
        <f t="shared" ca="1" si="63"/>
        <v>0</v>
      </c>
      <c r="AF65" s="14">
        <f t="shared" ca="1" si="63"/>
        <v>0</v>
      </c>
      <c r="AG65" s="14">
        <f t="shared" ca="1" si="63"/>
        <v>3.637978807091713E-11</v>
      </c>
      <c r="AH65" s="14">
        <f t="shared" ca="1" si="63"/>
        <v>-2.578872226877138E-9</v>
      </c>
      <c r="AI65" s="14"/>
    </row>
    <row r="66" spans="1:35">
      <c r="A66" s="206"/>
      <c r="B66" s="7"/>
      <c r="L66" s="14"/>
      <c r="M66" s="1"/>
      <c r="N66" s="84"/>
      <c r="O66" s="86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spans="1:35">
      <c r="A67" s="206"/>
      <c r="B67" s="16" t="s">
        <v>81</v>
      </c>
      <c r="N67" s="84"/>
    </row>
    <row r="68" spans="1:35">
      <c r="A68" s="206"/>
      <c r="B68" s="2" t="s">
        <v>122</v>
      </c>
      <c r="L68" s="348">
        <f>+N68</f>
        <v>323.51016585992795</v>
      </c>
      <c r="M68" s="348"/>
      <c r="N68" s="356">
        <f t="shared" ref="N68:AH68" si="64">SUM(K8:N8)</f>
        <v>323.51016585992795</v>
      </c>
      <c r="O68" s="325">
        <f t="shared" si="64"/>
        <v>325.81710025595731</v>
      </c>
      <c r="P68" s="326">
        <f t="shared" si="64"/>
        <v>327.5832266960864</v>
      </c>
      <c r="Q68" s="326">
        <f t="shared" si="64"/>
        <v>328.13648356189856</v>
      </c>
      <c r="R68" s="326">
        <f t="shared" si="64"/>
        <v>328.47273357778715</v>
      </c>
      <c r="S68" s="326">
        <f t="shared" si="64"/>
        <v>330.11509724567611</v>
      </c>
      <c r="T68" s="326">
        <f t="shared" si="64"/>
        <v>331.76567273190443</v>
      </c>
      <c r="U68" s="326">
        <f t="shared" si="64"/>
        <v>333.42450109556398</v>
      </c>
      <c r="V68" s="326">
        <f t="shared" si="64"/>
        <v>335.09162360104176</v>
      </c>
      <c r="W68" s="326">
        <f t="shared" si="64"/>
        <v>336.76708171904704</v>
      </c>
      <c r="X68" s="326">
        <f t="shared" si="64"/>
        <v>338.45091712764224</v>
      </c>
      <c r="Y68" s="326">
        <f t="shared" si="64"/>
        <v>340.14317171328042</v>
      </c>
      <c r="Z68" s="326">
        <f t="shared" si="64"/>
        <v>341.84388757184684</v>
      </c>
      <c r="AA68" s="326">
        <f t="shared" si="64"/>
        <v>343.55310700970608</v>
      </c>
      <c r="AB68" s="326">
        <f t="shared" si="64"/>
        <v>345.27087254475458</v>
      </c>
      <c r="AC68" s="326">
        <f t="shared" si="64"/>
        <v>346.99722690747836</v>
      </c>
      <c r="AD68" s="326">
        <f t="shared" si="64"/>
        <v>348.73221304201576</v>
      </c>
      <c r="AE68" s="326">
        <f t="shared" si="64"/>
        <v>350.47587410722582</v>
      </c>
      <c r="AF68" s="326">
        <f t="shared" si="64"/>
        <v>352.22825347776194</v>
      </c>
      <c r="AG68" s="326">
        <f t="shared" si="64"/>
        <v>353.98939474515072</v>
      </c>
      <c r="AH68" s="326">
        <f t="shared" si="64"/>
        <v>355.7593417188765</v>
      </c>
    </row>
    <row r="69" spans="1:35">
      <c r="A69" s="206"/>
      <c r="B69" s="2" t="s">
        <v>65</v>
      </c>
      <c r="L69" s="348">
        <f>+N69</f>
        <v>73.710162689735071</v>
      </c>
      <c r="M69" s="348"/>
      <c r="N69" s="356">
        <f t="shared" ref="N69:AH69" si="65">N15+M15+L15+K15</f>
        <v>73.710162689735071</v>
      </c>
      <c r="O69" s="325">
        <f t="shared" si="65"/>
        <v>74.261647799095428</v>
      </c>
      <c r="P69" s="326">
        <f t="shared" si="65"/>
        <v>74.941612043241932</v>
      </c>
      <c r="Q69" s="326">
        <f t="shared" si="65"/>
        <v>75.445582343065212</v>
      </c>
      <c r="R69" s="326">
        <f t="shared" si="65"/>
        <v>75.548728722891042</v>
      </c>
      <c r="S69" s="326">
        <f t="shared" si="65"/>
        <v>75.926472366505507</v>
      </c>
      <c r="T69" s="326">
        <f t="shared" si="65"/>
        <v>76.306104728338028</v>
      </c>
      <c r="U69" s="326">
        <f t="shared" si="65"/>
        <v>76.687635251979714</v>
      </c>
      <c r="V69" s="326">
        <f t="shared" si="65"/>
        <v>77.071073428239615</v>
      </c>
      <c r="W69" s="326">
        <f t="shared" si="65"/>
        <v>77.456428795380802</v>
      </c>
      <c r="X69" s="326">
        <f t="shared" si="65"/>
        <v>77.84371093935772</v>
      </c>
      <c r="Y69" s="326">
        <f t="shared" si="65"/>
        <v>78.232929494054503</v>
      </c>
      <c r="Z69" s="326">
        <f t="shared" si="65"/>
        <v>78.624094141524765</v>
      </c>
      <c r="AA69" s="326">
        <f t="shared" si="65"/>
        <v>79.017214612232394</v>
      </c>
      <c r="AB69" s="326">
        <f t="shared" si="65"/>
        <v>79.412300685293545</v>
      </c>
      <c r="AC69" s="326">
        <f t="shared" si="65"/>
        <v>79.809362188720016</v>
      </c>
      <c r="AD69" s="326">
        <f t="shared" si="65"/>
        <v>80.208408999663618</v>
      </c>
      <c r="AE69" s="326">
        <f t="shared" si="65"/>
        <v>80.609451044661924</v>
      </c>
      <c r="AF69" s="326">
        <f t="shared" si="65"/>
        <v>81.012498299885237</v>
      </c>
      <c r="AG69" s="326">
        <f t="shared" si="65"/>
        <v>81.417560791384659</v>
      </c>
      <c r="AH69" s="326">
        <f t="shared" si="65"/>
        <v>81.824648595341586</v>
      </c>
    </row>
    <row r="70" spans="1:35">
      <c r="A70" s="206"/>
      <c r="B70" s="2" t="s">
        <v>198</v>
      </c>
      <c r="L70" s="348">
        <f>+N70</f>
        <v>60.575944723079822</v>
      </c>
      <c r="M70" s="348"/>
      <c r="N70" s="356">
        <f t="shared" ref="N70:W71" si="66">SUM(K20:N20)</f>
        <v>60.575944723079822</v>
      </c>
      <c r="O70" s="325">
        <f t="shared" si="66"/>
        <v>60.572951178675645</v>
      </c>
      <c r="P70" s="326">
        <f t="shared" si="66"/>
        <v>60.209852388149955</v>
      </c>
      <c r="Q70" s="326">
        <f t="shared" si="66"/>
        <v>59.618030224642496</v>
      </c>
      <c r="R70" s="326">
        <f t="shared" si="66"/>
        <v>59.125092044001697</v>
      </c>
      <c r="S70" s="326">
        <f t="shared" si="66"/>
        <v>59.420717504221699</v>
      </c>
      <c r="T70" s="326">
        <f t="shared" si="66"/>
        <v>59.717821091742806</v>
      </c>
      <c r="U70" s="326">
        <f t="shared" si="66"/>
        <v>60.016410197201516</v>
      </c>
      <c r="V70" s="326">
        <f t="shared" si="66"/>
        <v>60.316492248187522</v>
      </c>
      <c r="W70" s="326">
        <f t="shared" si="66"/>
        <v>60.618074709428456</v>
      </c>
      <c r="X70" s="326">
        <f t="shared" ref="X70:AG71" si="67">SUM(U20:X20)</f>
        <v>60.921165082975598</v>
      </c>
      <c r="Y70" s="326">
        <f t="shared" si="67"/>
        <v>61.225770908390473</v>
      </c>
      <c r="Z70" s="326">
        <f t="shared" si="67"/>
        <v>61.531899762932433</v>
      </c>
      <c r="AA70" s="326">
        <f t="shared" si="67"/>
        <v>61.839559261747091</v>
      </c>
      <c r="AB70" s="326">
        <f t="shared" si="67"/>
        <v>62.148757058055828</v>
      </c>
      <c r="AC70" s="326">
        <f t="shared" si="67"/>
        <v>62.459500843346106</v>
      </c>
      <c r="AD70" s="326">
        <f t="shared" si="67"/>
        <v>62.771798347562836</v>
      </c>
      <c r="AE70" s="326">
        <f t="shared" si="67"/>
        <v>63.085657339300653</v>
      </c>
      <c r="AF70" s="326">
        <f t="shared" si="67"/>
        <v>63.401085625997148</v>
      </c>
      <c r="AG70" s="326">
        <f t="shared" si="67"/>
        <v>63.718091054127129</v>
      </c>
      <c r="AH70" s="326">
        <f t="shared" ref="AH70:AH71" si="68">SUM(AE20:AH20)</f>
        <v>64.036681509397766</v>
      </c>
    </row>
    <row r="71" spans="1:35">
      <c r="A71" s="206"/>
      <c r="B71" s="2" t="s">
        <v>196</v>
      </c>
      <c r="L71" s="348">
        <f>+N71</f>
        <v>41.198700284764257</v>
      </c>
      <c r="M71" s="348"/>
      <c r="N71" s="356">
        <f t="shared" si="66"/>
        <v>41.198700284764257</v>
      </c>
      <c r="O71" s="325">
        <f t="shared" si="66"/>
        <v>40.97075178376555</v>
      </c>
      <c r="P71" s="326">
        <f t="shared" si="66"/>
        <v>40.867497166936118</v>
      </c>
      <c r="Q71" s="326">
        <f t="shared" si="66"/>
        <v>40.215718541850848</v>
      </c>
      <c r="R71" s="326">
        <f t="shared" si="66"/>
        <v>39.416728029334458</v>
      </c>
      <c r="S71" s="326">
        <f t="shared" si="66"/>
        <v>39.61381166948113</v>
      </c>
      <c r="T71" s="326">
        <f t="shared" si="66"/>
        <v>39.811880727828537</v>
      </c>
      <c r="U71" s="326">
        <f t="shared" si="66"/>
        <v>40.010940131467677</v>
      </c>
      <c r="V71" s="326">
        <f t="shared" si="66"/>
        <v>40.21099483212501</v>
      </c>
      <c r="W71" s="326">
        <f t="shared" si="66"/>
        <v>40.412049806285637</v>
      </c>
      <c r="X71" s="326">
        <f t="shared" si="67"/>
        <v>40.61411005531707</v>
      </c>
      <c r="Y71" s="326">
        <f t="shared" si="67"/>
        <v>40.817180605593649</v>
      </c>
      <c r="Z71" s="326">
        <f t="shared" si="67"/>
        <v>41.021266508621622</v>
      </c>
      <c r="AA71" s="326">
        <f t="shared" si="67"/>
        <v>41.226372841164732</v>
      </c>
      <c r="AB71" s="326">
        <f t="shared" si="67"/>
        <v>41.432504705370548</v>
      </c>
      <c r="AC71" s="326">
        <f t="shared" si="67"/>
        <v>41.639667228897402</v>
      </c>
      <c r="AD71" s="326">
        <f t="shared" si="67"/>
        <v>41.847865565041886</v>
      </c>
      <c r="AE71" s="326">
        <f t="shared" si="67"/>
        <v>42.057104892867095</v>
      </c>
      <c r="AF71" s="326">
        <f t="shared" si="67"/>
        <v>42.267390417331434</v>
      </c>
      <c r="AG71" s="326">
        <f t="shared" si="67"/>
        <v>42.478727369418088</v>
      </c>
      <c r="AH71" s="326">
        <f t="shared" si="68"/>
        <v>42.691121006265178</v>
      </c>
    </row>
    <row r="72" spans="1:35">
      <c r="A72" s="206"/>
      <c r="B72" s="2" t="s">
        <v>68</v>
      </c>
      <c r="L72" s="348">
        <f>+L51+L53-L59-L60</f>
        <v>-7.2304308912730271</v>
      </c>
      <c r="M72" s="348"/>
      <c r="N72" s="356">
        <f t="shared" ref="N72:AH72" si="69">+N51+N53-N59-N60</f>
        <v>-7.2304308912730271</v>
      </c>
      <c r="O72" s="325">
        <f t="shared" si="69"/>
        <v>-4.7106694776999767</v>
      </c>
      <c r="P72" s="326">
        <f t="shared" si="69"/>
        <v>-2.1601276058405521</v>
      </c>
      <c r="Q72" s="326">
        <f t="shared" si="69"/>
        <v>-1.4438571476817295</v>
      </c>
      <c r="R72" s="326">
        <f t="shared" si="69"/>
        <v>-3.6331960727049619</v>
      </c>
      <c r="S72" s="326">
        <f t="shared" si="69"/>
        <v>-1.1985858866518502</v>
      </c>
      <c r="T72" s="326">
        <f t="shared" si="69"/>
        <v>1.2700055201580867</v>
      </c>
      <c r="U72" s="326">
        <f t="shared" si="69"/>
        <v>1.9527837692028758</v>
      </c>
      <c r="V72" s="326">
        <f t="shared" si="69"/>
        <v>-0.26142390060984688</v>
      </c>
      <c r="W72" s="326">
        <f t="shared" si="69"/>
        <v>2.0960159008530095</v>
      </c>
      <c r="X72" s="326">
        <f t="shared" si="69"/>
        <v>4.4870510711497182</v>
      </c>
      <c r="Y72" s="326">
        <f t="shared" si="69"/>
        <v>5.0918853024986959</v>
      </c>
      <c r="Z72" s="326">
        <f t="shared" si="69"/>
        <v>2.7993438949016927</v>
      </c>
      <c r="AA72" s="326">
        <f t="shared" si="69"/>
        <v>5.0780582898913167</v>
      </c>
      <c r="AB72" s="326">
        <f t="shared" si="69"/>
        <v>7.3899744266824339</v>
      </c>
      <c r="AC72" s="326">
        <f t="shared" si="69"/>
        <v>7.9152940293583072</v>
      </c>
      <c r="AD72" s="326">
        <f t="shared" si="69"/>
        <v>5.5428404199448345</v>
      </c>
      <c r="AE72" s="326">
        <f t="shared" si="69"/>
        <v>7.7412430521089117</v>
      </c>
      <c r="AF72" s="326">
        <f t="shared" si="69"/>
        <v>9.9724458672603706</v>
      </c>
      <c r="AG72" s="326">
        <f t="shared" si="69"/>
        <v>10.416648581688374</v>
      </c>
      <c r="AH72" s="326">
        <f t="shared" si="69"/>
        <v>7.9626724995858034</v>
      </c>
    </row>
    <row r="73" spans="1:35">
      <c r="A73" s="206"/>
      <c r="N73" s="72"/>
      <c r="O73" s="7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</row>
    <row r="74" spans="1:35">
      <c r="A74" s="206"/>
      <c r="B74" s="16" t="s">
        <v>197</v>
      </c>
      <c r="N74" s="72"/>
      <c r="O74" s="7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</row>
    <row r="75" spans="1:35" s="206" customFormat="1">
      <c r="B75" s="215" t="s">
        <v>224</v>
      </c>
      <c r="C75" s="215"/>
      <c r="D75" s="215"/>
      <c r="E75" s="215"/>
      <c r="F75" s="215"/>
      <c r="G75" s="215"/>
      <c r="H75" s="215"/>
      <c r="I75" s="215"/>
      <c r="J75" s="215"/>
      <c r="K75" s="215"/>
      <c r="L75" s="215"/>
      <c r="M75" s="215"/>
      <c r="N75" s="246">
        <f t="shared" ref="N75:AH75" si="70">N51/N8*90</f>
        <v>13.448190759556402</v>
      </c>
      <c r="O75" s="247">
        <f t="shared" si="70"/>
        <v>12.68197738213413</v>
      </c>
      <c r="P75" s="248">
        <f t="shared" si="70"/>
        <v>12.851627496490551</v>
      </c>
      <c r="Q75" s="248">
        <f t="shared" si="70"/>
        <v>13.170292788599854</v>
      </c>
      <c r="R75" s="248">
        <f t="shared" si="70"/>
        <v>13.672656136129135</v>
      </c>
      <c r="S75" s="248">
        <f t="shared" si="70"/>
        <v>12.710599113309994</v>
      </c>
      <c r="T75" s="248">
        <f t="shared" si="70"/>
        <v>12.876898217464207</v>
      </c>
      <c r="U75" s="248">
        <f t="shared" si="70"/>
        <v>13.189269080306582</v>
      </c>
      <c r="V75" s="248">
        <f t="shared" si="70"/>
        <v>13.681709506715741</v>
      </c>
      <c r="W75" s="248">
        <f t="shared" si="70"/>
        <v>12.73865549436195</v>
      </c>
      <c r="X75" s="248">
        <f t="shared" si="70"/>
        <v>12.901669779070266</v>
      </c>
      <c r="Y75" s="248">
        <f t="shared" si="70"/>
        <v>13.207870543223194</v>
      </c>
      <c r="Z75" s="248">
        <f t="shared" si="70"/>
        <v>13.690584050796296</v>
      </c>
      <c r="AA75" s="248">
        <f t="shared" si="70"/>
        <v>12.766157692356012</v>
      </c>
      <c r="AB75" s="248">
        <f t="shared" si="70"/>
        <v>12.925952040943253</v>
      </c>
      <c r="AC75" s="248">
        <f t="shared" si="70"/>
        <v>13.226104581147196</v>
      </c>
      <c r="AD75" s="248">
        <f t="shared" si="70"/>
        <v>13.699283300637491</v>
      </c>
      <c r="AE75" s="248">
        <f t="shared" si="70"/>
        <v>12.793116653781039</v>
      </c>
      <c r="AF75" s="248">
        <f t="shared" si="70"/>
        <v>12.949754667965552</v>
      </c>
      <c r="AG75" s="248">
        <f t="shared" si="70"/>
        <v>13.243978451632824</v>
      </c>
      <c r="AH75" s="248">
        <f t="shared" si="70"/>
        <v>13.707810718734963</v>
      </c>
    </row>
    <row r="76" spans="1:35">
      <c r="A76" s="206"/>
      <c r="B76" s="2" t="s">
        <v>202</v>
      </c>
      <c r="N76" s="246">
        <f>N59/N15*90</f>
        <v>69.768212559222164</v>
      </c>
      <c r="O76" s="249">
        <v>70</v>
      </c>
      <c r="P76" s="282">
        <f t="shared" ref="P76:AH76" si="71">O76</f>
        <v>70</v>
      </c>
      <c r="Q76" s="282">
        <f t="shared" si="71"/>
        <v>70</v>
      </c>
      <c r="R76" s="282">
        <f t="shared" si="71"/>
        <v>70</v>
      </c>
      <c r="S76" s="282">
        <f t="shared" si="71"/>
        <v>70</v>
      </c>
      <c r="T76" s="282">
        <f t="shared" si="71"/>
        <v>70</v>
      </c>
      <c r="U76" s="282">
        <f t="shared" si="71"/>
        <v>70</v>
      </c>
      <c r="V76" s="282">
        <f t="shared" si="71"/>
        <v>70</v>
      </c>
      <c r="W76" s="282">
        <f t="shared" si="71"/>
        <v>70</v>
      </c>
      <c r="X76" s="282">
        <f t="shared" si="71"/>
        <v>70</v>
      </c>
      <c r="Y76" s="282">
        <f t="shared" si="71"/>
        <v>70</v>
      </c>
      <c r="Z76" s="282">
        <f t="shared" si="71"/>
        <v>70</v>
      </c>
      <c r="AA76" s="282">
        <f t="shared" si="71"/>
        <v>70</v>
      </c>
      <c r="AB76" s="282">
        <f t="shared" si="71"/>
        <v>70</v>
      </c>
      <c r="AC76" s="282">
        <f t="shared" si="71"/>
        <v>70</v>
      </c>
      <c r="AD76" s="282">
        <f t="shared" si="71"/>
        <v>70</v>
      </c>
      <c r="AE76" s="282">
        <f t="shared" si="71"/>
        <v>70</v>
      </c>
      <c r="AF76" s="282">
        <f t="shared" si="71"/>
        <v>70</v>
      </c>
      <c r="AG76" s="282">
        <f t="shared" si="71"/>
        <v>70</v>
      </c>
      <c r="AH76" s="282">
        <f t="shared" si="71"/>
        <v>70</v>
      </c>
    </row>
    <row r="77" spans="1:35">
      <c r="A77" s="206"/>
      <c r="B77" s="2" t="s">
        <v>200</v>
      </c>
      <c r="N77" s="250">
        <f>N53/N68</f>
        <v>4.0561800111103101E-2</v>
      </c>
      <c r="O77" s="251">
        <v>0.04</v>
      </c>
      <c r="P77" s="252">
        <f t="shared" ref="P77:AH77" si="72">O77</f>
        <v>0.04</v>
      </c>
      <c r="Q77" s="252">
        <f t="shared" si="72"/>
        <v>0.04</v>
      </c>
      <c r="R77" s="252">
        <f t="shared" si="72"/>
        <v>0.04</v>
      </c>
      <c r="S77" s="252">
        <f t="shared" si="72"/>
        <v>0.04</v>
      </c>
      <c r="T77" s="252">
        <f t="shared" si="72"/>
        <v>0.04</v>
      </c>
      <c r="U77" s="252">
        <f t="shared" si="72"/>
        <v>0.04</v>
      </c>
      <c r="V77" s="252">
        <f t="shared" si="72"/>
        <v>0.04</v>
      </c>
      <c r="W77" s="252">
        <f t="shared" si="72"/>
        <v>0.04</v>
      </c>
      <c r="X77" s="252">
        <f t="shared" si="72"/>
        <v>0.04</v>
      </c>
      <c r="Y77" s="252">
        <f t="shared" si="72"/>
        <v>0.04</v>
      </c>
      <c r="Z77" s="252">
        <f t="shared" si="72"/>
        <v>0.04</v>
      </c>
      <c r="AA77" s="252">
        <f t="shared" si="72"/>
        <v>0.04</v>
      </c>
      <c r="AB77" s="252">
        <f t="shared" si="72"/>
        <v>0.04</v>
      </c>
      <c r="AC77" s="252">
        <f t="shared" si="72"/>
        <v>0.04</v>
      </c>
      <c r="AD77" s="252">
        <f t="shared" si="72"/>
        <v>0.04</v>
      </c>
      <c r="AE77" s="252">
        <f t="shared" si="72"/>
        <v>0.04</v>
      </c>
      <c r="AF77" s="252">
        <f t="shared" si="72"/>
        <v>0.04</v>
      </c>
      <c r="AG77" s="252">
        <f t="shared" si="72"/>
        <v>0.04</v>
      </c>
      <c r="AH77" s="252">
        <f t="shared" si="72"/>
        <v>0.04</v>
      </c>
    </row>
    <row r="78" spans="1:35">
      <c r="A78" s="206"/>
      <c r="B78" s="2" t="s">
        <v>199</v>
      </c>
      <c r="N78" s="250">
        <f t="shared" ref="N78:AH78" si="73">+N54/N70</f>
        <v>0.23475325172406161</v>
      </c>
      <c r="O78" s="253">
        <f t="shared" si="73"/>
        <v>0.26368836336214346</v>
      </c>
      <c r="P78" s="254">
        <f t="shared" si="73"/>
        <v>0.29185457986407704</v>
      </c>
      <c r="Q78" s="254">
        <f t="shared" si="73"/>
        <v>0.31903196309733095</v>
      </c>
      <c r="R78" s="254">
        <f t="shared" si="73"/>
        <v>0.34358047966840211</v>
      </c>
      <c r="S78" s="254">
        <f t="shared" si="73"/>
        <v>0.36105698557168781</v>
      </c>
      <c r="T78" s="254">
        <f t="shared" si="73"/>
        <v>0.37575717128126623</v>
      </c>
      <c r="U78" s="254">
        <f t="shared" si="73"/>
        <v>0.38770822929761933</v>
      </c>
      <c r="V78" s="254">
        <f t="shared" si="73"/>
        <v>0.39693715026818077</v>
      </c>
      <c r="W78" s="254">
        <f t="shared" si="73"/>
        <v>0.40347072432275888</v>
      </c>
      <c r="X78" s="254">
        <f t="shared" si="73"/>
        <v>0.40733554240066844</v>
      </c>
      <c r="Y78" s="254">
        <f t="shared" si="73"/>
        <v>0.40855799756961997</v>
      </c>
      <c r="Z78" s="254">
        <f t="shared" si="73"/>
        <v>0.4071642863364156</v>
      </c>
      <c r="AA78" s="254">
        <f t="shared" si="73"/>
        <v>0.40318040994950233</v>
      </c>
      <c r="AB78" s="254">
        <f t="shared" si="73"/>
        <v>0.39663217569342807</v>
      </c>
      <c r="AC78" s="254">
        <f t="shared" si="73"/>
        <v>0.38754519817525174</v>
      </c>
      <c r="AD78" s="254">
        <f t="shared" si="73"/>
        <v>0.37594490060295399</v>
      </c>
      <c r="AE78" s="254">
        <f t="shared" si="73"/>
        <v>0.37594490060295399</v>
      </c>
      <c r="AF78" s="254">
        <f t="shared" si="73"/>
        <v>0.37594490060295399</v>
      </c>
      <c r="AG78" s="254">
        <f t="shared" si="73"/>
        <v>0.37594490060295405</v>
      </c>
      <c r="AH78" s="254">
        <f t="shared" si="73"/>
        <v>0.37594490060295405</v>
      </c>
    </row>
    <row r="79" spans="1:35">
      <c r="B79" s="2" t="s">
        <v>201</v>
      </c>
      <c r="N79" s="250">
        <f t="shared" ref="N79:AH79" si="74">N55/N71</f>
        <v>0.14347339394183858</v>
      </c>
      <c r="O79" s="253">
        <f t="shared" si="74"/>
        <v>0.15258358290912563</v>
      </c>
      <c r="P79" s="254">
        <f t="shared" si="74"/>
        <v>0.16077553118588675</v>
      </c>
      <c r="Q79" s="254">
        <f t="shared" si="74"/>
        <v>0.17077646276798558</v>
      </c>
      <c r="R79" s="254">
        <f t="shared" si="74"/>
        <v>0.1812319317063287</v>
      </c>
      <c r="S79" s="254">
        <f t="shared" si="74"/>
        <v>0.18673789253492734</v>
      </c>
      <c r="T79" s="254">
        <f t="shared" si="74"/>
        <v>0.19163321714246886</v>
      </c>
      <c r="U79" s="254">
        <f t="shared" si="74"/>
        <v>0.19592384522846665</v>
      </c>
      <c r="V79" s="254">
        <f t="shared" si="74"/>
        <v>0.19961567250533005</v>
      </c>
      <c r="W79" s="254">
        <f t="shared" si="74"/>
        <v>0.2027145509890286</v>
      </c>
      <c r="X79" s="254">
        <f t="shared" si="74"/>
        <v>0.20522628928795256</v>
      </c>
      <c r="Y79" s="254">
        <f t="shared" si="74"/>
        <v>0.20715665288998095</v>
      </c>
      <c r="Z79" s="254">
        <f t="shared" si="74"/>
        <v>0.20851136444776713</v>
      </c>
      <c r="AA79" s="254">
        <f t="shared" si="74"/>
        <v>0.20929610406225377</v>
      </c>
      <c r="AB79" s="254">
        <f t="shared" si="74"/>
        <v>0.20951650956442652</v>
      </c>
      <c r="AC79" s="254">
        <f t="shared" si="74"/>
        <v>0.20917817679531736</v>
      </c>
      <c r="AD79" s="254">
        <f t="shared" si="74"/>
        <v>0.20828665988426848</v>
      </c>
      <c r="AE79" s="254">
        <f t="shared" si="74"/>
        <v>0.21270351472643551</v>
      </c>
      <c r="AF79" s="254">
        <f t="shared" si="74"/>
        <v>0.21709839516640272</v>
      </c>
      <c r="AG79" s="254">
        <f t="shared" si="74"/>
        <v>0.22147141052955419</v>
      </c>
      <c r="AH79" s="254">
        <f t="shared" si="74"/>
        <v>0.22582266959736658</v>
      </c>
    </row>
    <row r="80" spans="1:35" s="206" customFormat="1">
      <c r="B80" s="215" t="s">
        <v>203</v>
      </c>
      <c r="C80" s="215"/>
      <c r="D80" s="215"/>
      <c r="E80" s="215"/>
      <c r="F80" s="215"/>
      <c r="G80" s="215"/>
      <c r="H80" s="215"/>
      <c r="I80" s="215"/>
      <c r="J80" s="215"/>
      <c r="K80" s="215"/>
      <c r="L80" s="215"/>
      <c r="M80" s="215"/>
      <c r="N80" s="250">
        <f t="shared" ref="N80:AH80" si="75">N60/N5</f>
        <v>5.3249054948038943E-2</v>
      </c>
      <c r="O80" s="253">
        <f t="shared" si="75"/>
        <v>4.3132525566864956E-2</v>
      </c>
      <c r="P80" s="254">
        <f t="shared" si="75"/>
        <v>3.6058990824531525E-2</v>
      </c>
      <c r="Q80" s="254">
        <f t="shared" si="75"/>
        <v>3.4662586271208828E-2</v>
      </c>
      <c r="R80" s="254">
        <f t="shared" si="75"/>
        <v>4.2180926219267577E-2</v>
      </c>
      <c r="S80" s="254">
        <f t="shared" si="75"/>
        <v>3.2535633747619537E-2</v>
      </c>
      <c r="T80" s="254">
        <f t="shared" si="75"/>
        <v>2.5871878928834895E-2</v>
      </c>
      <c r="U80" s="254">
        <f t="shared" si="75"/>
        <v>2.4771773325705949E-2</v>
      </c>
      <c r="V80" s="254">
        <f t="shared" si="75"/>
        <v>3.2408987028648702E-2</v>
      </c>
      <c r="W80" s="254">
        <f t="shared" si="75"/>
        <v>2.3220262342007802E-2</v>
      </c>
      <c r="X80" s="254">
        <f t="shared" si="75"/>
        <v>1.6952858921814685E-2</v>
      </c>
      <c r="Y80" s="254">
        <f t="shared" si="75"/>
        <v>1.6137891813469831E-2</v>
      </c>
      <c r="Z80" s="254">
        <f t="shared" si="75"/>
        <v>2.3886349810255825E-2</v>
      </c>
      <c r="AA80" s="254">
        <f t="shared" si="75"/>
        <v>1.5139919429250319E-2</v>
      </c>
      <c r="AB80" s="254">
        <f t="shared" si="75"/>
        <v>9.2558094960887016E-3</v>
      </c>
      <c r="AC80" s="254">
        <f t="shared" si="75"/>
        <v>8.7151457163082233E-3</v>
      </c>
      <c r="AD80" s="254">
        <f t="shared" si="75"/>
        <v>1.6567473567592396E-2</v>
      </c>
      <c r="AE80" s="254">
        <f t="shared" si="75"/>
        <v>8.2494497513643673E-3</v>
      </c>
      <c r="AF80" s="254">
        <f t="shared" si="75"/>
        <v>2.7359366052836049E-3</v>
      </c>
      <c r="AG80" s="254">
        <f t="shared" si="75"/>
        <v>2.4590577808701682E-3</v>
      </c>
      <c r="AH80" s="254">
        <f t="shared" si="75"/>
        <v>1.04081289710955E-2</v>
      </c>
    </row>
    <row r="81" spans="1:35">
      <c r="B81" s="7"/>
      <c r="N81" s="84"/>
      <c r="O81" s="86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5">
      <c r="A82" s="206"/>
      <c r="B82" s="16" t="s">
        <v>57</v>
      </c>
      <c r="N82" s="72"/>
      <c r="O82" s="7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</row>
    <row r="83" spans="1:35">
      <c r="B83" s="2" t="s">
        <v>194</v>
      </c>
      <c r="N83" s="356"/>
      <c r="O83" s="325">
        <f t="shared" ref="O83:AH83" si="76">+N86</f>
        <v>35.699125050049275</v>
      </c>
      <c r="P83" s="326">
        <f t="shared" si="76"/>
        <v>36.51366780068917</v>
      </c>
      <c r="Q83" s="326">
        <f t="shared" si="76"/>
        <v>37.332625867429385</v>
      </c>
      <c r="R83" s="326">
        <f t="shared" si="76"/>
        <v>38.152967076334136</v>
      </c>
      <c r="S83" s="326">
        <f t="shared" si="76"/>
        <v>38.974148910278601</v>
      </c>
      <c r="T83" s="326">
        <f t="shared" si="76"/>
        <v>39.799436653392789</v>
      </c>
      <c r="U83" s="326">
        <f t="shared" si="76"/>
        <v>40.628850835222551</v>
      </c>
      <c r="V83" s="326">
        <f t="shared" si="76"/>
        <v>41.462412087961454</v>
      </c>
      <c r="W83" s="326">
        <f t="shared" si="76"/>
        <v>42.300141146964059</v>
      </c>
      <c r="X83" s="326">
        <f t="shared" si="76"/>
        <v>43.14205885126168</v>
      </c>
      <c r="Y83" s="326">
        <f t="shared" si="76"/>
        <v>43.988186144080785</v>
      </c>
      <c r="Z83" s="326">
        <f t="shared" si="76"/>
        <v>44.838544073363991</v>
      </c>
      <c r="AA83" s="326">
        <f t="shared" si="76"/>
        <v>45.693153792293607</v>
      </c>
      <c r="AB83" s="326">
        <f t="shared" si="76"/>
        <v>46.552036559817871</v>
      </c>
      <c r="AC83" s="326">
        <f t="shared" si="76"/>
        <v>47.415213741179755</v>
      </c>
      <c r="AD83" s="326">
        <f t="shared" si="76"/>
        <v>48.282706808448445</v>
      </c>
      <c r="AE83" s="326">
        <f t="shared" si="76"/>
        <v>49.154537341053484</v>
      </c>
      <c r="AF83" s="326">
        <f t="shared" si="76"/>
        <v>50.030727026321543</v>
      </c>
      <c r="AG83" s="326">
        <f t="shared" si="76"/>
        <v>50.911297660015947</v>
      </c>
      <c r="AH83" s="326">
        <f t="shared" si="76"/>
        <v>51.796271146878823</v>
      </c>
    </row>
    <row r="84" spans="1:35">
      <c r="B84" s="2" t="s">
        <v>67</v>
      </c>
      <c r="N84" s="356"/>
      <c r="O84" s="325">
        <f t="shared" ref="O84:AH84" si="77">O90*O68</f>
        <v>8.959970257038826</v>
      </c>
      <c r="P84" s="326">
        <f t="shared" si="77"/>
        <v>9.0085387341423768</v>
      </c>
      <c r="Q84" s="326">
        <f t="shared" si="77"/>
        <v>9.0237532979522097</v>
      </c>
      <c r="R84" s="326">
        <f t="shared" si="77"/>
        <v>9.0330001733891461</v>
      </c>
      <c r="S84" s="326">
        <f t="shared" si="77"/>
        <v>9.0781651742560925</v>
      </c>
      <c r="T84" s="326">
        <f t="shared" si="77"/>
        <v>9.1235560001273726</v>
      </c>
      <c r="U84" s="326">
        <f t="shared" si="77"/>
        <v>9.1691737801280091</v>
      </c>
      <c r="V84" s="326">
        <f t="shared" si="77"/>
        <v>9.2150196490286493</v>
      </c>
      <c r="W84" s="326">
        <f t="shared" si="77"/>
        <v>9.261094747273793</v>
      </c>
      <c r="X84" s="326">
        <f t="shared" si="77"/>
        <v>9.3074002210101625</v>
      </c>
      <c r="Y84" s="326">
        <f t="shared" si="77"/>
        <v>9.3539372221152117</v>
      </c>
      <c r="Z84" s="326">
        <f t="shared" si="77"/>
        <v>9.4007069082257875</v>
      </c>
      <c r="AA84" s="326">
        <f t="shared" si="77"/>
        <v>9.4477104427669172</v>
      </c>
      <c r="AB84" s="326">
        <f t="shared" si="77"/>
        <v>9.4949489949807511</v>
      </c>
      <c r="AC84" s="326">
        <f t="shared" si="77"/>
        <v>9.5424237399556553</v>
      </c>
      <c r="AD84" s="326">
        <f t="shared" si="77"/>
        <v>9.5901358586554331</v>
      </c>
      <c r="AE84" s="326">
        <f t="shared" si="77"/>
        <v>9.6380865379487108</v>
      </c>
      <c r="AF84" s="326">
        <f t="shared" si="77"/>
        <v>9.6862769706384526</v>
      </c>
      <c r="AG84" s="326">
        <f t="shared" si="77"/>
        <v>9.7347083554916445</v>
      </c>
      <c r="AH84" s="326">
        <f t="shared" si="77"/>
        <v>9.7833818972691038</v>
      </c>
    </row>
    <row r="85" spans="1:35">
      <c r="B85" s="2" t="s">
        <v>62</v>
      </c>
      <c r="N85" s="356"/>
      <c r="O85" s="373">
        <f t="shared" ref="O85:AH85" si="78">-O89*O68</f>
        <v>-8.1454275063989332</v>
      </c>
      <c r="P85" s="374">
        <f t="shared" si="78"/>
        <v>-8.1895806674021596</v>
      </c>
      <c r="Q85" s="374">
        <f t="shared" si="78"/>
        <v>-8.2034120890474647</v>
      </c>
      <c r="R85" s="374">
        <f t="shared" si="78"/>
        <v>-8.2118183394446795</v>
      </c>
      <c r="S85" s="374">
        <f t="shared" si="78"/>
        <v>-8.2528774311419024</v>
      </c>
      <c r="T85" s="374">
        <f t="shared" si="78"/>
        <v>-8.2941418182976108</v>
      </c>
      <c r="U85" s="374">
        <f t="shared" si="78"/>
        <v>-8.3356125273891006</v>
      </c>
      <c r="V85" s="374">
        <f t="shared" si="78"/>
        <v>-8.3772905900260444</v>
      </c>
      <c r="W85" s="374">
        <f t="shared" si="78"/>
        <v>-8.4191770429761768</v>
      </c>
      <c r="X85" s="374">
        <f t="shared" si="78"/>
        <v>-8.4612729281910557</v>
      </c>
      <c r="Y85" s="374">
        <f t="shared" si="78"/>
        <v>-8.5035792928320113</v>
      </c>
      <c r="Z85" s="374">
        <f t="shared" si="78"/>
        <v>-8.5460971892961712</v>
      </c>
      <c r="AA85" s="374">
        <f t="shared" si="78"/>
        <v>-8.5888276752426531</v>
      </c>
      <c r="AB85" s="374">
        <f t="shared" si="78"/>
        <v>-8.6317718136188653</v>
      </c>
      <c r="AC85" s="374">
        <f t="shared" si="78"/>
        <v>-8.6749306726869602</v>
      </c>
      <c r="AD85" s="374">
        <f t="shared" si="78"/>
        <v>-8.7183053260503947</v>
      </c>
      <c r="AE85" s="374">
        <f t="shared" si="78"/>
        <v>-8.7618968526806462</v>
      </c>
      <c r="AF85" s="374">
        <f t="shared" si="78"/>
        <v>-8.8057063369440485</v>
      </c>
      <c r="AG85" s="374">
        <f t="shared" si="78"/>
        <v>-8.8497348686287687</v>
      </c>
      <c r="AH85" s="374">
        <f t="shared" si="78"/>
        <v>-8.8939835429719132</v>
      </c>
    </row>
    <row r="86" spans="1:35">
      <c r="B86" s="9" t="s">
        <v>195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359">
        <f>+N52</f>
        <v>35.699125050049275</v>
      </c>
      <c r="O86" s="368">
        <f t="shared" ref="O86:AH86" si="79">SUM(O83:O85)</f>
        <v>36.51366780068917</v>
      </c>
      <c r="P86" s="358">
        <f t="shared" si="79"/>
        <v>37.332625867429385</v>
      </c>
      <c r="Q86" s="358">
        <f t="shared" si="79"/>
        <v>38.152967076334136</v>
      </c>
      <c r="R86" s="358">
        <f t="shared" si="79"/>
        <v>38.974148910278601</v>
      </c>
      <c r="S86" s="358">
        <f t="shared" si="79"/>
        <v>39.799436653392789</v>
      </c>
      <c r="T86" s="358">
        <f t="shared" si="79"/>
        <v>40.628850835222551</v>
      </c>
      <c r="U86" s="358">
        <f t="shared" si="79"/>
        <v>41.462412087961454</v>
      </c>
      <c r="V86" s="358">
        <f t="shared" si="79"/>
        <v>42.300141146964059</v>
      </c>
      <c r="W86" s="358">
        <f t="shared" si="79"/>
        <v>43.14205885126168</v>
      </c>
      <c r="X86" s="358">
        <f t="shared" si="79"/>
        <v>43.988186144080785</v>
      </c>
      <c r="Y86" s="358">
        <f t="shared" si="79"/>
        <v>44.838544073363991</v>
      </c>
      <c r="Z86" s="358">
        <f t="shared" si="79"/>
        <v>45.693153792293607</v>
      </c>
      <c r="AA86" s="358">
        <f t="shared" si="79"/>
        <v>46.552036559817871</v>
      </c>
      <c r="AB86" s="358">
        <f t="shared" si="79"/>
        <v>47.415213741179755</v>
      </c>
      <c r="AC86" s="358">
        <f t="shared" si="79"/>
        <v>48.282706808448445</v>
      </c>
      <c r="AD86" s="358">
        <f t="shared" si="79"/>
        <v>49.154537341053484</v>
      </c>
      <c r="AE86" s="358">
        <f t="shared" si="79"/>
        <v>50.030727026321543</v>
      </c>
      <c r="AF86" s="358">
        <f t="shared" si="79"/>
        <v>50.911297660015947</v>
      </c>
      <c r="AG86" s="358">
        <f t="shared" si="79"/>
        <v>51.796271146878823</v>
      </c>
      <c r="AH86" s="358">
        <f t="shared" si="79"/>
        <v>52.685669501176008</v>
      </c>
    </row>
    <row r="87" spans="1:35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88"/>
      <c r="O87" s="89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</row>
    <row r="88" spans="1:35">
      <c r="B88" s="16" t="s">
        <v>205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88"/>
      <c r="O88" s="89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</row>
    <row r="89" spans="1:35">
      <c r="B89" s="2" t="s">
        <v>64</v>
      </c>
      <c r="N89" s="171"/>
      <c r="O89" s="255">
        <v>2.5000000000000001E-2</v>
      </c>
      <c r="P89" s="256">
        <v>2.5000000000000001E-2</v>
      </c>
      <c r="Q89" s="256">
        <v>2.5000000000000001E-2</v>
      </c>
      <c r="R89" s="256">
        <v>2.5000000000000001E-2</v>
      </c>
      <c r="S89" s="256">
        <v>2.5000000000000001E-2</v>
      </c>
      <c r="T89" s="256">
        <v>2.5000000000000001E-2</v>
      </c>
      <c r="U89" s="256">
        <v>2.5000000000000001E-2</v>
      </c>
      <c r="V89" s="256">
        <v>2.5000000000000001E-2</v>
      </c>
      <c r="W89" s="256">
        <v>2.5000000000000001E-2</v>
      </c>
      <c r="X89" s="256">
        <v>2.5000000000000001E-2</v>
      </c>
      <c r="Y89" s="256">
        <v>2.5000000000000001E-2</v>
      </c>
      <c r="Z89" s="256">
        <v>2.5000000000000001E-2</v>
      </c>
      <c r="AA89" s="256">
        <v>2.5000000000000001E-2</v>
      </c>
      <c r="AB89" s="256">
        <v>2.5000000000000001E-2</v>
      </c>
      <c r="AC89" s="256">
        <v>2.5000000000000001E-2</v>
      </c>
      <c r="AD89" s="256">
        <v>2.5000000000000001E-2</v>
      </c>
      <c r="AE89" s="256">
        <v>2.5000000000000001E-2</v>
      </c>
      <c r="AF89" s="256">
        <v>2.5000000000000001E-2</v>
      </c>
      <c r="AG89" s="256">
        <v>2.5000000000000001E-2</v>
      </c>
      <c r="AH89" s="256">
        <v>2.5000000000000001E-2</v>
      </c>
      <c r="AI89" s="170"/>
    </row>
    <row r="90" spans="1:35">
      <c r="B90" s="2" t="s">
        <v>63</v>
      </c>
      <c r="N90" s="171"/>
      <c r="O90" s="255">
        <v>2.75E-2</v>
      </c>
      <c r="P90" s="256">
        <v>2.75E-2</v>
      </c>
      <c r="Q90" s="256">
        <v>2.75E-2</v>
      </c>
      <c r="R90" s="256">
        <v>2.75E-2</v>
      </c>
      <c r="S90" s="256">
        <v>2.75E-2</v>
      </c>
      <c r="T90" s="256">
        <v>2.75E-2</v>
      </c>
      <c r="U90" s="256">
        <v>2.75E-2</v>
      </c>
      <c r="V90" s="256">
        <v>2.75E-2</v>
      </c>
      <c r="W90" s="256">
        <v>2.75E-2</v>
      </c>
      <c r="X90" s="256">
        <v>2.75E-2</v>
      </c>
      <c r="Y90" s="256">
        <v>2.75E-2</v>
      </c>
      <c r="Z90" s="256">
        <v>2.75E-2</v>
      </c>
      <c r="AA90" s="256">
        <v>2.75E-2</v>
      </c>
      <c r="AB90" s="256">
        <v>2.75E-2</v>
      </c>
      <c r="AC90" s="256">
        <v>2.75E-2</v>
      </c>
      <c r="AD90" s="256">
        <v>2.75E-2</v>
      </c>
      <c r="AE90" s="256">
        <v>2.75E-2</v>
      </c>
      <c r="AF90" s="256">
        <v>2.75E-2</v>
      </c>
      <c r="AG90" s="256">
        <v>2.75E-2</v>
      </c>
      <c r="AH90" s="256">
        <v>2.75E-2</v>
      </c>
      <c r="AI90" s="170"/>
    </row>
    <row r="91" spans="1:35">
      <c r="N91" s="277"/>
      <c r="O91" s="211"/>
      <c r="P91" s="212"/>
      <c r="Q91" s="212"/>
      <c r="R91" s="212"/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170"/>
    </row>
    <row r="92" spans="1:35">
      <c r="B92" s="54" t="s">
        <v>36</v>
      </c>
      <c r="C92" s="1"/>
      <c r="D92" s="17"/>
      <c r="E92" s="17"/>
      <c r="N92" s="84"/>
      <c r="O92" s="86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5">
      <c r="B93" s="24" t="s">
        <v>41</v>
      </c>
      <c r="C93" s="1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489"/>
      <c r="O93" s="366">
        <f t="shared" ref="O93:AH93" si="80">+N96</f>
        <v>12.312162718084101</v>
      </c>
      <c r="P93" s="348">
        <f t="shared" si="80"/>
        <v>11.48491944968535</v>
      </c>
      <c r="Q93" s="348">
        <f t="shared" si="80"/>
        <v>11.696748989357189</v>
      </c>
      <c r="R93" s="348">
        <f t="shared" si="80"/>
        <v>12.046712134412076</v>
      </c>
      <c r="S93" s="348">
        <f t="shared" si="80"/>
        <v>12.568749078301423</v>
      </c>
      <c r="T93" s="348">
        <f t="shared" si="80"/>
        <v>11.742788741703777</v>
      </c>
      <c r="U93" s="348">
        <f t="shared" si="80"/>
        <v>11.9559076278357</v>
      </c>
      <c r="V93" s="348">
        <f t="shared" si="80"/>
        <v>12.307166566082984</v>
      </c>
      <c r="W93" s="348">
        <f t="shared" si="80"/>
        <v>12.8305057821307</v>
      </c>
      <c r="X93" s="348">
        <f t="shared" si="80"/>
        <v>12.005854229052204</v>
      </c>
      <c r="Y93" s="348">
        <f t="shared" si="80"/>
        <v>12.22028844262087</v>
      </c>
      <c r="Z93" s="348">
        <f t="shared" si="80"/>
        <v>12.572869284942072</v>
      </c>
      <c r="AA93" s="348">
        <f t="shared" si="80"/>
        <v>13.097537014584077</v>
      </c>
      <c r="AB93" s="348">
        <f t="shared" si="80"/>
        <v>12.274220617667837</v>
      </c>
      <c r="AC93" s="348">
        <f t="shared" si="80"/>
        <v>12.489996663179582</v>
      </c>
      <c r="AD93" s="348">
        <f t="shared" si="80"/>
        <v>12.843926046603571</v>
      </c>
      <c r="AE93" s="348">
        <f t="shared" si="80"/>
        <v>13.369949060053898</v>
      </c>
      <c r="AF93" s="348">
        <f t="shared" si="80"/>
        <v>12.547994723365008</v>
      </c>
      <c r="AG93" s="348">
        <f t="shared" si="80"/>
        <v>12.765139639405234</v>
      </c>
      <c r="AH93" s="348">
        <f t="shared" si="80"/>
        <v>13.120444737710358</v>
      </c>
    </row>
    <row r="94" spans="1:35">
      <c r="B94" s="24" t="s">
        <v>37</v>
      </c>
      <c r="C94" s="1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489"/>
      <c r="O94" s="367">
        <f>+'Billing Waterfall'!I69</f>
        <v>78.159215311912007</v>
      </c>
      <c r="P94" s="357">
        <f>+'Billing Waterfall'!J69</f>
        <v>79.571412243057594</v>
      </c>
      <c r="Q94" s="357">
        <f>+'Billing Waterfall'!K69</f>
        <v>81.904499876756773</v>
      </c>
      <c r="R94" s="357">
        <f>+'Billing Waterfall'!L69</f>
        <v>85.384746169352482</v>
      </c>
      <c r="S94" s="357">
        <f>+'Billing Waterfall'!M69</f>
        <v>79.878343925368171</v>
      </c>
      <c r="T94" s="357">
        <f>+'Billing Waterfall'!N69</f>
        <v>81.29913649958101</v>
      </c>
      <c r="U94" s="357">
        <f>+'Billing Waterfall'!O69</f>
        <v>83.640862754562818</v>
      </c>
      <c r="V94" s="357">
        <f>+'Billing Waterfall'!P69</f>
        <v>87.129790861547562</v>
      </c>
      <c r="W94" s="357">
        <f>+'Billing Waterfall'!Q69</f>
        <v>81.632113841024207</v>
      </c>
      <c r="X94" s="357">
        <f>+'Billing Waterfall'!R69</f>
        <v>83.061675264815335</v>
      </c>
      <c r="Y94" s="357">
        <f>+'Billing Waterfall'!S69</f>
        <v>85.412214213623315</v>
      </c>
      <c r="Z94" s="357">
        <f>+'Billing Waterfall'!T69</f>
        <v>88.909999077903365</v>
      </c>
      <c r="AA94" s="357">
        <f>+'Billing Waterfall'!U69</f>
        <v>83.421223098461809</v>
      </c>
      <c r="AB94" s="357">
        <f>+'Billing Waterfall'!V69</f>
        <v>84.859730068540131</v>
      </c>
      <c r="AC94" s="357">
        <f>+'Billing Waterfall'!W69</f>
        <v>87.219259291366711</v>
      </c>
      <c r="AD94" s="357">
        <f>+'Billing Waterfall'!X69</f>
        <v>90.72607938103549</v>
      </c>
      <c r="AE94" s="357">
        <f>+'Billing Waterfall'!Y69</f>
        <v>85.246383803109595</v>
      </c>
      <c r="AF94" s="357">
        <f>+'Billing Waterfall'!Z69</f>
        <v>86.694016576711135</v>
      </c>
      <c r="AG94" s="357">
        <f>+'Billing Waterfall'!AA69</f>
        <v>89.062717232078583</v>
      </c>
      <c r="AH94" s="357">
        <f>+'Billing Waterfall'!AB69</f>
        <v>92.578754611450904</v>
      </c>
    </row>
    <row r="95" spans="1:35">
      <c r="B95" s="24" t="s">
        <v>38</v>
      </c>
      <c r="C95" s="1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489"/>
      <c r="O95" s="367">
        <f>+-'Billing Waterfall'!I126</f>
        <v>-78.986458580310753</v>
      </c>
      <c r="P95" s="357">
        <f>+-'Billing Waterfall'!J126</f>
        <v>-79.359582703385755</v>
      </c>
      <c r="Q95" s="357">
        <f>+-'Billing Waterfall'!K126</f>
        <v>-81.554536731701887</v>
      </c>
      <c r="R95" s="357">
        <f>+-'Billing Waterfall'!L126</f>
        <v>-84.862709225463135</v>
      </c>
      <c r="S95" s="357">
        <f>+-'Billing Waterfall'!M126</f>
        <v>-80.704304261965817</v>
      </c>
      <c r="T95" s="357">
        <f>+-'Billing Waterfall'!N126</f>
        <v>-81.086017613449087</v>
      </c>
      <c r="U95" s="357">
        <f>+-'Billing Waterfall'!O126</f>
        <v>-83.289603816315534</v>
      </c>
      <c r="V95" s="357">
        <f>+-'Billing Waterfall'!P126</f>
        <v>-86.606451645499845</v>
      </c>
      <c r="W95" s="357">
        <f>+-'Billing Waterfall'!Q126</f>
        <v>-82.456765394102703</v>
      </c>
      <c r="X95" s="357">
        <f>+-'Billing Waterfall'!R126</f>
        <v>-82.847241051246669</v>
      </c>
      <c r="Y95" s="357">
        <f>+-'Billing Waterfall'!S126</f>
        <v>-85.059633371302112</v>
      </c>
      <c r="Z95" s="357">
        <f>+-'Billing Waterfall'!T126</f>
        <v>-88.38533134826136</v>
      </c>
      <c r="AA95" s="357">
        <f>+-'Billing Waterfall'!U126</f>
        <v>-84.244539495378049</v>
      </c>
      <c r="AB95" s="357">
        <f>+-'Billing Waterfall'!V126</f>
        <v>-84.643954023028385</v>
      </c>
      <c r="AC95" s="357">
        <f>+-'Billing Waterfall'!W126</f>
        <v>-86.865329907942723</v>
      </c>
      <c r="AD95" s="357">
        <f>+-'Billing Waterfall'!X126</f>
        <v>-90.200056367585162</v>
      </c>
      <c r="AE95" s="357">
        <f>+-'Billing Waterfall'!Y126</f>
        <v>-86.068338139798485</v>
      </c>
      <c r="AF95" s="357">
        <f>+-'Billing Waterfall'!Z126</f>
        <v>-86.476871660670909</v>
      </c>
      <c r="AG95" s="357">
        <f>+-'Billing Waterfall'!AA126</f>
        <v>-88.70741213377346</v>
      </c>
      <c r="AH95" s="357">
        <f>+-'Billing Waterfall'!AB126</f>
        <v>-92.05134900454506</v>
      </c>
    </row>
    <row r="96" spans="1:35">
      <c r="B96" s="55" t="s">
        <v>225</v>
      </c>
      <c r="C96" s="56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359">
        <f>N51</f>
        <v>12.312162718084101</v>
      </c>
      <c r="O96" s="490">
        <f t="shared" ref="O96:AH96" si="81">SUM(O93:O95)</f>
        <v>11.48491944968535</v>
      </c>
      <c r="P96" s="353">
        <f t="shared" si="81"/>
        <v>11.696748989357189</v>
      </c>
      <c r="Q96" s="353">
        <f t="shared" si="81"/>
        <v>12.046712134412076</v>
      </c>
      <c r="R96" s="353">
        <f t="shared" si="81"/>
        <v>12.568749078301423</v>
      </c>
      <c r="S96" s="353">
        <f t="shared" si="81"/>
        <v>11.742788741703777</v>
      </c>
      <c r="T96" s="353">
        <f t="shared" si="81"/>
        <v>11.9559076278357</v>
      </c>
      <c r="U96" s="353">
        <f t="shared" si="81"/>
        <v>12.307166566082984</v>
      </c>
      <c r="V96" s="353">
        <f t="shared" si="81"/>
        <v>12.8305057821307</v>
      </c>
      <c r="W96" s="353">
        <f t="shared" si="81"/>
        <v>12.005854229052204</v>
      </c>
      <c r="X96" s="353">
        <f t="shared" si="81"/>
        <v>12.22028844262087</v>
      </c>
      <c r="Y96" s="353">
        <f t="shared" si="81"/>
        <v>12.572869284942072</v>
      </c>
      <c r="Z96" s="353">
        <f t="shared" si="81"/>
        <v>13.097537014584077</v>
      </c>
      <c r="AA96" s="353">
        <f t="shared" si="81"/>
        <v>12.274220617667837</v>
      </c>
      <c r="AB96" s="353">
        <f t="shared" si="81"/>
        <v>12.489996663179582</v>
      </c>
      <c r="AC96" s="353">
        <f t="shared" si="81"/>
        <v>12.843926046603571</v>
      </c>
      <c r="AD96" s="353">
        <f t="shared" si="81"/>
        <v>13.369949060053898</v>
      </c>
      <c r="AE96" s="353">
        <f t="shared" si="81"/>
        <v>12.547994723365008</v>
      </c>
      <c r="AF96" s="353">
        <f t="shared" si="81"/>
        <v>12.765139639405234</v>
      </c>
      <c r="AG96" s="353">
        <f t="shared" si="81"/>
        <v>13.120444737710358</v>
      </c>
      <c r="AH96" s="353">
        <f t="shared" si="81"/>
        <v>13.647850344616202</v>
      </c>
    </row>
    <row r="97" spans="1:35">
      <c r="B97" s="57"/>
      <c r="C97" s="10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491"/>
      <c r="O97" s="492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  <c r="AA97" s="354"/>
      <c r="AB97" s="354"/>
      <c r="AC97" s="354"/>
      <c r="AD97" s="354"/>
      <c r="AE97" s="354"/>
      <c r="AF97" s="354"/>
      <c r="AG97" s="354"/>
      <c r="AH97" s="354"/>
    </row>
    <row r="98" spans="1:35">
      <c r="B98" s="54" t="s">
        <v>18</v>
      </c>
      <c r="C98" s="1"/>
      <c r="N98" s="448"/>
      <c r="O98" s="366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  <c r="AA98" s="348"/>
      <c r="AB98" s="348"/>
      <c r="AC98" s="348"/>
      <c r="AD98" s="348"/>
      <c r="AE98" s="348"/>
      <c r="AF98" s="348"/>
      <c r="AG98" s="348"/>
      <c r="AH98" s="348"/>
    </row>
    <row r="99" spans="1:35">
      <c r="B99" s="24" t="s">
        <v>39</v>
      </c>
      <c r="C99" s="1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448"/>
      <c r="O99" s="325">
        <f t="shared" ref="O99:AH99" si="82">+N102</f>
        <v>17.993601153711637</v>
      </c>
      <c r="P99" s="326">
        <f t="shared" si="82"/>
        <v>14.647959665623617</v>
      </c>
      <c r="Q99" s="326">
        <f t="shared" si="82"/>
        <v>12.306990824681193</v>
      </c>
      <c r="R99" s="326">
        <f t="shared" si="82"/>
        <v>11.889547712017944</v>
      </c>
      <c r="S99" s="326">
        <f t="shared" si="82"/>
        <v>14.540741177003312</v>
      </c>
      <c r="T99" s="326">
        <f t="shared" si="82"/>
        <v>11.27186463448254</v>
      </c>
      <c r="U99" s="326">
        <f t="shared" si="82"/>
        <v>9.0080445638351563</v>
      </c>
      <c r="V99" s="326">
        <f t="shared" si="82"/>
        <v>8.6681359653184415</v>
      </c>
      <c r="W99" s="326">
        <f t="shared" si="82"/>
        <v>11.39725161702107</v>
      </c>
      <c r="X99" s="326">
        <f t="shared" si="82"/>
        <v>8.2066868721511241</v>
      </c>
      <c r="Y99" s="326">
        <f t="shared" si="82"/>
        <v>6.0215701581428362</v>
      </c>
      <c r="Z99" s="326">
        <f t="shared" si="82"/>
        <v>5.7607584330484229</v>
      </c>
      <c r="AA99" s="326">
        <f t="shared" si="82"/>
        <v>8.5693664425404563</v>
      </c>
      <c r="AB99" s="326">
        <f t="shared" si="82"/>
        <v>5.4586915172488801</v>
      </c>
      <c r="AC99" s="326">
        <f t="shared" si="82"/>
        <v>3.353864071916874</v>
      </c>
      <c r="AD99" s="326">
        <f t="shared" si="82"/>
        <v>3.1737430618420888</v>
      </c>
      <c r="AE99" s="326">
        <f t="shared" si="82"/>
        <v>6.0634452399288676</v>
      </c>
      <c r="AF99" s="326">
        <f t="shared" si="82"/>
        <v>3.0342699540750004</v>
      </c>
      <c r="AG99" s="326">
        <f t="shared" si="82"/>
        <v>1.011349646377866</v>
      </c>
      <c r="AH99" s="326">
        <f t="shared" si="82"/>
        <v>0.91354530962614433</v>
      </c>
    </row>
    <row r="100" spans="1:35">
      <c r="B100" s="24" t="s">
        <v>37</v>
      </c>
      <c r="C100" s="1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489"/>
      <c r="O100" s="325">
        <f t="shared" ref="O100:AH100" si="83">O94</f>
        <v>78.159215311912007</v>
      </c>
      <c r="P100" s="326">
        <f t="shared" si="83"/>
        <v>79.571412243057594</v>
      </c>
      <c r="Q100" s="326">
        <f t="shared" si="83"/>
        <v>81.904499876756773</v>
      </c>
      <c r="R100" s="326">
        <f t="shared" si="83"/>
        <v>85.384746169352482</v>
      </c>
      <c r="S100" s="326">
        <f t="shared" si="83"/>
        <v>79.878343925368171</v>
      </c>
      <c r="T100" s="326">
        <f t="shared" si="83"/>
        <v>81.29913649958101</v>
      </c>
      <c r="U100" s="326">
        <f t="shared" si="83"/>
        <v>83.640862754562818</v>
      </c>
      <c r="V100" s="326">
        <f t="shared" si="83"/>
        <v>87.129790861547562</v>
      </c>
      <c r="W100" s="326">
        <f t="shared" si="83"/>
        <v>81.632113841024207</v>
      </c>
      <c r="X100" s="326">
        <f t="shared" si="83"/>
        <v>83.061675264815335</v>
      </c>
      <c r="Y100" s="326">
        <f t="shared" si="83"/>
        <v>85.412214213623315</v>
      </c>
      <c r="Z100" s="326">
        <f t="shared" si="83"/>
        <v>88.909999077903365</v>
      </c>
      <c r="AA100" s="326">
        <f t="shared" si="83"/>
        <v>83.421223098461809</v>
      </c>
      <c r="AB100" s="326">
        <f t="shared" si="83"/>
        <v>84.859730068540131</v>
      </c>
      <c r="AC100" s="326">
        <f t="shared" si="83"/>
        <v>87.219259291366711</v>
      </c>
      <c r="AD100" s="326">
        <f t="shared" si="83"/>
        <v>90.72607938103549</v>
      </c>
      <c r="AE100" s="326">
        <f t="shared" si="83"/>
        <v>85.246383803109595</v>
      </c>
      <c r="AF100" s="326">
        <f t="shared" si="83"/>
        <v>86.694016576711135</v>
      </c>
      <c r="AG100" s="326">
        <f t="shared" si="83"/>
        <v>89.062717232078583</v>
      </c>
      <c r="AH100" s="326">
        <f t="shared" si="83"/>
        <v>92.578754611450904</v>
      </c>
    </row>
    <row r="101" spans="1:35">
      <c r="B101" s="24" t="s">
        <v>17</v>
      </c>
      <c r="C101" s="1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489"/>
      <c r="O101" s="325">
        <f t="shared" ref="O101:AH101" si="84">-O8</f>
        <v>-81.504856800000027</v>
      </c>
      <c r="P101" s="326">
        <f t="shared" si="84"/>
        <v>-81.912381084000017</v>
      </c>
      <c r="Q101" s="326">
        <f t="shared" si="84"/>
        <v>-82.321942989420023</v>
      </c>
      <c r="R101" s="326">
        <f t="shared" si="84"/>
        <v>-82.733552704367114</v>
      </c>
      <c r="S101" s="326">
        <f t="shared" si="84"/>
        <v>-83.147220467888943</v>
      </c>
      <c r="T101" s="326">
        <f t="shared" si="84"/>
        <v>-83.562956570228394</v>
      </c>
      <c r="U101" s="326">
        <f t="shared" si="84"/>
        <v>-83.980771353079533</v>
      </c>
      <c r="V101" s="326">
        <f t="shared" si="84"/>
        <v>-84.400675209844934</v>
      </c>
      <c r="W101" s="326">
        <f t="shared" si="84"/>
        <v>-84.822678585894153</v>
      </c>
      <c r="X101" s="326">
        <f t="shared" si="84"/>
        <v>-85.246791978823623</v>
      </c>
      <c r="Y101" s="326">
        <f t="shared" si="84"/>
        <v>-85.673025938717728</v>
      </c>
      <c r="Z101" s="326">
        <f t="shared" si="84"/>
        <v>-86.101391068411331</v>
      </c>
      <c r="AA101" s="326">
        <f t="shared" si="84"/>
        <v>-86.531898023753385</v>
      </c>
      <c r="AB101" s="326">
        <f t="shared" si="84"/>
        <v>-86.964557513872137</v>
      </c>
      <c r="AC101" s="326">
        <f t="shared" si="84"/>
        <v>-87.399380301441496</v>
      </c>
      <c r="AD101" s="326">
        <f t="shared" si="84"/>
        <v>-87.836377202948711</v>
      </c>
      <c r="AE101" s="326">
        <f t="shared" si="84"/>
        <v>-88.275559088963462</v>
      </c>
      <c r="AF101" s="326">
        <f t="shared" si="84"/>
        <v>-88.71693688440827</v>
      </c>
      <c r="AG101" s="326">
        <f t="shared" si="84"/>
        <v>-89.160521568830305</v>
      </c>
      <c r="AH101" s="326">
        <f t="shared" si="84"/>
        <v>-89.606324176674462</v>
      </c>
    </row>
    <row r="102" spans="1:35">
      <c r="B102" s="55" t="s">
        <v>40</v>
      </c>
      <c r="C102" s="56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359">
        <f>N60</f>
        <v>17.993601153711637</v>
      </c>
      <c r="O102" s="368">
        <f t="shared" ref="O102:AH102" si="85">SUM(O99:O101)</f>
        <v>14.647959665623617</v>
      </c>
      <c r="P102" s="358">
        <f t="shared" si="85"/>
        <v>12.306990824681193</v>
      </c>
      <c r="Q102" s="358">
        <f t="shared" si="85"/>
        <v>11.889547712017944</v>
      </c>
      <c r="R102" s="358">
        <f t="shared" si="85"/>
        <v>14.540741177003312</v>
      </c>
      <c r="S102" s="358">
        <f t="shared" si="85"/>
        <v>11.27186463448254</v>
      </c>
      <c r="T102" s="358">
        <f t="shared" si="85"/>
        <v>9.0080445638351563</v>
      </c>
      <c r="U102" s="358">
        <f t="shared" si="85"/>
        <v>8.6681359653184415</v>
      </c>
      <c r="V102" s="358">
        <f t="shared" si="85"/>
        <v>11.39725161702107</v>
      </c>
      <c r="W102" s="358">
        <f t="shared" si="85"/>
        <v>8.2066868721511241</v>
      </c>
      <c r="X102" s="358">
        <f t="shared" si="85"/>
        <v>6.0215701581428362</v>
      </c>
      <c r="Y102" s="358">
        <f t="shared" si="85"/>
        <v>5.7607584330484229</v>
      </c>
      <c r="Z102" s="358">
        <f t="shared" si="85"/>
        <v>8.5693664425404563</v>
      </c>
      <c r="AA102" s="358">
        <f t="shared" si="85"/>
        <v>5.4586915172488801</v>
      </c>
      <c r="AB102" s="358">
        <f t="shared" si="85"/>
        <v>3.353864071916874</v>
      </c>
      <c r="AC102" s="358">
        <f t="shared" si="85"/>
        <v>3.1737430618420888</v>
      </c>
      <c r="AD102" s="358">
        <f t="shared" si="85"/>
        <v>6.0634452399288676</v>
      </c>
      <c r="AE102" s="358">
        <f t="shared" si="85"/>
        <v>3.0342699540750004</v>
      </c>
      <c r="AF102" s="358">
        <f t="shared" si="85"/>
        <v>1.011349646377866</v>
      </c>
      <c r="AG102" s="358">
        <f t="shared" si="85"/>
        <v>0.91354530962614433</v>
      </c>
      <c r="AH102" s="358">
        <f t="shared" si="85"/>
        <v>3.885975744402586</v>
      </c>
    </row>
    <row r="103" spans="1:35">
      <c r="B103" s="57"/>
      <c r="C103" s="10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218"/>
      <c r="O103" s="213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</row>
    <row r="104" spans="1:35" s="2" customFormat="1">
      <c r="B104" s="3" t="s">
        <v>254</v>
      </c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65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88" t="s">
        <v>253</v>
      </c>
      <c r="AI104" s="172"/>
    </row>
    <row r="105" spans="1:35" s="2" customFormat="1">
      <c r="A105" s="203"/>
      <c r="B105" s="4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92">
        <f>+O4</f>
        <v>45016</v>
      </c>
      <c r="P105" s="76">
        <f t="shared" ref="P105:AH105" si="86">+P4</f>
        <v>45107</v>
      </c>
      <c r="Q105" s="76">
        <f t="shared" si="86"/>
        <v>45199</v>
      </c>
      <c r="R105" s="76">
        <f t="shared" si="86"/>
        <v>45291</v>
      </c>
      <c r="S105" s="76">
        <f t="shared" si="86"/>
        <v>45382</v>
      </c>
      <c r="T105" s="76">
        <f t="shared" si="86"/>
        <v>45473</v>
      </c>
      <c r="U105" s="76">
        <f t="shared" si="86"/>
        <v>45565</v>
      </c>
      <c r="V105" s="76">
        <f t="shared" si="86"/>
        <v>45657</v>
      </c>
      <c r="W105" s="76">
        <f t="shared" si="86"/>
        <v>45747</v>
      </c>
      <c r="X105" s="76">
        <f t="shared" si="86"/>
        <v>45838</v>
      </c>
      <c r="Y105" s="76">
        <f t="shared" si="86"/>
        <v>45930</v>
      </c>
      <c r="Z105" s="76">
        <f t="shared" si="86"/>
        <v>46022</v>
      </c>
      <c r="AA105" s="76">
        <f t="shared" si="86"/>
        <v>46112</v>
      </c>
      <c r="AB105" s="76">
        <f t="shared" si="86"/>
        <v>46203</v>
      </c>
      <c r="AC105" s="76">
        <f t="shared" si="86"/>
        <v>46295</v>
      </c>
      <c r="AD105" s="76">
        <f t="shared" si="86"/>
        <v>46387</v>
      </c>
      <c r="AE105" s="76">
        <f t="shared" si="86"/>
        <v>46477</v>
      </c>
      <c r="AF105" s="76">
        <f t="shared" si="86"/>
        <v>46568</v>
      </c>
      <c r="AG105" s="76">
        <f t="shared" si="86"/>
        <v>46660</v>
      </c>
      <c r="AH105" s="76">
        <f t="shared" si="86"/>
        <v>46752</v>
      </c>
      <c r="AI105" s="174"/>
    </row>
    <row r="106" spans="1:35">
      <c r="A106" s="205"/>
      <c r="B106" s="54" t="s">
        <v>255</v>
      </c>
      <c r="C106" s="43"/>
      <c r="D106" s="43"/>
      <c r="E106" s="43"/>
      <c r="F106" s="43"/>
      <c r="G106" s="43"/>
      <c r="H106" s="43"/>
      <c r="I106" s="43"/>
      <c r="J106" s="43"/>
      <c r="K106" s="365"/>
      <c r="L106" s="43"/>
      <c r="M106" s="43"/>
      <c r="N106" s="43"/>
      <c r="O106" s="366"/>
      <c r="P106" s="348"/>
      <c r="Q106" s="348"/>
      <c r="R106" s="348"/>
      <c r="S106" s="348"/>
      <c r="T106" s="348"/>
      <c r="U106" s="348"/>
      <c r="V106" s="348"/>
      <c r="W106" s="348"/>
      <c r="X106" s="348"/>
      <c r="Y106" s="348"/>
      <c r="Z106" s="348"/>
      <c r="AA106" s="348"/>
      <c r="AB106" s="348"/>
      <c r="AC106" s="348"/>
      <c r="AD106" s="348"/>
      <c r="AE106" s="348"/>
      <c r="AF106" s="348"/>
      <c r="AG106" s="348"/>
      <c r="AH106" s="348"/>
      <c r="AI106" s="17"/>
    </row>
    <row r="107" spans="1:35">
      <c r="A107" s="214"/>
      <c r="B107" s="2" t="s">
        <v>143</v>
      </c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325">
        <f>+O163</f>
        <v>25</v>
      </c>
      <c r="P107" s="326">
        <f t="shared" ref="P107:AH107" ca="1" si="87">+P163</f>
        <v>25</v>
      </c>
      <c r="Q107" s="326">
        <f t="shared" ca="1" si="87"/>
        <v>25</v>
      </c>
      <c r="R107" s="326">
        <f t="shared" ca="1" si="87"/>
        <v>25</v>
      </c>
      <c r="S107" s="326">
        <f t="shared" ca="1" si="87"/>
        <v>25</v>
      </c>
      <c r="T107" s="326">
        <f t="shared" ca="1" si="87"/>
        <v>25</v>
      </c>
      <c r="U107" s="326">
        <f t="shared" ca="1" si="87"/>
        <v>25</v>
      </c>
      <c r="V107" s="326">
        <f t="shared" ca="1" si="87"/>
        <v>25</v>
      </c>
      <c r="W107" s="326">
        <f t="shared" ca="1" si="87"/>
        <v>25</v>
      </c>
      <c r="X107" s="326">
        <f t="shared" ca="1" si="87"/>
        <v>25</v>
      </c>
      <c r="Y107" s="326">
        <f t="shared" ca="1" si="87"/>
        <v>25</v>
      </c>
      <c r="Z107" s="326">
        <f t="shared" ca="1" si="87"/>
        <v>25</v>
      </c>
      <c r="AA107" s="326">
        <f t="shared" ca="1" si="87"/>
        <v>25</v>
      </c>
      <c r="AB107" s="326">
        <f t="shared" ca="1" si="87"/>
        <v>25</v>
      </c>
      <c r="AC107" s="326">
        <f t="shared" ca="1" si="87"/>
        <v>25</v>
      </c>
      <c r="AD107" s="326">
        <f t="shared" ca="1" si="87"/>
        <v>25</v>
      </c>
      <c r="AE107" s="326">
        <f t="shared" ca="1" si="87"/>
        <v>25</v>
      </c>
      <c r="AF107" s="326">
        <f t="shared" ca="1" si="87"/>
        <v>24.999999999999545</v>
      </c>
      <c r="AG107" s="326">
        <f t="shared" ca="1" si="87"/>
        <v>25.000000000050942</v>
      </c>
      <c r="AH107" s="326">
        <f t="shared" ca="1" si="87"/>
        <v>24.999999995826627</v>
      </c>
      <c r="AI107" s="59"/>
    </row>
    <row r="108" spans="1:35">
      <c r="A108" s="214"/>
      <c r="B108" s="2" t="s">
        <v>206</v>
      </c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325">
        <f ca="1">+O156</f>
        <v>3.6456779235564625</v>
      </c>
      <c r="P108" s="326">
        <f t="shared" ref="P108:AH108" ca="1" si="88">+P156</f>
        <v>3.9738685764717445</v>
      </c>
      <c r="Q108" s="326">
        <f t="shared" ca="1" si="88"/>
        <v>6.1907626095978827</v>
      </c>
      <c r="R108" s="326">
        <f t="shared" ca="1" si="88"/>
        <v>9.522692161355371</v>
      </c>
      <c r="S108" s="326">
        <f t="shared" ca="1" si="88"/>
        <v>5.3167896872207994</v>
      </c>
      <c r="T108" s="326">
        <f t="shared" ca="1" si="88"/>
        <v>5.6735200653007194</v>
      </c>
      <c r="U108" s="326">
        <f t="shared" ca="1" si="88"/>
        <v>7.8707408772059715</v>
      </c>
      <c r="V108" s="326">
        <f t="shared" ca="1" si="88"/>
        <v>11.222299423878271</v>
      </c>
      <c r="W108" s="326">
        <f t="shared" ca="1" si="88"/>
        <v>7.1010084614269271</v>
      </c>
      <c r="X108" s="326">
        <f t="shared" ca="1" si="88"/>
        <v>7.4913521554021578</v>
      </c>
      <c r="Y108" s="326">
        <f t="shared" ca="1" si="88"/>
        <v>9.7227275319790163</v>
      </c>
      <c r="Z108" s="326">
        <f t="shared" ca="1" si="88"/>
        <v>13.108990238376313</v>
      </c>
      <c r="AA108" s="326">
        <f t="shared" ca="1" si="88"/>
        <v>9.0229615039516506</v>
      </c>
      <c r="AB108" s="326">
        <f t="shared" ca="1" si="88"/>
        <v>9.4491340963977652</v>
      </c>
      <c r="AC108" s="326">
        <f t="shared" ca="1" si="88"/>
        <v>11.716913774878805</v>
      </c>
      <c r="AD108" s="326">
        <f t="shared" ca="1" si="88"/>
        <v>15.140165052430842</v>
      </c>
      <c r="AE108" s="326">
        <f t="shared" ca="1" si="88"/>
        <v>9.9480776319550284</v>
      </c>
      <c r="AF108" s="326">
        <f t="shared" ca="1" si="88"/>
        <v>10.204219460349375</v>
      </c>
      <c r="AG108" s="326">
        <f t="shared" ca="1" si="88"/>
        <v>12.298478578499449</v>
      </c>
      <c r="AH108" s="326">
        <f t="shared" ca="1" si="88"/>
        <v>15.544662154481648</v>
      </c>
      <c r="AI108" s="43"/>
    </row>
    <row r="109" spans="1:35">
      <c r="A109" s="214"/>
      <c r="B109" s="2" t="s">
        <v>256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369">
        <v>25</v>
      </c>
      <c r="P109" s="370">
        <v>25</v>
      </c>
      <c r="Q109" s="370">
        <v>25</v>
      </c>
      <c r="R109" s="370">
        <v>25</v>
      </c>
      <c r="S109" s="370">
        <v>25</v>
      </c>
      <c r="T109" s="370">
        <v>25</v>
      </c>
      <c r="U109" s="370">
        <v>25</v>
      </c>
      <c r="V109" s="370">
        <v>25</v>
      </c>
      <c r="W109" s="370">
        <v>25</v>
      </c>
      <c r="X109" s="370">
        <v>25</v>
      </c>
      <c r="Y109" s="370">
        <v>25</v>
      </c>
      <c r="Z109" s="370">
        <v>25</v>
      </c>
      <c r="AA109" s="370">
        <v>25</v>
      </c>
      <c r="AB109" s="370">
        <v>25</v>
      </c>
      <c r="AC109" s="370">
        <v>25</v>
      </c>
      <c r="AD109" s="370">
        <v>25</v>
      </c>
      <c r="AE109" s="370">
        <v>25</v>
      </c>
      <c r="AF109" s="370">
        <v>25</v>
      </c>
      <c r="AG109" s="370">
        <v>25</v>
      </c>
      <c r="AH109" s="370">
        <v>25</v>
      </c>
      <c r="AI109" s="17"/>
    </row>
    <row r="110" spans="1:35">
      <c r="A110" s="205"/>
      <c r="B110" s="9" t="s">
        <v>255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368">
        <f ca="1">+O107-O109+O108</f>
        <v>3.6456779235564625</v>
      </c>
      <c r="P110" s="358">
        <f t="shared" ref="P110:AH110" ca="1" si="89">+P107-P109+P108</f>
        <v>3.9738685764717445</v>
      </c>
      <c r="Q110" s="358">
        <f t="shared" ca="1" si="89"/>
        <v>6.1907626095978827</v>
      </c>
      <c r="R110" s="358">
        <f t="shared" ca="1" si="89"/>
        <v>9.522692161355371</v>
      </c>
      <c r="S110" s="358">
        <f t="shared" ca="1" si="89"/>
        <v>5.3167896872207994</v>
      </c>
      <c r="T110" s="358">
        <f t="shared" ca="1" si="89"/>
        <v>5.6735200653007194</v>
      </c>
      <c r="U110" s="358">
        <f t="shared" ca="1" si="89"/>
        <v>7.8707408772059715</v>
      </c>
      <c r="V110" s="358">
        <f t="shared" ca="1" si="89"/>
        <v>11.222299423878271</v>
      </c>
      <c r="W110" s="358">
        <f t="shared" ca="1" si="89"/>
        <v>7.1010084614269271</v>
      </c>
      <c r="X110" s="358">
        <f t="shared" ca="1" si="89"/>
        <v>7.4913521554021578</v>
      </c>
      <c r="Y110" s="358">
        <f t="shared" ca="1" si="89"/>
        <v>9.7227275319790163</v>
      </c>
      <c r="Z110" s="358">
        <f t="shared" ca="1" si="89"/>
        <v>13.108990238376313</v>
      </c>
      <c r="AA110" s="358">
        <f t="shared" ca="1" si="89"/>
        <v>9.0229615039516506</v>
      </c>
      <c r="AB110" s="358">
        <f t="shared" ca="1" si="89"/>
        <v>9.4491340963977652</v>
      </c>
      <c r="AC110" s="358">
        <f t="shared" ca="1" si="89"/>
        <v>11.716913774878805</v>
      </c>
      <c r="AD110" s="358">
        <f t="shared" ca="1" si="89"/>
        <v>15.140165052430842</v>
      </c>
      <c r="AE110" s="358">
        <f t="shared" ca="1" si="89"/>
        <v>9.9480776319550284</v>
      </c>
      <c r="AF110" s="358">
        <f t="shared" ca="1" si="89"/>
        <v>10.20421946034892</v>
      </c>
      <c r="AG110" s="358">
        <f t="shared" ca="1" si="89"/>
        <v>12.298478578550391</v>
      </c>
      <c r="AH110" s="358">
        <f t="shared" ca="1" si="89"/>
        <v>15.544662150308275</v>
      </c>
      <c r="AI110" s="42"/>
    </row>
    <row r="111" spans="1:35">
      <c r="A111" s="205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>
      <c r="A112" s="205"/>
      <c r="B112" s="54" t="s">
        <v>249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325"/>
      <c r="P112" s="326"/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26"/>
      <c r="AB112" s="326"/>
      <c r="AC112" s="326"/>
      <c r="AD112" s="326"/>
      <c r="AE112" s="326"/>
      <c r="AF112" s="326"/>
      <c r="AG112" s="326"/>
      <c r="AH112" s="326"/>
      <c r="AI112" s="43"/>
    </row>
    <row r="113" spans="1:35">
      <c r="A113" s="205"/>
      <c r="B113" s="2" t="s">
        <v>257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325">
        <f>+N115</f>
        <v>0</v>
      </c>
      <c r="P113" s="326">
        <f t="shared" ref="P113:AH113" ca="1" si="90">+O115</f>
        <v>0</v>
      </c>
      <c r="Q113" s="326">
        <f t="shared" ca="1" si="90"/>
        <v>0</v>
      </c>
      <c r="R113" s="326">
        <f t="shared" ca="1" si="90"/>
        <v>0</v>
      </c>
      <c r="S113" s="326">
        <f t="shared" ca="1" si="90"/>
        <v>0</v>
      </c>
      <c r="T113" s="326">
        <f t="shared" ca="1" si="90"/>
        <v>0</v>
      </c>
      <c r="U113" s="326">
        <f t="shared" ca="1" si="90"/>
        <v>0</v>
      </c>
      <c r="V113" s="326">
        <f t="shared" ca="1" si="90"/>
        <v>0</v>
      </c>
      <c r="W113" s="326">
        <f t="shared" ca="1" si="90"/>
        <v>0</v>
      </c>
      <c r="X113" s="326">
        <f t="shared" ca="1" si="90"/>
        <v>0</v>
      </c>
      <c r="Y113" s="326">
        <f t="shared" ca="1" si="90"/>
        <v>0</v>
      </c>
      <c r="Z113" s="326">
        <f t="shared" ca="1" si="90"/>
        <v>0</v>
      </c>
      <c r="AA113" s="326">
        <f t="shared" ca="1" si="90"/>
        <v>0</v>
      </c>
      <c r="AB113" s="326">
        <f t="shared" ca="1" si="90"/>
        <v>0</v>
      </c>
      <c r="AC113" s="326">
        <f t="shared" ca="1" si="90"/>
        <v>0</v>
      </c>
      <c r="AD113" s="326">
        <f t="shared" ca="1" si="90"/>
        <v>0</v>
      </c>
      <c r="AE113" s="326">
        <f t="shared" ca="1" si="90"/>
        <v>0</v>
      </c>
      <c r="AF113" s="326">
        <f t="shared" ca="1" si="90"/>
        <v>0</v>
      </c>
      <c r="AG113" s="326">
        <f t="shared" ca="1" si="90"/>
        <v>0</v>
      </c>
      <c r="AH113" s="326">
        <f t="shared" ca="1" si="90"/>
        <v>0</v>
      </c>
      <c r="AI113" s="43"/>
    </row>
    <row r="114" spans="1:35">
      <c r="A114" s="205"/>
      <c r="B114" s="2" t="s">
        <v>258</v>
      </c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325">
        <f ca="1">-MIN(O113,O110)</f>
        <v>0</v>
      </c>
      <c r="P114" s="326">
        <f t="shared" ref="P114:AH114" ca="1" si="91">-MIN(P113,P110)</f>
        <v>0</v>
      </c>
      <c r="Q114" s="326">
        <f t="shared" ca="1" si="91"/>
        <v>0</v>
      </c>
      <c r="R114" s="326">
        <f t="shared" ca="1" si="91"/>
        <v>0</v>
      </c>
      <c r="S114" s="326">
        <f t="shared" ca="1" si="91"/>
        <v>0</v>
      </c>
      <c r="T114" s="326">
        <f t="shared" ca="1" si="91"/>
        <v>0</v>
      </c>
      <c r="U114" s="326">
        <f t="shared" ca="1" si="91"/>
        <v>0</v>
      </c>
      <c r="V114" s="326">
        <f t="shared" ca="1" si="91"/>
        <v>0</v>
      </c>
      <c r="W114" s="326">
        <f t="shared" ca="1" si="91"/>
        <v>0</v>
      </c>
      <c r="X114" s="326">
        <f t="shared" ca="1" si="91"/>
        <v>0</v>
      </c>
      <c r="Y114" s="326">
        <f t="shared" ca="1" si="91"/>
        <v>0</v>
      </c>
      <c r="Z114" s="326">
        <f t="shared" ca="1" si="91"/>
        <v>0</v>
      </c>
      <c r="AA114" s="326">
        <f t="shared" ca="1" si="91"/>
        <v>0</v>
      </c>
      <c r="AB114" s="326">
        <f t="shared" ca="1" si="91"/>
        <v>0</v>
      </c>
      <c r="AC114" s="326">
        <f t="shared" ca="1" si="91"/>
        <v>0</v>
      </c>
      <c r="AD114" s="326">
        <f t="shared" ca="1" si="91"/>
        <v>0</v>
      </c>
      <c r="AE114" s="326">
        <f t="shared" ca="1" si="91"/>
        <v>0</v>
      </c>
      <c r="AF114" s="326">
        <f t="shared" ca="1" si="91"/>
        <v>0</v>
      </c>
      <c r="AG114" s="326">
        <f t="shared" ca="1" si="91"/>
        <v>0</v>
      </c>
      <c r="AH114" s="326">
        <f t="shared" ca="1" si="91"/>
        <v>0</v>
      </c>
      <c r="AI114" s="43"/>
    </row>
    <row r="115" spans="1:35">
      <c r="A115" s="205"/>
      <c r="B115" s="9" t="s">
        <v>259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388">
        <f>+Transaction!D18</f>
        <v>0</v>
      </c>
      <c r="O115" s="368">
        <f ca="1">SUM(O113:O114)</f>
        <v>0</v>
      </c>
      <c r="P115" s="358">
        <f t="shared" ref="P115:AH115" ca="1" si="92">SUM(P113:P114)</f>
        <v>0</v>
      </c>
      <c r="Q115" s="358">
        <f t="shared" ca="1" si="92"/>
        <v>0</v>
      </c>
      <c r="R115" s="358">
        <f t="shared" ca="1" si="92"/>
        <v>0</v>
      </c>
      <c r="S115" s="358">
        <f t="shared" ca="1" si="92"/>
        <v>0</v>
      </c>
      <c r="T115" s="358">
        <f t="shared" ca="1" si="92"/>
        <v>0</v>
      </c>
      <c r="U115" s="358">
        <f t="shared" ca="1" si="92"/>
        <v>0</v>
      </c>
      <c r="V115" s="358">
        <f t="shared" ca="1" si="92"/>
        <v>0</v>
      </c>
      <c r="W115" s="358">
        <f t="shared" ca="1" si="92"/>
        <v>0</v>
      </c>
      <c r="X115" s="358">
        <f t="shared" ca="1" si="92"/>
        <v>0</v>
      </c>
      <c r="Y115" s="358">
        <f t="shared" ca="1" si="92"/>
        <v>0</v>
      </c>
      <c r="Z115" s="358">
        <f t="shared" ca="1" si="92"/>
        <v>0</v>
      </c>
      <c r="AA115" s="358">
        <f t="shared" ca="1" si="92"/>
        <v>0</v>
      </c>
      <c r="AB115" s="358">
        <f t="shared" ca="1" si="92"/>
        <v>0</v>
      </c>
      <c r="AC115" s="358">
        <f t="shared" ca="1" si="92"/>
        <v>0</v>
      </c>
      <c r="AD115" s="358">
        <f t="shared" ca="1" si="92"/>
        <v>0</v>
      </c>
      <c r="AE115" s="358">
        <f t="shared" ca="1" si="92"/>
        <v>0</v>
      </c>
      <c r="AF115" s="358">
        <f t="shared" ca="1" si="92"/>
        <v>0</v>
      </c>
      <c r="AG115" s="358">
        <f t="shared" ca="1" si="92"/>
        <v>0</v>
      </c>
      <c r="AH115" s="358">
        <f t="shared" ca="1" si="92"/>
        <v>0</v>
      </c>
      <c r="AI115" s="42"/>
    </row>
    <row r="116" spans="1:35">
      <c r="A116" s="205"/>
      <c r="B116" s="2" t="s">
        <v>260</v>
      </c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77">
        <f>Transaction!$E$18</f>
        <v>0.02</v>
      </c>
      <c r="P116" s="478">
        <f>Transaction!$E$18</f>
        <v>0.02</v>
      </c>
      <c r="Q116" s="478">
        <f>Transaction!$E$18</f>
        <v>0.02</v>
      </c>
      <c r="R116" s="478">
        <f>Transaction!$E$18</f>
        <v>0.02</v>
      </c>
      <c r="S116" s="478">
        <f>Transaction!$E$18</f>
        <v>0.02</v>
      </c>
      <c r="T116" s="478">
        <f>Transaction!$E$18</f>
        <v>0.02</v>
      </c>
      <c r="U116" s="478">
        <f>Transaction!$E$18</f>
        <v>0.02</v>
      </c>
      <c r="V116" s="478">
        <f>Transaction!$E$18</f>
        <v>0.02</v>
      </c>
      <c r="W116" s="478">
        <f>Transaction!$E$18</f>
        <v>0.02</v>
      </c>
      <c r="X116" s="478">
        <f>Transaction!$E$18</f>
        <v>0.02</v>
      </c>
      <c r="Y116" s="478">
        <f>Transaction!$E$18</f>
        <v>0.02</v>
      </c>
      <c r="Z116" s="478">
        <f>Transaction!$E$18</f>
        <v>0.02</v>
      </c>
      <c r="AA116" s="478">
        <f>Transaction!$E$18</f>
        <v>0.02</v>
      </c>
      <c r="AB116" s="478">
        <f>Transaction!$E$18</f>
        <v>0.02</v>
      </c>
      <c r="AC116" s="478">
        <f>Transaction!$E$18</f>
        <v>0.02</v>
      </c>
      <c r="AD116" s="478">
        <f>Transaction!$E$18</f>
        <v>0.02</v>
      </c>
      <c r="AE116" s="478">
        <f>Transaction!$E$18</f>
        <v>0.02</v>
      </c>
      <c r="AF116" s="478">
        <f>Transaction!$E$18</f>
        <v>0.02</v>
      </c>
      <c r="AG116" s="478">
        <f>Transaction!$E$18</f>
        <v>0.02</v>
      </c>
      <c r="AH116" s="478">
        <f>Transaction!$E$18</f>
        <v>0.02</v>
      </c>
      <c r="AI116" s="43"/>
    </row>
    <row r="117" spans="1:35">
      <c r="A117" s="205"/>
      <c r="B117" s="9" t="s">
        <v>48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368">
        <f ca="1">+O116*AVERAGE(N115:O115)</f>
        <v>0</v>
      </c>
      <c r="P117" s="358">
        <f t="shared" ref="P117:AH117" ca="1" si="93">+P116*AVERAGE(O115:P115)</f>
        <v>0</v>
      </c>
      <c r="Q117" s="358">
        <f t="shared" ca="1" si="93"/>
        <v>0</v>
      </c>
      <c r="R117" s="358">
        <f t="shared" ca="1" si="93"/>
        <v>0</v>
      </c>
      <c r="S117" s="358">
        <f t="shared" ca="1" si="93"/>
        <v>0</v>
      </c>
      <c r="T117" s="358">
        <f t="shared" ca="1" si="93"/>
        <v>0</v>
      </c>
      <c r="U117" s="358">
        <f t="shared" ca="1" si="93"/>
        <v>0</v>
      </c>
      <c r="V117" s="358">
        <f t="shared" ca="1" si="93"/>
        <v>0</v>
      </c>
      <c r="W117" s="358">
        <f t="shared" ca="1" si="93"/>
        <v>0</v>
      </c>
      <c r="X117" s="358">
        <f t="shared" ca="1" si="93"/>
        <v>0</v>
      </c>
      <c r="Y117" s="358">
        <f t="shared" ca="1" si="93"/>
        <v>0</v>
      </c>
      <c r="Z117" s="358">
        <f t="shared" ca="1" si="93"/>
        <v>0</v>
      </c>
      <c r="AA117" s="358">
        <f t="shared" ca="1" si="93"/>
        <v>0</v>
      </c>
      <c r="AB117" s="358">
        <f t="shared" ca="1" si="93"/>
        <v>0</v>
      </c>
      <c r="AC117" s="358">
        <f t="shared" ca="1" si="93"/>
        <v>0</v>
      </c>
      <c r="AD117" s="358">
        <f t="shared" ca="1" si="93"/>
        <v>0</v>
      </c>
      <c r="AE117" s="358">
        <f t="shared" ca="1" si="93"/>
        <v>0</v>
      </c>
      <c r="AF117" s="358">
        <f t="shared" ca="1" si="93"/>
        <v>0</v>
      </c>
      <c r="AG117" s="358">
        <f t="shared" ca="1" si="93"/>
        <v>0</v>
      </c>
      <c r="AH117" s="358">
        <f t="shared" ca="1" si="93"/>
        <v>0</v>
      </c>
      <c r="AI117" s="42"/>
    </row>
    <row r="118" spans="1:35">
      <c r="A118" s="205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325"/>
      <c r="P118" s="326"/>
      <c r="Q118" s="326"/>
      <c r="R118" s="326"/>
      <c r="S118" s="326"/>
      <c r="T118" s="326"/>
      <c r="U118" s="326"/>
      <c r="V118" s="326"/>
      <c r="W118" s="326"/>
      <c r="X118" s="326"/>
      <c r="Y118" s="326"/>
      <c r="Z118" s="326"/>
      <c r="AA118" s="326"/>
      <c r="AB118" s="326"/>
      <c r="AC118" s="326"/>
      <c r="AD118" s="326"/>
      <c r="AE118" s="326"/>
      <c r="AF118" s="326"/>
      <c r="AG118" s="326"/>
      <c r="AH118" s="326"/>
      <c r="AI118" s="43"/>
    </row>
    <row r="119" spans="1:35">
      <c r="A119" s="205"/>
      <c r="B119" s="2" t="s">
        <v>263</v>
      </c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325">
        <f ca="1">+O114+O110</f>
        <v>3.6456779235564625</v>
      </c>
      <c r="P119" s="326">
        <f t="shared" ref="P119:AH119" ca="1" si="94">+P114+P110</f>
        <v>3.9738685764717445</v>
      </c>
      <c r="Q119" s="326">
        <f t="shared" ca="1" si="94"/>
        <v>6.1907626095978827</v>
      </c>
      <c r="R119" s="326">
        <f t="shared" ca="1" si="94"/>
        <v>9.522692161355371</v>
      </c>
      <c r="S119" s="326">
        <f t="shared" ca="1" si="94"/>
        <v>5.3167896872207994</v>
      </c>
      <c r="T119" s="326">
        <f t="shared" ca="1" si="94"/>
        <v>5.6735200653007194</v>
      </c>
      <c r="U119" s="326">
        <f t="shared" ca="1" si="94"/>
        <v>7.8707408772059715</v>
      </c>
      <c r="V119" s="326">
        <f t="shared" ca="1" si="94"/>
        <v>11.222299423878271</v>
      </c>
      <c r="W119" s="326">
        <f t="shared" ca="1" si="94"/>
        <v>7.1010084614269271</v>
      </c>
      <c r="X119" s="326">
        <f t="shared" ca="1" si="94"/>
        <v>7.4913521554021578</v>
      </c>
      <c r="Y119" s="326">
        <f t="shared" ca="1" si="94"/>
        <v>9.7227275319790163</v>
      </c>
      <c r="Z119" s="326">
        <f t="shared" ca="1" si="94"/>
        <v>13.108990238376313</v>
      </c>
      <c r="AA119" s="326">
        <f t="shared" ca="1" si="94"/>
        <v>9.0229615039516506</v>
      </c>
      <c r="AB119" s="326">
        <f t="shared" ca="1" si="94"/>
        <v>9.4491340963977652</v>
      </c>
      <c r="AC119" s="326">
        <f t="shared" ca="1" si="94"/>
        <v>11.716913774878805</v>
      </c>
      <c r="AD119" s="326">
        <f t="shared" ca="1" si="94"/>
        <v>15.140165052430842</v>
      </c>
      <c r="AE119" s="326">
        <f t="shared" ca="1" si="94"/>
        <v>9.9480776319550284</v>
      </c>
      <c r="AF119" s="326">
        <f t="shared" ca="1" si="94"/>
        <v>10.20421946034892</v>
      </c>
      <c r="AG119" s="326">
        <f t="shared" ca="1" si="94"/>
        <v>12.298478578550391</v>
      </c>
      <c r="AH119" s="326">
        <f t="shared" ca="1" si="94"/>
        <v>15.544662150308275</v>
      </c>
      <c r="AI119" s="43"/>
    </row>
    <row r="120" spans="1:35">
      <c r="A120" s="205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325"/>
      <c r="P120" s="326"/>
      <c r="Q120" s="326"/>
      <c r="R120" s="326"/>
      <c r="S120" s="326"/>
      <c r="T120" s="326"/>
      <c r="U120" s="326"/>
      <c r="V120" s="326"/>
      <c r="W120" s="326"/>
      <c r="X120" s="326"/>
      <c r="Y120" s="326"/>
      <c r="Z120" s="326"/>
      <c r="AA120" s="326"/>
      <c r="AB120" s="326"/>
      <c r="AC120" s="326"/>
      <c r="AD120" s="326"/>
      <c r="AE120" s="326"/>
      <c r="AF120" s="326"/>
      <c r="AG120" s="326"/>
      <c r="AH120" s="326"/>
      <c r="AI120" s="43"/>
    </row>
    <row r="121" spans="1:35">
      <c r="A121" s="205"/>
      <c r="B121" s="54" t="s">
        <v>261</v>
      </c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325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326"/>
      <c r="AA121" s="326"/>
      <c r="AB121" s="326"/>
      <c r="AC121" s="326"/>
      <c r="AD121" s="326"/>
      <c r="AE121" s="326"/>
      <c r="AF121" s="326"/>
      <c r="AG121" s="326"/>
      <c r="AH121" s="326"/>
      <c r="AI121" s="43"/>
    </row>
    <row r="122" spans="1:35">
      <c r="A122" s="205"/>
      <c r="B122" s="2" t="s">
        <v>257</v>
      </c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325">
        <f>+N124</f>
        <v>438.26577545431991</v>
      </c>
      <c r="P122" s="326">
        <f t="shared" ref="P122:AH122" ca="1" si="95">+O124</f>
        <v>434.62009753076347</v>
      </c>
      <c r="Q122" s="326">
        <f t="shared" ca="1" si="95"/>
        <v>430.6462289542917</v>
      </c>
      <c r="R122" s="326">
        <f t="shared" ca="1" si="95"/>
        <v>424.45546634469383</v>
      </c>
      <c r="S122" s="326">
        <f t="shared" ca="1" si="95"/>
        <v>414.93277418333844</v>
      </c>
      <c r="T122" s="326">
        <f t="shared" ca="1" si="95"/>
        <v>409.61598449611762</v>
      </c>
      <c r="U122" s="326">
        <f t="shared" ca="1" si="95"/>
        <v>403.94246443081693</v>
      </c>
      <c r="V122" s="326">
        <f t="shared" ca="1" si="95"/>
        <v>396.07172355361098</v>
      </c>
      <c r="W122" s="326">
        <f t="shared" ca="1" si="95"/>
        <v>384.84942412973271</v>
      </c>
      <c r="X122" s="326">
        <f t="shared" ca="1" si="95"/>
        <v>377.74841566830577</v>
      </c>
      <c r="Y122" s="326">
        <f t="shared" ca="1" si="95"/>
        <v>370.25706351290358</v>
      </c>
      <c r="Z122" s="326">
        <f t="shared" ca="1" si="95"/>
        <v>360.5343359809246</v>
      </c>
      <c r="AA122" s="326">
        <f t="shared" ca="1" si="95"/>
        <v>347.4253457425483</v>
      </c>
      <c r="AB122" s="326">
        <f t="shared" ca="1" si="95"/>
        <v>338.40238423859665</v>
      </c>
      <c r="AC122" s="326">
        <f t="shared" ca="1" si="95"/>
        <v>328.9532501421989</v>
      </c>
      <c r="AD122" s="326">
        <f t="shared" ca="1" si="95"/>
        <v>317.23633636732006</v>
      </c>
      <c r="AE122" s="326">
        <f t="shared" ca="1" si="95"/>
        <v>302.0961713148892</v>
      </c>
      <c r="AF122" s="326">
        <f t="shared" ca="1" si="95"/>
        <v>292.14809368293425</v>
      </c>
      <c r="AG122" s="326">
        <f t="shared" ca="1" si="95"/>
        <v>281.94387422257779</v>
      </c>
      <c r="AH122" s="326">
        <f t="shared" ca="1" si="95"/>
        <v>269.64539564470914</v>
      </c>
      <c r="AI122" s="43"/>
    </row>
    <row r="123" spans="1:35">
      <c r="A123" s="205"/>
      <c r="B123" s="2" t="s">
        <v>262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325">
        <f ca="1">-MIN(O122,O119)</f>
        <v>-3.6456779235564625</v>
      </c>
      <c r="P123" s="326">
        <f t="shared" ref="P123:AH123" ca="1" si="96">-MIN(P122,P119)</f>
        <v>-3.9738685764717445</v>
      </c>
      <c r="Q123" s="326">
        <f t="shared" ca="1" si="96"/>
        <v>-6.1907626095978827</v>
      </c>
      <c r="R123" s="326">
        <f t="shared" ca="1" si="96"/>
        <v>-9.522692161355371</v>
      </c>
      <c r="S123" s="326">
        <f t="shared" ca="1" si="96"/>
        <v>-5.3167896872207994</v>
      </c>
      <c r="T123" s="326">
        <f t="shared" ca="1" si="96"/>
        <v>-5.6735200653007194</v>
      </c>
      <c r="U123" s="326">
        <f t="shared" ca="1" si="96"/>
        <v>-7.8707408772059715</v>
      </c>
      <c r="V123" s="326">
        <f t="shared" ca="1" si="96"/>
        <v>-11.222299423878271</v>
      </c>
      <c r="W123" s="326">
        <f t="shared" ca="1" si="96"/>
        <v>-7.1010084614269271</v>
      </c>
      <c r="X123" s="326">
        <f t="shared" ca="1" si="96"/>
        <v>-7.4913521554021578</v>
      </c>
      <c r="Y123" s="326">
        <f t="shared" ca="1" si="96"/>
        <v>-9.7227275319790163</v>
      </c>
      <c r="Z123" s="326">
        <f t="shared" ca="1" si="96"/>
        <v>-13.108990238376313</v>
      </c>
      <c r="AA123" s="326">
        <f t="shared" ca="1" si="96"/>
        <v>-9.0229615039516506</v>
      </c>
      <c r="AB123" s="326">
        <f t="shared" ca="1" si="96"/>
        <v>-9.4491340963977652</v>
      </c>
      <c r="AC123" s="326">
        <f t="shared" ca="1" si="96"/>
        <v>-11.716913774878805</v>
      </c>
      <c r="AD123" s="326">
        <f t="shared" ca="1" si="96"/>
        <v>-15.140165052430842</v>
      </c>
      <c r="AE123" s="326">
        <f t="shared" ca="1" si="96"/>
        <v>-9.9480776319550284</v>
      </c>
      <c r="AF123" s="326">
        <f t="shared" ca="1" si="96"/>
        <v>-10.20421946034892</v>
      </c>
      <c r="AG123" s="326">
        <f t="shared" ca="1" si="96"/>
        <v>-12.298478578550391</v>
      </c>
      <c r="AH123" s="326">
        <f t="shared" ca="1" si="96"/>
        <v>-15.544662150308275</v>
      </c>
      <c r="AI123" s="43"/>
    </row>
    <row r="124" spans="1:35">
      <c r="A124" s="205"/>
      <c r="B124" s="9" t="s">
        <v>259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388">
        <f>+Transaction!D19</f>
        <v>438.26577545431991</v>
      </c>
      <c r="O124" s="368">
        <f ca="1">SUM(O122:O123)</f>
        <v>434.62009753076347</v>
      </c>
      <c r="P124" s="358">
        <f t="shared" ref="P124:AH124" ca="1" si="97">SUM(P122:P123)</f>
        <v>430.6462289542917</v>
      </c>
      <c r="Q124" s="358">
        <f t="shared" ca="1" si="97"/>
        <v>424.45546634469383</v>
      </c>
      <c r="R124" s="358">
        <f t="shared" ca="1" si="97"/>
        <v>414.93277418333844</v>
      </c>
      <c r="S124" s="358">
        <f t="shared" ca="1" si="97"/>
        <v>409.61598449611762</v>
      </c>
      <c r="T124" s="358">
        <f t="shared" ca="1" si="97"/>
        <v>403.94246443081693</v>
      </c>
      <c r="U124" s="358">
        <f t="shared" ca="1" si="97"/>
        <v>396.07172355361098</v>
      </c>
      <c r="V124" s="358">
        <f t="shared" ca="1" si="97"/>
        <v>384.84942412973271</v>
      </c>
      <c r="W124" s="358">
        <f t="shared" ca="1" si="97"/>
        <v>377.74841566830577</v>
      </c>
      <c r="X124" s="358">
        <f t="shared" ca="1" si="97"/>
        <v>370.25706351290358</v>
      </c>
      <c r="Y124" s="358">
        <f t="shared" ca="1" si="97"/>
        <v>360.5343359809246</v>
      </c>
      <c r="Z124" s="358">
        <f t="shared" ca="1" si="97"/>
        <v>347.4253457425483</v>
      </c>
      <c r="AA124" s="358">
        <f t="shared" ca="1" si="97"/>
        <v>338.40238423859665</v>
      </c>
      <c r="AB124" s="358">
        <f t="shared" ca="1" si="97"/>
        <v>328.9532501421989</v>
      </c>
      <c r="AC124" s="358">
        <f t="shared" ca="1" si="97"/>
        <v>317.23633636732006</v>
      </c>
      <c r="AD124" s="358">
        <f t="shared" ca="1" si="97"/>
        <v>302.0961713148892</v>
      </c>
      <c r="AE124" s="358">
        <f t="shared" ca="1" si="97"/>
        <v>292.14809368293419</v>
      </c>
      <c r="AF124" s="358">
        <f t="shared" ca="1" si="97"/>
        <v>281.94387422258535</v>
      </c>
      <c r="AG124" s="358">
        <f t="shared" ca="1" si="97"/>
        <v>269.64539564402742</v>
      </c>
      <c r="AH124" s="358">
        <f t="shared" ca="1" si="97"/>
        <v>254.10073349440086</v>
      </c>
      <c r="AI124" s="42"/>
    </row>
    <row r="125" spans="1:35">
      <c r="A125" s="205"/>
      <c r="B125" s="2" t="s">
        <v>260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77">
        <f>Transaction!$E$19</f>
        <v>0.02</v>
      </c>
      <c r="P125" s="478">
        <f>Transaction!$E$19</f>
        <v>0.02</v>
      </c>
      <c r="Q125" s="478">
        <f>Transaction!$E$19</f>
        <v>0.02</v>
      </c>
      <c r="R125" s="478">
        <f>Transaction!$E$19</f>
        <v>0.02</v>
      </c>
      <c r="S125" s="478">
        <f>Transaction!$E$19</f>
        <v>0.02</v>
      </c>
      <c r="T125" s="478">
        <f>Transaction!$E$19</f>
        <v>0.02</v>
      </c>
      <c r="U125" s="478">
        <f>Transaction!$E$19</f>
        <v>0.02</v>
      </c>
      <c r="V125" s="478">
        <f>Transaction!$E$19</f>
        <v>0.02</v>
      </c>
      <c r="W125" s="478">
        <f>Transaction!$E$19</f>
        <v>0.02</v>
      </c>
      <c r="X125" s="478">
        <f>Transaction!$E$19</f>
        <v>0.02</v>
      </c>
      <c r="Y125" s="478">
        <f>Transaction!$E$19</f>
        <v>0.02</v>
      </c>
      <c r="Z125" s="478">
        <f>Transaction!$E$19</f>
        <v>0.02</v>
      </c>
      <c r="AA125" s="478">
        <f>Transaction!$E$19</f>
        <v>0.02</v>
      </c>
      <c r="AB125" s="478">
        <f>Transaction!$E$19</f>
        <v>0.02</v>
      </c>
      <c r="AC125" s="478">
        <f>Transaction!$E$19</f>
        <v>0.02</v>
      </c>
      <c r="AD125" s="478">
        <f>Transaction!$E$19</f>
        <v>0.02</v>
      </c>
      <c r="AE125" s="478">
        <f>Transaction!$E$19</f>
        <v>0.02</v>
      </c>
      <c r="AF125" s="478">
        <f>Transaction!$E$19</f>
        <v>0.02</v>
      </c>
      <c r="AG125" s="478">
        <f>Transaction!$E$19</f>
        <v>0.02</v>
      </c>
      <c r="AH125" s="478">
        <f>Transaction!$E$19</f>
        <v>0.02</v>
      </c>
      <c r="AI125" s="43"/>
    </row>
    <row r="126" spans="1:35">
      <c r="A126" s="205"/>
      <c r="B126" s="9" t="s">
        <v>48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368">
        <f ca="1">+O125*AVERAGE(N124:O124)</f>
        <v>8.7288587298508329</v>
      </c>
      <c r="P126" s="358">
        <f t="shared" ref="P126:AH126" ca="1" si="98">+P125*AVERAGE(O124:P124)</f>
        <v>8.6526632648505526</v>
      </c>
      <c r="Q126" s="358">
        <f t="shared" ca="1" si="98"/>
        <v>8.5510169529898548</v>
      </c>
      <c r="R126" s="358">
        <f t="shared" ca="1" si="98"/>
        <v>8.3938824052803227</v>
      </c>
      <c r="S126" s="358">
        <f t="shared" ca="1" si="98"/>
        <v>8.2454875867945621</v>
      </c>
      <c r="T126" s="358">
        <f t="shared" ca="1" si="98"/>
        <v>8.1355844892693447</v>
      </c>
      <c r="U126" s="358">
        <f t="shared" ca="1" si="98"/>
        <v>8.0001418798442803</v>
      </c>
      <c r="V126" s="358">
        <f t="shared" ca="1" si="98"/>
        <v>7.8092114768334362</v>
      </c>
      <c r="W126" s="358">
        <f t="shared" ca="1" si="98"/>
        <v>7.6259783979803846</v>
      </c>
      <c r="X126" s="358">
        <f t="shared" ca="1" si="98"/>
        <v>7.4800547918120941</v>
      </c>
      <c r="Y126" s="358">
        <f t="shared" ca="1" si="98"/>
        <v>7.3079139949382821</v>
      </c>
      <c r="Z126" s="358">
        <f t="shared" ca="1" si="98"/>
        <v>7.0795968172347283</v>
      </c>
      <c r="AA126" s="358">
        <f t="shared" ca="1" si="98"/>
        <v>6.8582772998114505</v>
      </c>
      <c r="AB126" s="358">
        <f t="shared" ca="1" si="98"/>
        <v>6.6735563438079559</v>
      </c>
      <c r="AC126" s="358">
        <f t="shared" ca="1" si="98"/>
        <v>6.4618958650951894</v>
      </c>
      <c r="AD126" s="358">
        <f t="shared" ca="1" si="98"/>
        <v>6.1933250768220933</v>
      </c>
      <c r="AE126" s="358">
        <f t="shared" ca="1" si="98"/>
        <v>5.9424426499782337</v>
      </c>
      <c r="AF126" s="358">
        <f t="shared" ca="1" si="98"/>
        <v>5.740919679055196</v>
      </c>
      <c r="AG126" s="358">
        <f t="shared" ca="1" si="98"/>
        <v>5.5158926986661276</v>
      </c>
      <c r="AH126" s="358">
        <f t="shared" ca="1" si="98"/>
        <v>5.2374612913842826</v>
      </c>
      <c r="AI126" s="42"/>
    </row>
    <row r="127" spans="1:35">
      <c r="A127" s="205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325"/>
      <c r="P127" s="326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326"/>
      <c r="AB127" s="326"/>
      <c r="AC127" s="326"/>
      <c r="AD127" s="326"/>
      <c r="AE127" s="326"/>
      <c r="AF127" s="326"/>
      <c r="AG127" s="326"/>
      <c r="AH127" s="326"/>
      <c r="AI127" s="43"/>
    </row>
    <row r="128" spans="1:35">
      <c r="A128" s="205"/>
      <c r="B128" s="2" t="s">
        <v>264</v>
      </c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325">
        <f ca="1">+O123+O119</f>
        <v>0</v>
      </c>
      <c r="P128" s="326">
        <f t="shared" ref="P128:AH128" ca="1" si="99">+P123+P119</f>
        <v>0</v>
      </c>
      <c r="Q128" s="326">
        <f t="shared" ca="1" si="99"/>
        <v>0</v>
      </c>
      <c r="R128" s="326">
        <f t="shared" ca="1" si="99"/>
        <v>0</v>
      </c>
      <c r="S128" s="326">
        <f t="shared" ca="1" si="99"/>
        <v>0</v>
      </c>
      <c r="T128" s="326">
        <f t="shared" ca="1" si="99"/>
        <v>0</v>
      </c>
      <c r="U128" s="326">
        <f t="shared" ca="1" si="99"/>
        <v>0</v>
      </c>
      <c r="V128" s="326">
        <f t="shared" ca="1" si="99"/>
        <v>0</v>
      </c>
      <c r="W128" s="326">
        <f t="shared" ca="1" si="99"/>
        <v>0</v>
      </c>
      <c r="X128" s="326">
        <f t="shared" ca="1" si="99"/>
        <v>0</v>
      </c>
      <c r="Y128" s="326">
        <f t="shared" ca="1" si="99"/>
        <v>0</v>
      </c>
      <c r="Z128" s="326">
        <f t="shared" ca="1" si="99"/>
        <v>0</v>
      </c>
      <c r="AA128" s="326">
        <f t="shared" ca="1" si="99"/>
        <v>0</v>
      </c>
      <c r="AB128" s="326">
        <f t="shared" ca="1" si="99"/>
        <v>0</v>
      </c>
      <c r="AC128" s="326">
        <f t="shared" ca="1" si="99"/>
        <v>0</v>
      </c>
      <c r="AD128" s="326">
        <f t="shared" ca="1" si="99"/>
        <v>0</v>
      </c>
      <c r="AE128" s="326">
        <f t="shared" ca="1" si="99"/>
        <v>0</v>
      </c>
      <c r="AF128" s="326">
        <f t="shared" ca="1" si="99"/>
        <v>0</v>
      </c>
      <c r="AG128" s="326">
        <f t="shared" ca="1" si="99"/>
        <v>0</v>
      </c>
      <c r="AH128" s="326">
        <f t="shared" ca="1" si="99"/>
        <v>0</v>
      </c>
      <c r="AI128" s="43"/>
    </row>
    <row r="129" spans="1:35">
      <c r="A129" s="205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325"/>
      <c r="P129" s="326"/>
      <c r="Q129" s="326"/>
      <c r="R129" s="326"/>
      <c r="S129" s="326"/>
      <c r="T129" s="326"/>
      <c r="U129" s="326"/>
      <c r="V129" s="326"/>
      <c r="W129" s="326"/>
      <c r="X129" s="326"/>
      <c r="Y129" s="326"/>
      <c r="Z129" s="326"/>
      <c r="AA129" s="326"/>
      <c r="AB129" s="326"/>
      <c r="AC129" s="326"/>
      <c r="AD129" s="326"/>
      <c r="AE129" s="326"/>
      <c r="AF129" s="326"/>
      <c r="AG129" s="326"/>
      <c r="AH129" s="326"/>
      <c r="AI129" s="43"/>
    </row>
    <row r="130" spans="1:35">
      <c r="A130" s="205"/>
      <c r="B130" s="54" t="s">
        <v>265</v>
      </c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325"/>
      <c r="P130" s="326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326"/>
      <c r="AB130" s="326"/>
      <c r="AC130" s="326"/>
      <c r="AD130" s="326"/>
      <c r="AE130" s="326"/>
      <c r="AF130" s="326"/>
      <c r="AG130" s="326"/>
      <c r="AH130" s="326"/>
      <c r="AI130" s="43"/>
    </row>
    <row r="131" spans="1:35">
      <c r="A131" s="205"/>
      <c r="B131" s="2" t="s">
        <v>257</v>
      </c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325">
        <f>+N133</f>
        <v>292.17718363621327</v>
      </c>
      <c r="P131" s="326">
        <f t="shared" ref="P131:AH131" si="100">+O133</f>
        <v>292.17718363621327</v>
      </c>
      <c r="Q131" s="326">
        <f t="shared" si="100"/>
        <v>292.17718363621327</v>
      </c>
      <c r="R131" s="326">
        <f t="shared" si="100"/>
        <v>292.17718363621327</v>
      </c>
      <c r="S131" s="326">
        <f t="shared" si="100"/>
        <v>292.17718363621327</v>
      </c>
      <c r="T131" s="326">
        <f t="shared" si="100"/>
        <v>292.17718363621327</v>
      </c>
      <c r="U131" s="326">
        <f t="shared" si="100"/>
        <v>292.17718363621327</v>
      </c>
      <c r="V131" s="326">
        <f t="shared" si="100"/>
        <v>292.17718363621327</v>
      </c>
      <c r="W131" s="326">
        <f t="shared" si="100"/>
        <v>292.17718363621327</v>
      </c>
      <c r="X131" s="326">
        <f t="shared" si="100"/>
        <v>292.17718363621327</v>
      </c>
      <c r="Y131" s="326">
        <f t="shared" si="100"/>
        <v>292.17718363621327</v>
      </c>
      <c r="Z131" s="326">
        <f t="shared" si="100"/>
        <v>292.17718363621327</v>
      </c>
      <c r="AA131" s="326">
        <f t="shared" si="100"/>
        <v>292.17718363621327</v>
      </c>
      <c r="AB131" s="326">
        <f t="shared" si="100"/>
        <v>292.17718363621327</v>
      </c>
      <c r="AC131" s="326">
        <f t="shared" si="100"/>
        <v>292.17718363621327</v>
      </c>
      <c r="AD131" s="326">
        <f t="shared" si="100"/>
        <v>292.17718363621327</v>
      </c>
      <c r="AE131" s="326">
        <f t="shared" si="100"/>
        <v>292.17718363621327</v>
      </c>
      <c r="AF131" s="326">
        <f t="shared" si="100"/>
        <v>292.17718363621327</v>
      </c>
      <c r="AG131" s="326">
        <f t="shared" si="100"/>
        <v>292.17718363621327</v>
      </c>
      <c r="AH131" s="326">
        <f t="shared" si="100"/>
        <v>292.17718363621327</v>
      </c>
      <c r="AI131" s="43"/>
    </row>
    <row r="132" spans="1:35">
      <c r="A132" s="205"/>
      <c r="B132" s="2" t="s">
        <v>262</v>
      </c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369">
        <v>0</v>
      </c>
      <c r="P132" s="370">
        <v>0</v>
      </c>
      <c r="Q132" s="370">
        <v>0</v>
      </c>
      <c r="R132" s="370">
        <v>0</v>
      </c>
      <c r="S132" s="370">
        <v>0</v>
      </c>
      <c r="T132" s="370">
        <v>0</v>
      </c>
      <c r="U132" s="370">
        <v>0</v>
      </c>
      <c r="V132" s="370">
        <v>0</v>
      </c>
      <c r="W132" s="370">
        <v>0</v>
      </c>
      <c r="X132" s="370">
        <v>0</v>
      </c>
      <c r="Y132" s="370">
        <v>0</v>
      </c>
      <c r="Z132" s="370">
        <v>0</v>
      </c>
      <c r="AA132" s="370">
        <v>0</v>
      </c>
      <c r="AB132" s="370">
        <v>0</v>
      </c>
      <c r="AC132" s="370">
        <v>0</v>
      </c>
      <c r="AD132" s="370">
        <v>0</v>
      </c>
      <c r="AE132" s="370">
        <v>0</v>
      </c>
      <c r="AF132" s="370">
        <v>0</v>
      </c>
      <c r="AG132" s="370">
        <v>0</v>
      </c>
      <c r="AH132" s="370">
        <v>0</v>
      </c>
      <c r="AI132" s="43"/>
    </row>
    <row r="133" spans="1:35">
      <c r="A133" s="205"/>
      <c r="B133" s="9" t="s">
        <v>259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388">
        <f>+Transaction!D20</f>
        <v>292.17718363621327</v>
      </c>
      <c r="O133" s="368">
        <f>SUM(O131:O132)</f>
        <v>292.17718363621327</v>
      </c>
      <c r="P133" s="358">
        <f t="shared" ref="P133" si="101">SUM(P131:P132)</f>
        <v>292.17718363621327</v>
      </c>
      <c r="Q133" s="358">
        <f t="shared" ref="Q133" si="102">SUM(Q131:Q132)</f>
        <v>292.17718363621327</v>
      </c>
      <c r="R133" s="358">
        <f t="shared" ref="R133" si="103">SUM(R131:R132)</f>
        <v>292.17718363621327</v>
      </c>
      <c r="S133" s="358">
        <f t="shared" ref="S133" si="104">SUM(S131:S132)</f>
        <v>292.17718363621327</v>
      </c>
      <c r="T133" s="358">
        <f t="shared" ref="T133" si="105">SUM(T131:T132)</f>
        <v>292.17718363621327</v>
      </c>
      <c r="U133" s="358">
        <f t="shared" ref="U133" si="106">SUM(U131:U132)</f>
        <v>292.17718363621327</v>
      </c>
      <c r="V133" s="358">
        <f t="shared" ref="V133" si="107">SUM(V131:V132)</f>
        <v>292.17718363621327</v>
      </c>
      <c r="W133" s="358">
        <f t="shared" ref="W133" si="108">SUM(W131:W132)</f>
        <v>292.17718363621327</v>
      </c>
      <c r="X133" s="358">
        <f t="shared" ref="X133" si="109">SUM(X131:X132)</f>
        <v>292.17718363621327</v>
      </c>
      <c r="Y133" s="358">
        <f t="shared" ref="Y133" si="110">SUM(Y131:Y132)</f>
        <v>292.17718363621327</v>
      </c>
      <c r="Z133" s="358">
        <f t="shared" ref="Z133" si="111">SUM(Z131:Z132)</f>
        <v>292.17718363621327</v>
      </c>
      <c r="AA133" s="358">
        <f t="shared" ref="AA133" si="112">SUM(AA131:AA132)</f>
        <v>292.17718363621327</v>
      </c>
      <c r="AB133" s="358">
        <f t="shared" ref="AB133" si="113">SUM(AB131:AB132)</f>
        <v>292.17718363621327</v>
      </c>
      <c r="AC133" s="358">
        <f t="shared" ref="AC133" si="114">SUM(AC131:AC132)</f>
        <v>292.17718363621327</v>
      </c>
      <c r="AD133" s="358">
        <f t="shared" ref="AD133" si="115">SUM(AD131:AD132)</f>
        <v>292.17718363621327</v>
      </c>
      <c r="AE133" s="358">
        <f t="shared" ref="AE133" si="116">SUM(AE131:AE132)</f>
        <v>292.17718363621327</v>
      </c>
      <c r="AF133" s="358">
        <f t="shared" ref="AF133" si="117">SUM(AF131:AF132)</f>
        <v>292.17718363621327</v>
      </c>
      <c r="AG133" s="358">
        <f t="shared" ref="AG133" si="118">SUM(AG131:AG132)</f>
        <v>292.17718363621327</v>
      </c>
      <c r="AH133" s="358">
        <f t="shared" ref="AH133" si="119">SUM(AH131:AH132)</f>
        <v>292.17718363621327</v>
      </c>
      <c r="AI133" s="42"/>
    </row>
    <row r="134" spans="1:35">
      <c r="A134" s="205"/>
      <c r="B134" s="2" t="s">
        <v>260</v>
      </c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77">
        <f>Transaction!$E$20</f>
        <v>0.05</v>
      </c>
      <c r="P134" s="478">
        <f>Transaction!$E$20</f>
        <v>0.05</v>
      </c>
      <c r="Q134" s="478">
        <f>Transaction!$E$20</f>
        <v>0.05</v>
      </c>
      <c r="R134" s="478">
        <f>Transaction!$E$20</f>
        <v>0.05</v>
      </c>
      <c r="S134" s="478">
        <f>Transaction!$E$20</f>
        <v>0.05</v>
      </c>
      <c r="T134" s="478">
        <f>Transaction!$E$20</f>
        <v>0.05</v>
      </c>
      <c r="U134" s="478">
        <f>Transaction!$E$20</f>
        <v>0.05</v>
      </c>
      <c r="V134" s="478">
        <f>Transaction!$E$20</f>
        <v>0.05</v>
      </c>
      <c r="W134" s="478">
        <f>Transaction!$E$20</f>
        <v>0.05</v>
      </c>
      <c r="X134" s="478">
        <f>Transaction!$E$20</f>
        <v>0.05</v>
      </c>
      <c r="Y134" s="478">
        <f>Transaction!$E$20</f>
        <v>0.05</v>
      </c>
      <c r="Z134" s="478">
        <f>Transaction!$E$20</f>
        <v>0.05</v>
      </c>
      <c r="AA134" s="478">
        <f>Transaction!$E$20</f>
        <v>0.05</v>
      </c>
      <c r="AB134" s="478">
        <f>Transaction!$E$20</f>
        <v>0.05</v>
      </c>
      <c r="AC134" s="478">
        <f>Transaction!$E$20</f>
        <v>0.05</v>
      </c>
      <c r="AD134" s="478">
        <f>Transaction!$E$20</f>
        <v>0.05</v>
      </c>
      <c r="AE134" s="478">
        <f>Transaction!$E$20</f>
        <v>0.05</v>
      </c>
      <c r="AF134" s="478">
        <f>Transaction!$E$20</f>
        <v>0.05</v>
      </c>
      <c r="AG134" s="478">
        <f>Transaction!$E$20</f>
        <v>0.05</v>
      </c>
      <c r="AH134" s="478">
        <f>Transaction!$E$20</f>
        <v>0.05</v>
      </c>
      <c r="AI134" s="43"/>
    </row>
    <row r="135" spans="1:35">
      <c r="A135" s="205"/>
      <c r="B135" s="9" t="s">
        <v>48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368">
        <f>+O134*AVERAGE(N133:O133)</f>
        <v>14.608859181810665</v>
      </c>
      <c r="P135" s="358">
        <f t="shared" ref="P135" si="120">+P134*AVERAGE(O133:P133)</f>
        <v>14.608859181810665</v>
      </c>
      <c r="Q135" s="358">
        <f t="shared" ref="Q135" si="121">+Q134*AVERAGE(P133:Q133)</f>
        <v>14.608859181810665</v>
      </c>
      <c r="R135" s="358">
        <f t="shared" ref="R135" si="122">+R134*AVERAGE(Q133:R133)</f>
        <v>14.608859181810665</v>
      </c>
      <c r="S135" s="358">
        <f t="shared" ref="S135" si="123">+S134*AVERAGE(R133:S133)</f>
        <v>14.608859181810665</v>
      </c>
      <c r="T135" s="358">
        <f t="shared" ref="T135" si="124">+T134*AVERAGE(S133:T133)</f>
        <v>14.608859181810665</v>
      </c>
      <c r="U135" s="358">
        <f t="shared" ref="U135" si="125">+U134*AVERAGE(T133:U133)</f>
        <v>14.608859181810665</v>
      </c>
      <c r="V135" s="358">
        <f t="shared" ref="V135" si="126">+V134*AVERAGE(U133:V133)</f>
        <v>14.608859181810665</v>
      </c>
      <c r="W135" s="358">
        <f t="shared" ref="W135" si="127">+W134*AVERAGE(V133:W133)</f>
        <v>14.608859181810665</v>
      </c>
      <c r="X135" s="358">
        <f t="shared" ref="X135" si="128">+X134*AVERAGE(W133:X133)</f>
        <v>14.608859181810665</v>
      </c>
      <c r="Y135" s="358">
        <f t="shared" ref="Y135" si="129">+Y134*AVERAGE(X133:Y133)</f>
        <v>14.608859181810665</v>
      </c>
      <c r="Z135" s="358">
        <f t="shared" ref="Z135" si="130">+Z134*AVERAGE(Y133:Z133)</f>
        <v>14.608859181810665</v>
      </c>
      <c r="AA135" s="358">
        <f t="shared" ref="AA135" si="131">+AA134*AVERAGE(Z133:AA133)</f>
        <v>14.608859181810665</v>
      </c>
      <c r="AB135" s="358">
        <f t="shared" ref="AB135" si="132">+AB134*AVERAGE(AA133:AB133)</f>
        <v>14.608859181810665</v>
      </c>
      <c r="AC135" s="358">
        <f t="shared" ref="AC135" si="133">+AC134*AVERAGE(AB133:AC133)</f>
        <v>14.608859181810665</v>
      </c>
      <c r="AD135" s="358">
        <f t="shared" ref="AD135" si="134">+AD134*AVERAGE(AC133:AD133)</f>
        <v>14.608859181810665</v>
      </c>
      <c r="AE135" s="358">
        <f t="shared" ref="AE135" si="135">+AE134*AVERAGE(AD133:AE133)</f>
        <v>14.608859181810665</v>
      </c>
      <c r="AF135" s="358">
        <f t="shared" ref="AF135" si="136">+AF134*AVERAGE(AE133:AF133)</f>
        <v>14.608859181810665</v>
      </c>
      <c r="AG135" s="358">
        <f t="shared" ref="AG135" si="137">+AG134*AVERAGE(AF133:AG133)</f>
        <v>14.608859181810665</v>
      </c>
      <c r="AH135" s="358">
        <f t="shared" ref="AH135" si="138">+AH134*AVERAGE(AG133:AH133)</f>
        <v>14.608859181810665</v>
      </c>
      <c r="AI135" s="42"/>
    </row>
    <row r="136" spans="1:35">
      <c r="A136" s="205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325"/>
      <c r="P136" s="326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6"/>
      <c r="AI136" s="43"/>
    </row>
    <row r="137" spans="1:35">
      <c r="A137" s="205"/>
      <c r="B137" s="16" t="s">
        <v>269</v>
      </c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72"/>
      <c r="O137" s="326"/>
      <c r="P137" s="326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326"/>
      <c r="AB137" s="326"/>
      <c r="AC137" s="326"/>
      <c r="AD137" s="326"/>
      <c r="AE137" s="326"/>
      <c r="AF137" s="326"/>
      <c r="AG137" s="326"/>
      <c r="AH137" s="326"/>
      <c r="AI137" s="43"/>
    </row>
    <row r="138" spans="1:35">
      <c r="A138" s="205"/>
      <c r="B138" s="2" t="s">
        <v>270</v>
      </c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356">
        <f>+N133+N124+N115</f>
        <v>730.44295909053312</v>
      </c>
      <c r="O138" s="326">
        <f t="shared" ref="O138:R138" ca="1" si="139">+O133+O124+O115</f>
        <v>726.79728116697675</v>
      </c>
      <c r="P138" s="326">
        <f t="shared" ca="1" si="139"/>
        <v>722.82341259050497</v>
      </c>
      <c r="Q138" s="326">
        <f t="shared" ca="1" si="139"/>
        <v>716.6326499809071</v>
      </c>
      <c r="R138" s="326">
        <f t="shared" ca="1" si="139"/>
        <v>707.10995781955171</v>
      </c>
      <c r="S138" s="326">
        <f t="shared" ref="S138:AH138" ca="1" si="140">+S133+S124+S115</f>
        <v>701.79316813233095</v>
      </c>
      <c r="T138" s="326">
        <f t="shared" ca="1" si="140"/>
        <v>696.1196480670302</v>
      </c>
      <c r="U138" s="326">
        <f t="shared" ca="1" si="140"/>
        <v>688.24890718982419</v>
      </c>
      <c r="V138" s="326">
        <f t="shared" ca="1" si="140"/>
        <v>677.02660776594598</v>
      </c>
      <c r="W138" s="326">
        <f t="shared" ca="1" si="140"/>
        <v>669.92559930451898</v>
      </c>
      <c r="X138" s="326">
        <f t="shared" ca="1" si="140"/>
        <v>662.4342471491168</v>
      </c>
      <c r="Y138" s="326">
        <f t="shared" ca="1" si="140"/>
        <v>652.71151961713781</v>
      </c>
      <c r="Z138" s="326">
        <f t="shared" ca="1" si="140"/>
        <v>639.60252937876157</v>
      </c>
      <c r="AA138" s="326">
        <f t="shared" ca="1" si="140"/>
        <v>630.57956787480998</v>
      </c>
      <c r="AB138" s="326">
        <f t="shared" ca="1" si="140"/>
        <v>621.13043377841223</v>
      </c>
      <c r="AC138" s="326">
        <f t="shared" ca="1" si="140"/>
        <v>609.41352000353334</v>
      </c>
      <c r="AD138" s="326">
        <f t="shared" ca="1" si="140"/>
        <v>594.27335495110242</v>
      </c>
      <c r="AE138" s="326">
        <f t="shared" ca="1" si="140"/>
        <v>584.32527731914752</v>
      </c>
      <c r="AF138" s="326">
        <f t="shared" ca="1" si="140"/>
        <v>574.12105785879862</v>
      </c>
      <c r="AG138" s="326">
        <f t="shared" ca="1" si="140"/>
        <v>561.82257928024069</v>
      </c>
      <c r="AH138" s="326">
        <f t="shared" ca="1" si="140"/>
        <v>546.27791713061413</v>
      </c>
      <c r="AI138" s="43"/>
    </row>
    <row r="139" spans="1:35">
      <c r="A139" s="205"/>
      <c r="B139" s="2" t="s">
        <v>272</v>
      </c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82">
        <f>+N138/N36</f>
        <v>5</v>
      </c>
      <c r="O139" s="479">
        <f t="shared" ref="O139:R139" ca="1" si="141">+O138/O36</f>
        <v>4.888335968383255</v>
      </c>
      <c r="P139" s="479">
        <f t="shared" ca="1" si="141"/>
        <v>4.7766311999282802</v>
      </c>
      <c r="Q139" s="479">
        <f t="shared" ca="1" si="141"/>
        <v>4.665092140054881</v>
      </c>
      <c r="R139" s="479">
        <f t="shared" ca="1" si="141"/>
        <v>4.5130415816973679</v>
      </c>
      <c r="S139" s="479">
        <f t="shared" ref="S139" ca="1" si="142">+S138/S36</f>
        <v>4.4376882847181367</v>
      </c>
      <c r="T139" s="479">
        <f t="shared" ref="T139" ca="1" si="143">+T138/T36</f>
        <v>4.3613745914619315</v>
      </c>
      <c r="U139" s="479">
        <f t="shared" ref="U139" ca="1" si="144">+U138/U36</f>
        <v>4.2718958234172613</v>
      </c>
      <c r="V139" s="479">
        <f t="shared" ref="V139" ca="1" si="145">+V138/V36</f>
        <v>4.1624310006460812</v>
      </c>
      <c r="W139" s="479">
        <f t="shared" ref="W139" ca="1" si="146">+W138/W36</f>
        <v>4.0799296106393719</v>
      </c>
      <c r="X139" s="479">
        <f t="shared" ref="X139" ca="1" si="147">+X138/X36</f>
        <v>3.996428083224814</v>
      </c>
      <c r="Y139" s="479">
        <f t="shared" ref="Y139" ca="1" si="148">+Y138/Y36</f>
        <v>3.9009619980517356</v>
      </c>
      <c r="Z139" s="479">
        <f t="shared" ref="Z139" ca="1" si="149">+Z138/Z36</f>
        <v>3.7870380796964187</v>
      </c>
      <c r="AA139" s="479">
        <f t="shared" ref="AA139" ca="1" si="150">+AA138/AA36</f>
        <v>3.6990146335528</v>
      </c>
      <c r="AB139" s="479">
        <f t="shared" ref="AB139" ca="1" si="151">+AB138/AB36</f>
        <v>3.6099648953408265</v>
      </c>
      <c r="AC139" s="479">
        <f t="shared" ref="AC139" ca="1" si="152">+AC138/AC36</f>
        <v>3.5093234229599757</v>
      </c>
      <c r="AD139" s="479">
        <f t="shared" ref="AD139" ca="1" si="153">+AD138/AD36</f>
        <v>3.3908267904967015</v>
      </c>
      <c r="AE139" s="479">
        <f t="shared" ref="AE139" ca="1" si="154">+AE138/AE36</f>
        <v>3.3250240040989301</v>
      </c>
      <c r="AF139" s="479">
        <f t="shared" ref="AF139" ca="1" si="155">+AF138/AF36</f>
        <v>3.2614817747880811</v>
      </c>
      <c r="AG139" s="479">
        <f t="shared" ref="AG139" ca="1" si="156">+AG138/AG36</f>
        <v>3.189573523042931</v>
      </c>
      <c r="AH139" s="479">
        <f t="shared" ref="AH139" ca="1" si="157">+AH138/AH36</f>
        <v>3.1025656931071373</v>
      </c>
      <c r="AI139" s="43"/>
    </row>
    <row r="140" spans="1:35">
      <c r="A140" s="205"/>
      <c r="B140" s="2" t="s">
        <v>271</v>
      </c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356"/>
      <c r="O140" s="326">
        <f ca="1">+O135+O126+O117</f>
        <v>23.3377179116615</v>
      </c>
      <c r="P140" s="326">
        <f ca="1">+P135+P126+P117</f>
        <v>23.261522446661218</v>
      </c>
      <c r="Q140" s="326">
        <f ca="1">+Q135+Q126+Q117</f>
        <v>23.15987613480052</v>
      </c>
      <c r="R140" s="326">
        <f ca="1">+R135+R126+R117</f>
        <v>23.002741587090988</v>
      </c>
      <c r="S140" s="326">
        <f t="shared" ref="S140:AH140" ca="1" si="158">+S135+S126+S117</f>
        <v>22.854346768605225</v>
      </c>
      <c r="T140" s="326">
        <f t="shared" ca="1" si="158"/>
        <v>22.74444367108001</v>
      </c>
      <c r="U140" s="326">
        <f t="shared" ca="1" si="158"/>
        <v>22.609001061654943</v>
      </c>
      <c r="V140" s="326">
        <f t="shared" ca="1" si="158"/>
        <v>22.418070658644101</v>
      </c>
      <c r="W140" s="326">
        <f t="shared" ca="1" si="158"/>
        <v>22.234837579791048</v>
      </c>
      <c r="X140" s="326">
        <f t="shared" ca="1" si="158"/>
        <v>22.088913973622759</v>
      </c>
      <c r="Y140" s="326">
        <f t="shared" ca="1" si="158"/>
        <v>21.916773176748947</v>
      </c>
      <c r="Z140" s="326">
        <f t="shared" ca="1" si="158"/>
        <v>21.688455999045395</v>
      </c>
      <c r="AA140" s="326">
        <f t="shared" ca="1" si="158"/>
        <v>21.467136481622116</v>
      </c>
      <c r="AB140" s="326">
        <f t="shared" ca="1" si="158"/>
        <v>21.282415525618621</v>
      </c>
      <c r="AC140" s="326">
        <f t="shared" ca="1" si="158"/>
        <v>21.070755046905855</v>
      </c>
      <c r="AD140" s="326">
        <f t="shared" ca="1" si="158"/>
        <v>20.802184258632757</v>
      </c>
      <c r="AE140" s="326">
        <f t="shared" ca="1" si="158"/>
        <v>20.551301831788898</v>
      </c>
      <c r="AF140" s="326">
        <f t="shared" ca="1" si="158"/>
        <v>20.349778860865861</v>
      </c>
      <c r="AG140" s="326">
        <f t="shared" ca="1" si="158"/>
        <v>20.124751880476794</v>
      </c>
      <c r="AH140" s="326">
        <f t="shared" ca="1" si="158"/>
        <v>19.846320473194947</v>
      </c>
      <c r="AI140" s="43"/>
    </row>
    <row r="141" spans="1:35">
      <c r="A141" s="205"/>
      <c r="B141" s="2" t="s">
        <v>273</v>
      </c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326"/>
      <c r="O141" s="480"/>
      <c r="P141" s="481"/>
      <c r="Q141" s="481"/>
      <c r="R141" s="479">
        <f ca="1">+R36/SUM(O140:R140)</f>
        <v>1.6890720635751102</v>
      </c>
      <c r="S141" s="479">
        <f t="shared" ref="S141:AH141" ca="1" si="159">+S36/SUM(P140:S140)</f>
        <v>1.7137674039568604</v>
      </c>
      <c r="T141" s="479">
        <f t="shared" ca="1" si="159"/>
        <v>1.7394038749421425</v>
      </c>
      <c r="U141" s="479">
        <f t="shared" ca="1" si="159"/>
        <v>1.7663626919991064</v>
      </c>
      <c r="V141" s="479">
        <f t="shared" ca="1" si="159"/>
        <v>1.7947606478515141</v>
      </c>
      <c r="W141" s="479">
        <f t="shared" ca="1" si="159"/>
        <v>1.8243188199630631</v>
      </c>
      <c r="X141" s="479">
        <f t="shared" ca="1" si="159"/>
        <v>1.8551208918999895</v>
      </c>
      <c r="Y141" s="479">
        <f t="shared" ca="1" si="159"/>
        <v>1.8872468600291763</v>
      </c>
      <c r="Z141" s="479">
        <f t="shared" ca="1" si="159"/>
        <v>1.9207837000276724</v>
      </c>
      <c r="AA141" s="479">
        <f t="shared" ca="1" si="159"/>
        <v>1.9558261459082957</v>
      </c>
      <c r="AB141" s="479">
        <f t="shared" ca="1" si="159"/>
        <v>1.9924775757390925</v>
      </c>
      <c r="AC141" s="479">
        <f t="shared" ca="1" si="159"/>
        <v>2.0308510215044344</v>
      </c>
      <c r="AD141" s="479">
        <f t="shared" ca="1" si="159"/>
        <v>2.0710703238943307</v>
      </c>
      <c r="AE141" s="479">
        <f t="shared" ca="1" si="159"/>
        <v>2.0994227201379894</v>
      </c>
      <c r="AF141" s="479">
        <f t="shared" ca="1" si="159"/>
        <v>2.1266424213493362</v>
      </c>
      <c r="AG141" s="479">
        <f t="shared" ca="1" si="159"/>
        <v>2.1526059969926736</v>
      </c>
      <c r="AH141" s="479">
        <f t="shared" ca="1" si="159"/>
        <v>2.1771765777617733</v>
      </c>
      <c r="AI141" s="43"/>
    </row>
    <row r="142" spans="1:35">
      <c r="A142" s="205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325"/>
      <c r="P142" s="326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43"/>
    </row>
    <row r="143" spans="1:35">
      <c r="C143" s="10"/>
      <c r="D143" s="58"/>
      <c r="E143" s="58"/>
    </row>
    <row r="144" spans="1:35" s="2" customFormat="1">
      <c r="B144" s="3" t="s">
        <v>55</v>
      </c>
      <c r="C144" s="29"/>
      <c r="D144" s="29"/>
      <c r="E144" s="29" t="s">
        <v>207</v>
      </c>
      <c r="F144" s="29"/>
      <c r="G144" s="29"/>
      <c r="H144" s="29"/>
      <c r="I144" s="29"/>
      <c r="J144" s="29"/>
      <c r="K144" s="29"/>
      <c r="L144" s="29"/>
      <c r="M144" s="29"/>
      <c r="N144" s="64"/>
      <c r="O144" s="65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88" t="s">
        <v>253</v>
      </c>
      <c r="AI144" s="172"/>
    </row>
    <row r="145" spans="2:35" s="2" customFormat="1">
      <c r="B145" s="4"/>
      <c r="C145" s="130">
        <f t="shared" ref="C145:N145" si="160">YEAR(C146)</f>
        <v>2020</v>
      </c>
      <c r="D145" s="130">
        <f t="shared" si="160"/>
        <v>2020</v>
      </c>
      <c r="E145" s="130">
        <f t="shared" si="160"/>
        <v>2020</v>
      </c>
      <c r="F145" s="130">
        <f t="shared" si="160"/>
        <v>2020</v>
      </c>
      <c r="G145" s="130">
        <f t="shared" si="160"/>
        <v>2021</v>
      </c>
      <c r="H145" s="130">
        <f t="shared" si="160"/>
        <v>2021</v>
      </c>
      <c r="I145" s="130">
        <f t="shared" si="160"/>
        <v>2021</v>
      </c>
      <c r="J145" s="130">
        <f t="shared" si="160"/>
        <v>2021</v>
      </c>
      <c r="K145" s="130">
        <f t="shared" si="160"/>
        <v>2022</v>
      </c>
      <c r="L145" s="130">
        <f t="shared" si="160"/>
        <v>2022</v>
      </c>
      <c r="M145" s="130">
        <f t="shared" si="160"/>
        <v>2022</v>
      </c>
      <c r="N145" s="270">
        <f t="shared" si="160"/>
        <v>2022</v>
      </c>
      <c r="O145" s="158">
        <f t="shared" ref="O145:AH145" si="161">YEAR(O146)</f>
        <v>2023</v>
      </c>
      <c r="P145" s="130">
        <f t="shared" si="161"/>
        <v>2023</v>
      </c>
      <c r="Q145" s="130">
        <f t="shared" si="161"/>
        <v>2023</v>
      </c>
      <c r="R145" s="130">
        <f t="shared" si="161"/>
        <v>2023</v>
      </c>
      <c r="S145" s="130">
        <f t="shared" si="161"/>
        <v>2024</v>
      </c>
      <c r="T145" s="130">
        <f t="shared" si="161"/>
        <v>2024</v>
      </c>
      <c r="U145" s="130">
        <f t="shared" si="161"/>
        <v>2024</v>
      </c>
      <c r="V145" s="130">
        <f t="shared" si="161"/>
        <v>2024</v>
      </c>
      <c r="W145" s="130">
        <f t="shared" si="161"/>
        <v>2025</v>
      </c>
      <c r="X145" s="130">
        <f t="shared" si="161"/>
        <v>2025</v>
      </c>
      <c r="Y145" s="130">
        <f t="shared" si="161"/>
        <v>2025</v>
      </c>
      <c r="Z145" s="130">
        <f t="shared" si="161"/>
        <v>2025</v>
      </c>
      <c r="AA145" s="130">
        <f t="shared" si="161"/>
        <v>2026</v>
      </c>
      <c r="AB145" s="130">
        <f t="shared" si="161"/>
        <v>2026</v>
      </c>
      <c r="AC145" s="130">
        <f t="shared" si="161"/>
        <v>2026</v>
      </c>
      <c r="AD145" s="130">
        <f t="shared" si="161"/>
        <v>2026</v>
      </c>
      <c r="AE145" s="130">
        <f t="shared" si="161"/>
        <v>2027</v>
      </c>
      <c r="AF145" s="130">
        <f t="shared" si="161"/>
        <v>2027</v>
      </c>
      <c r="AG145" s="130">
        <f t="shared" si="161"/>
        <v>2027</v>
      </c>
      <c r="AH145" s="130">
        <f t="shared" si="161"/>
        <v>2027</v>
      </c>
      <c r="AI145" s="173"/>
    </row>
    <row r="146" spans="2:35" s="2" customFormat="1">
      <c r="B146" s="4"/>
      <c r="C146" s="76">
        <f t="shared" ref="C146:AH146" si="162">C$4</f>
        <v>43921</v>
      </c>
      <c r="D146" s="76">
        <f t="shared" si="162"/>
        <v>44012</v>
      </c>
      <c r="E146" s="76">
        <f t="shared" si="162"/>
        <v>44104</v>
      </c>
      <c r="F146" s="76">
        <f t="shared" si="162"/>
        <v>44196</v>
      </c>
      <c r="G146" s="76">
        <f t="shared" si="162"/>
        <v>44286</v>
      </c>
      <c r="H146" s="76">
        <f t="shared" si="162"/>
        <v>44377</v>
      </c>
      <c r="I146" s="76">
        <f t="shared" si="162"/>
        <v>44469</v>
      </c>
      <c r="J146" s="76">
        <f t="shared" si="162"/>
        <v>44561</v>
      </c>
      <c r="K146" s="76">
        <f t="shared" si="162"/>
        <v>44651</v>
      </c>
      <c r="L146" s="76">
        <f t="shared" si="162"/>
        <v>44742</v>
      </c>
      <c r="M146" s="76">
        <f t="shared" si="162"/>
        <v>44834</v>
      </c>
      <c r="N146" s="91">
        <f t="shared" si="162"/>
        <v>44926</v>
      </c>
      <c r="O146" s="92">
        <f t="shared" si="162"/>
        <v>45016</v>
      </c>
      <c r="P146" s="76">
        <f t="shared" si="162"/>
        <v>45107</v>
      </c>
      <c r="Q146" s="76">
        <f t="shared" si="162"/>
        <v>45199</v>
      </c>
      <c r="R146" s="76">
        <f t="shared" si="162"/>
        <v>45291</v>
      </c>
      <c r="S146" s="76">
        <f t="shared" si="162"/>
        <v>45382</v>
      </c>
      <c r="T146" s="76">
        <f t="shared" si="162"/>
        <v>45473</v>
      </c>
      <c r="U146" s="76">
        <f t="shared" si="162"/>
        <v>45565</v>
      </c>
      <c r="V146" s="76">
        <f t="shared" si="162"/>
        <v>45657</v>
      </c>
      <c r="W146" s="76">
        <f t="shared" si="162"/>
        <v>45747</v>
      </c>
      <c r="X146" s="76">
        <f t="shared" si="162"/>
        <v>45838</v>
      </c>
      <c r="Y146" s="76">
        <f t="shared" si="162"/>
        <v>45930</v>
      </c>
      <c r="Z146" s="76">
        <f t="shared" si="162"/>
        <v>46022</v>
      </c>
      <c r="AA146" s="76">
        <f t="shared" si="162"/>
        <v>46112</v>
      </c>
      <c r="AB146" s="76">
        <f t="shared" si="162"/>
        <v>46203</v>
      </c>
      <c r="AC146" s="76">
        <f t="shared" si="162"/>
        <v>46295</v>
      </c>
      <c r="AD146" s="76">
        <f t="shared" si="162"/>
        <v>46387</v>
      </c>
      <c r="AE146" s="76">
        <f t="shared" si="162"/>
        <v>46477</v>
      </c>
      <c r="AF146" s="76">
        <f t="shared" si="162"/>
        <v>46568</v>
      </c>
      <c r="AG146" s="76">
        <f t="shared" si="162"/>
        <v>46660</v>
      </c>
      <c r="AH146" s="76">
        <f t="shared" si="162"/>
        <v>46752</v>
      </c>
      <c r="AI146" s="174"/>
    </row>
    <row r="147" spans="2:35">
      <c r="B147" s="16" t="s">
        <v>266</v>
      </c>
      <c r="I147" s="1"/>
      <c r="J147" s="1"/>
      <c r="K147" s="1"/>
      <c r="L147" s="1"/>
      <c r="M147" s="1"/>
      <c r="N147" s="69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2:35">
      <c r="B148" s="2" t="s">
        <v>51</v>
      </c>
      <c r="I148" s="1"/>
      <c r="J148" s="1"/>
      <c r="K148" s="1"/>
      <c r="L148" s="1"/>
      <c r="M148" s="1"/>
      <c r="N148" s="72"/>
      <c r="O148" s="325">
        <f t="shared" ref="O148:AH148" ca="1" si="163">+O44</f>
        <v>4.5030229022538837</v>
      </c>
      <c r="P148" s="326">
        <f t="shared" ca="1" si="163"/>
        <v>4.6702010576840909</v>
      </c>
      <c r="Q148" s="326">
        <f t="shared" ca="1" si="163"/>
        <v>4.8570175060430145</v>
      </c>
      <c r="R148" s="326">
        <f t="shared" ca="1" si="163"/>
        <v>5.0860030398608824</v>
      </c>
      <c r="S148" s="326">
        <f t="shared" ca="1" si="163"/>
        <v>5.3089894498760977</v>
      </c>
      <c r="T148" s="326">
        <f t="shared" ca="1" si="163"/>
        <v>5.5036655206516629</v>
      </c>
      <c r="U148" s="326">
        <f t="shared" ca="1" si="163"/>
        <v>5.718057469090267</v>
      </c>
      <c r="V148" s="326">
        <f t="shared" ca="1" si="163"/>
        <v>5.9746293126750567</v>
      </c>
      <c r="W148" s="326">
        <f t="shared" ca="1" si="163"/>
        <v>6.225995033348136</v>
      </c>
      <c r="X148" s="326">
        <f t="shared" ca="1" si="163"/>
        <v>6.4499483540653149</v>
      </c>
      <c r="Y148" s="326">
        <f t="shared" ca="1" si="163"/>
        <v>6.6941371208920764</v>
      </c>
      <c r="Z148" s="326">
        <f t="shared" ca="1" si="163"/>
        <v>6.9810335891870157</v>
      </c>
      <c r="AA148" s="326">
        <f t="shared" ca="1" si="163"/>
        <v>7.2632601051968217</v>
      </c>
      <c r="AB148" s="326">
        <f t="shared" ca="1" si="163"/>
        <v>7.5186188845315085</v>
      </c>
      <c r="AC148" s="326">
        <f t="shared" ca="1" si="163"/>
        <v>7.794766396209817</v>
      </c>
      <c r="AD148" s="326">
        <f t="shared" ca="1" si="163"/>
        <v>8.1141836508215839</v>
      </c>
      <c r="AE148" s="326">
        <f t="shared" ca="1" si="163"/>
        <v>8.4209245801784665</v>
      </c>
      <c r="AF148" s="326">
        <f t="shared" ca="1" si="163"/>
        <v>8.6912388131409024</v>
      </c>
      <c r="AG148" s="326">
        <f t="shared" ca="1" si="163"/>
        <v>8.9797769132215333</v>
      </c>
      <c r="AH148" s="326">
        <f t="shared" ca="1" si="163"/>
        <v>9.3089671731813173</v>
      </c>
    </row>
    <row r="149" spans="2:35">
      <c r="B149" s="2" t="s">
        <v>62</v>
      </c>
      <c r="I149" s="1"/>
      <c r="J149" s="1"/>
      <c r="K149" s="1"/>
      <c r="L149" s="1"/>
      <c r="M149" s="1"/>
      <c r="N149" s="87"/>
      <c r="O149" s="325">
        <f t="shared" ref="O149:AH149" si="164">+-O85</f>
        <v>8.1454275063989332</v>
      </c>
      <c r="P149" s="326">
        <f t="shared" si="164"/>
        <v>8.1895806674021596</v>
      </c>
      <c r="Q149" s="326">
        <f t="shared" si="164"/>
        <v>8.2034120890474647</v>
      </c>
      <c r="R149" s="326">
        <f t="shared" si="164"/>
        <v>8.2118183394446795</v>
      </c>
      <c r="S149" s="326">
        <f t="shared" si="164"/>
        <v>8.2528774311419024</v>
      </c>
      <c r="T149" s="326">
        <f t="shared" si="164"/>
        <v>8.2941418182976108</v>
      </c>
      <c r="U149" s="326">
        <f t="shared" si="164"/>
        <v>8.3356125273891006</v>
      </c>
      <c r="V149" s="326">
        <f t="shared" si="164"/>
        <v>8.3772905900260444</v>
      </c>
      <c r="W149" s="326">
        <f t="shared" si="164"/>
        <v>8.4191770429761768</v>
      </c>
      <c r="X149" s="326">
        <f t="shared" si="164"/>
        <v>8.4612729281910557</v>
      </c>
      <c r="Y149" s="326">
        <f t="shared" si="164"/>
        <v>8.5035792928320113</v>
      </c>
      <c r="Z149" s="326">
        <f t="shared" si="164"/>
        <v>8.5460971892961712</v>
      </c>
      <c r="AA149" s="326">
        <f t="shared" si="164"/>
        <v>8.5888276752426531</v>
      </c>
      <c r="AB149" s="326">
        <f t="shared" si="164"/>
        <v>8.6317718136188653</v>
      </c>
      <c r="AC149" s="326">
        <f t="shared" si="164"/>
        <v>8.6749306726869602</v>
      </c>
      <c r="AD149" s="326">
        <f t="shared" si="164"/>
        <v>8.7183053260503947</v>
      </c>
      <c r="AE149" s="326">
        <f t="shared" si="164"/>
        <v>8.7618968526806462</v>
      </c>
      <c r="AF149" s="326">
        <f t="shared" si="164"/>
        <v>8.8057063369440485</v>
      </c>
      <c r="AG149" s="326">
        <f t="shared" si="164"/>
        <v>8.8497348686287687</v>
      </c>
      <c r="AH149" s="326">
        <f t="shared" si="164"/>
        <v>8.8939835429719132</v>
      </c>
    </row>
    <row r="150" spans="2:35">
      <c r="B150" s="2" t="s">
        <v>204</v>
      </c>
      <c r="I150" s="1"/>
      <c r="J150" s="1"/>
      <c r="K150" s="1"/>
      <c r="L150" s="1"/>
      <c r="M150" s="1"/>
      <c r="N150" s="87"/>
      <c r="O150" s="367">
        <f>+-(Capitalizations!H8+Capitalizations!H48)</f>
        <v>1.1350632231603217</v>
      </c>
      <c r="P150" s="357">
        <f>+-(Capitalizations!I8+Capitalizations!I48)</f>
        <v>1.3245620152203217</v>
      </c>
      <c r="Q150" s="357">
        <f>+-(Capitalizations!J8+Capitalizations!J48)</f>
        <v>1.5150083012406217</v>
      </c>
      <c r="R150" s="357">
        <f>+-(Capitalizations!K8+Capitalizations!K48)</f>
        <v>1.7064068186910233</v>
      </c>
      <c r="S150" s="357">
        <f>+-(Capitalizations!L8+Capitalizations!L48)</f>
        <v>1.8987623287286768</v>
      </c>
      <c r="T150" s="357">
        <f>+-(Capitalizations!M8+Capitalizations!M48)</f>
        <v>2.0920796163165187</v>
      </c>
      <c r="U150" s="357">
        <f>+-(Capitalizations!N8+Capitalizations!N48)</f>
        <v>2.2863634903422994</v>
      </c>
      <c r="V150" s="357">
        <f>+-(Capitalizations!O8+Capitalizations!O48)</f>
        <v>2.4816187837382091</v>
      </c>
      <c r="W150" s="357">
        <f>+-(Capitalizations!P8+Capitalizations!P48)</f>
        <v>2.6778503536010989</v>
      </c>
      <c r="X150" s="357">
        <f>+-(Capitalizations!Q8+Capitalizations!Q48)</f>
        <v>2.8750630813133027</v>
      </c>
      <c r="Y150" s="357">
        <f>+-(Capitalizations!R8+Capitalizations!R48)</f>
        <v>3.0732618726640677</v>
      </c>
      <c r="Z150" s="357">
        <f>+-(Capitalizations!S8+Capitalizations!S48)</f>
        <v>3.2724516579715859</v>
      </c>
      <c r="AA150" s="357">
        <f>+-(Capitalizations!T8+Capitalizations!T48)</f>
        <v>3.4726373922056424</v>
      </c>
      <c r="AB150" s="357">
        <f>+-(Capitalizations!U8+Capitalizations!U48)</f>
        <v>3.673824055110869</v>
      </c>
      <c r="AC150" s="357">
        <f>+-(Capitalizations!V8+Capitalizations!V48)</f>
        <v>3.8760166513306218</v>
      </c>
      <c r="AD150" s="357">
        <f>+-(Capitalizations!W8+Capitalizations!W48)</f>
        <v>4.0792202105314734</v>
      </c>
      <c r="AE150" s="357">
        <f>+-(Capitalizations!X8+Capitalizations!X48)</f>
        <v>3.1483765643680077</v>
      </c>
      <c r="AF150" s="357">
        <f>+-(Capitalizations!Y8+Capitalizations!Y48)</f>
        <v>3.164118447189848</v>
      </c>
      <c r="AG150" s="357">
        <f>+-(Capitalizations!Z8+Capitalizations!Z48)</f>
        <v>3.1799390394257969</v>
      </c>
      <c r="AH150" s="357">
        <f>+-(Capitalizations!AA8+Capitalizations!AA48)</f>
        <v>3.1958387346229258</v>
      </c>
    </row>
    <row r="151" spans="2:35">
      <c r="B151" s="2" t="s">
        <v>101</v>
      </c>
      <c r="I151" s="1"/>
      <c r="J151" s="1"/>
      <c r="K151" s="1"/>
      <c r="L151" s="1"/>
      <c r="M151" s="1"/>
      <c r="N151" s="87"/>
      <c r="O151" s="325">
        <f t="shared" ref="O151:AH151" si="165">+N72-O72</f>
        <v>-2.5197614135730504</v>
      </c>
      <c r="P151" s="326">
        <f t="shared" si="165"/>
        <v>-2.5505418718594246</v>
      </c>
      <c r="Q151" s="326">
        <f t="shared" si="165"/>
        <v>-0.71627045815882262</v>
      </c>
      <c r="R151" s="326">
        <f t="shared" si="165"/>
        <v>2.1893389250232325</v>
      </c>
      <c r="S151" s="326">
        <f t="shared" si="165"/>
        <v>-2.4346101860531117</v>
      </c>
      <c r="T151" s="326">
        <f t="shared" si="165"/>
        <v>-2.4685914068099368</v>
      </c>
      <c r="U151" s="326">
        <f t="shared" si="165"/>
        <v>-0.68277824904478912</v>
      </c>
      <c r="V151" s="326">
        <f t="shared" si="165"/>
        <v>2.2142076698127227</v>
      </c>
      <c r="W151" s="326">
        <f t="shared" si="165"/>
        <v>-2.3574398014628564</v>
      </c>
      <c r="X151" s="326">
        <f t="shared" si="165"/>
        <v>-2.3910351702967088</v>
      </c>
      <c r="Y151" s="326">
        <f t="shared" si="165"/>
        <v>-0.60483423134897762</v>
      </c>
      <c r="Z151" s="326">
        <f t="shared" si="165"/>
        <v>2.2925414075970032</v>
      </c>
      <c r="AA151" s="326">
        <f t="shared" si="165"/>
        <v>-2.278714394989624</v>
      </c>
      <c r="AB151" s="326">
        <f t="shared" si="165"/>
        <v>-2.3119161367911172</v>
      </c>
      <c r="AC151" s="326">
        <f t="shared" si="165"/>
        <v>-0.5253196026758733</v>
      </c>
      <c r="AD151" s="326">
        <f t="shared" si="165"/>
        <v>2.3724536094134727</v>
      </c>
      <c r="AE151" s="326">
        <f t="shared" si="165"/>
        <v>-2.1984026321640773</v>
      </c>
      <c r="AF151" s="326">
        <f t="shared" si="165"/>
        <v>-2.2312028151514589</v>
      </c>
      <c r="AG151" s="326">
        <f t="shared" si="165"/>
        <v>-0.44420271442800363</v>
      </c>
      <c r="AH151" s="326">
        <f t="shared" si="165"/>
        <v>2.4539760821025709</v>
      </c>
    </row>
    <row r="152" spans="2:35">
      <c r="B152" s="2" t="s">
        <v>152</v>
      </c>
      <c r="I152" s="1"/>
      <c r="J152" s="1"/>
      <c r="K152" s="1"/>
      <c r="L152" s="1"/>
      <c r="M152" s="1"/>
      <c r="N152" s="87"/>
      <c r="O152" s="367">
        <f>Model!O172</f>
        <v>4.5694882916352011</v>
      </c>
      <c r="P152" s="357">
        <f>Model!P172</f>
        <v>4.5923357330933756</v>
      </c>
      <c r="Q152" s="357">
        <f>Model!Q172</f>
        <v>4.6152974117588439</v>
      </c>
      <c r="R152" s="357">
        <f>Model!R172</f>
        <v>4.6383738988176377</v>
      </c>
      <c r="S152" s="357">
        <f>Model!S172</f>
        <v>4.6615657683117258</v>
      </c>
      <c r="T152" s="357">
        <f>Model!T172</f>
        <v>4.6848735971532838</v>
      </c>
      <c r="U152" s="357">
        <f>Model!U172</f>
        <v>4.7082979651390513</v>
      </c>
      <c r="V152" s="357">
        <f>Model!V172</f>
        <v>4.7318394549647458</v>
      </c>
      <c r="W152" s="357">
        <f>Model!W172</f>
        <v>4.7554986522395692</v>
      </c>
      <c r="X152" s="357">
        <f>Model!X172</f>
        <v>4.7792761455007664</v>
      </c>
      <c r="Y152" s="357">
        <f>Model!Y172</f>
        <v>4.8031725262282707</v>
      </c>
      <c r="Z152" s="357">
        <f>Model!Z172</f>
        <v>4.8271883888594118</v>
      </c>
      <c r="AA152" s="357">
        <f>Model!AA172</f>
        <v>4.8513243308037088</v>
      </c>
      <c r="AB152" s="357">
        <f>Model!AB172</f>
        <v>4.8755809524577272</v>
      </c>
      <c r="AC152" s="357">
        <f>Model!AC172</f>
        <v>4.8999588572200157</v>
      </c>
      <c r="AD152" s="357">
        <f>Model!AD172</f>
        <v>4.9244586515061162</v>
      </c>
      <c r="AE152" s="357">
        <f>Model!AE172</f>
        <v>4.9490809447636472</v>
      </c>
      <c r="AF152" s="357">
        <f>Model!AF172</f>
        <v>4.9738263494874637</v>
      </c>
      <c r="AG152" s="357">
        <f>Model!AG172</f>
        <v>4.9986954812349023</v>
      </c>
      <c r="AH152" s="357">
        <f>Model!AH172</f>
        <v>5.0236889586410767</v>
      </c>
    </row>
    <row r="153" spans="2:35">
      <c r="B153" s="2" t="s">
        <v>213</v>
      </c>
      <c r="I153" s="1"/>
      <c r="J153" s="1"/>
      <c r="K153" s="1"/>
      <c r="L153" s="1"/>
      <c r="M153" s="1"/>
      <c r="N153" s="87"/>
      <c r="O153" s="367">
        <f>-Capitalizations!H7</f>
        <v>-2.6407573603200007</v>
      </c>
      <c r="P153" s="357">
        <f>-Capitalizations!I7</f>
        <v>-2.6539611471216005</v>
      </c>
      <c r="Q153" s="357">
        <f>-Capitalizations!J7</f>
        <v>-2.6672309528572082</v>
      </c>
      <c r="R153" s="357">
        <f>-Capitalizations!K7</f>
        <v>-2.6805671076214943</v>
      </c>
      <c r="S153" s="357">
        <f>-Capitalizations!L7</f>
        <v>-2.6939699431596016</v>
      </c>
      <c r="T153" s="357">
        <f>-Capitalizations!M7</f>
        <v>-2.7074397928753995</v>
      </c>
      <c r="U153" s="357">
        <f>-Capitalizations!N7</f>
        <v>-2.7209769918397764</v>
      </c>
      <c r="V153" s="357">
        <f>-Capitalizations!O7</f>
        <v>-2.734581876798976</v>
      </c>
      <c r="W153" s="357">
        <f>-Capitalizations!P7</f>
        <v>-2.74825478618297</v>
      </c>
      <c r="X153" s="357">
        <f>-Capitalizations!Q7</f>
        <v>-2.7619960601138849</v>
      </c>
      <c r="Y153" s="357">
        <f>-Capitalizations!R7</f>
        <v>-2.7758060404144542</v>
      </c>
      <c r="Z153" s="357">
        <f>-Capitalizations!S7</f>
        <v>-2.7896850706165268</v>
      </c>
      <c r="AA153" s="357">
        <f>-Capitalizations!T7</f>
        <v>-2.8036334959696094</v>
      </c>
      <c r="AB153" s="357">
        <f>-Capitalizations!U7</f>
        <v>-2.8176516634494573</v>
      </c>
      <c r="AC153" s="357">
        <f>-Capitalizations!V7</f>
        <v>-2.8317399217667041</v>
      </c>
      <c r="AD153" s="357">
        <f>-Capitalizations!W7</f>
        <v>-2.8458986213755382</v>
      </c>
      <c r="AE153" s="357">
        <f>-Capitalizations!X7</f>
        <v>-2.860128114482416</v>
      </c>
      <c r="AF153" s="357">
        <f>-Capitalizations!Y7</f>
        <v>-2.874428755054828</v>
      </c>
      <c r="AG153" s="357">
        <f>-Capitalizations!Z7</f>
        <v>-2.8888008988301017</v>
      </c>
      <c r="AH153" s="357">
        <f>-Capitalizations!AA7</f>
        <v>-2.9032449033242522</v>
      </c>
    </row>
    <row r="154" spans="2:35">
      <c r="B154" s="2" t="s">
        <v>215</v>
      </c>
      <c r="I154" s="1"/>
      <c r="J154" s="1"/>
      <c r="K154" s="1"/>
      <c r="L154" s="1"/>
      <c r="M154" s="1"/>
      <c r="N154" s="87"/>
      <c r="O154" s="367">
        <f>-Capitalizations!H47</f>
        <v>-0.58683496896000009</v>
      </c>
      <c r="P154" s="357">
        <f>-Capitalizations!I47</f>
        <v>-0.58976914380480006</v>
      </c>
      <c r="Q154" s="357">
        <f>-Capitalizations!J47</f>
        <v>-0.59271798952382404</v>
      </c>
      <c r="R154" s="357">
        <f>-Capitalizations!K47</f>
        <v>-0.59568157947144318</v>
      </c>
      <c r="S154" s="357">
        <f>-Capitalizations!L47</f>
        <v>-0.59865998736880044</v>
      </c>
      <c r="T154" s="357">
        <f>-Capitalizations!M47</f>
        <v>-0.60165328730564438</v>
      </c>
      <c r="U154" s="357">
        <f>-Capitalizations!N47</f>
        <v>-0.60466155374217256</v>
      </c>
      <c r="V154" s="357">
        <f>-Capitalizations!O47</f>
        <v>-0.60768486151088341</v>
      </c>
      <c r="W154" s="357">
        <f>-Capitalizations!P47</f>
        <v>-0.61072328581843793</v>
      </c>
      <c r="X154" s="357">
        <f>-Capitalizations!Q47</f>
        <v>-0.61377690224753012</v>
      </c>
      <c r="Y154" s="357">
        <f>-Capitalizations!R47</f>
        <v>-0.61684578675876767</v>
      </c>
      <c r="Z154" s="357">
        <f>-Capitalizations!S47</f>
        <v>-0.61993001569256156</v>
      </c>
      <c r="AA154" s="357">
        <f>-Capitalizations!T47</f>
        <v>-0.62302966577102425</v>
      </c>
      <c r="AB154" s="357">
        <f>-Capitalizations!U47</f>
        <v>-0.62614481409987932</v>
      </c>
      <c r="AC154" s="357">
        <f>-Capitalizations!V47</f>
        <v>-0.62927553817037873</v>
      </c>
      <c r="AD154" s="357">
        <f>-Capitalizations!W47</f>
        <v>-0.63242191586123064</v>
      </c>
      <c r="AE154" s="357">
        <f>-Capitalizations!X47</f>
        <v>-0.63558402544053683</v>
      </c>
      <c r="AF154" s="357">
        <f>-Capitalizations!Y47</f>
        <v>-0.63876194556773946</v>
      </c>
      <c r="AG154" s="357">
        <f>-Capitalizations!Z47</f>
        <v>-0.64195575529557813</v>
      </c>
      <c r="AH154" s="357">
        <f>-Capitalizations!AA47</f>
        <v>-0.64516553407205601</v>
      </c>
    </row>
    <row r="155" spans="2:35">
      <c r="B155" s="2" t="s">
        <v>67</v>
      </c>
      <c r="I155" s="1"/>
      <c r="J155" s="1"/>
      <c r="K155" s="1"/>
      <c r="L155" s="1"/>
      <c r="M155" s="1"/>
      <c r="N155" s="87"/>
      <c r="O155" s="325">
        <f t="shared" ref="O155:AH155" si="166">-O84</f>
        <v>-8.959970257038826</v>
      </c>
      <c r="P155" s="326">
        <f t="shared" si="166"/>
        <v>-9.0085387341423768</v>
      </c>
      <c r="Q155" s="326">
        <f t="shared" si="166"/>
        <v>-9.0237532979522097</v>
      </c>
      <c r="R155" s="326">
        <f t="shared" si="166"/>
        <v>-9.0330001733891461</v>
      </c>
      <c r="S155" s="326">
        <f t="shared" si="166"/>
        <v>-9.0781651742560925</v>
      </c>
      <c r="T155" s="326">
        <f t="shared" si="166"/>
        <v>-9.1235560001273726</v>
      </c>
      <c r="U155" s="326">
        <f t="shared" si="166"/>
        <v>-9.1691737801280091</v>
      </c>
      <c r="V155" s="326">
        <f t="shared" si="166"/>
        <v>-9.2150196490286493</v>
      </c>
      <c r="W155" s="326">
        <f t="shared" si="166"/>
        <v>-9.261094747273793</v>
      </c>
      <c r="X155" s="326">
        <f t="shared" si="166"/>
        <v>-9.3074002210101625</v>
      </c>
      <c r="Y155" s="326">
        <f t="shared" si="166"/>
        <v>-9.3539372221152117</v>
      </c>
      <c r="Z155" s="326">
        <f t="shared" si="166"/>
        <v>-9.4007069082257875</v>
      </c>
      <c r="AA155" s="326">
        <f t="shared" si="166"/>
        <v>-9.4477104427669172</v>
      </c>
      <c r="AB155" s="326">
        <f t="shared" si="166"/>
        <v>-9.4949489949807511</v>
      </c>
      <c r="AC155" s="326">
        <f t="shared" si="166"/>
        <v>-9.5424237399556553</v>
      </c>
      <c r="AD155" s="326">
        <f t="shared" si="166"/>
        <v>-9.5901358586554331</v>
      </c>
      <c r="AE155" s="326">
        <f t="shared" si="166"/>
        <v>-9.6380865379487108</v>
      </c>
      <c r="AF155" s="326">
        <f t="shared" si="166"/>
        <v>-9.6862769706384526</v>
      </c>
      <c r="AG155" s="326">
        <f t="shared" si="166"/>
        <v>-9.7347083554916445</v>
      </c>
      <c r="AH155" s="326">
        <f t="shared" si="166"/>
        <v>-9.7833818972691038</v>
      </c>
    </row>
    <row r="156" spans="2:35">
      <c r="B156" s="9" t="s">
        <v>266</v>
      </c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50"/>
      <c r="O156" s="368">
        <f t="shared" ref="O156:AH156" ca="1" si="167">SUM(O148:O155)</f>
        <v>3.6456779235564625</v>
      </c>
      <c r="P156" s="358">
        <f t="shared" ca="1" si="167"/>
        <v>3.9738685764717445</v>
      </c>
      <c r="Q156" s="358">
        <f t="shared" ca="1" si="167"/>
        <v>6.1907626095978827</v>
      </c>
      <c r="R156" s="358">
        <f t="shared" ca="1" si="167"/>
        <v>9.522692161355371</v>
      </c>
      <c r="S156" s="358">
        <f t="shared" ca="1" si="167"/>
        <v>5.3167896872207994</v>
      </c>
      <c r="T156" s="358">
        <f t="shared" ca="1" si="167"/>
        <v>5.6735200653007194</v>
      </c>
      <c r="U156" s="358">
        <f t="shared" ca="1" si="167"/>
        <v>7.8707408772059715</v>
      </c>
      <c r="V156" s="358">
        <f t="shared" ca="1" si="167"/>
        <v>11.222299423878271</v>
      </c>
      <c r="W156" s="358">
        <f t="shared" ca="1" si="167"/>
        <v>7.1010084614269271</v>
      </c>
      <c r="X156" s="358">
        <f t="shared" ca="1" si="167"/>
        <v>7.4913521554021578</v>
      </c>
      <c r="Y156" s="358">
        <f t="shared" ca="1" si="167"/>
        <v>9.7227275319790163</v>
      </c>
      <c r="Z156" s="358">
        <f t="shared" ca="1" si="167"/>
        <v>13.108990238376313</v>
      </c>
      <c r="AA156" s="358">
        <f t="shared" ca="1" si="167"/>
        <v>9.0229615039516506</v>
      </c>
      <c r="AB156" s="358">
        <f t="shared" ca="1" si="167"/>
        <v>9.4491340963977652</v>
      </c>
      <c r="AC156" s="358">
        <f t="shared" ca="1" si="167"/>
        <v>11.716913774878805</v>
      </c>
      <c r="AD156" s="358">
        <f t="shared" ca="1" si="167"/>
        <v>15.140165052430842</v>
      </c>
      <c r="AE156" s="358">
        <f t="shared" ca="1" si="167"/>
        <v>9.9480776319550284</v>
      </c>
      <c r="AF156" s="358">
        <f t="shared" ca="1" si="167"/>
        <v>10.20421946034978</v>
      </c>
      <c r="AG156" s="358">
        <f t="shared" ca="1" si="167"/>
        <v>12.298478578465676</v>
      </c>
      <c r="AH156" s="358">
        <f t="shared" ca="1" si="167"/>
        <v>15.544662156854391</v>
      </c>
    </row>
    <row r="157" spans="2:35">
      <c r="B157" s="6" t="s">
        <v>69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69"/>
      <c r="O157" s="375">
        <f t="shared" ref="O157:AH157" ca="1" si="168">O156/O8</f>
        <v>4.4729578907210119E-2</v>
      </c>
      <c r="P157" s="376">
        <f t="shared" ca="1" si="168"/>
        <v>4.8513649876648038E-2</v>
      </c>
      <c r="Q157" s="376">
        <f t="shared" ca="1" si="168"/>
        <v>7.5201852444050268E-2</v>
      </c>
      <c r="R157" s="376">
        <f t="shared" ca="1" si="168"/>
        <v>0.115100728181986</v>
      </c>
      <c r="S157" s="376">
        <f t="shared" ca="1" si="168"/>
        <v>6.3944286499319825E-2</v>
      </c>
      <c r="T157" s="376">
        <f t="shared" ca="1" si="168"/>
        <v>6.7895157114654645E-2</v>
      </c>
      <c r="U157" s="376">
        <f t="shared" ca="1" si="168"/>
        <v>9.3720750004963549E-2</v>
      </c>
      <c r="V157" s="376">
        <f t="shared" ca="1" si="168"/>
        <v>0.13296456925227587</v>
      </c>
      <c r="W157" s="376">
        <f t="shared" ca="1" si="168"/>
        <v>8.3715918664796926E-2</v>
      </c>
      <c r="X157" s="376">
        <f t="shared" ca="1" si="168"/>
        <v>8.7878405527132372E-2</v>
      </c>
      <c r="Y157" s="376">
        <f t="shared" ca="1" si="168"/>
        <v>0.11348644950318112</v>
      </c>
      <c r="Z157" s="376">
        <f t="shared" ca="1" si="168"/>
        <v>0.15225062075896828</v>
      </c>
      <c r="AA157" s="376">
        <f t="shared" ca="1" si="168"/>
        <v>0.10427324154469382</v>
      </c>
      <c r="AB157" s="376">
        <f t="shared" ca="1" si="168"/>
        <v>0.10865500114676589</v>
      </c>
      <c r="AC157" s="376">
        <f t="shared" ca="1" si="168"/>
        <v>0.13406174888731512</v>
      </c>
      <c r="AD157" s="376">
        <f t="shared" ca="1" si="168"/>
        <v>0.17236782224577654</v>
      </c>
      <c r="AE157" s="376">
        <f t="shared" ca="1" si="168"/>
        <v>0.11269345371043675</v>
      </c>
      <c r="AF157" s="376">
        <f t="shared" ca="1" si="168"/>
        <v>0.11501997046680204</v>
      </c>
      <c r="AG157" s="376">
        <f t="shared" ca="1" si="168"/>
        <v>0.1379363687208971</v>
      </c>
      <c r="AH157" s="376">
        <f t="shared" ca="1" si="168"/>
        <v>0.17347728856955882</v>
      </c>
    </row>
    <row r="158" spans="2:35"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69"/>
      <c r="O158" s="375"/>
      <c r="P158" s="376"/>
      <c r="Q158" s="376"/>
      <c r="R158" s="376"/>
      <c r="S158" s="376"/>
      <c r="T158" s="376"/>
      <c r="U158" s="376"/>
      <c r="V158" s="376"/>
      <c r="W158" s="376"/>
      <c r="X158" s="376"/>
      <c r="Y158" s="376"/>
      <c r="Z158" s="376"/>
      <c r="AA158" s="376"/>
      <c r="AB158" s="376"/>
      <c r="AC158" s="376"/>
      <c r="AD158" s="376"/>
      <c r="AE158" s="376"/>
      <c r="AF158" s="376"/>
      <c r="AG158" s="376"/>
      <c r="AH158" s="376"/>
    </row>
    <row r="159" spans="2:35">
      <c r="B159" s="2" t="s">
        <v>267</v>
      </c>
      <c r="I159" s="1"/>
      <c r="J159" s="1"/>
      <c r="K159" s="1"/>
      <c r="L159" s="1"/>
      <c r="M159" s="1"/>
      <c r="N159" s="87"/>
      <c r="O159" s="325">
        <f t="shared" ref="O159:AH159" ca="1" si="169">+O132+O123+O114</f>
        <v>-3.6456779235564625</v>
      </c>
      <c r="P159" s="326">
        <f t="shared" ca="1" si="169"/>
        <v>-3.9738685764717445</v>
      </c>
      <c r="Q159" s="326">
        <f t="shared" ca="1" si="169"/>
        <v>-6.1907626095978827</v>
      </c>
      <c r="R159" s="326">
        <f t="shared" ca="1" si="169"/>
        <v>-9.522692161355371</v>
      </c>
      <c r="S159" s="326">
        <f t="shared" ca="1" si="169"/>
        <v>-5.3167896872207994</v>
      </c>
      <c r="T159" s="326">
        <f t="shared" ca="1" si="169"/>
        <v>-5.6735200653007194</v>
      </c>
      <c r="U159" s="326">
        <f t="shared" ca="1" si="169"/>
        <v>-7.8707408772059715</v>
      </c>
      <c r="V159" s="326">
        <f t="shared" ca="1" si="169"/>
        <v>-11.222299423878271</v>
      </c>
      <c r="W159" s="326">
        <f t="shared" ca="1" si="169"/>
        <v>-7.1010084614269271</v>
      </c>
      <c r="X159" s="326">
        <f t="shared" ca="1" si="169"/>
        <v>-7.4913521554021578</v>
      </c>
      <c r="Y159" s="326">
        <f t="shared" ca="1" si="169"/>
        <v>-9.7227275319790163</v>
      </c>
      <c r="Z159" s="326">
        <f t="shared" ca="1" si="169"/>
        <v>-13.108990238376313</v>
      </c>
      <c r="AA159" s="326">
        <f t="shared" ca="1" si="169"/>
        <v>-9.0229615039516506</v>
      </c>
      <c r="AB159" s="326">
        <f t="shared" ca="1" si="169"/>
        <v>-9.4491340963977652</v>
      </c>
      <c r="AC159" s="326">
        <f t="shared" ca="1" si="169"/>
        <v>-11.716913774878805</v>
      </c>
      <c r="AD159" s="326">
        <f t="shared" ca="1" si="169"/>
        <v>-15.140165052430842</v>
      </c>
      <c r="AE159" s="326">
        <f t="shared" ca="1" si="169"/>
        <v>-9.9480776319550284</v>
      </c>
      <c r="AF159" s="326">
        <f t="shared" ca="1" si="169"/>
        <v>-10.20421946034892</v>
      </c>
      <c r="AG159" s="326">
        <f t="shared" ca="1" si="169"/>
        <v>-12.298478578550391</v>
      </c>
      <c r="AH159" s="326">
        <f t="shared" ca="1" si="169"/>
        <v>-15.544662150308275</v>
      </c>
    </row>
    <row r="160" spans="2:35">
      <c r="B160" s="9" t="s">
        <v>268</v>
      </c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50"/>
      <c r="O160" s="368">
        <f ca="1">+O159</f>
        <v>-3.6456779235564625</v>
      </c>
      <c r="P160" s="358">
        <f t="shared" ref="P160:AH160" ca="1" si="170">+P159</f>
        <v>-3.9738685764717445</v>
      </c>
      <c r="Q160" s="358">
        <f t="shared" ca="1" si="170"/>
        <v>-6.1907626095978827</v>
      </c>
      <c r="R160" s="358">
        <f t="shared" ca="1" si="170"/>
        <v>-9.522692161355371</v>
      </c>
      <c r="S160" s="358">
        <f t="shared" ca="1" si="170"/>
        <v>-5.3167896872207994</v>
      </c>
      <c r="T160" s="358">
        <f t="shared" ca="1" si="170"/>
        <v>-5.6735200653007194</v>
      </c>
      <c r="U160" s="358">
        <f t="shared" ca="1" si="170"/>
        <v>-7.8707408772059715</v>
      </c>
      <c r="V160" s="358">
        <f t="shared" ca="1" si="170"/>
        <v>-11.222299423878271</v>
      </c>
      <c r="W160" s="358">
        <f t="shared" ca="1" si="170"/>
        <v>-7.1010084614269271</v>
      </c>
      <c r="X160" s="358">
        <f t="shared" ca="1" si="170"/>
        <v>-7.4913521554021578</v>
      </c>
      <c r="Y160" s="358">
        <f t="shared" ca="1" si="170"/>
        <v>-9.7227275319790163</v>
      </c>
      <c r="Z160" s="358">
        <f t="shared" ca="1" si="170"/>
        <v>-13.108990238376313</v>
      </c>
      <c r="AA160" s="358">
        <f t="shared" ca="1" si="170"/>
        <v>-9.0229615039516506</v>
      </c>
      <c r="AB160" s="358">
        <f t="shared" ca="1" si="170"/>
        <v>-9.4491340963977652</v>
      </c>
      <c r="AC160" s="358">
        <f t="shared" ca="1" si="170"/>
        <v>-11.716913774878805</v>
      </c>
      <c r="AD160" s="358">
        <f t="shared" ca="1" si="170"/>
        <v>-15.140165052430842</v>
      </c>
      <c r="AE160" s="358">
        <f t="shared" ca="1" si="170"/>
        <v>-9.9480776319550284</v>
      </c>
      <c r="AF160" s="358">
        <f t="shared" ca="1" si="170"/>
        <v>-10.20421946034892</v>
      </c>
      <c r="AG160" s="358">
        <f t="shared" ca="1" si="170"/>
        <v>-12.298478578550391</v>
      </c>
      <c r="AH160" s="358">
        <f t="shared" ca="1" si="170"/>
        <v>-15.544662150308275</v>
      </c>
    </row>
    <row r="161" spans="2:34">
      <c r="I161" s="1"/>
      <c r="J161" s="1"/>
      <c r="K161" s="1"/>
      <c r="L161" s="1"/>
      <c r="M161" s="1"/>
      <c r="N161" s="69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2:34">
      <c r="B162" s="16" t="s">
        <v>142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69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2:34">
      <c r="B163" s="2" t="s">
        <v>143</v>
      </c>
      <c r="C163" s="5"/>
      <c r="D163" s="5"/>
      <c r="E163" s="5"/>
      <c r="F163" s="5"/>
      <c r="G163" s="5"/>
      <c r="H163" s="5"/>
      <c r="I163" s="10"/>
      <c r="J163" s="10"/>
      <c r="K163" s="10"/>
      <c r="L163" s="10"/>
      <c r="M163" s="10"/>
      <c r="N163" s="400"/>
      <c r="O163" s="403">
        <f>+N165</f>
        <v>25</v>
      </c>
      <c r="P163" s="404">
        <f t="shared" ref="P163:AH163" ca="1" si="171">+O165</f>
        <v>25</v>
      </c>
      <c r="Q163" s="404">
        <f t="shared" ca="1" si="171"/>
        <v>25</v>
      </c>
      <c r="R163" s="404">
        <f t="shared" ca="1" si="171"/>
        <v>25</v>
      </c>
      <c r="S163" s="404">
        <f t="shared" ca="1" si="171"/>
        <v>25</v>
      </c>
      <c r="T163" s="404">
        <f t="shared" ca="1" si="171"/>
        <v>25</v>
      </c>
      <c r="U163" s="404">
        <f t="shared" ca="1" si="171"/>
        <v>25</v>
      </c>
      <c r="V163" s="404">
        <f t="shared" ca="1" si="171"/>
        <v>25</v>
      </c>
      <c r="W163" s="404">
        <f t="shared" ca="1" si="171"/>
        <v>25</v>
      </c>
      <c r="X163" s="404">
        <f t="shared" ca="1" si="171"/>
        <v>25</v>
      </c>
      <c r="Y163" s="404">
        <f t="shared" ca="1" si="171"/>
        <v>25</v>
      </c>
      <c r="Z163" s="404">
        <f t="shared" ca="1" si="171"/>
        <v>25</v>
      </c>
      <c r="AA163" s="404">
        <f t="shared" ca="1" si="171"/>
        <v>25</v>
      </c>
      <c r="AB163" s="404">
        <f t="shared" ca="1" si="171"/>
        <v>25</v>
      </c>
      <c r="AC163" s="404">
        <f t="shared" ca="1" si="171"/>
        <v>25</v>
      </c>
      <c r="AD163" s="404">
        <f t="shared" ca="1" si="171"/>
        <v>25</v>
      </c>
      <c r="AE163" s="404">
        <f t="shared" ca="1" si="171"/>
        <v>25</v>
      </c>
      <c r="AF163" s="404">
        <f t="shared" ca="1" si="171"/>
        <v>25.000000000000043</v>
      </c>
      <c r="AG163" s="404">
        <f t="shared" ca="1" si="171"/>
        <v>24.999999999992916</v>
      </c>
      <c r="AH163" s="404">
        <f t="shared" ca="1" si="171"/>
        <v>25.00000000062678</v>
      </c>
    </row>
    <row r="164" spans="2:34">
      <c r="B164" s="2" t="s">
        <v>144</v>
      </c>
      <c r="I164" s="1"/>
      <c r="J164" s="1"/>
      <c r="K164" s="1"/>
      <c r="L164" s="1"/>
      <c r="M164" s="1"/>
      <c r="N164" s="401"/>
      <c r="O164" s="405">
        <f t="shared" ref="O164:AH164" ca="1" si="172">+O160+O156</f>
        <v>0</v>
      </c>
      <c r="P164" s="406">
        <f t="shared" ca="1" si="172"/>
        <v>0</v>
      </c>
      <c r="Q164" s="406">
        <f t="shared" ca="1" si="172"/>
        <v>0</v>
      </c>
      <c r="R164" s="406">
        <f t="shared" ca="1" si="172"/>
        <v>0</v>
      </c>
      <c r="S164" s="406">
        <f t="shared" ca="1" si="172"/>
        <v>0</v>
      </c>
      <c r="T164" s="406">
        <f t="shared" ca="1" si="172"/>
        <v>0</v>
      </c>
      <c r="U164" s="406">
        <f t="shared" ca="1" si="172"/>
        <v>0</v>
      </c>
      <c r="V164" s="406">
        <f t="shared" ca="1" si="172"/>
        <v>0</v>
      </c>
      <c r="W164" s="406">
        <f t="shared" ca="1" si="172"/>
        <v>0</v>
      </c>
      <c r="X164" s="406">
        <f t="shared" ca="1" si="172"/>
        <v>0</v>
      </c>
      <c r="Y164" s="406">
        <f t="shared" ca="1" si="172"/>
        <v>0</v>
      </c>
      <c r="Z164" s="406">
        <f t="shared" ca="1" si="172"/>
        <v>0</v>
      </c>
      <c r="AA164" s="406">
        <f t="shared" ca="1" si="172"/>
        <v>0</v>
      </c>
      <c r="AB164" s="406">
        <f t="shared" ca="1" si="172"/>
        <v>0</v>
      </c>
      <c r="AC164" s="406">
        <f t="shared" ca="1" si="172"/>
        <v>0</v>
      </c>
      <c r="AD164" s="406">
        <f t="shared" ca="1" si="172"/>
        <v>0</v>
      </c>
      <c r="AE164" s="406">
        <f t="shared" ca="1" si="172"/>
        <v>0</v>
      </c>
      <c r="AF164" s="406">
        <f t="shared" ca="1" si="172"/>
        <v>8.5975671026972122E-13</v>
      </c>
      <c r="AG164" s="406">
        <f t="shared" ca="1" si="172"/>
        <v>-8.4714457670997945E-11</v>
      </c>
      <c r="AH164" s="406">
        <f t="shared" ca="1" si="172"/>
        <v>6.5461165377200814E-9</v>
      </c>
    </row>
    <row r="165" spans="2:34">
      <c r="B165" s="9" t="s">
        <v>145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402">
        <f>+N50</f>
        <v>25</v>
      </c>
      <c r="O165" s="407">
        <f ca="1">SUM(O163:O164)</f>
        <v>25</v>
      </c>
      <c r="P165" s="408">
        <f t="shared" ref="P165:AH165" ca="1" si="173">SUM(P163:P164)</f>
        <v>25</v>
      </c>
      <c r="Q165" s="408">
        <f t="shared" ca="1" si="173"/>
        <v>25</v>
      </c>
      <c r="R165" s="408">
        <f t="shared" ca="1" si="173"/>
        <v>25</v>
      </c>
      <c r="S165" s="408">
        <f t="shared" ca="1" si="173"/>
        <v>25</v>
      </c>
      <c r="T165" s="408">
        <f t="shared" ca="1" si="173"/>
        <v>25</v>
      </c>
      <c r="U165" s="408">
        <f t="shared" ca="1" si="173"/>
        <v>25</v>
      </c>
      <c r="V165" s="408">
        <f t="shared" ca="1" si="173"/>
        <v>25</v>
      </c>
      <c r="W165" s="408">
        <f t="shared" ca="1" si="173"/>
        <v>25</v>
      </c>
      <c r="X165" s="408">
        <f t="shared" ca="1" si="173"/>
        <v>25</v>
      </c>
      <c r="Y165" s="408">
        <f t="shared" ca="1" si="173"/>
        <v>25</v>
      </c>
      <c r="Z165" s="408">
        <f t="shared" ca="1" si="173"/>
        <v>25</v>
      </c>
      <c r="AA165" s="408">
        <f t="shared" ca="1" si="173"/>
        <v>25</v>
      </c>
      <c r="AB165" s="408">
        <f t="shared" ca="1" si="173"/>
        <v>25</v>
      </c>
      <c r="AC165" s="408">
        <f t="shared" ca="1" si="173"/>
        <v>25</v>
      </c>
      <c r="AD165" s="408">
        <f t="shared" ca="1" si="173"/>
        <v>25</v>
      </c>
      <c r="AE165" s="408">
        <f t="shared" ca="1" si="173"/>
        <v>25</v>
      </c>
      <c r="AF165" s="408">
        <f t="shared" ca="1" si="173"/>
        <v>25.000000000000902</v>
      </c>
      <c r="AG165" s="408">
        <f t="shared" ca="1" si="173"/>
        <v>24.999999999908201</v>
      </c>
      <c r="AH165" s="408">
        <f t="shared" ca="1" si="173"/>
        <v>25.000000007172897</v>
      </c>
    </row>
    <row r="167" spans="2:34">
      <c r="B167" s="155" t="s">
        <v>152</v>
      </c>
      <c r="M167" s="1"/>
      <c r="N167" s="69"/>
    </row>
    <row r="168" spans="2:34">
      <c r="B168" s="11" t="s">
        <v>229</v>
      </c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278"/>
      <c r="O168" s="377">
        <f t="shared" ref="O168:AH168" si="174">O20+O21+O22+O15</f>
        <v>52.163108352000016</v>
      </c>
      <c r="P168" s="378">
        <f t="shared" si="174"/>
        <v>52.423923893760005</v>
      </c>
      <c r="Q168" s="378">
        <f t="shared" si="174"/>
        <v>52.68604351322881</v>
      </c>
      <c r="R168" s="378">
        <f t="shared" si="174"/>
        <v>52.949473730794949</v>
      </c>
      <c r="S168" s="378">
        <f t="shared" si="174"/>
        <v>53.21422109944892</v>
      </c>
      <c r="T168" s="378">
        <f t="shared" si="174"/>
        <v>53.480292204946167</v>
      </c>
      <c r="U168" s="378">
        <f t="shared" si="174"/>
        <v>53.7476936659709</v>
      </c>
      <c r="V168" s="378">
        <f t="shared" si="174"/>
        <v>54.016432134300757</v>
      </c>
      <c r="W168" s="378">
        <f t="shared" si="174"/>
        <v>54.28651429497225</v>
      </c>
      <c r="X168" s="378">
        <f t="shared" si="174"/>
        <v>54.557946866447111</v>
      </c>
      <c r="Y168" s="378">
        <f t="shared" si="174"/>
        <v>54.830736600779346</v>
      </c>
      <c r="Z168" s="378">
        <f t="shared" si="174"/>
        <v>55.104890283783249</v>
      </c>
      <c r="AA168" s="378">
        <f t="shared" si="174"/>
        <v>55.380414735202166</v>
      </c>
      <c r="AB168" s="378">
        <f t="shared" si="174"/>
        <v>55.657316808878164</v>
      </c>
      <c r="AC168" s="378">
        <f t="shared" si="174"/>
        <v>55.935603392922559</v>
      </c>
      <c r="AD168" s="378">
        <f t="shared" si="174"/>
        <v>56.215281409887176</v>
      </c>
      <c r="AE168" s="378">
        <f t="shared" si="174"/>
        <v>56.496357816936609</v>
      </c>
      <c r="AF168" s="378">
        <f t="shared" si="174"/>
        <v>56.778839606021279</v>
      </c>
      <c r="AG168" s="378">
        <f t="shared" si="174"/>
        <v>57.062733804051391</v>
      </c>
      <c r="AH168" s="378">
        <f t="shared" si="174"/>
        <v>57.348047473071659</v>
      </c>
    </row>
    <row r="169" spans="2:34">
      <c r="B169" s="40" t="s">
        <v>228</v>
      </c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207"/>
      <c r="O169" s="329">
        <v>0.73</v>
      </c>
      <c r="P169" s="330">
        <v>0.73</v>
      </c>
      <c r="Q169" s="330">
        <v>0.73</v>
      </c>
      <c r="R169" s="330">
        <v>0.73</v>
      </c>
      <c r="S169" s="330">
        <v>0.73</v>
      </c>
      <c r="T169" s="330">
        <v>0.73</v>
      </c>
      <c r="U169" s="330">
        <v>0.73</v>
      </c>
      <c r="V169" s="330">
        <v>0.73</v>
      </c>
      <c r="W169" s="330">
        <v>0.73</v>
      </c>
      <c r="X169" s="330">
        <v>0.73</v>
      </c>
      <c r="Y169" s="330">
        <v>0.73</v>
      </c>
      <c r="Z169" s="330">
        <v>0.73</v>
      </c>
      <c r="AA169" s="330">
        <v>0.73</v>
      </c>
      <c r="AB169" s="330">
        <v>0.73</v>
      </c>
      <c r="AC169" s="330">
        <v>0.73</v>
      </c>
      <c r="AD169" s="330">
        <v>0.73</v>
      </c>
      <c r="AE169" s="330">
        <v>0.73</v>
      </c>
      <c r="AF169" s="330">
        <v>0.73</v>
      </c>
      <c r="AG169" s="330">
        <v>0.73</v>
      </c>
      <c r="AH169" s="330">
        <v>0.73</v>
      </c>
    </row>
    <row r="170" spans="2:34">
      <c r="B170" s="81" t="s">
        <v>151</v>
      </c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279"/>
      <c r="O170" s="379">
        <f>O169*O168</f>
        <v>38.079069096960012</v>
      </c>
      <c r="P170" s="380">
        <f t="shared" ref="P170:AH170" si="175">P169*P168</f>
        <v>38.2694644424448</v>
      </c>
      <c r="Q170" s="380">
        <f t="shared" si="175"/>
        <v>38.460811764657031</v>
      </c>
      <c r="R170" s="380">
        <f t="shared" si="175"/>
        <v>38.653115823480313</v>
      </c>
      <c r="S170" s="380">
        <f t="shared" si="175"/>
        <v>38.846381402597714</v>
      </c>
      <c r="T170" s="380">
        <f t="shared" si="175"/>
        <v>39.040613309610698</v>
      </c>
      <c r="U170" s="380">
        <f t="shared" si="175"/>
        <v>39.235816376158759</v>
      </c>
      <c r="V170" s="380">
        <f t="shared" si="175"/>
        <v>39.431995458039552</v>
      </c>
      <c r="W170" s="380">
        <f t="shared" si="175"/>
        <v>39.629155435329743</v>
      </c>
      <c r="X170" s="380">
        <f t="shared" si="175"/>
        <v>39.827301212506391</v>
      </c>
      <c r="Y170" s="380">
        <f t="shared" si="175"/>
        <v>40.026437718568921</v>
      </c>
      <c r="Z170" s="380">
        <f t="shared" si="175"/>
        <v>40.226569907161768</v>
      </c>
      <c r="AA170" s="380">
        <f t="shared" si="175"/>
        <v>40.427702756697578</v>
      </c>
      <c r="AB170" s="380">
        <f t="shared" si="175"/>
        <v>40.629841270481059</v>
      </c>
      <c r="AC170" s="380">
        <f t="shared" si="175"/>
        <v>40.832990476833466</v>
      </c>
      <c r="AD170" s="380">
        <f t="shared" si="175"/>
        <v>41.037155429217634</v>
      </c>
      <c r="AE170" s="380">
        <f t="shared" si="175"/>
        <v>41.242341206363726</v>
      </c>
      <c r="AF170" s="380">
        <f t="shared" si="175"/>
        <v>41.448552912395535</v>
      </c>
      <c r="AG170" s="380">
        <f t="shared" si="175"/>
        <v>41.655795676957517</v>
      </c>
      <c r="AH170" s="380">
        <f t="shared" si="175"/>
        <v>41.864074655342307</v>
      </c>
    </row>
    <row r="171" spans="2:34">
      <c r="B171" s="40" t="s">
        <v>230</v>
      </c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207"/>
      <c r="O171" s="327">
        <v>0.12</v>
      </c>
      <c r="P171" s="328">
        <v>0.12</v>
      </c>
      <c r="Q171" s="328">
        <v>0.12</v>
      </c>
      <c r="R171" s="328">
        <v>0.12</v>
      </c>
      <c r="S171" s="328">
        <v>0.12</v>
      </c>
      <c r="T171" s="328">
        <v>0.12</v>
      </c>
      <c r="U171" s="328">
        <v>0.12</v>
      </c>
      <c r="V171" s="328">
        <v>0.12</v>
      </c>
      <c r="W171" s="328">
        <v>0.12</v>
      </c>
      <c r="X171" s="328">
        <v>0.12</v>
      </c>
      <c r="Y171" s="328">
        <v>0.12</v>
      </c>
      <c r="Z171" s="328">
        <v>0.12</v>
      </c>
      <c r="AA171" s="328">
        <v>0.12</v>
      </c>
      <c r="AB171" s="328">
        <v>0.12</v>
      </c>
      <c r="AC171" s="328">
        <v>0.12</v>
      </c>
      <c r="AD171" s="328">
        <v>0.12</v>
      </c>
      <c r="AE171" s="328">
        <v>0.12</v>
      </c>
      <c r="AF171" s="328">
        <v>0.12</v>
      </c>
      <c r="AG171" s="328">
        <v>0.12</v>
      </c>
      <c r="AH171" s="328">
        <v>0.12</v>
      </c>
    </row>
    <row r="172" spans="2:34">
      <c r="B172" s="81" t="s">
        <v>72</v>
      </c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279"/>
      <c r="O172" s="379">
        <f>O171*O170</f>
        <v>4.5694882916352011</v>
      </c>
      <c r="P172" s="380">
        <f t="shared" ref="P172:AH172" si="176">P171*P170</f>
        <v>4.5923357330933756</v>
      </c>
      <c r="Q172" s="380">
        <f t="shared" si="176"/>
        <v>4.6152974117588439</v>
      </c>
      <c r="R172" s="380">
        <f t="shared" si="176"/>
        <v>4.6383738988176377</v>
      </c>
      <c r="S172" s="380">
        <f t="shared" si="176"/>
        <v>4.6615657683117258</v>
      </c>
      <c r="T172" s="380">
        <f t="shared" si="176"/>
        <v>4.6848735971532838</v>
      </c>
      <c r="U172" s="380">
        <f t="shared" si="176"/>
        <v>4.7082979651390513</v>
      </c>
      <c r="V172" s="380">
        <f t="shared" si="176"/>
        <v>4.7318394549647458</v>
      </c>
      <c r="W172" s="380">
        <f t="shared" si="176"/>
        <v>4.7554986522395692</v>
      </c>
      <c r="X172" s="380">
        <f t="shared" si="176"/>
        <v>4.7792761455007664</v>
      </c>
      <c r="Y172" s="380">
        <f t="shared" si="176"/>
        <v>4.8031725262282707</v>
      </c>
      <c r="Z172" s="380">
        <f t="shared" si="176"/>
        <v>4.8271883888594118</v>
      </c>
      <c r="AA172" s="380">
        <f t="shared" si="176"/>
        <v>4.8513243308037088</v>
      </c>
      <c r="AB172" s="380">
        <f t="shared" si="176"/>
        <v>4.8755809524577272</v>
      </c>
      <c r="AC172" s="380">
        <f t="shared" si="176"/>
        <v>4.8999588572200157</v>
      </c>
      <c r="AD172" s="380">
        <f t="shared" si="176"/>
        <v>4.9244586515061162</v>
      </c>
      <c r="AE172" s="380">
        <f t="shared" si="176"/>
        <v>4.9490809447636472</v>
      </c>
      <c r="AF172" s="380">
        <f t="shared" si="176"/>
        <v>4.9738263494874637</v>
      </c>
      <c r="AG172" s="380">
        <f t="shared" si="176"/>
        <v>4.9986954812349023</v>
      </c>
      <c r="AH172" s="380">
        <f t="shared" si="176"/>
        <v>5.0236889586410767</v>
      </c>
    </row>
    <row r="173" spans="2:34">
      <c r="B173" s="122"/>
      <c r="C173" s="259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80"/>
      <c r="O173" s="261"/>
      <c r="P173" s="260"/>
      <c r="Q173" s="260"/>
      <c r="R173" s="260"/>
      <c r="S173" s="260"/>
      <c r="T173" s="260"/>
      <c r="U173" s="260"/>
      <c r="V173" s="260"/>
      <c r="W173" s="260"/>
      <c r="X173" s="260"/>
      <c r="Y173" s="260"/>
      <c r="Z173" s="260"/>
      <c r="AA173" s="260"/>
      <c r="AB173" s="260"/>
      <c r="AC173" s="260"/>
      <c r="AD173" s="260"/>
      <c r="AE173" s="260"/>
      <c r="AF173" s="260"/>
      <c r="AG173" s="260"/>
      <c r="AH173" s="260"/>
    </row>
    <row r="174" spans="2:34">
      <c r="B174" s="2" t="s">
        <v>149</v>
      </c>
      <c r="C174" s="42"/>
      <c r="M174" s="1"/>
      <c r="N174" s="324">
        <f>+Transaction!C12</f>
        <v>1.2221919185511236</v>
      </c>
      <c r="O174" s="325">
        <f>N174*(1+O175)</f>
        <v>1.2344138377366349</v>
      </c>
      <c r="P174" s="326">
        <f t="shared" ref="P174:AH174" si="177">O174*(1+P175)</f>
        <v>1.2467579761140013</v>
      </c>
      <c r="Q174" s="326">
        <f t="shared" si="177"/>
        <v>1.2592255558751413</v>
      </c>
      <c r="R174" s="326">
        <f t="shared" si="177"/>
        <v>1.2718178114338927</v>
      </c>
      <c r="S174" s="326">
        <f t="shared" si="177"/>
        <v>1.2845359895482316</v>
      </c>
      <c r="T174" s="326">
        <f t="shared" si="177"/>
        <v>1.2973813494437139</v>
      </c>
      <c r="U174" s="326">
        <f t="shared" si="177"/>
        <v>1.3103551629381509</v>
      </c>
      <c r="V174" s="326">
        <f t="shared" si="177"/>
        <v>1.3234587145675325</v>
      </c>
      <c r="W174" s="326">
        <f t="shared" si="177"/>
        <v>1.3366933017132079</v>
      </c>
      <c r="X174" s="326">
        <f t="shared" si="177"/>
        <v>1.3500602347303399</v>
      </c>
      <c r="Y174" s="326">
        <f t="shared" si="177"/>
        <v>1.3635608370776433</v>
      </c>
      <c r="Z174" s="326">
        <f t="shared" si="177"/>
        <v>1.3771964454484198</v>
      </c>
      <c r="AA174" s="326">
        <f t="shared" si="177"/>
        <v>1.390968409902904</v>
      </c>
      <c r="AB174" s="326">
        <f t="shared" si="177"/>
        <v>1.4048780940019332</v>
      </c>
      <c r="AC174" s="326">
        <f t="shared" si="177"/>
        <v>1.4189268749419526</v>
      </c>
      <c r="AD174" s="326">
        <f t="shared" si="177"/>
        <v>1.4331161436913722</v>
      </c>
      <c r="AE174" s="326">
        <f t="shared" si="177"/>
        <v>1.4474473051282859</v>
      </c>
      <c r="AF174" s="326">
        <f t="shared" si="177"/>
        <v>1.4619217781795688</v>
      </c>
      <c r="AG174" s="326">
        <f t="shared" si="177"/>
        <v>1.4765409959613645</v>
      </c>
      <c r="AH174" s="326">
        <f t="shared" si="177"/>
        <v>1.4913064059209782</v>
      </c>
    </row>
    <row r="175" spans="2:34">
      <c r="B175" s="2" t="s">
        <v>231</v>
      </c>
      <c r="C175" s="42"/>
      <c r="M175" s="1"/>
      <c r="N175" s="262"/>
      <c r="O175" s="245">
        <v>0.01</v>
      </c>
      <c r="P175" s="238">
        <v>0.01</v>
      </c>
      <c r="Q175" s="238">
        <v>0.01</v>
      </c>
      <c r="R175" s="238">
        <v>0.01</v>
      </c>
      <c r="S175" s="238">
        <v>0.01</v>
      </c>
      <c r="T175" s="238">
        <v>0.01</v>
      </c>
      <c r="U175" s="238">
        <v>0.01</v>
      </c>
      <c r="V175" s="238">
        <v>0.01</v>
      </c>
      <c r="W175" s="238">
        <v>0.01</v>
      </c>
      <c r="X175" s="238">
        <v>0.01</v>
      </c>
      <c r="Y175" s="238">
        <v>0.01</v>
      </c>
      <c r="Z175" s="238">
        <v>0.01</v>
      </c>
      <c r="AA175" s="238">
        <v>0.01</v>
      </c>
      <c r="AB175" s="238">
        <v>0.01</v>
      </c>
      <c r="AC175" s="238">
        <v>0.01</v>
      </c>
      <c r="AD175" s="238">
        <v>0.01</v>
      </c>
      <c r="AE175" s="238">
        <v>0.01</v>
      </c>
      <c r="AF175" s="238">
        <v>0.01</v>
      </c>
      <c r="AG175" s="238">
        <v>0.01</v>
      </c>
      <c r="AH175" s="238">
        <v>0.01</v>
      </c>
    </row>
    <row r="176" spans="2:34">
      <c r="B176" s="9" t="s">
        <v>83</v>
      </c>
      <c r="C176" s="22"/>
      <c r="D176" s="83"/>
      <c r="E176" s="83"/>
      <c r="F176" s="83"/>
      <c r="G176" s="83"/>
      <c r="H176" s="83"/>
      <c r="I176" s="83"/>
      <c r="J176" s="83"/>
      <c r="K176" s="83"/>
      <c r="L176" s="83"/>
      <c r="M176" s="82"/>
      <c r="N176" s="109"/>
      <c r="O176" s="110">
        <f t="shared" ref="O176:AH176" si="178">+O172*1000/O174</f>
        <v>3701.74746259618</v>
      </c>
      <c r="P176" s="12">
        <f t="shared" si="178"/>
        <v>3683.421980108079</v>
      </c>
      <c r="Q176" s="12">
        <f t="shared" si="178"/>
        <v>3665.1872178303174</v>
      </c>
      <c r="R176" s="12">
        <f t="shared" si="178"/>
        <v>3647.0427266529391</v>
      </c>
      <c r="S176" s="12">
        <f t="shared" si="178"/>
        <v>3628.9880596893113</v>
      </c>
      <c r="T176" s="12">
        <f t="shared" si="178"/>
        <v>3611.0227722651061</v>
      </c>
      <c r="U176" s="12">
        <f t="shared" si="178"/>
        <v>3593.1464219073591</v>
      </c>
      <c r="V176" s="12">
        <f t="shared" si="178"/>
        <v>3575.3585683335591</v>
      </c>
      <c r="W176" s="12">
        <f t="shared" si="178"/>
        <v>3557.6587734408185</v>
      </c>
      <c r="X176" s="12">
        <f t="shared" si="178"/>
        <v>3540.0466012950719</v>
      </c>
      <c r="Y176" s="12">
        <f t="shared" si="178"/>
        <v>3522.5216181203441</v>
      </c>
      <c r="Z176" s="12">
        <f t="shared" si="178"/>
        <v>3505.0833922880647</v>
      </c>
      <c r="AA176" s="12">
        <f t="shared" si="178"/>
        <v>3487.7314943064407</v>
      </c>
      <c r="AB176" s="12">
        <f t="shared" si="178"/>
        <v>3470.4654968098735</v>
      </c>
      <c r="AC176" s="12">
        <f t="shared" si="178"/>
        <v>3453.2849745484382</v>
      </c>
      <c r="AD176" s="12">
        <f t="shared" si="178"/>
        <v>3436.1895043774066</v>
      </c>
      <c r="AE176" s="12">
        <f t="shared" si="178"/>
        <v>3419.1786652468259</v>
      </c>
      <c r="AF176" s="12">
        <f t="shared" si="178"/>
        <v>3402.2520381911468</v>
      </c>
      <c r="AG176" s="12">
        <f t="shared" si="178"/>
        <v>3385.4092063189146</v>
      </c>
      <c r="AH176" s="12">
        <f t="shared" si="178"/>
        <v>3368.649754802484</v>
      </c>
    </row>
    <row r="177" spans="2:34">
      <c r="C177" s="42"/>
      <c r="M177" s="1"/>
      <c r="N177" s="84"/>
    </row>
    <row r="178" spans="2:34">
      <c r="B178" s="16" t="s">
        <v>85</v>
      </c>
      <c r="C178" s="42"/>
      <c r="M178" s="1"/>
      <c r="N178" s="84"/>
    </row>
    <row r="179" spans="2:34">
      <c r="B179" s="2" t="s">
        <v>82</v>
      </c>
      <c r="M179" s="1"/>
      <c r="N179" s="69"/>
      <c r="O179" s="108">
        <f t="shared" ref="O179:AH179" si="179">+N181</f>
        <v>1230000</v>
      </c>
      <c r="P179" s="283">
        <f t="shared" si="179"/>
        <v>1233701.7474625963</v>
      </c>
      <c r="Q179" s="283">
        <f t="shared" si="179"/>
        <v>1237385.1694427044</v>
      </c>
      <c r="R179" s="283">
        <f t="shared" si="179"/>
        <v>1241050.3566605346</v>
      </c>
      <c r="S179" s="283">
        <f t="shared" si="179"/>
        <v>1244697.3993871876</v>
      </c>
      <c r="T179" s="283">
        <f t="shared" si="179"/>
        <v>1248326.3874468768</v>
      </c>
      <c r="U179" s="283">
        <f t="shared" si="179"/>
        <v>1251937.410219142</v>
      </c>
      <c r="V179" s="283">
        <f t="shared" si="179"/>
        <v>1255530.5566410495</v>
      </c>
      <c r="W179" s="283">
        <f t="shared" si="179"/>
        <v>1259105.915209383</v>
      </c>
      <c r="X179" s="283">
        <f t="shared" si="179"/>
        <v>1262663.5739828239</v>
      </c>
      <c r="Y179" s="283">
        <f t="shared" si="179"/>
        <v>1266203.6205841189</v>
      </c>
      <c r="Z179" s="283">
        <f t="shared" si="179"/>
        <v>1269726.1422022393</v>
      </c>
      <c r="AA179" s="283">
        <f t="shared" si="179"/>
        <v>1273231.2255945273</v>
      </c>
      <c r="AB179" s="283">
        <f t="shared" si="179"/>
        <v>1276718.9570888337</v>
      </c>
      <c r="AC179" s="283">
        <f t="shared" si="179"/>
        <v>1280189.4225856436</v>
      </c>
      <c r="AD179" s="283">
        <f t="shared" si="179"/>
        <v>1283642.7075601921</v>
      </c>
      <c r="AE179" s="283">
        <f t="shared" si="179"/>
        <v>1287078.8970645694</v>
      </c>
      <c r="AF179" s="283">
        <f t="shared" si="179"/>
        <v>1290498.0757298162</v>
      </c>
      <c r="AG179" s="283">
        <f t="shared" si="179"/>
        <v>1293900.3277680073</v>
      </c>
      <c r="AH179" s="283">
        <f t="shared" si="179"/>
        <v>1297285.7369743262</v>
      </c>
    </row>
    <row r="180" spans="2:34">
      <c r="B180" s="2" t="s">
        <v>83</v>
      </c>
      <c r="O180" s="108">
        <f t="shared" ref="O180:AH180" si="180">+O176</f>
        <v>3701.74746259618</v>
      </c>
      <c r="P180" s="283">
        <f t="shared" si="180"/>
        <v>3683.421980108079</v>
      </c>
      <c r="Q180" s="283">
        <f t="shared" si="180"/>
        <v>3665.1872178303174</v>
      </c>
      <c r="R180" s="283">
        <f t="shared" si="180"/>
        <v>3647.0427266529391</v>
      </c>
      <c r="S180" s="283">
        <f t="shared" si="180"/>
        <v>3628.9880596893113</v>
      </c>
      <c r="T180" s="283">
        <f t="shared" si="180"/>
        <v>3611.0227722651061</v>
      </c>
      <c r="U180" s="283">
        <f t="shared" si="180"/>
        <v>3593.1464219073591</v>
      </c>
      <c r="V180" s="283">
        <f t="shared" si="180"/>
        <v>3575.3585683335591</v>
      </c>
      <c r="W180" s="283">
        <f t="shared" si="180"/>
        <v>3557.6587734408185</v>
      </c>
      <c r="X180" s="283">
        <f t="shared" si="180"/>
        <v>3540.0466012950719</v>
      </c>
      <c r="Y180" s="283">
        <f t="shared" si="180"/>
        <v>3522.5216181203441</v>
      </c>
      <c r="Z180" s="283">
        <f t="shared" si="180"/>
        <v>3505.0833922880647</v>
      </c>
      <c r="AA180" s="283">
        <f t="shared" si="180"/>
        <v>3487.7314943064407</v>
      </c>
      <c r="AB180" s="283">
        <f t="shared" si="180"/>
        <v>3470.4654968098735</v>
      </c>
      <c r="AC180" s="283">
        <f t="shared" si="180"/>
        <v>3453.2849745484382</v>
      </c>
      <c r="AD180" s="283">
        <f t="shared" si="180"/>
        <v>3436.1895043774066</v>
      </c>
      <c r="AE180" s="283">
        <f t="shared" si="180"/>
        <v>3419.1786652468259</v>
      </c>
      <c r="AF180" s="283">
        <f t="shared" si="180"/>
        <v>3402.2520381911468</v>
      </c>
      <c r="AG180" s="283">
        <f t="shared" si="180"/>
        <v>3385.4092063189146</v>
      </c>
      <c r="AH180" s="283">
        <f t="shared" si="180"/>
        <v>3368.649754802484</v>
      </c>
    </row>
    <row r="181" spans="2:34">
      <c r="B181" s="9" t="s">
        <v>84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111">
        <f>+Transaction!C13</f>
        <v>1230000</v>
      </c>
      <c r="O181" s="112">
        <f t="shared" ref="O181:AH181" si="181">+O180+O179</f>
        <v>1233701.7474625963</v>
      </c>
      <c r="P181" s="107">
        <f t="shared" si="181"/>
        <v>1237385.1694427044</v>
      </c>
      <c r="Q181" s="107">
        <f t="shared" si="181"/>
        <v>1241050.3566605346</v>
      </c>
      <c r="R181" s="107">
        <f t="shared" si="181"/>
        <v>1244697.3993871876</v>
      </c>
      <c r="S181" s="107">
        <f t="shared" si="181"/>
        <v>1248326.3874468768</v>
      </c>
      <c r="T181" s="107">
        <f t="shared" si="181"/>
        <v>1251937.410219142</v>
      </c>
      <c r="U181" s="107">
        <f t="shared" si="181"/>
        <v>1255530.5566410495</v>
      </c>
      <c r="V181" s="107">
        <f t="shared" si="181"/>
        <v>1259105.915209383</v>
      </c>
      <c r="W181" s="107">
        <f t="shared" si="181"/>
        <v>1262663.5739828239</v>
      </c>
      <c r="X181" s="107">
        <f t="shared" si="181"/>
        <v>1266203.6205841189</v>
      </c>
      <c r="Y181" s="107">
        <f t="shared" si="181"/>
        <v>1269726.1422022393</v>
      </c>
      <c r="Z181" s="107">
        <f t="shared" si="181"/>
        <v>1273231.2255945273</v>
      </c>
      <c r="AA181" s="107">
        <f t="shared" si="181"/>
        <v>1276718.9570888337</v>
      </c>
      <c r="AB181" s="107">
        <f t="shared" si="181"/>
        <v>1280189.4225856436</v>
      </c>
      <c r="AC181" s="107">
        <f t="shared" si="181"/>
        <v>1283642.7075601921</v>
      </c>
      <c r="AD181" s="107">
        <f t="shared" si="181"/>
        <v>1287078.8970645694</v>
      </c>
      <c r="AE181" s="107">
        <f t="shared" si="181"/>
        <v>1290498.0757298162</v>
      </c>
      <c r="AF181" s="107">
        <f t="shared" si="181"/>
        <v>1293900.3277680073</v>
      </c>
      <c r="AG181" s="107">
        <f t="shared" si="181"/>
        <v>1297285.7369743262</v>
      </c>
      <c r="AH181" s="107">
        <f t="shared" si="181"/>
        <v>1300654.3867291287</v>
      </c>
    </row>
    <row r="182" spans="2:34">
      <c r="B182" s="7" t="s">
        <v>86</v>
      </c>
      <c r="M182" s="1"/>
      <c r="N182" s="69"/>
      <c r="O182" s="163">
        <f t="shared" ref="O182:AH182" si="182">(O181-$N181)/$N181</f>
        <v>3.0095507825986007E-3</v>
      </c>
      <c r="P182" s="152">
        <f t="shared" si="182"/>
        <v>6.0042027989466772E-3</v>
      </c>
      <c r="Q182" s="152">
        <f t="shared" si="182"/>
        <v>8.9840298053127047E-3</v>
      </c>
      <c r="R182" s="152">
        <f t="shared" si="182"/>
        <v>1.1949105192835412E-2</v>
      </c>
      <c r="S182" s="152">
        <f t="shared" si="182"/>
        <v>1.4899501989330771E-2</v>
      </c>
      <c r="T182" s="152">
        <f t="shared" si="182"/>
        <v>1.7835292861091041E-2</v>
      </c>
      <c r="U182" s="152">
        <f t="shared" si="182"/>
        <v>2.0756550114674348E-2</v>
      </c>
      <c r="V182" s="152">
        <f t="shared" si="182"/>
        <v>2.3663345698685369E-2</v>
      </c>
      <c r="W182" s="152">
        <f t="shared" si="182"/>
        <v>2.6555751205547866E-2</v>
      </c>
      <c r="X182" s="152">
        <f t="shared" si="182"/>
        <v>2.9433837873267379E-2</v>
      </c>
      <c r="Y182" s="152">
        <f t="shared" si="182"/>
        <v>3.229767658718638E-2</v>
      </c>
      <c r="Z182" s="152">
        <f t="shared" si="182"/>
        <v>3.514733788172953E-2</v>
      </c>
      <c r="AA182" s="152">
        <f t="shared" si="182"/>
        <v>3.7982891942141196E-2</v>
      </c>
      <c r="AB182" s="152">
        <f t="shared" si="182"/>
        <v>4.0804408606214308E-2</v>
      </c>
      <c r="AC182" s="152">
        <f t="shared" si="182"/>
        <v>4.3611957366009833E-2</v>
      </c>
      <c r="AD182" s="152">
        <f t="shared" si="182"/>
        <v>4.640560736956862E-2</v>
      </c>
      <c r="AE182" s="152">
        <f t="shared" si="182"/>
        <v>4.9185427422614815E-2</v>
      </c>
      <c r="AF182" s="152">
        <f t="shared" si="182"/>
        <v>5.1951485990249832E-2</v>
      </c>
      <c r="AG182" s="152">
        <f t="shared" si="182"/>
        <v>5.4703851198639186E-2</v>
      </c>
      <c r="AH182" s="152">
        <f t="shared" si="182"/>
        <v>5.7442590836689969E-2</v>
      </c>
    </row>
    <row r="183" spans="2:34">
      <c r="M183" s="1"/>
      <c r="N183" s="93"/>
    </row>
  </sheetData>
  <pageMargins left="0.7" right="0.7" top="0.75" bottom="0.75" header="0.3" footer="0.3"/>
  <pageSetup scale="8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2CE1-15DB-4542-B14C-3758982B729D}">
  <dimension ref="B1:AD130"/>
  <sheetViews>
    <sheetView showGridLines="0" zoomScale="120" zoomScaleNormal="120" zoomScaleSheetLayoutView="13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ColWidth="9.1328125" defaultRowHeight="13.15" outlineLevelRow="1"/>
  <cols>
    <col min="1" max="1" width="5.53125" style="1" customWidth="1"/>
    <col min="2" max="2" width="22" style="2" customWidth="1"/>
    <col min="3" max="8" width="9.1328125" style="1"/>
    <col min="9" max="9" width="9.86328125" style="2" customWidth="1"/>
    <col min="10" max="16384" width="9.1328125" style="1"/>
  </cols>
  <sheetData>
    <row r="1" spans="2:28" s="2" customFormat="1">
      <c r="B1" s="7"/>
      <c r="I1" s="7"/>
    </row>
    <row r="2" spans="2:28" s="2" customFormat="1">
      <c r="B2" s="3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88" t="s">
        <v>253</v>
      </c>
    </row>
    <row r="3" spans="2:28" s="2" customFormat="1" hidden="1" outlineLevel="1">
      <c r="B3" s="30"/>
      <c r="C3" s="31"/>
      <c r="D3" s="31"/>
      <c r="E3" s="31"/>
      <c r="F3" s="31"/>
      <c r="G3" s="31"/>
      <c r="H3" s="31"/>
      <c r="I3" s="31" t="e">
        <f>EOMONTH(#REF!, 3)</f>
        <v>#REF!</v>
      </c>
      <c r="J3" s="31" t="e">
        <f t="shared" ref="J3:AB3" si="0">EOMONTH(I3, 3)</f>
        <v>#REF!</v>
      </c>
      <c r="K3" s="31" t="e">
        <f t="shared" si="0"/>
        <v>#REF!</v>
      </c>
      <c r="L3" s="31" t="e">
        <f t="shared" si="0"/>
        <v>#REF!</v>
      </c>
      <c r="M3" s="31" t="e">
        <f t="shared" si="0"/>
        <v>#REF!</v>
      </c>
      <c r="N3" s="31" t="e">
        <f t="shared" si="0"/>
        <v>#REF!</v>
      </c>
      <c r="O3" s="31" t="e">
        <f t="shared" si="0"/>
        <v>#REF!</v>
      </c>
      <c r="P3" s="31" t="e">
        <f t="shared" si="0"/>
        <v>#REF!</v>
      </c>
      <c r="Q3" s="31" t="e">
        <f t="shared" si="0"/>
        <v>#REF!</v>
      </c>
      <c r="R3" s="31" t="e">
        <f t="shared" si="0"/>
        <v>#REF!</v>
      </c>
      <c r="S3" s="31" t="e">
        <f t="shared" si="0"/>
        <v>#REF!</v>
      </c>
      <c r="T3" s="31" t="e">
        <f t="shared" si="0"/>
        <v>#REF!</v>
      </c>
      <c r="U3" s="31" t="e">
        <f t="shared" si="0"/>
        <v>#REF!</v>
      </c>
      <c r="V3" s="31" t="e">
        <f t="shared" si="0"/>
        <v>#REF!</v>
      </c>
      <c r="W3" s="31" t="e">
        <f t="shared" si="0"/>
        <v>#REF!</v>
      </c>
      <c r="X3" s="31" t="e">
        <f t="shared" si="0"/>
        <v>#REF!</v>
      </c>
      <c r="Y3" s="31" t="e">
        <f t="shared" si="0"/>
        <v>#REF!</v>
      </c>
      <c r="Z3" s="31" t="e">
        <f t="shared" si="0"/>
        <v>#REF!</v>
      </c>
      <c r="AA3" s="31" t="e">
        <f t="shared" si="0"/>
        <v>#REF!</v>
      </c>
      <c r="AB3" s="31" t="e">
        <f t="shared" si="0"/>
        <v>#REF!</v>
      </c>
    </row>
    <row r="4" spans="2:28" s="2" customFormat="1" hidden="1" outlineLevel="1">
      <c r="B4" s="30"/>
      <c r="C4" s="31"/>
      <c r="D4" s="31"/>
      <c r="E4" s="31"/>
      <c r="F4" s="31"/>
      <c r="G4" s="31"/>
      <c r="H4" s="31"/>
      <c r="I4" s="31" t="e">
        <f>EOMONTH(#REF!, 2)+1</f>
        <v>#REF!</v>
      </c>
      <c r="J4" s="31" t="e">
        <f t="shared" ref="J4:AB4" si="1">EOMONTH(I4, 2)+1</f>
        <v>#REF!</v>
      </c>
      <c r="K4" s="31" t="e">
        <f t="shared" si="1"/>
        <v>#REF!</v>
      </c>
      <c r="L4" s="31" t="e">
        <f t="shared" si="1"/>
        <v>#REF!</v>
      </c>
      <c r="M4" s="31" t="e">
        <f t="shared" si="1"/>
        <v>#REF!</v>
      </c>
      <c r="N4" s="31" t="e">
        <f t="shared" si="1"/>
        <v>#REF!</v>
      </c>
      <c r="O4" s="31" t="e">
        <f t="shared" si="1"/>
        <v>#REF!</v>
      </c>
      <c r="P4" s="31" t="e">
        <f t="shared" si="1"/>
        <v>#REF!</v>
      </c>
      <c r="Q4" s="31" t="e">
        <f t="shared" si="1"/>
        <v>#REF!</v>
      </c>
      <c r="R4" s="31" t="e">
        <f t="shared" si="1"/>
        <v>#REF!</v>
      </c>
      <c r="S4" s="31" t="e">
        <f t="shared" si="1"/>
        <v>#REF!</v>
      </c>
      <c r="T4" s="31" t="e">
        <f t="shared" si="1"/>
        <v>#REF!</v>
      </c>
      <c r="U4" s="31" t="e">
        <f t="shared" si="1"/>
        <v>#REF!</v>
      </c>
      <c r="V4" s="31" t="e">
        <f t="shared" si="1"/>
        <v>#REF!</v>
      </c>
      <c r="W4" s="31" t="e">
        <f t="shared" si="1"/>
        <v>#REF!</v>
      </c>
      <c r="X4" s="31" t="e">
        <f t="shared" si="1"/>
        <v>#REF!</v>
      </c>
      <c r="Y4" s="31" t="e">
        <f t="shared" si="1"/>
        <v>#REF!</v>
      </c>
      <c r="Z4" s="31" t="e">
        <f t="shared" si="1"/>
        <v>#REF!</v>
      </c>
      <c r="AA4" s="31" t="e">
        <f t="shared" si="1"/>
        <v>#REF!</v>
      </c>
      <c r="AB4" s="31" t="e">
        <f t="shared" si="1"/>
        <v>#REF!</v>
      </c>
    </row>
    <row r="5" spans="2:28" s="2" customFormat="1" collapsed="1">
      <c r="B5" s="287"/>
      <c r="C5" s="44"/>
      <c r="D5" s="44"/>
      <c r="E5" s="21">
        <f>EOMONTH(F5, -3)</f>
        <v>44651</v>
      </c>
      <c r="F5" s="21">
        <f>EOMONTH(G5, -3)</f>
        <v>44742</v>
      </c>
      <c r="G5" s="21">
        <f>EOMONTH(H5, -3)</f>
        <v>44834</v>
      </c>
      <c r="H5" s="21">
        <f>EOMONTH(I5, -3)</f>
        <v>44926</v>
      </c>
      <c r="I5" s="323">
        <f>Model!O4</f>
        <v>45016</v>
      </c>
      <c r="J5" s="193">
        <f>EOMONTH(I5, 3)</f>
        <v>45107</v>
      </c>
      <c r="K5" s="193">
        <f t="shared" ref="K5:AB5" si="2">EOMONTH(J5, 3)</f>
        <v>45199</v>
      </c>
      <c r="L5" s="193">
        <f t="shared" si="2"/>
        <v>45291</v>
      </c>
      <c r="M5" s="193">
        <f t="shared" si="2"/>
        <v>45382</v>
      </c>
      <c r="N5" s="193">
        <f t="shared" si="2"/>
        <v>45473</v>
      </c>
      <c r="O5" s="193">
        <f t="shared" si="2"/>
        <v>45565</v>
      </c>
      <c r="P5" s="193">
        <f t="shared" si="2"/>
        <v>45657</v>
      </c>
      <c r="Q5" s="193">
        <f t="shared" si="2"/>
        <v>45747</v>
      </c>
      <c r="R5" s="193">
        <f t="shared" si="2"/>
        <v>45838</v>
      </c>
      <c r="S5" s="193">
        <f t="shared" si="2"/>
        <v>45930</v>
      </c>
      <c r="T5" s="193">
        <f t="shared" si="2"/>
        <v>46022</v>
      </c>
      <c r="U5" s="193">
        <f t="shared" si="2"/>
        <v>46112</v>
      </c>
      <c r="V5" s="193">
        <f t="shared" si="2"/>
        <v>46203</v>
      </c>
      <c r="W5" s="193">
        <f t="shared" si="2"/>
        <v>46295</v>
      </c>
      <c r="X5" s="193">
        <f t="shared" si="2"/>
        <v>46387</v>
      </c>
      <c r="Y5" s="193">
        <f t="shared" si="2"/>
        <v>46477</v>
      </c>
      <c r="Z5" s="193">
        <f t="shared" si="2"/>
        <v>46568</v>
      </c>
      <c r="AA5" s="193">
        <f t="shared" si="2"/>
        <v>46660</v>
      </c>
      <c r="AB5" s="193">
        <f t="shared" si="2"/>
        <v>46752</v>
      </c>
    </row>
    <row r="6" spans="2:28" s="23" customFormat="1" ht="14.35" customHeight="1">
      <c r="B6" s="16" t="s">
        <v>191</v>
      </c>
      <c r="E6" s="41"/>
      <c r="F6" s="38"/>
      <c r="G6" s="38"/>
      <c r="H6" s="38" t="s">
        <v>241</v>
      </c>
    </row>
    <row r="7" spans="2:28" s="23" customFormat="1" ht="14.35" customHeight="1">
      <c r="B7" s="24" t="s">
        <v>189</v>
      </c>
      <c r="C7" s="40"/>
      <c r="D7" s="40"/>
      <c r="E7" s="382">
        <v>72.741228049692552</v>
      </c>
      <c r="F7" s="382">
        <v>73.966443537031893</v>
      </c>
      <c r="G7" s="382">
        <v>74.663908815496995</v>
      </c>
      <c r="H7" s="382">
        <v>75.736754507628305</v>
      </c>
      <c r="I7" s="409">
        <f>+E12</f>
        <v>75.371068049692553</v>
      </c>
      <c r="J7" s="409">
        <f t="shared" ref="J7:AB7" si="3">+F12</f>
        <v>77.306651537031897</v>
      </c>
      <c r="K7" s="409">
        <f t="shared" si="3"/>
        <v>80.657804815496988</v>
      </c>
      <c r="L7" s="409">
        <f t="shared" si="3"/>
        <v>85.772626507628303</v>
      </c>
      <c r="M7" s="409">
        <f t="shared" si="3"/>
        <v>77.060638049692542</v>
      </c>
      <c r="N7" s="409">
        <f t="shared" si="3"/>
        <v>79.004669387031896</v>
      </c>
      <c r="O7" s="409">
        <f t="shared" si="3"/>
        <v>82.36431275474699</v>
      </c>
      <c r="P7" s="409">
        <f t="shared" si="3"/>
        <v>87.487666986574553</v>
      </c>
      <c r="Q7" s="409">
        <f t="shared" si="3"/>
        <v>78.784253731033544</v>
      </c>
      <c r="R7" s="409">
        <f t="shared" si="3"/>
        <v>80.736903146779582</v>
      </c>
      <c r="S7" s="409">
        <f t="shared" si="3"/>
        <v>84.105207683293415</v>
      </c>
      <c r="T7" s="409">
        <f t="shared" si="3"/>
        <v>89.237266389763704</v>
      </c>
      <c r="U7" s="409">
        <f t="shared" si="3"/>
        <v>80.542601131238641</v>
      </c>
      <c r="V7" s="409">
        <f t="shared" si="3"/>
        <v>82.504042283985711</v>
      </c>
      <c r="W7" s="409">
        <f t="shared" si="3"/>
        <v>85.881182516185575</v>
      </c>
      <c r="X7" s="409">
        <f t="shared" si="3"/>
        <v>91.022121096820342</v>
      </c>
      <c r="Y7" s="409">
        <f t="shared" si="3"/>
        <v>82.33638011183055</v>
      </c>
      <c r="Z7" s="409">
        <f t="shared" si="3"/>
        <v>84.306790159480585</v>
      </c>
      <c r="AA7" s="409">
        <f t="shared" si="3"/>
        <v>87.692944131057899</v>
      </c>
      <c r="AB7" s="409">
        <f t="shared" si="3"/>
        <v>92.842941519767038</v>
      </c>
    </row>
    <row r="8" spans="2:28" s="23" customFormat="1" ht="14.35" customHeight="1">
      <c r="B8" s="24" t="s">
        <v>5</v>
      </c>
      <c r="C8" s="40"/>
      <c r="D8" s="40"/>
      <c r="E8" s="410">
        <f>'ARR Waterfall'!K7</f>
        <v>15.34464</v>
      </c>
      <c r="F8" s="410">
        <f>'ARR Waterfall'!L7</f>
        <v>12.672000000000001</v>
      </c>
      <c r="G8" s="410">
        <f>'ARR Waterfall'!M7</f>
        <v>18.431999999999999</v>
      </c>
      <c r="H8" s="410">
        <f>'ARR Waterfall'!N7</f>
        <v>18.984960000000001</v>
      </c>
      <c r="I8" s="410">
        <f>'ARR Waterfall'!O7</f>
        <v>13.516560000000004</v>
      </c>
      <c r="J8" s="410">
        <f>'ARR Waterfall'!P7</f>
        <v>13.584142800000004</v>
      </c>
      <c r="K8" s="410">
        <f>'ARR Waterfall'!Q7</f>
        <v>13.652063514000004</v>
      </c>
      <c r="L8" s="410">
        <f>'ARR Waterfall'!R7</f>
        <v>13.720323831570004</v>
      </c>
      <c r="M8" s="410">
        <f>'ARR Waterfall'!S7</f>
        <v>13.788925450727852</v>
      </c>
      <c r="N8" s="410">
        <f>'ARR Waterfall'!T7</f>
        <v>13.85787007798149</v>
      </c>
      <c r="O8" s="410">
        <f>'ARR Waterfall'!U7</f>
        <v>13.927159428371398</v>
      </c>
      <c r="P8" s="410">
        <f>'ARR Waterfall'!V7</f>
        <v>13.996795225513257</v>
      </c>
      <c r="Q8" s="410">
        <f>'ARR Waterfall'!W7</f>
        <v>14.066779201640824</v>
      </c>
      <c r="R8" s="410">
        <f>'ARR Waterfall'!X7</f>
        <v>14.137113097649026</v>
      </c>
      <c r="S8" s="410">
        <f>'ARR Waterfall'!Y7</f>
        <v>14.207798663137272</v>
      </c>
      <c r="T8" s="410">
        <f>'ARR Waterfall'!Z7</f>
        <v>14.278837656452957</v>
      </c>
      <c r="U8" s="410">
        <f>'ARR Waterfall'!AA7</f>
        <v>14.350231844735221</v>
      </c>
      <c r="V8" s="410">
        <f>'ARR Waterfall'!AB7</f>
        <v>14.4219830039589</v>
      </c>
      <c r="W8" s="410">
        <f>'ARR Waterfall'!AC7</f>
        <v>14.494092918978691</v>
      </c>
      <c r="X8" s="410">
        <f>'ARR Waterfall'!AD7</f>
        <v>14.566563383573584</v>
      </c>
      <c r="Y8" s="410">
        <f>'ARR Waterfall'!AE7</f>
        <v>14.639396200491454</v>
      </c>
      <c r="Z8" s="410">
        <f>'ARR Waterfall'!AF7</f>
        <v>14.71259318149391</v>
      </c>
      <c r="AA8" s="410">
        <f>'ARR Waterfall'!AG7</f>
        <v>14.78615614740138</v>
      </c>
      <c r="AB8" s="410">
        <f>'ARR Waterfall'!AH7</f>
        <v>14.860086928138385</v>
      </c>
    </row>
    <row r="9" spans="2:28" s="23" customFormat="1" ht="14.35" customHeight="1">
      <c r="B9" s="24" t="s">
        <v>6</v>
      </c>
      <c r="C9" s="40"/>
      <c r="D9" s="40"/>
      <c r="E9" s="410">
        <f>'ARR Waterfall'!K8</f>
        <v>4.3742320000000001</v>
      </c>
      <c r="F9" s="410">
        <f>'ARR Waterfall'!L8</f>
        <v>4.7944560000000003</v>
      </c>
      <c r="G9" s="410">
        <f>'ARR Waterfall'!M8</f>
        <v>3.0911840000000002</v>
      </c>
      <c r="H9" s="410">
        <f>'ARR Waterfall'!N8</f>
        <v>4.551768</v>
      </c>
      <c r="I9" s="410">
        <f>'ARR Waterfall'!O8</f>
        <v>5.0687100000000012</v>
      </c>
      <c r="J9" s="410">
        <f>'ARR Waterfall'!P8</f>
        <v>5.0940535500000017</v>
      </c>
      <c r="K9" s="410">
        <f>'ARR Waterfall'!Q8</f>
        <v>5.1195238177500011</v>
      </c>
      <c r="L9" s="410">
        <f>'ARR Waterfall'!R8</f>
        <v>5.1451214368387514</v>
      </c>
      <c r="M9" s="410">
        <f>'ARR Waterfall'!S8</f>
        <v>5.1708470440229446</v>
      </c>
      <c r="N9" s="410">
        <f>'ARR Waterfall'!T8</f>
        <v>5.1967012792430589</v>
      </c>
      <c r="O9" s="410">
        <f>'ARR Waterfall'!U8</f>
        <v>5.2226847856392746</v>
      </c>
      <c r="P9" s="410">
        <f>'ARR Waterfall'!V8</f>
        <v>5.2487982095674708</v>
      </c>
      <c r="Q9" s="410">
        <f>'ARR Waterfall'!W8</f>
        <v>5.2750422006153084</v>
      </c>
      <c r="R9" s="410">
        <f>'ARR Waterfall'!X8</f>
        <v>5.3014174116183845</v>
      </c>
      <c r="S9" s="410">
        <f>'ARR Waterfall'!Y8</f>
        <v>5.3279244986764764</v>
      </c>
      <c r="T9" s="410">
        <f>'ARR Waterfall'!Z8</f>
        <v>5.354564121169858</v>
      </c>
      <c r="U9" s="410">
        <f>'ARR Waterfall'!AA8</f>
        <v>5.3813369417757082</v>
      </c>
      <c r="V9" s="410">
        <f>'ARR Waterfall'!AB8</f>
        <v>5.4082436264845866</v>
      </c>
      <c r="W9" s="410">
        <f>'ARR Waterfall'!AC8</f>
        <v>5.4352848446170086</v>
      </c>
      <c r="X9" s="410">
        <f>'ARR Waterfall'!AD8</f>
        <v>5.4624612688400935</v>
      </c>
      <c r="Y9" s="410">
        <f>'ARR Waterfall'!AE8</f>
        <v>5.4897735751842944</v>
      </c>
      <c r="Z9" s="410">
        <f>'ARR Waterfall'!AF8</f>
        <v>5.5172224430602164</v>
      </c>
      <c r="AA9" s="410">
        <f>'ARR Waterfall'!AG8</f>
        <v>5.5448085552755169</v>
      </c>
      <c r="AB9" s="410">
        <f>'ARR Waterfall'!AH8</f>
        <v>5.572532598051894</v>
      </c>
    </row>
    <row r="10" spans="2:28" s="23" customFormat="1" ht="14.35" customHeight="1">
      <c r="B10" s="24" t="s">
        <v>7</v>
      </c>
      <c r="C10" s="40"/>
      <c r="D10" s="40"/>
      <c r="E10" s="410">
        <f>'ARR Waterfall'!K9</f>
        <v>-3.469624</v>
      </c>
      <c r="F10" s="410">
        <f>'ARR Waterfall'!L9</f>
        <v>-1.843504</v>
      </c>
      <c r="G10" s="410">
        <f>'ARR Waterfall'!M9</f>
        <v>-4.0987359999999997</v>
      </c>
      <c r="H10" s="410">
        <f>'ARR Waterfall'!N9</f>
        <v>-1.989072</v>
      </c>
      <c r="I10" s="410">
        <f>'ARR Waterfall'!O9</f>
        <v>-3.3791400000000009</v>
      </c>
      <c r="J10" s="410">
        <f>'ARR Waterfall'!P9</f>
        <v>-3.396035700000001</v>
      </c>
      <c r="K10" s="410">
        <f>'ARR Waterfall'!Q9</f>
        <v>-3.4130158785000009</v>
      </c>
      <c r="L10" s="410">
        <f>'ARR Waterfall'!R9</f>
        <v>-3.4300809578925011</v>
      </c>
      <c r="M10" s="410">
        <f>'ARR Waterfall'!S9</f>
        <v>-3.4472313626819631</v>
      </c>
      <c r="N10" s="410">
        <f>'ARR Waterfall'!T9</f>
        <v>-3.4644675194953725</v>
      </c>
      <c r="O10" s="410">
        <f>'ARR Waterfall'!U9</f>
        <v>-3.4817898570928496</v>
      </c>
      <c r="P10" s="410">
        <f>'ARR Waterfall'!V9</f>
        <v>-3.4991988063783142</v>
      </c>
      <c r="Q10" s="410">
        <f>'ARR Waterfall'!W9</f>
        <v>-3.5166948004102059</v>
      </c>
      <c r="R10" s="410">
        <f>'ARR Waterfall'!X9</f>
        <v>-3.5342782744122565</v>
      </c>
      <c r="S10" s="410">
        <f>'ARR Waterfall'!Y9</f>
        <v>-3.5519496657843179</v>
      </c>
      <c r="T10" s="410">
        <f>'ARR Waterfall'!Z9</f>
        <v>-3.5697094141132393</v>
      </c>
      <c r="U10" s="410">
        <f>'ARR Waterfall'!AA9</f>
        <v>-3.5875579611838053</v>
      </c>
      <c r="V10" s="410">
        <f>'ARR Waterfall'!AB9</f>
        <v>-3.605495750989725</v>
      </c>
      <c r="W10" s="410">
        <f>'ARR Waterfall'!AC9</f>
        <v>-3.6235232297446727</v>
      </c>
      <c r="X10" s="410">
        <f>'ARR Waterfall'!AD9</f>
        <v>-3.641640845893396</v>
      </c>
      <c r="Y10" s="410">
        <f>'ARR Waterfall'!AE9</f>
        <v>-3.6598490501228635</v>
      </c>
      <c r="Z10" s="410">
        <f>'ARR Waterfall'!AF9</f>
        <v>-3.6781482953734774</v>
      </c>
      <c r="AA10" s="410">
        <f>'ARR Waterfall'!AG9</f>
        <v>-3.696539036850345</v>
      </c>
      <c r="AB10" s="410">
        <f>'ARR Waterfall'!AH9</f>
        <v>-3.7150217320345962</v>
      </c>
    </row>
    <row r="11" spans="2:28" s="23" customFormat="1" ht="14.35" customHeight="1">
      <c r="B11" s="24" t="s">
        <v>8</v>
      </c>
      <c r="C11" s="40"/>
      <c r="D11" s="40"/>
      <c r="E11" s="410">
        <f>'ARR Waterfall'!K10</f>
        <v>-13.619408</v>
      </c>
      <c r="F11" s="410">
        <f>'ARR Waterfall'!L10</f>
        <v>-12.282743999999999</v>
      </c>
      <c r="G11" s="410">
        <f>'ARR Waterfall'!M10</f>
        <v>-11.430552</v>
      </c>
      <c r="H11" s="410">
        <f>'ARR Waterfall'!N10</f>
        <v>-11.511784</v>
      </c>
      <c r="I11" s="410">
        <f>'ARR Waterfall'!O10</f>
        <v>-13.516560000000004</v>
      </c>
      <c r="J11" s="410">
        <f>'ARR Waterfall'!P10</f>
        <v>-13.584142800000004</v>
      </c>
      <c r="K11" s="410">
        <f>'ARR Waterfall'!Q10</f>
        <v>-13.652063514000004</v>
      </c>
      <c r="L11" s="410">
        <f>'ARR Waterfall'!R10</f>
        <v>-13.720323831570004</v>
      </c>
      <c r="M11" s="410">
        <f>'ARR Waterfall'!S10</f>
        <v>-13.788925450727852</v>
      </c>
      <c r="N11" s="410">
        <f>'ARR Waterfall'!T10</f>
        <v>-13.85787007798149</v>
      </c>
      <c r="O11" s="410">
        <f>'ARR Waterfall'!U10</f>
        <v>-13.927159428371398</v>
      </c>
      <c r="P11" s="410">
        <f>'ARR Waterfall'!V10</f>
        <v>-13.996795225513257</v>
      </c>
      <c r="Q11" s="410">
        <f>'ARR Waterfall'!W10</f>
        <v>-14.066779201640824</v>
      </c>
      <c r="R11" s="410">
        <f>'ARR Waterfall'!X10</f>
        <v>-14.137113097649026</v>
      </c>
      <c r="S11" s="410">
        <f>'ARR Waterfall'!Y10</f>
        <v>-14.207798663137272</v>
      </c>
      <c r="T11" s="410">
        <f>'ARR Waterfall'!Z10</f>
        <v>-14.278837656452957</v>
      </c>
      <c r="U11" s="410">
        <f>'ARR Waterfall'!AA10</f>
        <v>-14.350231844735221</v>
      </c>
      <c r="V11" s="410">
        <f>'ARR Waterfall'!AB10</f>
        <v>-14.4219830039589</v>
      </c>
      <c r="W11" s="410">
        <f>'ARR Waterfall'!AC10</f>
        <v>-14.494092918978691</v>
      </c>
      <c r="X11" s="410">
        <f>'ARR Waterfall'!AD10</f>
        <v>-14.566563383573584</v>
      </c>
      <c r="Y11" s="410">
        <f>'ARR Waterfall'!AE10</f>
        <v>-14.639396200491454</v>
      </c>
      <c r="Z11" s="410">
        <f>'ARR Waterfall'!AF10</f>
        <v>-14.71259318149391</v>
      </c>
      <c r="AA11" s="410">
        <f>'ARR Waterfall'!AG10</f>
        <v>-14.78615614740138</v>
      </c>
      <c r="AB11" s="410">
        <f>'ARR Waterfall'!AH10</f>
        <v>-14.860086928138385</v>
      </c>
    </row>
    <row r="12" spans="2:28" s="23" customFormat="1" ht="14.35" customHeight="1">
      <c r="B12" s="9" t="s">
        <v>190</v>
      </c>
      <c r="C12" s="22"/>
      <c r="D12" s="420"/>
      <c r="E12" s="411">
        <f>SUM(E7:E11)</f>
        <v>75.371068049692553</v>
      </c>
      <c r="F12" s="411">
        <f t="shared" ref="F12:I12" si="4">SUM(F7:F11)</f>
        <v>77.306651537031897</v>
      </c>
      <c r="G12" s="411">
        <f t="shared" si="4"/>
        <v>80.657804815496988</v>
      </c>
      <c r="H12" s="411">
        <f t="shared" si="4"/>
        <v>85.772626507628303</v>
      </c>
      <c r="I12" s="411">
        <f t="shared" si="4"/>
        <v>77.060638049692542</v>
      </c>
      <c r="J12" s="411">
        <f t="shared" ref="J12" si="5">SUM(J7:J11)</f>
        <v>79.004669387031896</v>
      </c>
      <c r="K12" s="411">
        <f t="shared" ref="K12" si="6">SUM(K7:K11)</f>
        <v>82.36431275474699</v>
      </c>
      <c r="L12" s="411">
        <f t="shared" ref="L12" si="7">SUM(L7:L11)</f>
        <v>87.487666986574553</v>
      </c>
      <c r="M12" s="411">
        <f t="shared" ref="M12" si="8">SUM(M7:M11)</f>
        <v>78.784253731033544</v>
      </c>
      <c r="N12" s="411">
        <f t="shared" ref="N12" si="9">SUM(N7:N11)</f>
        <v>80.736903146779582</v>
      </c>
      <c r="O12" s="411">
        <f t="shared" ref="O12" si="10">SUM(O7:O11)</f>
        <v>84.105207683293415</v>
      </c>
      <c r="P12" s="411">
        <f t="shared" ref="P12" si="11">SUM(P7:P11)</f>
        <v>89.237266389763704</v>
      </c>
      <c r="Q12" s="411">
        <f t="shared" ref="Q12" si="12">SUM(Q7:Q11)</f>
        <v>80.542601131238641</v>
      </c>
      <c r="R12" s="411">
        <f t="shared" ref="R12" si="13">SUM(R7:R11)</f>
        <v>82.504042283985711</v>
      </c>
      <c r="S12" s="411">
        <f t="shared" ref="S12" si="14">SUM(S7:S11)</f>
        <v>85.881182516185575</v>
      </c>
      <c r="T12" s="411">
        <f t="shared" ref="T12" si="15">SUM(T7:T11)</f>
        <v>91.022121096820342</v>
      </c>
      <c r="U12" s="411">
        <f t="shared" ref="U12" si="16">SUM(U7:U11)</f>
        <v>82.33638011183055</v>
      </c>
      <c r="V12" s="411">
        <f t="shared" ref="V12" si="17">SUM(V7:V11)</f>
        <v>84.306790159480585</v>
      </c>
      <c r="W12" s="411">
        <f t="shared" ref="W12" si="18">SUM(W7:W11)</f>
        <v>87.692944131057899</v>
      </c>
      <c r="X12" s="411">
        <f t="shared" ref="X12" si="19">SUM(X7:X11)</f>
        <v>92.842941519767038</v>
      </c>
      <c r="Y12" s="411">
        <f t="shared" ref="Y12" si="20">SUM(Y7:Y11)</f>
        <v>84.166304636891994</v>
      </c>
      <c r="Z12" s="411">
        <f t="shared" ref="Z12" si="21">SUM(Z7:Z11)</f>
        <v>86.145864307167329</v>
      </c>
      <c r="AA12" s="411">
        <f t="shared" ref="AA12" si="22">SUM(AA7:AA11)</f>
        <v>89.541213649483083</v>
      </c>
      <c r="AB12" s="411">
        <f t="shared" ref="AB12" si="23">SUM(AB7:AB11)</f>
        <v>94.700452385784331</v>
      </c>
    </row>
    <row r="13" spans="2:28" s="23" customFormat="1" ht="14.35" customHeight="1">
      <c r="B13" s="5"/>
      <c r="C13" s="42"/>
      <c r="D13" s="421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 spans="2:28" s="23" customFormat="1" ht="14.35" customHeight="1">
      <c r="B14" s="48" t="s">
        <v>32</v>
      </c>
      <c r="C14" s="47"/>
      <c r="D14" s="422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</row>
    <row r="15" spans="2:28" s="23" customFormat="1" ht="14.35" customHeight="1">
      <c r="B15" s="49" t="s">
        <v>4</v>
      </c>
      <c r="C15" s="50" t="s">
        <v>169</v>
      </c>
      <c r="D15" s="423" t="s">
        <v>31</v>
      </c>
      <c r="E15" s="50"/>
      <c r="F15" s="50"/>
      <c r="G15" s="50"/>
      <c r="H15" s="50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 spans="2:28" s="23" customFormat="1" ht="14.35" customHeight="1">
      <c r="B16" s="24" cm="1">
        <f t="array" ref="B16:B39">TRANSPOSE(E5:AB5)</f>
        <v>44651</v>
      </c>
      <c r="C16" s="412" cm="1">
        <f t="array" ref="C16:C39">TRANSPOSE(E12:AB12)</f>
        <v>75.371068049692553</v>
      </c>
      <c r="D16" s="424">
        <v>0.65</v>
      </c>
      <c r="E16" s="326">
        <f>$C16*$D16</f>
        <v>48.99119423230016</v>
      </c>
      <c r="F16" s="413"/>
      <c r="G16" s="413"/>
      <c r="H16" s="413"/>
      <c r="I16" s="326"/>
      <c r="J16" s="326"/>
      <c r="K16" s="326"/>
      <c r="L16" s="326"/>
      <c r="M16" s="326"/>
      <c r="N16" s="326"/>
      <c r="O16" s="326"/>
      <c r="P16" s="326"/>
      <c r="Q16" s="414"/>
      <c r="R16" s="385"/>
      <c r="S16" s="385"/>
      <c r="T16" s="385"/>
      <c r="U16" s="385"/>
      <c r="V16" s="385"/>
      <c r="W16" s="385"/>
      <c r="X16" s="385"/>
      <c r="Y16" s="385"/>
      <c r="Z16" s="385"/>
      <c r="AA16" s="385"/>
      <c r="AB16" s="385"/>
    </row>
    <row r="17" spans="2:28" s="23" customFormat="1" ht="14.35" customHeight="1">
      <c r="B17" s="24">
        <v>44742</v>
      </c>
      <c r="C17" s="412">
        <v>77.306651537031897</v>
      </c>
      <c r="D17" s="425">
        <f>+D16</f>
        <v>0.65</v>
      </c>
      <c r="E17" s="413"/>
      <c r="F17" s="326">
        <f>$C17*$D17</f>
        <v>50.249323499070734</v>
      </c>
      <c r="G17" s="413"/>
      <c r="H17" s="413"/>
      <c r="I17" s="414"/>
      <c r="J17" s="326"/>
      <c r="K17" s="326"/>
      <c r="L17" s="326"/>
      <c r="M17" s="326"/>
      <c r="N17" s="326"/>
      <c r="O17" s="326"/>
      <c r="P17" s="326"/>
      <c r="Q17" s="414"/>
      <c r="R17" s="385"/>
      <c r="S17" s="385"/>
      <c r="T17" s="385"/>
      <c r="U17" s="385"/>
      <c r="V17" s="385"/>
      <c r="W17" s="385"/>
      <c r="X17" s="385"/>
      <c r="Y17" s="385"/>
      <c r="Z17" s="385"/>
      <c r="AA17" s="385"/>
      <c r="AB17" s="385"/>
    </row>
    <row r="18" spans="2:28" s="23" customFormat="1" ht="14.35" customHeight="1">
      <c r="B18" s="24">
        <v>44834</v>
      </c>
      <c r="C18" s="412">
        <v>80.657804815496988</v>
      </c>
      <c r="D18" s="425">
        <f t="shared" ref="D18:D39" si="24">+D17</f>
        <v>0.65</v>
      </c>
      <c r="E18" s="413"/>
      <c r="F18" s="413"/>
      <c r="G18" s="326">
        <f>$C18*$D18</f>
        <v>52.427573130073043</v>
      </c>
      <c r="H18" s="413"/>
      <c r="I18" s="414"/>
      <c r="J18" s="414"/>
      <c r="K18" s="326"/>
      <c r="L18" s="326"/>
      <c r="M18" s="326"/>
      <c r="N18" s="326"/>
      <c r="O18" s="326"/>
      <c r="P18" s="326"/>
      <c r="Q18" s="414"/>
      <c r="R18" s="385"/>
      <c r="S18" s="385"/>
      <c r="T18" s="385"/>
      <c r="U18" s="385"/>
      <c r="V18" s="385"/>
      <c r="W18" s="385"/>
      <c r="X18" s="385"/>
      <c r="Y18" s="385"/>
      <c r="Z18" s="385"/>
      <c r="AA18" s="385"/>
      <c r="AB18" s="385"/>
    </row>
    <row r="19" spans="2:28" s="23" customFormat="1" ht="14.35" customHeight="1">
      <c r="B19" s="24">
        <v>44926</v>
      </c>
      <c r="C19" s="412">
        <v>85.772626507628303</v>
      </c>
      <c r="D19" s="425">
        <f t="shared" si="24"/>
        <v>0.65</v>
      </c>
      <c r="E19" s="413"/>
      <c r="F19" s="413"/>
      <c r="G19" s="413"/>
      <c r="H19" s="326">
        <f>$C19*$D19</f>
        <v>55.752207229958401</v>
      </c>
      <c r="I19" s="414"/>
      <c r="J19" s="414"/>
      <c r="K19" s="414"/>
      <c r="L19" s="326"/>
      <c r="M19" s="326"/>
      <c r="N19" s="326"/>
      <c r="O19" s="326"/>
      <c r="P19" s="326"/>
      <c r="Q19" s="414"/>
      <c r="R19" s="385"/>
      <c r="S19" s="385"/>
      <c r="T19" s="385"/>
      <c r="U19" s="385"/>
      <c r="V19" s="385"/>
      <c r="W19" s="385"/>
      <c r="X19" s="385"/>
      <c r="Y19" s="385"/>
      <c r="Z19" s="385"/>
      <c r="AA19" s="385"/>
      <c r="AB19" s="385"/>
    </row>
    <row r="20" spans="2:28" s="23" customFormat="1" ht="14.35" customHeight="1">
      <c r="B20" s="24">
        <v>45016</v>
      </c>
      <c r="C20" s="412">
        <v>77.060638049692542</v>
      </c>
      <c r="D20" s="425">
        <f t="shared" si="24"/>
        <v>0.65</v>
      </c>
      <c r="E20" s="413"/>
      <c r="F20" s="413"/>
      <c r="G20" s="413"/>
      <c r="H20" s="413"/>
      <c r="I20" s="326">
        <f>$C20*$D20</f>
        <v>50.089414732300156</v>
      </c>
      <c r="J20" s="414"/>
      <c r="K20" s="414"/>
      <c r="L20" s="414"/>
      <c r="M20" s="326"/>
      <c r="N20" s="326"/>
      <c r="O20" s="326"/>
      <c r="P20" s="326"/>
      <c r="Q20" s="414"/>
      <c r="R20" s="385"/>
      <c r="S20" s="385"/>
      <c r="T20" s="385"/>
      <c r="U20" s="385"/>
      <c r="V20" s="385"/>
      <c r="W20" s="385"/>
      <c r="X20" s="385"/>
      <c r="Y20" s="385"/>
      <c r="Z20" s="385"/>
      <c r="AA20" s="385"/>
      <c r="AB20" s="385"/>
    </row>
    <row r="21" spans="2:28" s="23" customFormat="1" ht="14.35" customHeight="1">
      <c r="B21" s="24">
        <v>45107</v>
      </c>
      <c r="C21" s="412">
        <v>79.004669387031896</v>
      </c>
      <c r="D21" s="425">
        <f t="shared" si="24"/>
        <v>0.65</v>
      </c>
      <c r="E21" s="413"/>
      <c r="F21" s="413"/>
      <c r="G21" s="413"/>
      <c r="H21" s="413"/>
      <c r="I21" s="414"/>
      <c r="J21" s="326">
        <f>$C21*$D21</f>
        <v>51.353035101570732</v>
      </c>
      <c r="K21" s="414"/>
      <c r="L21" s="414"/>
      <c r="M21" s="326"/>
      <c r="N21" s="326"/>
      <c r="O21" s="326"/>
      <c r="P21" s="326"/>
      <c r="Q21" s="414"/>
      <c r="R21" s="385"/>
      <c r="S21" s="385"/>
      <c r="T21" s="385"/>
      <c r="U21" s="385"/>
      <c r="V21" s="385"/>
      <c r="W21" s="385"/>
      <c r="X21" s="385"/>
      <c r="Y21" s="385"/>
      <c r="Z21" s="385"/>
      <c r="AA21" s="385"/>
      <c r="AB21" s="385"/>
    </row>
    <row r="22" spans="2:28" s="23" customFormat="1" ht="14.35" customHeight="1">
      <c r="B22" s="24">
        <v>45199</v>
      </c>
      <c r="C22" s="412">
        <v>82.36431275474699</v>
      </c>
      <c r="D22" s="425">
        <f t="shared" si="24"/>
        <v>0.65</v>
      </c>
      <c r="E22" s="413"/>
      <c r="F22" s="413"/>
      <c r="G22" s="413"/>
      <c r="H22" s="413"/>
      <c r="I22" s="414"/>
      <c r="J22" s="414"/>
      <c r="K22" s="326">
        <f>$C22*$D22</f>
        <v>53.536803290585546</v>
      </c>
      <c r="L22" s="414"/>
      <c r="M22" s="326"/>
      <c r="N22" s="326"/>
      <c r="O22" s="326"/>
      <c r="P22" s="326"/>
      <c r="Q22" s="414"/>
      <c r="R22" s="385"/>
      <c r="S22" s="385"/>
      <c r="T22" s="385"/>
      <c r="U22" s="385"/>
      <c r="V22" s="385"/>
      <c r="W22" s="385"/>
      <c r="X22" s="385"/>
      <c r="Y22" s="385"/>
      <c r="Z22" s="385"/>
      <c r="AA22" s="385"/>
      <c r="AB22" s="385"/>
    </row>
    <row r="23" spans="2:28" s="23" customFormat="1" ht="14.35" customHeight="1">
      <c r="B23" s="24">
        <v>45291</v>
      </c>
      <c r="C23" s="412">
        <v>87.487666986574553</v>
      </c>
      <c r="D23" s="425">
        <f t="shared" si="24"/>
        <v>0.65</v>
      </c>
      <c r="E23" s="413"/>
      <c r="F23" s="413"/>
      <c r="G23" s="413"/>
      <c r="H23" s="413"/>
      <c r="I23" s="414"/>
      <c r="J23" s="414"/>
      <c r="K23" s="414"/>
      <c r="L23" s="326">
        <f>$C23*$D23</f>
        <v>56.866983541273463</v>
      </c>
      <c r="M23" s="326"/>
      <c r="N23" s="326"/>
      <c r="O23" s="326"/>
      <c r="P23" s="326"/>
      <c r="Q23" s="414"/>
      <c r="R23" s="385"/>
      <c r="S23" s="385"/>
      <c r="T23" s="385"/>
      <c r="U23" s="385"/>
      <c r="V23" s="385"/>
      <c r="W23" s="385"/>
      <c r="X23" s="385"/>
      <c r="Y23" s="385"/>
      <c r="Z23" s="385"/>
      <c r="AA23" s="385"/>
      <c r="AB23" s="385"/>
    </row>
    <row r="24" spans="2:28" s="23" customFormat="1" ht="14.35" customHeight="1">
      <c r="B24" s="24">
        <v>45382</v>
      </c>
      <c r="C24" s="412">
        <v>78.784253731033544</v>
      </c>
      <c r="D24" s="425">
        <f t="shared" si="24"/>
        <v>0.65</v>
      </c>
      <c r="E24" s="413"/>
      <c r="F24" s="413"/>
      <c r="G24" s="413"/>
      <c r="H24" s="413"/>
      <c r="I24" s="414"/>
      <c r="J24" s="414"/>
      <c r="K24" s="414"/>
      <c r="L24" s="414"/>
      <c r="M24" s="326">
        <f>$C24*$D24</f>
        <v>51.209764925171804</v>
      </c>
      <c r="N24" s="326"/>
      <c r="O24" s="326"/>
      <c r="P24" s="326"/>
      <c r="Q24" s="326"/>
      <c r="R24" s="385"/>
      <c r="S24" s="385"/>
      <c r="T24" s="385"/>
      <c r="U24" s="385"/>
      <c r="V24" s="385"/>
      <c r="W24" s="385"/>
      <c r="X24" s="385"/>
      <c r="Y24" s="385"/>
      <c r="Z24" s="385"/>
      <c r="AA24" s="385"/>
      <c r="AB24" s="385"/>
    </row>
    <row r="25" spans="2:28" s="23" customFormat="1" ht="14.35" customHeight="1">
      <c r="B25" s="24">
        <v>45473</v>
      </c>
      <c r="C25" s="412">
        <v>80.736903146779582</v>
      </c>
      <c r="D25" s="425">
        <f t="shared" si="24"/>
        <v>0.65</v>
      </c>
      <c r="E25" s="413"/>
      <c r="F25" s="413"/>
      <c r="G25" s="413"/>
      <c r="H25" s="413"/>
      <c r="I25" s="414"/>
      <c r="J25" s="414"/>
      <c r="K25" s="414"/>
      <c r="L25" s="414"/>
      <c r="M25" s="326"/>
      <c r="N25" s="326">
        <f>$C25*$D25</f>
        <v>52.478987045406733</v>
      </c>
      <c r="O25" s="326"/>
      <c r="P25" s="326"/>
      <c r="Q25" s="414"/>
      <c r="R25" s="326"/>
      <c r="S25" s="385"/>
      <c r="T25" s="385"/>
      <c r="U25" s="385"/>
      <c r="V25" s="385"/>
      <c r="W25" s="385"/>
      <c r="X25" s="385"/>
      <c r="Y25" s="385"/>
      <c r="Z25" s="385"/>
      <c r="AA25" s="385"/>
      <c r="AB25" s="385"/>
    </row>
    <row r="26" spans="2:28" s="23" customFormat="1" ht="14.35" customHeight="1">
      <c r="B26" s="24">
        <v>45565</v>
      </c>
      <c r="C26" s="412">
        <v>84.105207683293415</v>
      </c>
      <c r="D26" s="425">
        <f t="shared" si="24"/>
        <v>0.65</v>
      </c>
      <c r="E26" s="413"/>
      <c r="F26" s="413"/>
      <c r="G26" s="413"/>
      <c r="H26" s="413"/>
      <c r="I26" s="414"/>
      <c r="J26" s="414"/>
      <c r="K26" s="414"/>
      <c r="L26" s="414"/>
      <c r="M26" s="326"/>
      <c r="N26" s="326"/>
      <c r="O26" s="326">
        <f>$C26*$D26</f>
        <v>54.668384994140723</v>
      </c>
      <c r="P26" s="326"/>
      <c r="Q26" s="414"/>
      <c r="R26" s="385"/>
      <c r="S26" s="326"/>
      <c r="T26" s="385"/>
      <c r="U26" s="385"/>
      <c r="V26" s="385"/>
      <c r="W26" s="385"/>
      <c r="X26" s="385"/>
      <c r="Y26" s="385"/>
      <c r="Z26" s="385"/>
      <c r="AA26" s="385"/>
      <c r="AB26" s="385"/>
    </row>
    <row r="27" spans="2:28" s="23" customFormat="1" ht="14.35" customHeight="1">
      <c r="B27" s="24">
        <v>45657</v>
      </c>
      <c r="C27" s="412">
        <v>89.237266389763704</v>
      </c>
      <c r="D27" s="425">
        <f t="shared" si="24"/>
        <v>0.65</v>
      </c>
      <c r="E27" s="413"/>
      <c r="F27" s="413"/>
      <c r="G27" s="413"/>
      <c r="H27" s="413"/>
      <c r="I27" s="414"/>
      <c r="J27" s="414"/>
      <c r="K27" s="414"/>
      <c r="L27" s="414"/>
      <c r="M27" s="326"/>
      <c r="N27" s="326"/>
      <c r="O27" s="326"/>
      <c r="P27" s="326">
        <f>$C27*$D27</f>
        <v>58.004223153346409</v>
      </c>
      <c r="Q27" s="414"/>
      <c r="R27" s="385"/>
      <c r="S27" s="385"/>
      <c r="T27" s="326"/>
      <c r="U27" s="385"/>
      <c r="V27" s="385"/>
      <c r="W27" s="385"/>
      <c r="X27" s="385"/>
      <c r="Y27" s="385"/>
      <c r="Z27" s="385"/>
      <c r="AA27" s="385"/>
      <c r="AB27" s="385"/>
    </row>
    <row r="28" spans="2:28" s="23" customFormat="1" ht="14.35" customHeight="1">
      <c r="B28" s="24">
        <v>45747</v>
      </c>
      <c r="C28" s="412">
        <v>80.542601131238641</v>
      </c>
      <c r="D28" s="425">
        <f t="shared" si="24"/>
        <v>0.65</v>
      </c>
      <c r="E28" s="413"/>
      <c r="F28" s="413"/>
      <c r="G28" s="413"/>
      <c r="H28" s="413"/>
      <c r="I28" s="414"/>
      <c r="J28" s="414"/>
      <c r="K28" s="414"/>
      <c r="L28" s="414"/>
      <c r="M28" s="326"/>
      <c r="N28" s="326"/>
      <c r="O28" s="326"/>
      <c r="P28" s="326"/>
      <c r="Q28" s="326">
        <f>$C28*$D28</f>
        <v>52.352690735305117</v>
      </c>
      <c r="R28" s="385"/>
      <c r="S28" s="385"/>
      <c r="T28" s="385"/>
      <c r="U28" s="326"/>
      <c r="V28" s="385"/>
      <c r="W28" s="385"/>
      <c r="X28" s="385"/>
      <c r="Y28" s="385"/>
      <c r="Z28" s="385"/>
      <c r="AA28" s="385"/>
      <c r="AB28" s="385"/>
    </row>
    <row r="29" spans="2:28" s="23" customFormat="1" ht="14.35" customHeight="1">
      <c r="B29" s="24">
        <v>45838</v>
      </c>
      <c r="C29" s="412">
        <v>82.504042283985711</v>
      </c>
      <c r="D29" s="425">
        <f t="shared" si="24"/>
        <v>0.65</v>
      </c>
      <c r="E29" s="413"/>
      <c r="F29" s="413"/>
      <c r="G29" s="413"/>
      <c r="H29" s="413"/>
      <c r="I29" s="414"/>
      <c r="J29" s="414"/>
      <c r="K29" s="414"/>
      <c r="L29" s="414"/>
      <c r="M29" s="326"/>
      <c r="N29" s="326"/>
      <c r="O29" s="326"/>
      <c r="P29" s="326"/>
      <c r="Q29" s="414"/>
      <c r="R29" s="326">
        <f>$C29*$D29</f>
        <v>53.627627484590711</v>
      </c>
      <c r="S29" s="385"/>
      <c r="T29" s="385"/>
      <c r="U29" s="385"/>
      <c r="V29" s="326"/>
      <c r="W29" s="385"/>
      <c r="X29" s="385"/>
      <c r="Y29" s="385"/>
      <c r="Z29" s="385"/>
      <c r="AA29" s="385"/>
      <c r="AB29" s="385"/>
    </row>
    <row r="30" spans="2:28" s="23" customFormat="1" ht="14.35" customHeight="1">
      <c r="B30" s="24">
        <v>45930</v>
      </c>
      <c r="C30" s="412">
        <v>85.881182516185575</v>
      </c>
      <c r="D30" s="425">
        <f t="shared" si="24"/>
        <v>0.65</v>
      </c>
      <c r="E30" s="413"/>
      <c r="F30" s="413"/>
      <c r="G30" s="413"/>
      <c r="H30" s="413"/>
      <c r="I30" s="414"/>
      <c r="J30" s="414"/>
      <c r="K30" s="414"/>
      <c r="L30" s="414"/>
      <c r="M30" s="326"/>
      <c r="N30" s="326"/>
      <c r="O30" s="326"/>
      <c r="P30" s="326"/>
      <c r="Q30" s="414"/>
      <c r="R30" s="385"/>
      <c r="S30" s="326">
        <f>$C30*$D30</f>
        <v>55.822768635520625</v>
      </c>
      <c r="T30" s="385"/>
      <c r="U30" s="385"/>
      <c r="V30" s="385"/>
      <c r="W30" s="326"/>
      <c r="X30" s="385"/>
      <c r="Y30" s="385"/>
      <c r="Z30" s="385"/>
      <c r="AA30" s="385"/>
      <c r="AB30" s="385"/>
    </row>
    <row r="31" spans="2:28" s="23" customFormat="1" ht="14.35" customHeight="1">
      <c r="B31" s="24">
        <v>46022</v>
      </c>
      <c r="C31" s="412">
        <v>91.022121096820342</v>
      </c>
      <c r="D31" s="425">
        <f t="shared" si="24"/>
        <v>0.65</v>
      </c>
      <c r="E31" s="413"/>
      <c r="F31" s="413"/>
      <c r="G31" s="413"/>
      <c r="H31" s="413"/>
      <c r="I31" s="414"/>
      <c r="J31" s="414"/>
      <c r="K31" s="414"/>
      <c r="L31" s="414"/>
      <c r="M31" s="326"/>
      <c r="N31" s="326"/>
      <c r="O31" s="326"/>
      <c r="P31" s="326"/>
      <c r="Q31" s="414"/>
      <c r="R31" s="385"/>
      <c r="S31" s="385"/>
      <c r="T31" s="326">
        <f>$C31*$D31</f>
        <v>59.164378712933221</v>
      </c>
      <c r="U31" s="385"/>
      <c r="V31" s="385"/>
      <c r="W31" s="385"/>
      <c r="X31" s="326"/>
      <c r="Y31" s="385"/>
      <c r="Z31" s="385"/>
      <c r="AA31" s="385"/>
      <c r="AB31" s="385"/>
    </row>
    <row r="32" spans="2:28" s="23" customFormat="1" ht="14.35" customHeight="1">
      <c r="B32" s="24">
        <v>46112</v>
      </c>
      <c r="C32" s="412">
        <v>82.33638011183055</v>
      </c>
      <c r="D32" s="425">
        <f t="shared" si="24"/>
        <v>0.65</v>
      </c>
      <c r="E32" s="413"/>
      <c r="F32" s="413"/>
      <c r="G32" s="413"/>
      <c r="H32" s="413"/>
      <c r="I32" s="414"/>
      <c r="J32" s="414"/>
      <c r="K32" s="414"/>
      <c r="L32" s="414"/>
      <c r="M32" s="326"/>
      <c r="N32" s="326"/>
      <c r="O32" s="326"/>
      <c r="P32" s="326"/>
      <c r="Q32" s="414"/>
      <c r="R32" s="385"/>
      <c r="S32" s="385"/>
      <c r="T32" s="385"/>
      <c r="U32" s="326">
        <f>$C32*$D32</f>
        <v>53.518647072689859</v>
      </c>
      <c r="V32" s="385"/>
      <c r="W32" s="385"/>
      <c r="X32" s="385"/>
      <c r="Y32" s="326"/>
      <c r="Z32" s="385"/>
      <c r="AA32" s="385"/>
      <c r="AB32" s="385"/>
    </row>
    <row r="33" spans="2:28" s="23" customFormat="1" ht="14.35" customHeight="1">
      <c r="B33" s="24">
        <v>46203</v>
      </c>
      <c r="C33" s="412">
        <v>84.306790159480585</v>
      </c>
      <c r="D33" s="425">
        <f t="shared" si="24"/>
        <v>0.65</v>
      </c>
      <c r="E33" s="413"/>
      <c r="F33" s="413"/>
      <c r="G33" s="413"/>
      <c r="H33" s="413"/>
      <c r="I33" s="414"/>
      <c r="J33" s="414"/>
      <c r="K33" s="414"/>
      <c r="L33" s="414"/>
      <c r="M33" s="326"/>
      <c r="N33" s="326"/>
      <c r="O33" s="326"/>
      <c r="P33" s="326"/>
      <c r="Q33" s="414"/>
      <c r="R33" s="385"/>
      <c r="S33" s="385"/>
      <c r="T33" s="385"/>
      <c r="U33" s="385"/>
      <c r="V33" s="326">
        <f>$C33*$D33</f>
        <v>54.79941360366238</v>
      </c>
      <c r="W33" s="385"/>
      <c r="X33" s="385"/>
      <c r="Y33" s="385"/>
      <c r="Z33" s="326"/>
      <c r="AA33" s="385"/>
      <c r="AB33" s="385"/>
    </row>
    <row r="34" spans="2:28" s="23" customFormat="1" ht="14.35" customHeight="1">
      <c r="B34" s="24">
        <v>46295</v>
      </c>
      <c r="C34" s="412">
        <v>87.692944131057899</v>
      </c>
      <c r="D34" s="425">
        <f t="shared" si="24"/>
        <v>0.65</v>
      </c>
      <c r="E34" s="413"/>
      <c r="F34" s="413"/>
      <c r="G34" s="413"/>
      <c r="H34" s="413"/>
      <c r="I34" s="414"/>
      <c r="J34" s="414"/>
      <c r="K34" s="414"/>
      <c r="L34" s="414"/>
      <c r="M34" s="326"/>
      <c r="N34" s="326"/>
      <c r="O34" s="326"/>
      <c r="P34" s="326"/>
      <c r="Q34" s="414"/>
      <c r="R34" s="385"/>
      <c r="S34" s="385"/>
      <c r="T34" s="385"/>
      <c r="U34" s="385"/>
      <c r="V34" s="385"/>
      <c r="W34" s="326">
        <f>$C34*$D34</f>
        <v>57.000413685187638</v>
      </c>
      <c r="X34" s="385"/>
      <c r="Y34" s="385"/>
      <c r="Z34" s="385"/>
      <c r="AA34" s="326"/>
      <c r="AB34" s="385"/>
    </row>
    <row r="35" spans="2:28" s="23" customFormat="1" ht="14.35" customHeight="1">
      <c r="B35" s="24">
        <v>46387</v>
      </c>
      <c r="C35" s="412">
        <v>92.842941519767038</v>
      </c>
      <c r="D35" s="425">
        <f t="shared" si="24"/>
        <v>0.65</v>
      </c>
      <c r="E35" s="413"/>
      <c r="F35" s="413"/>
      <c r="G35" s="413"/>
      <c r="H35" s="413"/>
      <c r="I35" s="414"/>
      <c r="J35" s="414"/>
      <c r="K35" s="414"/>
      <c r="L35" s="414"/>
      <c r="M35" s="326"/>
      <c r="N35" s="326"/>
      <c r="O35" s="326"/>
      <c r="P35" s="326"/>
      <c r="Q35" s="414"/>
      <c r="R35" s="385"/>
      <c r="S35" s="385"/>
      <c r="T35" s="385"/>
      <c r="U35" s="385"/>
      <c r="V35" s="385"/>
      <c r="W35" s="385"/>
      <c r="X35" s="326">
        <f>$C35*$D35</f>
        <v>60.347911987848576</v>
      </c>
      <c r="Y35" s="385"/>
      <c r="Z35" s="385"/>
      <c r="AA35" s="385"/>
      <c r="AB35" s="326"/>
    </row>
    <row r="36" spans="2:28" s="23" customFormat="1" ht="14.35" customHeight="1">
      <c r="B36" s="24">
        <v>46477</v>
      </c>
      <c r="C36" s="412">
        <v>84.166304636891994</v>
      </c>
      <c r="D36" s="425">
        <f t="shared" si="24"/>
        <v>0.65</v>
      </c>
      <c r="E36" s="413"/>
      <c r="F36" s="413"/>
      <c r="G36" s="413"/>
      <c r="H36" s="413"/>
      <c r="I36" s="414"/>
      <c r="J36" s="414"/>
      <c r="K36" s="414"/>
      <c r="L36" s="414"/>
      <c r="M36" s="326"/>
      <c r="N36" s="326"/>
      <c r="O36" s="326"/>
      <c r="P36" s="326"/>
      <c r="Q36" s="414"/>
      <c r="R36" s="385"/>
      <c r="S36" s="385"/>
      <c r="T36" s="385"/>
      <c r="U36" s="385"/>
      <c r="V36" s="385"/>
      <c r="W36" s="385"/>
      <c r="X36" s="385"/>
      <c r="Y36" s="326">
        <f>$C36*$D36</f>
        <v>54.7080980139798</v>
      </c>
      <c r="Z36" s="385"/>
      <c r="AA36" s="385"/>
      <c r="AB36" s="326"/>
    </row>
    <row r="37" spans="2:28" s="23" customFormat="1" ht="14.35" customHeight="1">
      <c r="B37" s="24">
        <v>46568</v>
      </c>
      <c r="C37" s="412">
        <v>86.145864307167329</v>
      </c>
      <c r="D37" s="425">
        <f t="shared" si="24"/>
        <v>0.65</v>
      </c>
      <c r="E37" s="413"/>
      <c r="F37" s="413"/>
      <c r="G37" s="413"/>
      <c r="H37" s="413"/>
      <c r="I37" s="414"/>
      <c r="J37" s="414"/>
      <c r="K37" s="414"/>
      <c r="L37" s="414"/>
      <c r="M37" s="326"/>
      <c r="N37" s="326"/>
      <c r="O37" s="326"/>
      <c r="P37" s="326"/>
      <c r="Q37" s="414"/>
      <c r="R37" s="385"/>
      <c r="S37" s="385"/>
      <c r="T37" s="385"/>
      <c r="U37" s="385"/>
      <c r="V37" s="385"/>
      <c r="W37" s="385"/>
      <c r="X37" s="385"/>
      <c r="Y37" s="385"/>
      <c r="Z37" s="326">
        <f>$C37*$D37</f>
        <v>55.994811799658763</v>
      </c>
      <c r="AA37" s="385"/>
      <c r="AB37" s="326"/>
    </row>
    <row r="38" spans="2:28" s="23" customFormat="1" ht="14.35" customHeight="1">
      <c r="B38" s="24">
        <v>46660</v>
      </c>
      <c r="C38" s="412">
        <v>89.541213649483083</v>
      </c>
      <c r="D38" s="425">
        <f t="shared" si="24"/>
        <v>0.65</v>
      </c>
      <c r="E38" s="413"/>
      <c r="F38" s="413"/>
      <c r="G38" s="413"/>
      <c r="H38" s="413"/>
      <c r="I38" s="414"/>
      <c r="J38" s="414"/>
      <c r="K38" s="414"/>
      <c r="L38" s="414"/>
      <c r="M38" s="326"/>
      <c r="N38" s="326"/>
      <c r="O38" s="326"/>
      <c r="P38" s="326"/>
      <c r="Q38" s="414"/>
      <c r="R38" s="385"/>
      <c r="S38" s="385"/>
      <c r="T38" s="385"/>
      <c r="U38" s="385"/>
      <c r="V38" s="385"/>
      <c r="W38" s="385"/>
      <c r="X38" s="385"/>
      <c r="Y38" s="385"/>
      <c r="Z38" s="385"/>
      <c r="AA38" s="326">
        <f>$C38*$D38</f>
        <v>58.201788872164009</v>
      </c>
      <c r="AB38" s="326"/>
    </row>
    <row r="39" spans="2:28" s="23" customFormat="1" ht="14.35" customHeight="1">
      <c r="B39" s="24">
        <v>46752</v>
      </c>
      <c r="C39" s="412">
        <v>94.700452385784331</v>
      </c>
      <c r="D39" s="425">
        <f t="shared" si="24"/>
        <v>0.65</v>
      </c>
      <c r="E39" s="413"/>
      <c r="F39" s="413"/>
      <c r="G39" s="413"/>
      <c r="H39" s="413"/>
      <c r="I39" s="414"/>
      <c r="J39" s="414"/>
      <c r="K39" s="414"/>
      <c r="L39" s="414"/>
      <c r="M39" s="326"/>
      <c r="N39" s="326"/>
      <c r="O39" s="326"/>
      <c r="P39" s="326"/>
      <c r="Q39" s="414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26">
        <f>$C39*$D39</f>
        <v>61.555294050759819</v>
      </c>
    </row>
    <row r="40" spans="2:28" s="23" customFormat="1" ht="14.35" customHeight="1">
      <c r="B40" s="24"/>
      <c r="C40" s="412"/>
      <c r="D40" s="426"/>
      <c r="E40" s="413"/>
      <c r="F40" s="413"/>
      <c r="G40" s="413"/>
      <c r="H40" s="413"/>
      <c r="I40" s="414"/>
      <c r="J40" s="414"/>
      <c r="K40" s="414"/>
      <c r="L40" s="414"/>
      <c r="M40" s="326"/>
      <c r="N40" s="326"/>
      <c r="O40" s="326"/>
      <c r="P40" s="326"/>
      <c r="Q40" s="414"/>
      <c r="R40" s="385"/>
      <c r="S40" s="385"/>
      <c r="T40" s="385"/>
      <c r="U40" s="385"/>
      <c r="V40" s="385"/>
      <c r="W40" s="385"/>
      <c r="X40" s="385"/>
      <c r="Y40" s="385"/>
      <c r="Z40" s="385"/>
      <c r="AA40" s="385"/>
      <c r="AB40" s="326"/>
    </row>
    <row r="41" spans="2:28" s="23" customFormat="1" ht="14.35" customHeight="1">
      <c r="B41" s="24"/>
      <c r="C41" s="412"/>
      <c r="D41" s="427"/>
      <c r="E41" s="415"/>
      <c r="F41" s="415"/>
      <c r="G41" s="415"/>
      <c r="H41" s="415"/>
      <c r="I41" s="414"/>
      <c r="J41" s="414"/>
      <c r="K41" s="414"/>
      <c r="L41" s="414"/>
      <c r="M41" s="326"/>
      <c r="N41" s="326"/>
      <c r="O41" s="326"/>
      <c r="P41" s="326"/>
      <c r="Q41" s="414"/>
      <c r="R41" s="385"/>
      <c r="S41" s="385"/>
      <c r="T41" s="385"/>
      <c r="U41" s="385"/>
      <c r="V41" s="385"/>
      <c r="W41" s="385"/>
      <c r="X41" s="385"/>
      <c r="Y41" s="385"/>
      <c r="Z41" s="385"/>
      <c r="AA41" s="385"/>
      <c r="AB41" s="326"/>
    </row>
    <row r="42" spans="2:28" s="23" customFormat="1" ht="14.35" customHeight="1">
      <c r="B42" s="48" t="s">
        <v>33</v>
      </c>
      <c r="C42" s="416"/>
      <c r="D42" s="422"/>
      <c r="E42" s="416"/>
      <c r="F42" s="416"/>
      <c r="G42" s="416"/>
      <c r="H42" s="416"/>
      <c r="I42" s="416"/>
      <c r="J42" s="416"/>
      <c r="K42" s="416"/>
      <c r="L42" s="416"/>
      <c r="M42" s="416"/>
      <c r="N42" s="416"/>
      <c r="O42" s="416"/>
      <c r="P42" s="416"/>
      <c r="Q42" s="416"/>
      <c r="R42" s="416"/>
      <c r="S42" s="416"/>
      <c r="T42" s="416"/>
      <c r="U42" s="416"/>
      <c r="V42" s="416"/>
      <c r="W42" s="416"/>
      <c r="X42" s="416"/>
      <c r="Y42" s="416"/>
      <c r="Z42" s="416"/>
      <c r="AA42" s="416"/>
      <c r="AB42" s="416"/>
    </row>
    <row r="43" spans="2:28" s="23" customFormat="1" ht="14.35" customHeight="1">
      <c r="B43" s="49" t="s">
        <v>4</v>
      </c>
      <c r="C43" s="413" t="s">
        <v>169</v>
      </c>
      <c r="D43" s="423" t="s">
        <v>31</v>
      </c>
      <c r="E43" s="413"/>
      <c r="F43" s="413"/>
      <c r="G43" s="413"/>
      <c r="H43" s="413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</row>
    <row r="44" spans="2:28" s="23" customFormat="1" ht="14.35" customHeight="1">
      <c r="B44" s="24">
        <f t="shared" ref="B44:C59" si="25">+B16</f>
        <v>44651</v>
      </c>
      <c r="C44" s="412">
        <f>+C16</f>
        <v>75.371068049692553</v>
      </c>
      <c r="D44" s="428">
        <f>1-D16</f>
        <v>0.35</v>
      </c>
      <c r="E44" s="326">
        <f>$C44*$D44/4</f>
        <v>6.5949684543480984</v>
      </c>
      <c r="F44" s="326">
        <f>$C44*$D44/4</f>
        <v>6.5949684543480984</v>
      </c>
      <c r="G44" s="326">
        <f>$C44*$D44/4</f>
        <v>6.5949684543480984</v>
      </c>
      <c r="H44" s="326">
        <f>$C44*$D44/4</f>
        <v>6.5949684543480984</v>
      </c>
      <c r="I44" s="326"/>
      <c r="J44" s="326"/>
      <c r="K44" s="326"/>
      <c r="L44" s="326"/>
      <c r="M44" s="326"/>
      <c r="N44" s="326"/>
      <c r="O44" s="326"/>
      <c r="P44" s="326"/>
      <c r="Q44" s="414"/>
      <c r="R44" s="385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</row>
    <row r="45" spans="2:28" s="23" customFormat="1" ht="14.35" customHeight="1">
      <c r="B45" s="24">
        <f t="shared" si="25"/>
        <v>44742</v>
      </c>
      <c r="C45" s="412">
        <f t="shared" si="25"/>
        <v>77.306651537031897</v>
      </c>
      <c r="D45" s="428">
        <f t="shared" ref="D45:D67" si="26">1-D17</f>
        <v>0.35</v>
      </c>
      <c r="E45" s="326"/>
      <c r="F45" s="326">
        <f>$C45*$D45/4</f>
        <v>6.7643320094902908</v>
      </c>
      <c r="G45" s="326">
        <f>$C45*$D45/4</f>
        <v>6.7643320094902908</v>
      </c>
      <c r="H45" s="326">
        <f>$C45*$D45/4</f>
        <v>6.7643320094902908</v>
      </c>
      <c r="I45" s="326">
        <f>$C45*$D45/4</f>
        <v>6.7643320094902908</v>
      </c>
      <c r="J45" s="326"/>
      <c r="K45" s="326"/>
      <c r="L45" s="326"/>
      <c r="M45" s="326"/>
      <c r="N45" s="326"/>
      <c r="O45" s="326"/>
      <c r="P45" s="326"/>
      <c r="Q45" s="414"/>
      <c r="R45" s="385"/>
      <c r="S45" s="385"/>
      <c r="T45" s="385"/>
      <c r="U45" s="385"/>
      <c r="V45" s="385"/>
      <c r="W45" s="385"/>
      <c r="X45" s="385"/>
      <c r="Y45" s="385"/>
      <c r="Z45" s="385"/>
      <c r="AA45" s="385"/>
      <c r="AB45" s="385"/>
    </row>
    <row r="46" spans="2:28" s="23" customFormat="1" ht="14.35" customHeight="1">
      <c r="B46" s="24">
        <f t="shared" si="25"/>
        <v>44834</v>
      </c>
      <c r="C46" s="412">
        <f t="shared" si="25"/>
        <v>80.657804815496988</v>
      </c>
      <c r="D46" s="428">
        <f t="shared" si="26"/>
        <v>0.35</v>
      </c>
      <c r="E46" s="326"/>
      <c r="F46" s="326"/>
      <c r="G46" s="326">
        <f>$C46*$D46/4</f>
        <v>7.0575579213559863</v>
      </c>
      <c r="H46" s="326">
        <f>$C46*$D46/4</f>
        <v>7.0575579213559863</v>
      </c>
      <c r="I46" s="326">
        <f>$C46*$D46/4</f>
        <v>7.0575579213559863</v>
      </c>
      <c r="J46" s="326">
        <f>$C46*$D46/4</f>
        <v>7.0575579213559863</v>
      </c>
      <c r="K46" s="326"/>
      <c r="L46" s="326"/>
      <c r="M46" s="326"/>
      <c r="N46" s="326"/>
      <c r="O46" s="326"/>
      <c r="P46" s="326"/>
      <c r="Q46" s="414"/>
      <c r="R46" s="385"/>
      <c r="S46" s="385"/>
      <c r="T46" s="385"/>
      <c r="U46" s="385"/>
      <c r="V46" s="385"/>
      <c r="W46" s="385"/>
      <c r="X46" s="385"/>
      <c r="Y46" s="385"/>
      <c r="Z46" s="385"/>
      <c r="AA46" s="385"/>
      <c r="AB46" s="385"/>
    </row>
    <row r="47" spans="2:28" s="23" customFormat="1" ht="14.35" customHeight="1">
      <c r="B47" s="24">
        <f t="shared" si="25"/>
        <v>44926</v>
      </c>
      <c r="C47" s="412">
        <f t="shared" si="25"/>
        <v>85.772626507628303</v>
      </c>
      <c r="D47" s="428">
        <f t="shared" si="26"/>
        <v>0.35</v>
      </c>
      <c r="E47" s="326"/>
      <c r="F47" s="326"/>
      <c r="G47" s="326"/>
      <c r="H47" s="326">
        <f>$C47*$D47/4</f>
        <v>7.5051048194174763</v>
      </c>
      <c r="I47" s="326">
        <f>$C47*$D47/4</f>
        <v>7.5051048194174763</v>
      </c>
      <c r="J47" s="326">
        <f>$C47*$D47/4</f>
        <v>7.5051048194174763</v>
      </c>
      <c r="K47" s="326">
        <f>$C47*$D47/4</f>
        <v>7.5051048194174763</v>
      </c>
      <c r="L47" s="326"/>
      <c r="M47" s="326"/>
      <c r="N47" s="326"/>
      <c r="O47" s="326"/>
      <c r="P47" s="326"/>
      <c r="Q47" s="414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</row>
    <row r="48" spans="2:28" s="23" customFormat="1" ht="14.35" customHeight="1">
      <c r="B48" s="24">
        <f t="shared" si="25"/>
        <v>45016</v>
      </c>
      <c r="C48" s="412">
        <f t="shared" si="25"/>
        <v>77.060638049692542</v>
      </c>
      <c r="D48" s="428">
        <f t="shared" si="26"/>
        <v>0.35</v>
      </c>
      <c r="E48" s="326"/>
      <c r="F48" s="326"/>
      <c r="G48" s="326"/>
      <c r="H48" s="326"/>
      <c r="I48" s="326">
        <f>$C48*$D48/4</f>
        <v>6.7428058293480975</v>
      </c>
      <c r="J48" s="326">
        <f>$C48*$D48/4</f>
        <v>6.7428058293480975</v>
      </c>
      <c r="K48" s="326">
        <f>$C48*$D48/4</f>
        <v>6.7428058293480975</v>
      </c>
      <c r="L48" s="326">
        <f>$C48*$D48/4</f>
        <v>6.7428058293480975</v>
      </c>
      <c r="M48" s="326"/>
      <c r="N48" s="326"/>
      <c r="O48" s="326"/>
      <c r="P48" s="326"/>
      <c r="Q48" s="414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</row>
    <row r="49" spans="2:29" s="23" customFormat="1" ht="14.35" customHeight="1">
      <c r="B49" s="24">
        <f t="shared" si="25"/>
        <v>45107</v>
      </c>
      <c r="C49" s="412">
        <f t="shared" si="25"/>
        <v>79.004669387031896</v>
      </c>
      <c r="D49" s="428">
        <f t="shared" si="26"/>
        <v>0.35</v>
      </c>
      <c r="E49" s="326"/>
      <c r="F49" s="326"/>
      <c r="G49" s="326"/>
      <c r="H49" s="326"/>
      <c r="I49" s="414"/>
      <c r="J49" s="326">
        <f>$C49*$D49/4</f>
        <v>6.9129085713652909</v>
      </c>
      <c r="K49" s="326">
        <f>$C49*$D49/4</f>
        <v>6.9129085713652909</v>
      </c>
      <c r="L49" s="326">
        <f>$C49*$D49/4</f>
        <v>6.9129085713652909</v>
      </c>
      <c r="M49" s="326">
        <f>$C49*$D49/4</f>
        <v>6.9129085713652909</v>
      </c>
      <c r="N49" s="326"/>
      <c r="O49" s="326"/>
      <c r="P49" s="326"/>
      <c r="Q49" s="326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</row>
    <row r="50" spans="2:29" s="23" customFormat="1" ht="14.35" customHeight="1">
      <c r="B50" s="24">
        <f t="shared" si="25"/>
        <v>45199</v>
      </c>
      <c r="C50" s="412">
        <f t="shared" si="25"/>
        <v>82.36431275474699</v>
      </c>
      <c r="D50" s="428">
        <f t="shared" si="26"/>
        <v>0.35</v>
      </c>
      <c r="E50" s="326"/>
      <c r="F50" s="326"/>
      <c r="G50" s="326"/>
      <c r="H50" s="326"/>
      <c r="I50" s="414"/>
      <c r="J50" s="414"/>
      <c r="K50" s="326">
        <f>$C50*$D50/4</f>
        <v>7.2068773660403611</v>
      </c>
      <c r="L50" s="326">
        <f>$C50*$D50/4</f>
        <v>7.2068773660403611</v>
      </c>
      <c r="M50" s="326">
        <f>$C50*$D50/4</f>
        <v>7.2068773660403611</v>
      </c>
      <c r="N50" s="326">
        <f>$C50*$D50/4</f>
        <v>7.2068773660403611</v>
      </c>
      <c r="O50" s="326"/>
      <c r="P50" s="326"/>
      <c r="Q50" s="326"/>
      <c r="R50" s="326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</row>
    <row r="51" spans="2:29" s="23" customFormat="1" ht="14.35" customHeight="1">
      <c r="B51" s="24">
        <f t="shared" si="25"/>
        <v>45291</v>
      </c>
      <c r="C51" s="412">
        <f t="shared" si="25"/>
        <v>87.487666986574553</v>
      </c>
      <c r="D51" s="428">
        <f t="shared" si="26"/>
        <v>0.35</v>
      </c>
      <c r="E51" s="326"/>
      <c r="F51" s="326"/>
      <c r="G51" s="326"/>
      <c r="H51" s="326"/>
      <c r="I51" s="414"/>
      <c r="J51" s="414"/>
      <c r="K51" s="414"/>
      <c r="L51" s="326">
        <f>$C51*$D51/4</f>
        <v>7.6551708613252725</v>
      </c>
      <c r="M51" s="326">
        <f>$C51*$D51/4</f>
        <v>7.6551708613252725</v>
      </c>
      <c r="N51" s="326">
        <f>$C51*$D51/4</f>
        <v>7.6551708613252725</v>
      </c>
      <c r="O51" s="326">
        <f>$C51*$D51/4</f>
        <v>7.6551708613252725</v>
      </c>
      <c r="P51" s="326"/>
      <c r="Q51" s="326"/>
      <c r="R51" s="326"/>
      <c r="S51" s="326"/>
      <c r="T51" s="385"/>
      <c r="U51" s="385"/>
      <c r="V51" s="385"/>
      <c r="W51" s="385"/>
      <c r="X51" s="385"/>
      <c r="Y51" s="385"/>
      <c r="Z51" s="385"/>
      <c r="AA51" s="385"/>
      <c r="AB51" s="385"/>
    </row>
    <row r="52" spans="2:29" s="23" customFormat="1" ht="14.35" customHeight="1">
      <c r="B52" s="24">
        <f t="shared" si="25"/>
        <v>45382</v>
      </c>
      <c r="C52" s="412">
        <f t="shared" si="25"/>
        <v>78.784253731033544</v>
      </c>
      <c r="D52" s="428">
        <f t="shared" si="26"/>
        <v>0.35</v>
      </c>
      <c r="E52" s="326"/>
      <c r="F52" s="326"/>
      <c r="G52" s="326"/>
      <c r="H52" s="326"/>
      <c r="I52" s="414"/>
      <c r="J52" s="414"/>
      <c r="K52" s="414"/>
      <c r="L52" s="414"/>
      <c r="M52" s="326">
        <f>$C52*$D52/4</f>
        <v>6.8936222014654351</v>
      </c>
      <c r="N52" s="326">
        <f>$C52*$D52/4</f>
        <v>6.8936222014654351</v>
      </c>
      <c r="O52" s="326">
        <f>$C52*$D52/4</f>
        <v>6.8936222014654351</v>
      </c>
      <c r="P52" s="326">
        <f>$C52*$D52/4</f>
        <v>6.8936222014654351</v>
      </c>
      <c r="Q52" s="326"/>
      <c r="R52" s="326"/>
      <c r="S52" s="326"/>
      <c r="T52" s="326"/>
      <c r="U52" s="385"/>
      <c r="V52" s="385"/>
      <c r="W52" s="385"/>
      <c r="X52" s="385"/>
      <c r="Y52" s="385"/>
      <c r="Z52" s="385"/>
      <c r="AA52" s="385"/>
      <c r="AB52" s="385"/>
    </row>
    <row r="53" spans="2:29" s="23" customFormat="1" ht="14.35" customHeight="1">
      <c r="B53" s="24">
        <f t="shared" si="25"/>
        <v>45473</v>
      </c>
      <c r="C53" s="412">
        <f t="shared" si="25"/>
        <v>80.736903146779582</v>
      </c>
      <c r="D53" s="428">
        <f t="shared" si="26"/>
        <v>0.35</v>
      </c>
      <c r="E53" s="326"/>
      <c r="F53" s="326"/>
      <c r="G53" s="326"/>
      <c r="H53" s="326"/>
      <c r="I53" s="414"/>
      <c r="J53" s="414"/>
      <c r="K53" s="414"/>
      <c r="L53" s="414"/>
      <c r="M53" s="326"/>
      <c r="N53" s="326">
        <f>$C53*$D53/4</f>
        <v>7.0644790253432133</v>
      </c>
      <c r="O53" s="326">
        <f>$C53*$D53/4</f>
        <v>7.0644790253432133</v>
      </c>
      <c r="P53" s="326">
        <f>$C53*$D53/4</f>
        <v>7.0644790253432133</v>
      </c>
      <c r="Q53" s="326">
        <f>$C53*$D53/4</f>
        <v>7.0644790253432133</v>
      </c>
      <c r="R53" s="326"/>
      <c r="S53" s="326"/>
      <c r="T53" s="326"/>
      <c r="U53" s="326"/>
      <c r="V53" s="385"/>
      <c r="W53" s="385"/>
      <c r="X53" s="385"/>
      <c r="Y53" s="385"/>
      <c r="Z53" s="385"/>
      <c r="AA53" s="385"/>
      <c r="AB53" s="385"/>
    </row>
    <row r="54" spans="2:29" s="23" customFormat="1" ht="14.35" customHeight="1">
      <c r="B54" s="24">
        <f t="shared" si="25"/>
        <v>45565</v>
      </c>
      <c r="C54" s="412">
        <f t="shared" si="25"/>
        <v>84.105207683293415</v>
      </c>
      <c r="D54" s="428">
        <f t="shared" si="26"/>
        <v>0.35</v>
      </c>
      <c r="E54" s="326"/>
      <c r="F54" s="326"/>
      <c r="G54" s="326"/>
      <c r="H54" s="326"/>
      <c r="I54" s="414"/>
      <c r="J54" s="414"/>
      <c r="K54" s="414"/>
      <c r="L54" s="414"/>
      <c r="M54" s="326"/>
      <c r="N54" s="326"/>
      <c r="O54" s="326">
        <f>$C54*$D54/4</f>
        <v>7.3592056722881729</v>
      </c>
      <c r="P54" s="326">
        <f>$C54*$D54/4</f>
        <v>7.3592056722881729</v>
      </c>
      <c r="Q54" s="326">
        <f>$C54*$D54/4</f>
        <v>7.3592056722881729</v>
      </c>
      <c r="R54" s="326">
        <f>$C54*$D54/4</f>
        <v>7.3592056722881729</v>
      </c>
      <c r="S54" s="326"/>
      <c r="T54" s="326"/>
      <c r="U54" s="326"/>
      <c r="V54" s="326"/>
      <c r="W54" s="385"/>
      <c r="X54" s="385"/>
      <c r="Y54" s="385"/>
      <c r="Z54" s="385"/>
      <c r="AA54" s="385"/>
      <c r="AB54" s="385"/>
    </row>
    <row r="55" spans="2:29" s="23" customFormat="1" ht="14.35" customHeight="1">
      <c r="B55" s="24">
        <f t="shared" si="25"/>
        <v>45657</v>
      </c>
      <c r="C55" s="412">
        <f t="shared" si="25"/>
        <v>89.237266389763704</v>
      </c>
      <c r="D55" s="428">
        <f t="shared" si="26"/>
        <v>0.35</v>
      </c>
      <c r="E55" s="326"/>
      <c r="F55" s="326"/>
      <c r="G55" s="326"/>
      <c r="H55" s="326"/>
      <c r="I55" s="414"/>
      <c r="J55" s="414"/>
      <c r="K55" s="414"/>
      <c r="L55" s="414"/>
      <c r="M55" s="326"/>
      <c r="N55" s="326"/>
      <c r="O55" s="326"/>
      <c r="P55" s="326">
        <f>$C55*$D55/4</f>
        <v>7.8082608091043237</v>
      </c>
      <c r="Q55" s="326">
        <f>$C55*$D55/4</f>
        <v>7.8082608091043237</v>
      </c>
      <c r="R55" s="326">
        <f>$C55*$D55/4</f>
        <v>7.8082608091043237</v>
      </c>
      <c r="S55" s="326">
        <f>$C55*$D55/4</f>
        <v>7.8082608091043237</v>
      </c>
      <c r="T55" s="326"/>
      <c r="U55" s="326"/>
      <c r="V55" s="326"/>
      <c r="W55" s="326"/>
      <c r="X55" s="385"/>
      <c r="Y55" s="385"/>
      <c r="Z55" s="385"/>
      <c r="AA55" s="385"/>
      <c r="AB55" s="385"/>
    </row>
    <row r="56" spans="2:29" s="23" customFormat="1" ht="14.35" customHeight="1">
      <c r="B56" s="24">
        <f t="shared" si="25"/>
        <v>45747</v>
      </c>
      <c r="C56" s="412">
        <f t="shared" si="25"/>
        <v>80.542601131238641</v>
      </c>
      <c r="D56" s="428">
        <f t="shared" si="26"/>
        <v>0.35</v>
      </c>
      <c r="E56" s="326"/>
      <c r="F56" s="326"/>
      <c r="G56" s="326"/>
      <c r="H56" s="326"/>
      <c r="I56" s="414"/>
      <c r="J56" s="414"/>
      <c r="K56" s="414"/>
      <c r="L56" s="414"/>
      <c r="M56" s="326"/>
      <c r="N56" s="326"/>
      <c r="O56" s="326"/>
      <c r="P56" s="326"/>
      <c r="Q56" s="326">
        <f>$C56*$D56/4</f>
        <v>7.0474775989833809</v>
      </c>
      <c r="R56" s="326">
        <f>$C56*$D56/4</f>
        <v>7.0474775989833809</v>
      </c>
      <c r="S56" s="326">
        <f>$C56*$D56/4</f>
        <v>7.0474775989833809</v>
      </c>
      <c r="T56" s="326">
        <f>$C56*$D56/4</f>
        <v>7.0474775989833809</v>
      </c>
      <c r="U56" s="326"/>
      <c r="V56" s="326"/>
      <c r="W56" s="326"/>
      <c r="X56" s="326"/>
      <c r="Y56" s="385"/>
      <c r="Z56" s="385"/>
      <c r="AA56" s="385"/>
      <c r="AB56" s="385"/>
    </row>
    <row r="57" spans="2:29" s="23" customFormat="1" ht="14.35" customHeight="1">
      <c r="B57" s="24">
        <f t="shared" si="25"/>
        <v>45838</v>
      </c>
      <c r="C57" s="412">
        <f t="shared" si="25"/>
        <v>82.504042283985711</v>
      </c>
      <c r="D57" s="428">
        <f t="shared" si="26"/>
        <v>0.35</v>
      </c>
      <c r="E57" s="326"/>
      <c r="F57" s="326"/>
      <c r="G57" s="326"/>
      <c r="H57" s="326"/>
      <c r="I57" s="414"/>
      <c r="J57" s="414"/>
      <c r="K57" s="414"/>
      <c r="L57" s="414"/>
      <c r="M57" s="326"/>
      <c r="N57" s="326"/>
      <c r="O57" s="326"/>
      <c r="P57" s="326"/>
      <c r="Q57" s="414"/>
      <c r="R57" s="326">
        <f>$C57*$D57/4</f>
        <v>7.2191036998487492</v>
      </c>
      <c r="S57" s="326">
        <f>$C57*$D57/4</f>
        <v>7.2191036998487492</v>
      </c>
      <c r="T57" s="326">
        <f>$C57*$D57/4</f>
        <v>7.2191036998487492</v>
      </c>
      <c r="U57" s="326">
        <f>$C57*$D57/4</f>
        <v>7.2191036998487492</v>
      </c>
      <c r="V57" s="326"/>
      <c r="W57" s="326"/>
      <c r="X57" s="326"/>
      <c r="Y57" s="326"/>
      <c r="Z57" s="385"/>
      <c r="AA57" s="385"/>
      <c r="AB57" s="385"/>
    </row>
    <row r="58" spans="2:29" s="23" customFormat="1" ht="14.35" customHeight="1">
      <c r="B58" s="24">
        <f t="shared" si="25"/>
        <v>45930</v>
      </c>
      <c r="C58" s="412">
        <f t="shared" si="25"/>
        <v>85.881182516185575</v>
      </c>
      <c r="D58" s="428">
        <f t="shared" si="26"/>
        <v>0.35</v>
      </c>
      <c r="E58" s="326"/>
      <c r="F58" s="326"/>
      <c r="G58" s="326"/>
      <c r="H58" s="326"/>
      <c r="I58" s="414"/>
      <c r="J58" s="414"/>
      <c r="K58" s="414"/>
      <c r="L58" s="414"/>
      <c r="M58" s="326"/>
      <c r="N58" s="326"/>
      <c r="O58" s="326"/>
      <c r="P58" s="326"/>
      <c r="Q58" s="414"/>
      <c r="R58" s="385"/>
      <c r="S58" s="326">
        <f>$C58*$D58/4</f>
        <v>7.5146034701662376</v>
      </c>
      <c r="T58" s="326">
        <f>$C58*$D58/4</f>
        <v>7.5146034701662376</v>
      </c>
      <c r="U58" s="326">
        <f>$C58*$D58/4</f>
        <v>7.5146034701662376</v>
      </c>
      <c r="V58" s="326">
        <f>$C58*$D58/4</f>
        <v>7.5146034701662376</v>
      </c>
      <c r="W58" s="326"/>
      <c r="X58" s="326"/>
      <c r="Y58" s="326"/>
      <c r="Z58" s="326"/>
      <c r="AA58" s="385"/>
      <c r="AB58" s="385"/>
    </row>
    <row r="59" spans="2:29" s="23" customFormat="1" ht="14.35" customHeight="1">
      <c r="B59" s="24">
        <f t="shared" si="25"/>
        <v>46022</v>
      </c>
      <c r="C59" s="412">
        <f t="shared" si="25"/>
        <v>91.022121096820342</v>
      </c>
      <c r="D59" s="428">
        <f t="shared" si="26"/>
        <v>0.35</v>
      </c>
      <c r="E59" s="326"/>
      <c r="F59" s="326"/>
      <c r="G59" s="326"/>
      <c r="H59" s="326"/>
      <c r="I59" s="414"/>
      <c r="J59" s="414"/>
      <c r="K59" s="414"/>
      <c r="L59" s="414"/>
      <c r="M59" s="326"/>
      <c r="N59" s="326"/>
      <c r="O59" s="326"/>
      <c r="P59" s="326"/>
      <c r="Q59" s="414"/>
      <c r="R59" s="385"/>
      <c r="S59" s="385"/>
      <c r="T59" s="326">
        <f>$C59*$D59/4</f>
        <v>7.9644355959717794</v>
      </c>
      <c r="U59" s="326">
        <f>$C59*$D59/4</f>
        <v>7.9644355959717794</v>
      </c>
      <c r="V59" s="326">
        <f>$C59*$D59/4</f>
        <v>7.9644355959717794</v>
      </c>
      <c r="W59" s="326">
        <f>$C59*$D59/4</f>
        <v>7.9644355959717794</v>
      </c>
      <c r="X59" s="326"/>
      <c r="Y59" s="326"/>
      <c r="Z59" s="326"/>
      <c r="AA59" s="326"/>
      <c r="AB59" s="385"/>
    </row>
    <row r="60" spans="2:29" s="23" customFormat="1" ht="14.35" customHeight="1">
      <c r="B60" s="24">
        <f t="shared" ref="B60:C67" si="27">+B32</f>
        <v>46112</v>
      </c>
      <c r="C60" s="412">
        <f t="shared" si="27"/>
        <v>82.33638011183055</v>
      </c>
      <c r="D60" s="428">
        <f t="shared" si="26"/>
        <v>0.35</v>
      </c>
      <c r="E60" s="326"/>
      <c r="F60" s="326"/>
      <c r="G60" s="326"/>
      <c r="H60" s="326"/>
      <c r="I60" s="414"/>
      <c r="J60" s="414"/>
      <c r="K60" s="414"/>
      <c r="L60" s="414"/>
      <c r="M60" s="326"/>
      <c r="N60" s="326"/>
      <c r="O60" s="326"/>
      <c r="P60" s="326"/>
      <c r="Q60" s="414"/>
      <c r="R60" s="385"/>
      <c r="S60" s="385"/>
      <c r="T60" s="385"/>
      <c r="U60" s="326">
        <f>$C60*$D60/4</f>
        <v>7.2044332597851728</v>
      </c>
      <c r="V60" s="326">
        <f>$C60*$D60/4</f>
        <v>7.2044332597851728</v>
      </c>
      <c r="W60" s="326">
        <f>$C60*$D60/4</f>
        <v>7.2044332597851728</v>
      </c>
      <c r="X60" s="326">
        <f>$C60*$D60/4</f>
        <v>7.2044332597851728</v>
      </c>
      <c r="Y60" s="326"/>
      <c r="Z60" s="326"/>
      <c r="AA60" s="326"/>
      <c r="AB60" s="326"/>
    </row>
    <row r="61" spans="2:29" s="23" customFormat="1" ht="14.35" customHeight="1">
      <c r="B61" s="24">
        <f t="shared" si="27"/>
        <v>46203</v>
      </c>
      <c r="C61" s="412">
        <f t="shared" si="27"/>
        <v>84.306790159480585</v>
      </c>
      <c r="D61" s="428">
        <f t="shared" si="26"/>
        <v>0.35</v>
      </c>
      <c r="E61" s="326"/>
      <c r="F61" s="326"/>
      <c r="G61" s="326"/>
      <c r="H61" s="326"/>
      <c r="I61" s="414"/>
      <c r="J61" s="414"/>
      <c r="K61" s="414"/>
      <c r="L61" s="414"/>
      <c r="M61" s="326"/>
      <c r="N61" s="326"/>
      <c r="O61" s="326"/>
      <c r="P61" s="326"/>
      <c r="Q61" s="414"/>
      <c r="R61" s="385"/>
      <c r="S61" s="385"/>
      <c r="T61" s="385"/>
      <c r="U61" s="385"/>
      <c r="V61" s="326">
        <f>$C61*$D61/4</f>
        <v>7.3768441389545503</v>
      </c>
      <c r="W61" s="326">
        <f>$C61*$D61/4</f>
        <v>7.3768441389545503</v>
      </c>
      <c r="X61" s="326">
        <f>$C61*$D61/4</f>
        <v>7.3768441389545503</v>
      </c>
      <c r="Y61" s="326">
        <f>$C61*$D61/4</f>
        <v>7.3768441389545503</v>
      </c>
      <c r="Z61" s="326"/>
      <c r="AA61" s="326"/>
      <c r="AB61" s="326"/>
    </row>
    <row r="62" spans="2:29" s="23" customFormat="1" ht="14.35" customHeight="1">
      <c r="B62" s="24">
        <f t="shared" si="27"/>
        <v>46295</v>
      </c>
      <c r="C62" s="412">
        <f t="shared" si="27"/>
        <v>87.692944131057899</v>
      </c>
      <c r="D62" s="428">
        <f t="shared" si="26"/>
        <v>0.35</v>
      </c>
      <c r="E62" s="326"/>
      <c r="F62" s="326"/>
      <c r="G62" s="326"/>
      <c r="H62" s="326"/>
      <c r="I62" s="414"/>
      <c r="J62" s="414"/>
      <c r="K62" s="414"/>
      <c r="L62" s="414"/>
      <c r="M62" s="326"/>
      <c r="N62" s="326"/>
      <c r="O62" s="326"/>
      <c r="P62" s="326"/>
      <c r="Q62" s="414"/>
      <c r="R62" s="385"/>
      <c r="S62" s="385"/>
      <c r="T62" s="385"/>
      <c r="U62" s="385"/>
      <c r="V62" s="385"/>
      <c r="W62" s="326">
        <f>$C62*$D62/4</f>
        <v>7.6731326114675653</v>
      </c>
      <c r="X62" s="326">
        <f>$C62*$D62/4</f>
        <v>7.6731326114675653</v>
      </c>
      <c r="Y62" s="326">
        <f>$C62*$D62/4</f>
        <v>7.6731326114675653</v>
      </c>
      <c r="Z62" s="326">
        <f>$C62*$D62/4</f>
        <v>7.6731326114675653</v>
      </c>
      <c r="AA62" s="326"/>
      <c r="AB62" s="326"/>
    </row>
    <row r="63" spans="2:29" s="23" customFormat="1" ht="14.35" customHeight="1">
      <c r="B63" s="24">
        <f t="shared" si="27"/>
        <v>46387</v>
      </c>
      <c r="C63" s="412">
        <f t="shared" si="27"/>
        <v>92.842941519767038</v>
      </c>
      <c r="D63" s="428">
        <f t="shared" si="26"/>
        <v>0.35</v>
      </c>
      <c r="E63" s="326"/>
      <c r="F63" s="326"/>
      <c r="G63" s="326"/>
      <c r="H63" s="326"/>
      <c r="I63" s="414"/>
      <c r="J63" s="414"/>
      <c r="K63" s="414"/>
      <c r="L63" s="414"/>
      <c r="M63" s="326"/>
      <c r="N63" s="326"/>
      <c r="O63" s="326"/>
      <c r="P63" s="326"/>
      <c r="Q63" s="414"/>
      <c r="R63" s="385"/>
      <c r="S63" s="385"/>
      <c r="T63" s="385"/>
      <c r="U63" s="385"/>
      <c r="V63" s="385"/>
      <c r="W63" s="385"/>
      <c r="X63" s="326">
        <f>$C63*$D63/4</f>
        <v>8.1237573829796155</v>
      </c>
      <c r="Y63" s="326">
        <f>$C63*$D63/4</f>
        <v>8.1237573829796155</v>
      </c>
      <c r="Z63" s="326">
        <f>$C63*$D63/4</f>
        <v>8.1237573829796155</v>
      </c>
      <c r="AA63" s="326">
        <f>$C63*$D63/4</f>
        <v>8.1237573829796155</v>
      </c>
      <c r="AB63" s="326"/>
      <c r="AC63" s="43"/>
    </row>
    <row r="64" spans="2:29" s="23" customFormat="1" ht="14.35" customHeight="1">
      <c r="B64" s="24">
        <f t="shared" si="27"/>
        <v>46477</v>
      </c>
      <c r="C64" s="412">
        <f t="shared" si="27"/>
        <v>84.166304636891994</v>
      </c>
      <c r="D64" s="428">
        <f t="shared" si="26"/>
        <v>0.35</v>
      </c>
      <c r="E64" s="326"/>
      <c r="F64" s="326"/>
      <c r="G64" s="326"/>
      <c r="H64" s="326"/>
      <c r="I64" s="414"/>
      <c r="J64" s="414"/>
      <c r="K64" s="414"/>
      <c r="L64" s="414"/>
      <c r="M64" s="326"/>
      <c r="N64" s="326"/>
      <c r="O64" s="326"/>
      <c r="P64" s="326"/>
      <c r="Q64" s="414"/>
      <c r="R64" s="385"/>
      <c r="S64" s="385"/>
      <c r="T64" s="385"/>
      <c r="U64" s="385"/>
      <c r="V64" s="385"/>
      <c r="W64" s="385"/>
      <c r="X64" s="385"/>
      <c r="Y64" s="326">
        <f>$C64*$D64/4</f>
        <v>7.3645516557280493</v>
      </c>
      <c r="Z64" s="326">
        <f>$C64*$D64/4</f>
        <v>7.3645516557280493</v>
      </c>
      <c r="AA64" s="326">
        <f>$C64*$D64/4</f>
        <v>7.3645516557280493</v>
      </c>
      <c r="AB64" s="326">
        <f>$C64*$D64/4</f>
        <v>7.3645516557280493</v>
      </c>
      <c r="AC64" s="43"/>
    </row>
    <row r="65" spans="2:30" s="23" customFormat="1" ht="14.35" customHeight="1">
      <c r="B65" s="24">
        <f t="shared" si="27"/>
        <v>46568</v>
      </c>
      <c r="C65" s="412">
        <f t="shared" si="27"/>
        <v>86.145864307167329</v>
      </c>
      <c r="D65" s="428">
        <f t="shared" si="26"/>
        <v>0.35</v>
      </c>
      <c r="E65" s="326"/>
      <c r="F65" s="326"/>
      <c r="G65" s="326"/>
      <c r="H65" s="326"/>
      <c r="I65" s="414"/>
      <c r="J65" s="414"/>
      <c r="K65" s="414"/>
      <c r="L65" s="414"/>
      <c r="M65" s="326"/>
      <c r="N65" s="326"/>
      <c r="O65" s="326"/>
      <c r="P65" s="326"/>
      <c r="Q65" s="414"/>
      <c r="R65" s="385"/>
      <c r="S65" s="385"/>
      <c r="T65" s="385"/>
      <c r="U65" s="385"/>
      <c r="V65" s="385"/>
      <c r="W65" s="385"/>
      <c r="X65" s="385"/>
      <c r="Y65" s="385"/>
      <c r="Z65" s="326">
        <f>$C65*$D65/4</f>
        <v>7.5377631268771408</v>
      </c>
      <c r="AA65" s="326">
        <f>$C65*$D65/4</f>
        <v>7.5377631268771408</v>
      </c>
      <c r="AB65" s="326">
        <f>$C65*$D65/4</f>
        <v>7.5377631268771408</v>
      </c>
      <c r="AC65" s="43"/>
    </row>
    <row r="66" spans="2:30" s="23" customFormat="1" ht="14.35" customHeight="1">
      <c r="B66" s="24">
        <f t="shared" si="27"/>
        <v>46660</v>
      </c>
      <c r="C66" s="412">
        <f t="shared" si="27"/>
        <v>89.541213649483083</v>
      </c>
      <c r="D66" s="428">
        <f t="shared" si="26"/>
        <v>0.35</v>
      </c>
      <c r="E66" s="326"/>
      <c r="F66" s="326"/>
      <c r="G66" s="326"/>
      <c r="H66" s="326"/>
      <c r="I66" s="414"/>
      <c r="J66" s="414"/>
      <c r="K66" s="414"/>
      <c r="L66" s="414"/>
      <c r="M66" s="326"/>
      <c r="N66" s="326"/>
      <c r="O66" s="326"/>
      <c r="P66" s="326"/>
      <c r="Q66" s="414"/>
      <c r="R66" s="385"/>
      <c r="S66" s="385"/>
      <c r="T66" s="385"/>
      <c r="U66" s="385"/>
      <c r="V66" s="385"/>
      <c r="W66" s="385"/>
      <c r="X66" s="385"/>
      <c r="Y66" s="385"/>
      <c r="Z66" s="385"/>
      <c r="AA66" s="326">
        <f>$C66*$D66/4</f>
        <v>7.8348561943297694</v>
      </c>
      <c r="AB66" s="326">
        <f>$C66*$D66/4</f>
        <v>7.8348561943297694</v>
      </c>
      <c r="AC66" s="43"/>
    </row>
    <row r="67" spans="2:30" s="23" customFormat="1" ht="14.35" customHeight="1">
      <c r="B67" s="24">
        <f t="shared" si="27"/>
        <v>46752</v>
      </c>
      <c r="C67" s="412">
        <f t="shared" si="27"/>
        <v>94.700452385784331</v>
      </c>
      <c r="D67" s="428">
        <f t="shared" si="26"/>
        <v>0.35</v>
      </c>
      <c r="E67" s="326"/>
      <c r="F67" s="326"/>
      <c r="G67" s="326"/>
      <c r="H67" s="326"/>
      <c r="I67" s="414"/>
      <c r="J67" s="414"/>
      <c r="K67" s="414"/>
      <c r="L67" s="414"/>
      <c r="M67" s="326"/>
      <c r="N67" s="326"/>
      <c r="O67" s="326"/>
      <c r="P67" s="326"/>
      <c r="Q67" s="414"/>
      <c r="R67" s="385"/>
      <c r="S67" s="385"/>
      <c r="T67" s="385"/>
      <c r="U67" s="385"/>
      <c r="V67" s="385"/>
      <c r="W67" s="385"/>
      <c r="X67" s="385"/>
      <c r="Y67" s="385"/>
      <c r="Z67" s="385"/>
      <c r="AA67" s="385"/>
      <c r="AB67" s="326">
        <f>$C67*$D67/4</f>
        <v>8.2862895837561279</v>
      </c>
      <c r="AC67" s="43"/>
    </row>
    <row r="68" spans="2:30" s="23" customFormat="1" ht="14.35" customHeight="1">
      <c r="C68" s="418"/>
      <c r="D68" s="429"/>
      <c r="E68" s="348"/>
      <c r="F68" s="348"/>
      <c r="G68" s="348"/>
      <c r="H68" s="348"/>
      <c r="I68" s="414"/>
      <c r="J68" s="414"/>
      <c r="K68" s="414"/>
      <c r="L68" s="414"/>
      <c r="M68" s="326"/>
      <c r="N68" s="326"/>
      <c r="O68" s="326"/>
      <c r="P68" s="326"/>
      <c r="Q68" s="414"/>
      <c r="R68" s="385"/>
      <c r="S68" s="385"/>
      <c r="T68" s="385"/>
      <c r="U68" s="385"/>
      <c r="V68" s="385"/>
      <c r="W68" s="385"/>
      <c r="X68" s="385"/>
      <c r="Y68" s="385"/>
      <c r="Z68" s="385"/>
      <c r="AA68" s="385"/>
      <c r="AB68" s="385"/>
      <c r="AC68" s="43"/>
      <c r="AD68" s="43"/>
    </row>
    <row r="69" spans="2:30" s="23" customFormat="1" ht="14.35" customHeight="1" thickBot="1">
      <c r="B69" s="52" t="s">
        <v>30</v>
      </c>
      <c r="C69" s="419"/>
      <c r="D69" s="430"/>
      <c r="E69" s="417">
        <f>SUM(E16:E68)</f>
        <v>55.586162686648258</v>
      </c>
      <c r="F69" s="417">
        <f t="shared" ref="F69:AB69" si="28">SUM(F16:F68)</f>
        <v>63.608623962909121</v>
      </c>
      <c r="G69" s="417">
        <f t="shared" si="28"/>
        <v>72.844431515267416</v>
      </c>
      <c r="H69" s="417">
        <f t="shared" si="28"/>
        <v>83.674170434570271</v>
      </c>
      <c r="I69" s="417">
        <f>SUM(I16:I68)</f>
        <v>78.159215311912007</v>
      </c>
      <c r="J69" s="417">
        <f t="shared" si="28"/>
        <v>79.571412243057594</v>
      </c>
      <c r="K69" s="417">
        <f t="shared" si="28"/>
        <v>81.904499876756773</v>
      </c>
      <c r="L69" s="417">
        <f t="shared" si="28"/>
        <v>85.384746169352482</v>
      </c>
      <c r="M69" s="417">
        <f t="shared" si="28"/>
        <v>79.878343925368171</v>
      </c>
      <c r="N69" s="417">
        <f t="shared" si="28"/>
        <v>81.29913649958101</v>
      </c>
      <c r="O69" s="417">
        <f t="shared" si="28"/>
        <v>83.640862754562818</v>
      </c>
      <c r="P69" s="417">
        <f t="shared" si="28"/>
        <v>87.129790861547562</v>
      </c>
      <c r="Q69" s="417">
        <f t="shared" si="28"/>
        <v>81.632113841024207</v>
      </c>
      <c r="R69" s="417">
        <f t="shared" si="28"/>
        <v>83.061675264815335</v>
      </c>
      <c r="S69" s="417">
        <f t="shared" si="28"/>
        <v>85.412214213623315</v>
      </c>
      <c r="T69" s="417">
        <f t="shared" si="28"/>
        <v>88.909999077903365</v>
      </c>
      <c r="U69" s="417">
        <f t="shared" si="28"/>
        <v>83.421223098461809</v>
      </c>
      <c r="V69" s="417">
        <f t="shared" si="28"/>
        <v>84.859730068540131</v>
      </c>
      <c r="W69" s="417">
        <f t="shared" si="28"/>
        <v>87.219259291366711</v>
      </c>
      <c r="X69" s="417">
        <f t="shared" si="28"/>
        <v>90.72607938103549</v>
      </c>
      <c r="Y69" s="417">
        <f t="shared" si="28"/>
        <v>85.246383803109595</v>
      </c>
      <c r="Z69" s="417">
        <f t="shared" si="28"/>
        <v>86.694016576711135</v>
      </c>
      <c r="AA69" s="417">
        <f t="shared" si="28"/>
        <v>89.062717232078583</v>
      </c>
      <c r="AB69" s="417">
        <f t="shared" si="28"/>
        <v>92.578754611450904</v>
      </c>
    </row>
    <row r="70" spans="2:30" ht="14.35" customHeight="1" thickTop="1">
      <c r="C70" s="393"/>
      <c r="D70" s="431"/>
      <c r="E70" s="393"/>
      <c r="F70" s="393"/>
      <c r="G70" s="393"/>
      <c r="H70" s="393"/>
      <c r="I70" s="348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  <c r="AA70" s="393"/>
      <c r="AB70" s="393"/>
    </row>
    <row r="71" spans="2:30" ht="14.35" customHeight="1">
      <c r="C71" s="393"/>
      <c r="D71" s="431"/>
      <c r="E71" s="393"/>
      <c r="F71" s="393"/>
      <c r="G71" s="393"/>
      <c r="H71" s="393"/>
      <c r="I71" s="348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  <c r="AA71" s="393"/>
      <c r="AB71" s="393"/>
    </row>
    <row r="72" spans="2:30" ht="14.35" customHeight="1">
      <c r="B72" s="48" t="s">
        <v>34</v>
      </c>
      <c r="C72" s="416"/>
      <c r="D72" s="422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416"/>
      <c r="S72" s="416"/>
      <c r="T72" s="416"/>
      <c r="U72" s="416"/>
      <c r="V72" s="416"/>
      <c r="W72" s="416"/>
      <c r="X72" s="416"/>
      <c r="Y72" s="416"/>
      <c r="Z72" s="416"/>
      <c r="AA72" s="416"/>
      <c r="AB72" s="416"/>
    </row>
    <row r="73" spans="2:30" s="23" customFormat="1" ht="14.35" customHeight="1">
      <c r="B73" s="49" t="s">
        <v>4</v>
      </c>
      <c r="C73" s="413" t="s">
        <v>208</v>
      </c>
      <c r="D73" s="423" t="s">
        <v>31</v>
      </c>
      <c r="E73" s="413"/>
      <c r="F73" s="413"/>
      <c r="G73" s="413"/>
      <c r="H73" s="413"/>
      <c r="I73" s="385"/>
      <c r="J73" s="385"/>
      <c r="K73" s="385"/>
      <c r="L73" s="385"/>
      <c r="M73" s="385"/>
      <c r="N73" s="385"/>
      <c r="O73" s="385"/>
      <c r="P73" s="385"/>
      <c r="Q73" s="385"/>
      <c r="R73" s="385"/>
      <c r="S73" s="385"/>
      <c r="T73" s="385"/>
      <c r="U73" s="385"/>
      <c r="V73" s="385"/>
      <c r="W73" s="385"/>
      <c r="X73" s="385"/>
      <c r="Y73" s="385"/>
      <c r="Z73" s="385"/>
      <c r="AA73" s="385"/>
      <c r="AB73" s="385"/>
    </row>
    <row r="74" spans="2:30" ht="14.35" customHeight="1">
      <c r="B74" s="24">
        <f t="shared" ref="B74:B97" si="29">+B44</f>
        <v>44651</v>
      </c>
      <c r="C74" s="412" cm="1">
        <f t="array" ref="C74:C97">TRANSPOSE(E69:AB69)</f>
        <v>55.586162686648258</v>
      </c>
      <c r="D74" s="424">
        <v>0.85</v>
      </c>
      <c r="E74" s="326">
        <f>+$C74*$D74</f>
        <v>47.24823828365102</v>
      </c>
      <c r="F74" s="413"/>
      <c r="G74" s="413"/>
      <c r="H74" s="413"/>
      <c r="I74" s="326"/>
      <c r="J74" s="326"/>
      <c r="K74" s="326"/>
      <c r="L74" s="326"/>
      <c r="M74" s="326"/>
      <c r="N74" s="326"/>
      <c r="O74" s="326"/>
      <c r="P74" s="326"/>
      <c r="Q74" s="414"/>
      <c r="R74" s="385"/>
      <c r="S74" s="385"/>
      <c r="T74" s="385"/>
      <c r="U74" s="385"/>
      <c r="V74" s="385"/>
      <c r="W74" s="385"/>
      <c r="X74" s="385"/>
      <c r="Y74" s="385"/>
      <c r="Z74" s="385"/>
      <c r="AA74" s="385"/>
      <c r="AB74" s="385"/>
    </row>
    <row r="75" spans="2:30" ht="14.35" customHeight="1">
      <c r="B75" s="24">
        <f t="shared" si="29"/>
        <v>44742</v>
      </c>
      <c r="C75" s="412">
        <v>63.608623962909121</v>
      </c>
      <c r="D75" s="425">
        <f>+D74</f>
        <v>0.85</v>
      </c>
      <c r="E75" s="413"/>
      <c r="F75" s="326">
        <f>+$C75*$D75</f>
        <v>54.067330368472753</v>
      </c>
      <c r="G75" s="413"/>
      <c r="H75" s="413"/>
      <c r="I75" s="414"/>
      <c r="J75" s="326"/>
      <c r="K75" s="326"/>
      <c r="L75" s="326"/>
      <c r="M75" s="326"/>
      <c r="N75" s="326"/>
      <c r="O75" s="326"/>
      <c r="P75" s="326"/>
      <c r="Q75" s="414"/>
      <c r="R75" s="385"/>
      <c r="S75" s="385"/>
      <c r="T75" s="385"/>
      <c r="U75" s="385"/>
      <c r="V75" s="385"/>
      <c r="W75" s="385"/>
      <c r="X75" s="385"/>
      <c r="Y75" s="385"/>
      <c r="Z75" s="385"/>
      <c r="AA75" s="385"/>
      <c r="AB75" s="385"/>
    </row>
    <row r="76" spans="2:30" ht="14.35" customHeight="1">
      <c r="B76" s="24">
        <f t="shared" si="29"/>
        <v>44834</v>
      </c>
      <c r="C76" s="412">
        <v>72.844431515267416</v>
      </c>
      <c r="D76" s="425">
        <f t="shared" ref="D76:D97" si="30">+D75</f>
        <v>0.85</v>
      </c>
      <c r="E76" s="413"/>
      <c r="F76" s="413"/>
      <c r="G76" s="326">
        <f>+$C76*$D76</f>
        <v>61.9177667879773</v>
      </c>
      <c r="H76" s="413"/>
      <c r="I76" s="414"/>
      <c r="J76" s="414"/>
      <c r="K76" s="326"/>
      <c r="L76" s="326"/>
      <c r="M76" s="326"/>
      <c r="N76" s="326"/>
      <c r="O76" s="326"/>
      <c r="P76" s="326"/>
      <c r="Q76" s="414"/>
      <c r="R76" s="385"/>
      <c r="S76" s="385"/>
      <c r="T76" s="385"/>
      <c r="U76" s="385"/>
      <c r="V76" s="385"/>
      <c r="W76" s="385"/>
      <c r="X76" s="385"/>
      <c r="Y76" s="385"/>
      <c r="Z76" s="385"/>
      <c r="AA76" s="385"/>
      <c r="AB76" s="385"/>
    </row>
    <row r="77" spans="2:30" ht="14.35" customHeight="1">
      <c r="B77" s="24">
        <f t="shared" si="29"/>
        <v>44926</v>
      </c>
      <c r="C77" s="412">
        <v>83.674170434570271</v>
      </c>
      <c r="D77" s="425">
        <f t="shared" si="30"/>
        <v>0.85</v>
      </c>
      <c r="E77" s="413"/>
      <c r="F77" s="413"/>
      <c r="G77" s="413"/>
      <c r="H77" s="326">
        <f>+$C77*$D77</f>
        <v>71.123044869384728</v>
      </c>
      <c r="I77" s="414"/>
      <c r="J77" s="414"/>
      <c r="K77" s="414"/>
      <c r="L77" s="326"/>
      <c r="M77" s="326"/>
      <c r="N77" s="326"/>
      <c r="O77" s="326"/>
      <c r="P77" s="326"/>
      <c r="Q77" s="414"/>
      <c r="R77" s="385"/>
      <c r="S77" s="385"/>
      <c r="T77" s="385"/>
      <c r="U77" s="385"/>
      <c r="V77" s="385"/>
      <c r="W77" s="385"/>
      <c r="X77" s="385"/>
      <c r="Y77" s="385"/>
      <c r="Z77" s="385"/>
      <c r="AA77" s="385"/>
      <c r="AB77" s="385"/>
    </row>
    <row r="78" spans="2:30" ht="14.35" customHeight="1">
      <c r="B78" s="24">
        <f t="shared" si="29"/>
        <v>45016</v>
      </c>
      <c r="C78" s="412">
        <v>78.159215311912007</v>
      </c>
      <c r="D78" s="425">
        <f t="shared" si="30"/>
        <v>0.85</v>
      </c>
      <c r="E78" s="413"/>
      <c r="F78" s="413"/>
      <c r="G78" s="413"/>
      <c r="H78" s="413"/>
      <c r="I78" s="326">
        <f>+$C78*$D78</f>
        <v>66.435333015125209</v>
      </c>
      <c r="J78" s="414"/>
      <c r="K78" s="414"/>
      <c r="L78" s="414"/>
      <c r="M78" s="326"/>
      <c r="N78" s="326"/>
      <c r="O78" s="326"/>
      <c r="P78" s="326"/>
      <c r="Q78" s="326"/>
      <c r="R78" s="385"/>
      <c r="S78" s="385"/>
      <c r="T78" s="385"/>
      <c r="U78" s="385"/>
      <c r="V78" s="385"/>
      <c r="W78" s="385"/>
      <c r="X78" s="385"/>
      <c r="Y78" s="385"/>
      <c r="Z78" s="385"/>
      <c r="AA78" s="385"/>
      <c r="AB78" s="385"/>
    </row>
    <row r="79" spans="2:30" ht="14.35" customHeight="1">
      <c r="B79" s="24">
        <f t="shared" si="29"/>
        <v>45107</v>
      </c>
      <c r="C79" s="412">
        <v>79.571412243057594</v>
      </c>
      <c r="D79" s="425">
        <f t="shared" si="30"/>
        <v>0.85</v>
      </c>
      <c r="E79" s="413"/>
      <c r="F79" s="413"/>
      <c r="G79" s="413"/>
      <c r="H79" s="413"/>
      <c r="I79" s="414"/>
      <c r="J79" s="326">
        <f>+$C79*$D79</f>
        <v>67.635700406598957</v>
      </c>
      <c r="K79" s="414"/>
      <c r="L79" s="414"/>
      <c r="M79" s="326"/>
      <c r="N79" s="326"/>
      <c r="O79" s="326"/>
      <c r="P79" s="326"/>
      <c r="Q79" s="326"/>
      <c r="R79" s="326"/>
      <c r="S79" s="385"/>
      <c r="T79" s="385"/>
      <c r="U79" s="385"/>
      <c r="V79" s="385"/>
      <c r="W79" s="385"/>
      <c r="X79" s="385"/>
      <c r="Y79" s="385"/>
      <c r="Z79" s="385"/>
      <c r="AA79" s="385"/>
      <c r="AB79" s="385"/>
    </row>
    <row r="80" spans="2:30" ht="14.35" customHeight="1">
      <c r="B80" s="24">
        <f t="shared" si="29"/>
        <v>45199</v>
      </c>
      <c r="C80" s="412">
        <v>81.904499876756773</v>
      </c>
      <c r="D80" s="425">
        <f t="shared" si="30"/>
        <v>0.85</v>
      </c>
      <c r="E80" s="413"/>
      <c r="F80" s="413"/>
      <c r="G80" s="413"/>
      <c r="H80" s="413"/>
      <c r="I80" s="414"/>
      <c r="J80" s="414"/>
      <c r="K80" s="326">
        <f>+$C80*$D80</f>
        <v>69.61882489524325</v>
      </c>
      <c r="L80" s="414"/>
      <c r="M80" s="326"/>
      <c r="N80" s="326"/>
      <c r="O80" s="326"/>
      <c r="P80" s="326"/>
      <c r="Q80" s="326"/>
      <c r="R80" s="326"/>
      <c r="S80" s="326"/>
      <c r="T80" s="385"/>
      <c r="U80" s="385"/>
      <c r="V80" s="385"/>
      <c r="W80" s="385"/>
      <c r="X80" s="385"/>
      <c r="Y80" s="385"/>
      <c r="Z80" s="385"/>
      <c r="AA80" s="385"/>
      <c r="AB80" s="385"/>
    </row>
    <row r="81" spans="2:30" ht="14.35" customHeight="1">
      <c r="B81" s="24">
        <f t="shared" si="29"/>
        <v>45291</v>
      </c>
      <c r="C81" s="412">
        <v>85.384746169352482</v>
      </c>
      <c r="D81" s="425">
        <f t="shared" si="30"/>
        <v>0.85</v>
      </c>
      <c r="E81" s="413"/>
      <c r="F81" s="413"/>
      <c r="G81" s="413"/>
      <c r="H81" s="413"/>
      <c r="I81" s="414"/>
      <c r="J81" s="414"/>
      <c r="K81" s="414"/>
      <c r="L81" s="326">
        <f>+$C81*$D81</f>
        <v>72.577034243949612</v>
      </c>
      <c r="M81" s="326"/>
      <c r="N81" s="326"/>
      <c r="O81" s="326"/>
      <c r="P81" s="326"/>
      <c r="Q81" s="326"/>
      <c r="R81" s="326"/>
      <c r="S81" s="326"/>
      <c r="T81" s="326"/>
      <c r="U81" s="385"/>
      <c r="V81" s="385"/>
      <c r="W81" s="385"/>
      <c r="X81" s="385"/>
      <c r="Y81" s="385"/>
      <c r="Z81" s="385"/>
      <c r="AA81" s="385"/>
      <c r="AB81" s="385"/>
    </row>
    <row r="82" spans="2:30" ht="14.35" customHeight="1">
      <c r="B82" s="24">
        <f t="shared" si="29"/>
        <v>45382</v>
      </c>
      <c r="C82" s="412">
        <v>79.878343925368171</v>
      </c>
      <c r="D82" s="425">
        <f t="shared" si="30"/>
        <v>0.85</v>
      </c>
      <c r="E82" s="413"/>
      <c r="F82" s="413"/>
      <c r="G82" s="413"/>
      <c r="H82" s="413"/>
      <c r="I82" s="414"/>
      <c r="J82" s="414"/>
      <c r="K82" s="414"/>
      <c r="L82" s="414"/>
      <c r="M82" s="326">
        <f>+$C82*$D82</f>
        <v>67.896592336562946</v>
      </c>
      <c r="N82" s="326"/>
      <c r="O82" s="326"/>
      <c r="P82" s="326"/>
      <c r="Q82" s="326"/>
      <c r="R82" s="326"/>
      <c r="S82" s="326"/>
      <c r="T82" s="326"/>
      <c r="U82" s="326"/>
      <c r="V82" s="385"/>
      <c r="W82" s="385"/>
      <c r="X82" s="385"/>
      <c r="Y82" s="385"/>
      <c r="Z82" s="385"/>
      <c r="AA82" s="385"/>
      <c r="AB82" s="385"/>
    </row>
    <row r="83" spans="2:30" ht="14.35" customHeight="1">
      <c r="B83" s="24">
        <f t="shared" si="29"/>
        <v>45473</v>
      </c>
      <c r="C83" s="412">
        <v>81.29913649958101</v>
      </c>
      <c r="D83" s="425">
        <f t="shared" si="30"/>
        <v>0.85</v>
      </c>
      <c r="E83" s="413"/>
      <c r="F83" s="413"/>
      <c r="G83" s="413"/>
      <c r="H83" s="413"/>
      <c r="I83" s="414"/>
      <c r="J83" s="414"/>
      <c r="K83" s="414"/>
      <c r="L83" s="414"/>
      <c r="M83" s="326"/>
      <c r="N83" s="326">
        <f>+$C83*$D83</f>
        <v>69.104266024643863</v>
      </c>
      <c r="O83" s="326"/>
      <c r="P83" s="326"/>
      <c r="Q83" s="414"/>
      <c r="R83" s="326"/>
      <c r="S83" s="326"/>
      <c r="T83" s="326"/>
      <c r="U83" s="326"/>
      <c r="V83" s="326"/>
      <c r="W83" s="385"/>
      <c r="X83" s="385"/>
      <c r="Y83" s="385"/>
      <c r="Z83" s="385"/>
      <c r="AA83" s="385"/>
      <c r="AB83" s="385"/>
    </row>
    <row r="84" spans="2:30" ht="14.35" customHeight="1">
      <c r="B84" s="24">
        <f t="shared" si="29"/>
        <v>45565</v>
      </c>
      <c r="C84" s="412">
        <v>83.640862754562818</v>
      </c>
      <c r="D84" s="425">
        <f t="shared" si="30"/>
        <v>0.85</v>
      </c>
      <c r="E84" s="413"/>
      <c r="F84" s="413"/>
      <c r="G84" s="413"/>
      <c r="H84" s="413"/>
      <c r="I84" s="414"/>
      <c r="J84" s="414"/>
      <c r="K84" s="414"/>
      <c r="L84" s="414"/>
      <c r="M84" s="326"/>
      <c r="N84" s="326"/>
      <c r="O84" s="326">
        <f>+$C84*$D84</f>
        <v>71.094733341378387</v>
      </c>
      <c r="P84" s="326"/>
      <c r="Q84" s="414"/>
      <c r="R84" s="385"/>
      <c r="S84" s="326"/>
      <c r="T84" s="326"/>
      <c r="U84" s="326"/>
      <c r="V84" s="326"/>
      <c r="W84" s="326"/>
      <c r="X84" s="385"/>
      <c r="Y84" s="385"/>
      <c r="Z84" s="385"/>
      <c r="AA84" s="385"/>
      <c r="AB84" s="385"/>
    </row>
    <row r="85" spans="2:30" ht="14.35" customHeight="1">
      <c r="B85" s="24">
        <f t="shared" si="29"/>
        <v>45657</v>
      </c>
      <c r="C85" s="412">
        <v>87.129790861547562</v>
      </c>
      <c r="D85" s="425">
        <f t="shared" si="30"/>
        <v>0.85</v>
      </c>
      <c r="E85" s="413"/>
      <c r="F85" s="413"/>
      <c r="G85" s="413"/>
      <c r="H85" s="413"/>
      <c r="I85" s="414"/>
      <c r="J85" s="414"/>
      <c r="K85" s="414"/>
      <c r="L85" s="414"/>
      <c r="M85" s="326"/>
      <c r="N85" s="326"/>
      <c r="O85" s="326"/>
      <c r="P85" s="326">
        <f>+$C85*$D85</f>
        <v>74.060322232315428</v>
      </c>
      <c r="Q85" s="414"/>
      <c r="R85" s="385"/>
      <c r="S85" s="385"/>
      <c r="T85" s="326"/>
      <c r="U85" s="326"/>
      <c r="V85" s="326"/>
      <c r="W85" s="326"/>
      <c r="X85" s="326"/>
      <c r="Y85" s="385"/>
      <c r="Z85" s="385"/>
      <c r="AA85" s="385"/>
      <c r="AB85" s="385"/>
    </row>
    <row r="86" spans="2:30" ht="14.35" customHeight="1">
      <c r="B86" s="24">
        <f t="shared" si="29"/>
        <v>45747</v>
      </c>
      <c r="C86" s="412">
        <v>81.632113841024207</v>
      </c>
      <c r="D86" s="425">
        <f t="shared" si="30"/>
        <v>0.85</v>
      </c>
      <c r="E86" s="413"/>
      <c r="F86" s="413"/>
      <c r="G86" s="413"/>
      <c r="H86" s="413"/>
      <c r="I86" s="414"/>
      <c r="J86" s="414"/>
      <c r="K86" s="414"/>
      <c r="L86" s="414"/>
      <c r="M86" s="326"/>
      <c r="N86" s="326"/>
      <c r="O86" s="326"/>
      <c r="P86" s="326"/>
      <c r="Q86" s="326">
        <f>+$C86*$D86</f>
        <v>69.38729676487057</v>
      </c>
      <c r="R86" s="385"/>
      <c r="S86" s="385"/>
      <c r="T86" s="385"/>
      <c r="U86" s="326"/>
      <c r="V86" s="326"/>
      <c r="W86" s="326"/>
      <c r="X86" s="326"/>
      <c r="Y86" s="326"/>
      <c r="Z86" s="385"/>
      <c r="AA86" s="385"/>
      <c r="AB86" s="385"/>
    </row>
    <row r="87" spans="2:30" ht="14.35" customHeight="1">
      <c r="B87" s="24">
        <f t="shared" si="29"/>
        <v>45838</v>
      </c>
      <c r="C87" s="412">
        <v>83.061675264815335</v>
      </c>
      <c r="D87" s="425">
        <f t="shared" si="30"/>
        <v>0.85</v>
      </c>
      <c r="E87" s="413"/>
      <c r="F87" s="413"/>
      <c r="G87" s="413"/>
      <c r="H87" s="413"/>
      <c r="I87" s="414"/>
      <c r="J87" s="414"/>
      <c r="K87" s="414"/>
      <c r="L87" s="414"/>
      <c r="M87" s="326"/>
      <c r="N87" s="326"/>
      <c r="O87" s="326"/>
      <c r="P87" s="326"/>
      <c r="Q87" s="414"/>
      <c r="R87" s="326">
        <f>+$C87*$D87</f>
        <v>70.602423975093032</v>
      </c>
      <c r="S87" s="385"/>
      <c r="T87" s="385"/>
      <c r="U87" s="385"/>
      <c r="V87" s="326"/>
      <c r="W87" s="326"/>
      <c r="X87" s="326"/>
      <c r="Y87" s="326"/>
      <c r="Z87" s="326"/>
      <c r="AA87" s="385"/>
      <c r="AB87" s="385"/>
    </row>
    <row r="88" spans="2:30" ht="14.35" customHeight="1">
      <c r="B88" s="24">
        <f t="shared" si="29"/>
        <v>45930</v>
      </c>
      <c r="C88" s="412">
        <v>85.412214213623315</v>
      </c>
      <c r="D88" s="425">
        <f t="shared" si="30"/>
        <v>0.85</v>
      </c>
      <c r="E88" s="413"/>
      <c r="F88" s="413"/>
      <c r="G88" s="413"/>
      <c r="H88" s="413"/>
      <c r="I88" s="414"/>
      <c r="J88" s="414"/>
      <c r="K88" s="414"/>
      <c r="L88" s="414"/>
      <c r="M88" s="326"/>
      <c r="N88" s="326"/>
      <c r="O88" s="326"/>
      <c r="P88" s="326"/>
      <c r="Q88" s="414"/>
      <c r="R88" s="385"/>
      <c r="S88" s="326">
        <f>+$C88*$D88</f>
        <v>72.600382081579809</v>
      </c>
      <c r="T88" s="385"/>
      <c r="U88" s="385"/>
      <c r="V88" s="385"/>
      <c r="W88" s="326"/>
      <c r="X88" s="326"/>
      <c r="Y88" s="326"/>
      <c r="Z88" s="326"/>
      <c r="AA88" s="326"/>
      <c r="AB88" s="385"/>
    </row>
    <row r="89" spans="2:30" ht="14.35" customHeight="1">
      <c r="B89" s="24">
        <f t="shared" si="29"/>
        <v>46022</v>
      </c>
      <c r="C89" s="412">
        <v>88.909999077903365</v>
      </c>
      <c r="D89" s="425">
        <f t="shared" si="30"/>
        <v>0.85</v>
      </c>
      <c r="E89" s="413"/>
      <c r="F89" s="413"/>
      <c r="G89" s="413"/>
      <c r="H89" s="413"/>
      <c r="I89" s="414"/>
      <c r="J89" s="414"/>
      <c r="K89" s="414"/>
      <c r="L89" s="414"/>
      <c r="M89" s="326"/>
      <c r="N89" s="326"/>
      <c r="O89" s="326"/>
      <c r="P89" s="326"/>
      <c r="Q89" s="414"/>
      <c r="R89" s="385"/>
      <c r="S89" s="385"/>
      <c r="T89" s="326">
        <f>+$C89*$D89</f>
        <v>75.573499216217854</v>
      </c>
      <c r="U89" s="385"/>
      <c r="V89" s="385"/>
      <c r="W89" s="385"/>
      <c r="X89" s="326"/>
      <c r="Y89" s="326"/>
      <c r="Z89" s="326"/>
      <c r="AA89" s="326"/>
      <c r="AB89" s="326"/>
    </row>
    <row r="90" spans="2:30" ht="14.35" customHeight="1">
      <c r="B90" s="24">
        <f t="shared" si="29"/>
        <v>46112</v>
      </c>
      <c r="C90" s="412">
        <v>83.421223098461809</v>
      </c>
      <c r="D90" s="425">
        <f t="shared" si="30"/>
        <v>0.85</v>
      </c>
      <c r="E90" s="413"/>
      <c r="F90" s="413"/>
      <c r="G90" s="413"/>
      <c r="H90" s="413"/>
      <c r="I90" s="414"/>
      <c r="J90" s="414"/>
      <c r="K90" s="414"/>
      <c r="L90" s="414"/>
      <c r="M90" s="326"/>
      <c r="N90" s="326"/>
      <c r="O90" s="326"/>
      <c r="P90" s="326"/>
      <c r="Q90" s="414"/>
      <c r="R90" s="385"/>
      <c r="S90" s="385"/>
      <c r="T90" s="385"/>
      <c r="U90" s="326">
        <f>+$C90*$D90</f>
        <v>70.908039633692539</v>
      </c>
      <c r="V90" s="385"/>
      <c r="W90" s="385"/>
      <c r="X90" s="385"/>
      <c r="Y90" s="326"/>
      <c r="Z90" s="326"/>
      <c r="AA90" s="326"/>
      <c r="AB90" s="326"/>
    </row>
    <row r="91" spans="2:30" ht="14.35" customHeight="1">
      <c r="B91" s="24">
        <f t="shared" si="29"/>
        <v>46203</v>
      </c>
      <c r="C91" s="412">
        <v>84.859730068540131</v>
      </c>
      <c r="D91" s="425">
        <f t="shared" si="30"/>
        <v>0.85</v>
      </c>
      <c r="E91" s="413"/>
      <c r="F91" s="413"/>
      <c r="G91" s="413"/>
      <c r="H91" s="413"/>
      <c r="I91" s="414"/>
      <c r="J91" s="414"/>
      <c r="K91" s="414"/>
      <c r="L91" s="414"/>
      <c r="M91" s="326"/>
      <c r="N91" s="326"/>
      <c r="O91" s="326"/>
      <c r="P91" s="326"/>
      <c r="Q91" s="414"/>
      <c r="R91" s="385"/>
      <c r="S91" s="385"/>
      <c r="T91" s="385"/>
      <c r="U91" s="385"/>
      <c r="V91" s="326">
        <f>+$C91*$D91</f>
        <v>72.130770558259115</v>
      </c>
      <c r="W91" s="385"/>
      <c r="X91" s="385"/>
      <c r="Y91" s="385"/>
      <c r="Z91" s="326"/>
      <c r="AA91" s="326"/>
      <c r="AB91" s="326"/>
    </row>
    <row r="92" spans="2:30" ht="14.35" customHeight="1">
      <c r="B92" s="24">
        <f t="shared" si="29"/>
        <v>46295</v>
      </c>
      <c r="C92" s="412">
        <v>87.219259291366711</v>
      </c>
      <c r="D92" s="425">
        <f t="shared" si="30"/>
        <v>0.85</v>
      </c>
      <c r="E92" s="413"/>
      <c r="F92" s="413"/>
      <c r="G92" s="413"/>
      <c r="H92" s="413"/>
      <c r="I92" s="414"/>
      <c r="J92" s="414"/>
      <c r="K92" s="414"/>
      <c r="L92" s="414"/>
      <c r="M92" s="326"/>
      <c r="N92" s="326"/>
      <c r="O92" s="326"/>
      <c r="P92" s="326"/>
      <c r="Q92" s="414"/>
      <c r="R92" s="385"/>
      <c r="S92" s="385"/>
      <c r="T92" s="385"/>
      <c r="U92" s="385"/>
      <c r="V92" s="385"/>
      <c r="W92" s="326">
        <f>+$C92*$D92</f>
        <v>74.136370397661707</v>
      </c>
      <c r="X92" s="385"/>
      <c r="Y92" s="385"/>
      <c r="Z92" s="385"/>
      <c r="AA92" s="326"/>
      <c r="AB92" s="326"/>
      <c r="AC92" s="43"/>
    </row>
    <row r="93" spans="2:30" ht="14.35" customHeight="1">
      <c r="B93" s="24">
        <f t="shared" si="29"/>
        <v>46387</v>
      </c>
      <c r="C93" s="412">
        <v>90.72607938103549</v>
      </c>
      <c r="D93" s="425">
        <f t="shared" si="30"/>
        <v>0.85</v>
      </c>
      <c r="E93" s="413"/>
      <c r="F93" s="413"/>
      <c r="G93" s="413"/>
      <c r="H93" s="413"/>
      <c r="I93" s="414"/>
      <c r="J93" s="414"/>
      <c r="K93" s="414"/>
      <c r="L93" s="414"/>
      <c r="M93" s="326"/>
      <c r="N93" s="326"/>
      <c r="O93" s="326"/>
      <c r="P93" s="326"/>
      <c r="Q93" s="414"/>
      <c r="R93" s="385"/>
      <c r="S93" s="385"/>
      <c r="T93" s="385"/>
      <c r="U93" s="385"/>
      <c r="V93" s="385"/>
      <c r="W93" s="385"/>
      <c r="X93" s="326">
        <f>+$C93*$D93</f>
        <v>77.117167473880158</v>
      </c>
      <c r="Y93" s="385"/>
      <c r="Z93" s="385"/>
      <c r="AA93" s="385"/>
      <c r="AB93" s="326"/>
      <c r="AC93" s="43"/>
      <c r="AD93" s="43"/>
    </row>
    <row r="94" spans="2:30" ht="14.35" customHeight="1">
      <c r="B94" s="24">
        <f t="shared" si="29"/>
        <v>46477</v>
      </c>
      <c r="C94" s="412">
        <v>85.246383803109595</v>
      </c>
      <c r="D94" s="425">
        <f t="shared" si="30"/>
        <v>0.85</v>
      </c>
      <c r="E94" s="413"/>
      <c r="F94" s="413"/>
      <c r="G94" s="413"/>
      <c r="H94" s="413"/>
      <c r="I94" s="414"/>
      <c r="J94" s="414"/>
      <c r="K94" s="414"/>
      <c r="L94" s="414"/>
      <c r="M94" s="326"/>
      <c r="N94" s="326"/>
      <c r="O94" s="326"/>
      <c r="P94" s="326"/>
      <c r="Q94" s="414"/>
      <c r="R94" s="385"/>
      <c r="S94" s="385"/>
      <c r="T94" s="385"/>
      <c r="U94" s="385"/>
      <c r="V94" s="385"/>
      <c r="W94" s="385"/>
      <c r="X94" s="385"/>
      <c r="Y94" s="326">
        <f>+$C94*$D94</f>
        <v>72.459426232643153</v>
      </c>
      <c r="Z94" s="385"/>
      <c r="AA94" s="385"/>
      <c r="AB94" s="326"/>
      <c r="AC94" s="43"/>
      <c r="AD94" s="43"/>
    </row>
    <row r="95" spans="2:30" ht="14.35" customHeight="1">
      <c r="B95" s="24">
        <f t="shared" si="29"/>
        <v>46568</v>
      </c>
      <c r="C95" s="412">
        <v>86.694016576711135</v>
      </c>
      <c r="D95" s="425">
        <f t="shared" si="30"/>
        <v>0.85</v>
      </c>
      <c r="E95" s="413"/>
      <c r="F95" s="413"/>
      <c r="G95" s="413"/>
      <c r="H95" s="413"/>
      <c r="I95" s="414"/>
      <c r="J95" s="414"/>
      <c r="K95" s="414"/>
      <c r="L95" s="414"/>
      <c r="M95" s="326"/>
      <c r="N95" s="326"/>
      <c r="O95" s="326"/>
      <c r="P95" s="326"/>
      <c r="Q95" s="414"/>
      <c r="R95" s="385"/>
      <c r="S95" s="385"/>
      <c r="T95" s="385"/>
      <c r="U95" s="385"/>
      <c r="V95" s="385"/>
      <c r="W95" s="385"/>
      <c r="X95" s="385"/>
      <c r="Y95" s="385"/>
      <c r="Z95" s="326">
        <f>+$C95*$D95</f>
        <v>73.689914090204468</v>
      </c>
      <c r="AA95" s="385"/>
      <c r="AB95" s="326"/>
      <c r="AC95" s="43"/>
      <c r="AD95" s="43"/>
    </row>
    <row r="96" spans="2:30" ht="14.35" customHeight="1">
      <c r="B96" s="24">
        <f t="shared" si="29"/>
        <v>46660</v>
      </c>
      <c r="C96" s="412">
        <v>89.062717232078583</v>
      </c>
      <c r="D96" s="425">
        <f t="shared" si="30"/>
        <v>0.85</v>
      </c>
      <c r="E96" s="413"/>
      <c r="F96" s="413"/>
      <c r="G96" s="413"/>
      <c r="H96" s="413"/>
      <c r="I96" s="414"/>
      <c r="J96" s="414"/>
      <c r="K96" s="414"/>
      <c r="L96" s="414"/>
      <c r="M96" s="326"/>
      <c r="N96" s="326"/>
      <c r="O96" s="326"/>
      <c r="P96" s="326"/>
      <c r="Q96" s="414"/>
      <c r="R96" s="385"/>
      <c r="S96" s="385"/>
      <c r="T96" s="385"/>
      <c r="U96" s="385"/>
      <c r="V96" s="385"/>
      <c r="W96" s="385"/>
      <c r="X96" s="385"/>
      <c r="Y96" s="385"/>
      <c r="Z96" s="385"/>
      <c r="AA96" s="326">
        <f>+$C96*$D96</f>
        <v>75.703309647266792</v>
      </c>
      <c r="AB96" s="326"/>
      <c r="AC96" s="43"/>
      <c r="AD96" s="43"/>
    </row>
    <row r="97" spans="2:30" ht="14.35" customHeight="1">
      <c r="B97" s="24">
        <f t="shared" si="29"/>
        <v>46752</v>
      </c>
      <c r="C97" s="412">
        <v>92.578754611450904</v>
      </c>
      <c r="D97" s="425">
        <f t="shared" si="30"/>
        <v>0.85</v>
      </c>
      <c r="E97" s="413"/>
      <c r="F97" s="413"/>
      <c r="G97" s="413"/>
      <c r="H97" s="413"/>
      <c r="I97" s="414"/>
      <c r="J97" s="414"/>
      <c r="K97" s="414"/>
      <c r="L97" s="414"/>
      <c r="M97" s="326"/>
      <c r="N97" s="326"/>
      <c r="O97" s="326"/>
      <c r="P97" s="326"/>
      <c r="Q97" s="414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26">
        <f>+$C97*$D97</f>
        <v>78.691941419733269</v>
      </c>
      <c r="AC97" s="43"/>
      <c r="AD97" s="43"/>
    </row>
    <row r="98" spans="2:30" ht="14.35" customHeight="1">
      <c r="B98" s="23"/>
      <c r="C98" s="418"/>
      <c r="D98" s="429"/>
      <c r="E98" s="348"/>
      <c r="F98" s="348"/>
      <c r="G98" s="348"/>
      <c r="H98" s="348"/>
      <c r="I98" s="414"/>
      <c r="J98" s="414"/>
      <c r="K98" s="414"/>
      <c r="L98" s="414"/>
      <c r="M98" s="326"/>
      <c r="N98" s="326"/>
      <c r="O98" s="326"/>
      <c r="P98" s="326"/>
      <c r="Q98" s="414"/>
      <c r="R98" s="385"/>
      <c r="S98" s="385"/>
      <c r="T98" s="385"/>
      <c r="U98" s="385"/>
      <c r="V98" s="385"/>
      <c r="W98" s="385"/>
      <c r="X98" s="385"/>
      <c r="Y98" s="385"/>
      <c r="Z98" s="385"/>
      <c r="AA98" s="385"/>
      <c r="AB98" s="385"/>
    </row>
    <row r="99" spans="2:30" ht="14.35" customHeight="1">
      <c r="B99" s="48" t="s">
        <v>35</v>
      </c>
      <c r="C99" s="416"/>
      <c r="D99" s="422"/>
      <c r="E99" s="416"/>
      <c r="F99" s="416"/>
      <c r="G99" s="416"/>
      <c r="H99" s="416"/>
      <c r="I99" s="416"/>
      <c r="J99" s="416"/>
      <c r="K99" s="416"/>
      <c r="L99" s="416"/>
      <c r="M99" s="416"/>
      <c r="N99" s="416"/>
      <c r="O99" s="416"/>
      <c r="P99" s="416"/>
      <c r="Q99" s="416"/>
      <c r="R99" s="416"/>
      <c r="S99" s="416"/>
      <c r="T99" s="416"/>
      <c r="U99" s="416"/>
      <c r="V99" s="416"/>
      <c r="W99" s="416"/>
      <c r="X99" s="416"/>
      <c r="Y99" s="416"/>
      <c r="Z99" s="416"/>
      <c r="AA99" s="416"/>
      <c r="AB99" s="416"/>
    </row>
    <row r="100" spans="2:30" s="23" customFormat="1" ht="14.35" customHeight="1">
      <c r="B100" s="49" t="s">
        <v>4</v>
      </c>
      <c r="C100" s="413" t="s">
        <v>208</v>
      </c>
      <c r="D100" s="423" t="s">
        <v>31</v>
      </c>
      <c r="E100" s="413"/>
      <c r="F100" s="413"/>
      <c r="G100" s="413"/>
      <c r="H100" s="413"/>
      <c r="I100" s="385"/>
      <c r="J100" s="385"/>
      <c r="K100" s="385"/>
      <c r="L100" s="385"/>
      <c r="M100" s="385"/>
      <c r="N100" s="385"/>
      <c r="O100" s="385"/>
      <c r="P100" s="385"/>
      <c r="Q100" s="385"/>
      <c r="R100" s="385"/>
      <c r="S100" s="385"/>
      <c r="T100" s="385"/>
      <c r="U100" s="385"/>
      <c r="V100" s="385"/>
      <c r="W100" s="385"/>
      <c r="X100" s="385"/>
      <c r="Y100" s="385"/>
      <c r="Z100" s="385"/>
      <c r="AA100" s="385"/>
      <c r="AB100" s="385"/>
    </row>
    <row r="101" spans="2:30" ht="14.35" customHeight="1">
      <c r="B101" s="24">
        <f t="shared" ref="B101:B124" si="31">B74</f>
        <v>44651</v>
      </c>
      <c r="C101" s="412">
        <f>+C74</f>
        <v>55.586162686648258</v>
      </c>
      <c r="D101" s="426">
        <f>1-D74</f>
        <v>0.15000000000000002</v>
      </c>
      <c r="E101" s="393"/>
      <c r="F101" s="326">
        <f>+$C101*$D101</f>
        <v>8.3379244029972401</v>
      </c>
      <c r="G101" s="412"/>
      <c r="H101" s="412"/>
      <c r="I101" s="393"/>
      <c r="J101" s="326"/>
      <c r="K101" s="326"/>
      <c r="L101" s="326"/>
      <c r="M101" s="326"/>
      <c r="N101" s="326"/>
      <c r="O101" s="326"/>
      <c r="P101" s="326"/>
      <c r="Q101" s="326"/>
      <c r="R101" s="414"/>
      <c r="S101" s="385"/>
      <c r="T101" s="385"/>
      <c r="U101" s="385"/>
      <c r="V101" s="385"/>
      <c r="W101" s="385"/>
      <c r="X101" s="385"/>
      <c r="Y101" s="385"/>
      <c r="Z101" s="385"/>
      <c r="AA101" s="385"/>
      <c r="AB101" s="385"/>
    </row>
    <row r="102" spans="2:30" ht="14.35" customHeight="1">
      <c r="B102" s="24">
        <f t="shared" si="31"/>
        <v>44742</v>
      </c>
      <c r="C102" s="412">
        <f t="shared" ref="C102:C124" si="32">+C75</f>
        <v>63.608623962909121</v>
      </c>
      <c r="D102" s="426">
        <f t="shared" ref="D102:D124" si="33">1-D75</f>
        <v>0.15000000000000002</v>
      </c>
      <c r="E102" s="412"/>
      <c r="F102" s="412"/>
      <c r="G102" s="326">
        <f>+$C102*$D102</f>
        <v>9.5412935944363699</v>
      </c>
      <c r="H102" s="412"/>
      <c r="I102" s="393"/>
      <c r="J102" s="414"/>
      <c r="K102" s="326"/>
      <c r="L102" s="326"/>
      <c r="M102" s="326"/>
      <c r="N102" s="326"/>
      <c r="O102" s="326"/>
      <c r="P102" s="326"/>
      <c r="Q102" s="326"/>
      <c r="R102" s="414"/>
      <c r="S102" s="385"/>
      <c r="T102" s="385"/>
      <c r="U102" s="385"/>
      <c r="V102" s="385"/>
      <c r="W102" s="385"/>
      <c r="X102" s="385"/>
      <c r="Y102" s="385"/>
      <c r="Z102" s="385"/>
      <c r="AA102" s="385"/>
      <c r="AB102" s="385"/>
    </row>
    <row r="103" spans="2:30" ht="14.35" customHeight="1">
      <c r="B103" s="24">
        <f t="shared" si="31"/>
        <v>44834</v>
      </c>
      <c r="C103" s="412">
        <f t="shared" si="32"/>
        <v>72.844431515267416</v>
      </c>
      <c r="D103" s="426">
        <f t="shared" si="33"/>
        <v>0.15000000000000002</v>
      </c>
      <c r="E103" s="412"/>
      <c r="F103" s="412"/>
      <c r="G103" s="412"/>
      <c r="H103" s="326">
        <f>+$C103*$D103</f>
        <v>10.926664727290115</v>
      </c>
      <c r="I103" s="393"/>
      <c r="J103" s="414"/>
      <c r="K103" s="414"/>
      <c r="L103" s="326"/>
      <c r="M103" s="326"/>
      <c r="N103" s="326"/>
      <c r="O103" s="326"/>
      <c r="P103" s="326"/>
      <c r="Q103" s="326"/>
      <c r="R103" s="414"/>
      <c r="S103" s="385"/>
      <c r="T103" s="385"/>
      <c r="U103" s="385"/>
      <c r="V103" s="385"/>
      <c r="W103" s="385"/>
      <c r="X103" s="385"/>
      <c r="Y103" s="385"/>
      <c r="Z103" s="385"/>
      <c r="AA103" s="385"/>
      <c r="AB103" s="385"/>
    </row>
    <row r="104" spans="2:30" ht="14.35" customHeight="1">
      <c r="B104" s="24">
        <f t="shared" si="31"/>
        <v>44926</v>
      </c>
      <c r="C104" s="412">
        <f t="shared" si="32"/>
        <v>83.674170434570271</v>
      </c>
      <c r="D104" s="426">
        <f t="shared" si="33"/>
        <v>0.15000000000000002</v>
      </c>
      <c r="E104" s="412"/>
      <c r="F104" s="412"/>
      <c r="G104" s="412"/>
      <c r="H104" s="412"/>
      <c r="I104" s="326">
        <f>+$C104*$D104</f>
        <v>12.551125565185542</v>
      </c>
      <c r="J104" s="414"/>
      <c r="K104" s="414"/>
      <c r="L104" s="414"/>
      <c r="M104" s="326"/>
      <c r="N104" s="326"/>
      <c r="O104" s="326"/>
      <c r="P104" s="326"/>
      <c r="Q104" s="326"/>
      <c r="R104" s="414"/>
      <c r="S104" s="385"/>
      <c r="T104" s="385"/>
      <c r="U104" s="385"/>
      <c r="V104" s="385"/>
      <c r="W104" s="385"/>
      <c r="X104" s="385"/>
      <c r="Y104" s="385"/>
      <c r="Z104" s="385"/>
      <c r="AA104" s="385"/>
      <c r="AB104" s="385"/>
    </row>
    <row r="105" spans="2:30" ht="14.35" customHeight="1">
      <c r="B105" s="24">
        <f t="shared" si="31"/>
        <v>45016</v>
      </c>
      <c r="C105" s="412">
        <f t="shared" si="32"/>
        <v>78.159215311912007</v>
      </c>
      <c r="D105" s="426">
        <f t="shared" si="33"/>
        <v>0.15000000000000002</v>
      </c>
      <c r="E105" s="412"/>
      <c r="F105" s="412"/>
      <c r="G105" s="412"/>
      <c r="H105" s="412"/>
      <c r="I105" s="393"/>
      <c r="J105" s="326">
        <f>+$C105*$D105</f>
        <v>11.723882296786803</v>
      </c>
      <c r="K105" s="414"/>
      <c r="L105" s="414"/>
      <c r="M105" s="414"/>
      <c r="N105" s="326"/>
      <c r="O105" s="326"/>
      <c r="P105" s="326"/>
      <c r="Q105" s="326"/>
      <c r="R105" s="326"/>
      <c r="S105" s="385"/>
      <c r="T105" s="385"/>
      <c r="U105" s="385"/>
      <c r="V105" s="385"/>
      <c r="W105" s="385"/>
      <c r="X105" s="385"/>
      <c r="Y105" s="385"/>
      <c r="Z105" s="385"/>
      <c r="AA105" s="385"/>
      <c r="AB105" s="385"/>
    </row>
    <row r="106" spans="2:30" ht="14.35" customHeight="1">
      <c r="B106" s="24">
        <f t="shared" si="31"/>
        <v>45107</v>
      </c>
      <c r="C106" s="412">
        <f t="shared" si="32"/>
        <v>79.571412243057594</v>
      </c>
      <c r="D106" s="426">
        <f t="shared" si="33"/>
        <v>0.15000000000000002</v>
      </c>
      <c r="E106" s="412"/>
      <c r="F106" s="412"/>
      <c r="G106" s="412"/>
      <c r="H106" s="412"/>
      <c r="I106" s="393"/>
      <c r="J106" s="414"/>
      <c r="K106" s="326">
        <f>+$C106*$D106</f>
        <v>11.935711836458641</v>
      </c>
      <c r="L106" s="414"/>
      <c r="M106" s="414"/>
      <c r="N106" s="326"/>
      <c r="O106" s="326"/>
      <c r="P106" s="326"/>
      <c r="Q106" s="326"/>
      <c r="R106" s="326"/>
      <c r="S106" s="326"/>
      <c r="T106" s="385"/>
      <c r="U106" s="385"/>
      <c r="V106" s="385"/>
      <c r="W106" s="385"/>
      <c r="X106" s="385"/>
      <c r="Y106" s="385"/>
      <c r="Z106" s="385"/>
      <c r="AA106" s="385"/>
      <c r="AB106" s="385"/>
    </row>
    <row r="107" spans="2:30" ht="14.35" customHeight="1">
      <c r="B107" s="24">
        <f t="shared" si="31"/>
        <v>45199</v>
      </c>
      <c r="C107" s="412">
        <f t="shared" si="32"/>
        <v>81.904499876756773</v>
      </c>
      <c r="D107" s="426">
        <f t="shared" si="33"/>
        <v>0.15000000000000002</v>
      </c>
      <c r="E107" s="412"/>
      <c r="F107" s="412"/>
      <c r="G107" s="412"/>
      <c r="H107" s="412"/>
      <c r="I107" s="393"/>
      <c r="J107" s="414"/>
      <c r="K107" s="414"/>
      <c r="L107" s="326">
        <f>+$C107*$D107</f>
        <v>12.285674981513518</v>
      </c>
      <c r="M107" s="414"/>
      <c r="N107" s="326"/>
      <c r="O107" s="326"/>
      <c r="P107" s="326"/>
      <c r="Q107" s="326"/>
      <c r="R107" s="326"/>
      <c r="S107" s="326"/>
      <c r="T107" s="326"/>
      <c r="U107" s="385"/>
      <c r="V107" s="385"/>
      <c r="W107" s="385"/>
      <c r="X107" s="385"/>
      <c r="Y107" s="385"/>
      <c r="Z107" s="385"/>
      <c r="AA107" s="385"/>
      <c r="AB107" s="385"/>
    </row>
    <row r="108" spans="2:30" ht="14.35" customHeight="1">
      <c r="B108" s="24">
        <f t="shared" si="31"/>
        <v>45291</v>
      </c>
      <c r="C108" s="412">
        <f t="shared" si="32"/>
        <v>85.384746169352482</v>
      </c>
      <c r="D108" s="426">
        <f t="shared" si="33"/>
        <v>0.15000000000000002</v>
      </c>
      <c r="E108" s="412"/>
      <c r="F108" s="412"/>
      <c r="G108" s="412"/>
      <c r="H108" s="412"/>
      <c r="I108" s="393"/>
      <c r="J108" s="414"/>
      <c r="K108" s="414"/>
      <c r="L108" s="414"/>
      <c r="M108" s="326">
        <f>+$C108*$D108</f>
        <v>12.807711925402874</v>
      </c>
      <c r="N108" s="326"/>
      <c r="O108" s="326"/>
      <c r="P108" s="326"/>
      <c r="Q108" s="326"/>
      <c r="R108" s="326"/>
      <c r="S108" s="326"/>
      <c r="T108" s="326"/>
      <c r="U108" s="326"/>
      <c r="V108" s="385"/>
      <c r="W108" s="385"/>
      <c r="X108" s="385"/>
      <c r="Y108" s="385"/>
      <c r="Z108" s="385"/>
      <c r="AA108" s="385"/>
      <c r="AB108" s="385"/>
    </row>
    <row r="109" spans="2:30" ht="14.35" customHeight="1">
      <c r="B109" s="24">
        <f t="shared" si="31"/>
        <v>45382</v>
      </c>
      <c r="C109" s="412">
        <f t="shared" si="32"/>
        <v>79.878343925368171</v>
      </c>
      <c r="D109" s="426">
        <f t="shared" si="33"/>
        <v>0.15000000000000002</v>
      </c>
      <c r="E109" s="412"/>
      <c r="F109" s="412"/>
      <c r="G109" s="412"/>
      <c r="H109" s="412"/>
      <c r="I109" s="393"/>
      <c r="J109" s="414"/>
      <c r="K109" s="414"/>
      <c r="L109" s="414"/>
      <c r="M109" s="414"/>
      <c r="N109" s="326">
        <f>+$C109*$D109</f>
        <v>11.981751588805228</v>
      </c>
      <c r="O109" s="326"/>
      <c r="P109" s="326"/>
      <c r="Q109" s="326"/>
      <c r="R109" s="326"/>
      <c r="S109" s="326"/>
      <c r="T109" s="326"/>
      <c r="U109" s="326"/>
      <c r="V109" s="326"/>
      <c r="W109" s="385"/>
      <c r="X109" s="385"/>
      <c r="Y109" s="385"/>
      <c r="Z109" s="385"/>
      <c r="AA109" s="385"/>
      <c r="AB109" s="385"/>
    </row>
    <row r="110" spans="2:30" ht="14.35" customHeight="1">
      <c r="B110" s="24">
        <f t="shared" si="31"/>
        <v>45473</v>
      </c>
      <c r="C110" s="412">
        <f t="shared" si="32"/>
        <v>81.29913649958101</v>
      </c>
      <c r="D110" s="426">
        <f t="shared" si="33"/>
        <v>0.15000000000000002</v>
      </c>
      <c r="E110" s="412"/>
      <c r="F110" s="412"/>
      <c r="G110" s="412"/>
      <c r="H110" s="412"/>
      <c r="I110" s="393"/>
      <c r="J110" s="414"/>
      <c r="K110" s="414"/>
      <c r="L110" s="414"/>
      <c r="M110" s="414"/>
      <c r="N110" s="326"/>
      <c r="O110" s="326">
        <f>+$C110*$D110</f>
        <v>12.194870474937153</v>
      </c>
      <c r="P110" s="326"/>
      <c r="Q110" s="326"/>
      <c r="R110" s="414"/>
      <c r="S110" s="326"/>
      <c r="T110" s="326"/>
      <c r="U110" s="326"/>
      <c r="V110" s="326"/>
      <c r="W110" s="326"/>
      <c r="X110" s="385"/>
      <c r="Y110" s="385"/>
      <c r="Z110" s="385"/>
      <c r="AA110" s="385"/>
      <c r="AB110" s="385"/>
    </row>
    <row r="111" spans="2:30" ht="14.35" customHeight="1">
      <c r="B111" s="24">
        <f t="shared" si="31"/>
        <v>45565</v>
      </c>
      <c r="C111" s="412">
        <f t="shared" si="32"/>
        <v>83.640862754562818</v>
      </c>
      <c r="D111" s="426">
        <f t="shared" si="33"/>
        <v>0.15000000000000002</v>
      </c>
      <c r="E111" s="412"/>
      <c r="F111" s="412"/>
      <c r="G111" s="412"/>
      <c r="H111" s="412"/>
      <c r="I111" s="393"/>
      <c r="J111" s="414"/>
      <c r="K111" s="414"/>
      <c r="L111" s="414"/>
      <c r="M111" s="414"/>
      <c r="N111" s="326"/>
      <c r="O111" s="326"/>
      <c r="P111" s="326">
        <f>+$C111*$D111</f>
        <v>12.546129413184424</v>
      </c>
      <c r="Q111" s="326"/>
      <c r="R111" s="414"/>
      <c r="S111" s="385"/>
      <c r="T111" s="326"/>
      <c r="U111" s="326"/>
      <c r="V111" s="326"/>
      <c r="W111" s="326"/>
      <c r="X111" s="326"/>
      <c r="Y111" s="385"/>
      <c r="Z111" s="385"/>
      <c r="AA111" s="385"/>
      <c r="AB111" s="385"/>
    </row>
    <row r="112" spans="2:30" ht="14.35" customHeight="1">
      <c r="B112" s="24">
        <f t="shared" si="31"/>
        <v>45657</v>
      </c>
      <c r="C112" s="412">
        <f t="shared" si="32"/>
        <v>87.129790861547562</v>
      </c>
      <c r="D112" s="426">
        <f t="shared" si="33"/>
        <v>0.15000000000000002</v>
      </c>
      <c r="E112" s="412"/>
      <c r="F112" s="412"/>
      <c r="G112" s="412"/>
      <c r="H112" s="412"/>
      <c r="I112" s="393"/>
      <c r="J112" s="414"/>
      <c r="K112" s="414"/>
      <c r="L112" s="414"/>
      <c r="M112" s="414"/>
      <c r="N112" s="326"/>
      <c r="O112" s="326"/>
      <c r="P112" s="326"/>
      <c r="Q112" s="326">
        <f>+$C112*$D112</f>
        <v>13.069468629232135</v>
      </c>
      <c r="R112" s="414"/>
      <c r="S112" s="385"/>
      <c r="T112" s="385"/>
      <c r="U112" s="326"/>
      <c r="V112" s="326"/>
      <c r="W112" s="326"/>
      <c r="X112" s="326"/>
      <c r="Y112" s="326"/>
      <c r="Z112" s="385"/>
      <c r="AA112" s="385"/>
      <c r="AB112" s="385"/>
    </row>
    <row r="113" spans="2:30" ht="14.35" customHeight="1">
      <c r="B113" s="24">
        <f t="shared" si="31"/>
        <v>45747</v>
      </c>
      <c r="C113" s="412">
        <f t="shared" si="32"/>
        <v>81.632113841024207</v>
      </c>
      <c r="D113" s="426">
        <f t="shared" si="33"/>
        <v>0.15000000000000002</v>
      </c>
      <c r="E113" s="412"/>
      <c r="F113" s="412"/>
      <c r="G113" s="412"/>
      <c r="H113" s="412"/>
      <c r="I113" s="393"/>
      <c r="J113" s="414"/>
      <c r="K113" s="414"/>
      <c r="L113" s="414"/>
      <c r="M113" s="414"/>
      <c r="N113" s="326"/>
      <c r="O113" s="326"/>
      <c r="P113" s="326"/>
      <c r="Q113" s="326"/>
      <c r="R113" s="326">
        <f>+$C113*$D113</f>
        <v>12.244817076153632</v>
      </c>
      <c r="S113" s="385"/>
      <c r="T113" s="385"/>
      <c r="U113" s="385"/>
      <c r="V113" s="326"/>
      <c r="W113" s="326"/>
      <c r="X113" s="326"/>
      <c r="Y113" s="326"/>
      <c r="Z113" s="326"/>
      <c r="AA113" s="385"/>
      <c r="AB113" s="385"/>
    </row>
    <row r="114" spans="2:30" ht="14.35" customHeight="1">
      <c r="B114" s="24">
        <f t="shared" si="31"/>
        <v>45838</v>
      </c>
      <c r="C114" s="412">
        <f t="shared" si="32"/>
        <v>83.061675264815335</v>
      </c>
      <c r="D114" s="426">
        <f t="shared" si="33"/>
        <v>0.15000000000000002</v>
      </c>
      <c r="E114" s="412"/>
      <c r="F114" s="412"/>
      <c r="G114" s="412"/>
      <c r="H114" s="412"/>
      <c r="I114" s="393"/>
      <c r="J114" s="414"/>
      <c r="K114" s="414"/>
      <c r="L114" s="414"/>
      <c r="M114" s="414"/>
      <c r="N114" s="326"/>
      <c r="O114" s="326"/>
      <c r="P114" s="326"/>
      <c r="Q114" s="326"/>
      <c r="R114" s="414"/>
      <c r="S114" s="326">
        <f>+$C114*$D114</f>
        <v>12.459251289722301</v>
      </c>
      <c r="T114" s="385"/>
      <c r="U114" s="385"/>
      <c r="V114" s="385"/>
      <c r="W114" s="326"/>
      <c r="X114" s="326"/>
      <c r="Y114" s="326"/>
      <c r="Z114" s="326"/>
      <c r="AA114" s="326"/>
      <c r="AB114" s="385"/>
    </row>
    <row r="115" spans="2:30" ht="14.35" customHeight="1">
      <c r="B115" s="24">
        <f t="shared" si="31"/>
        <v>45930</v>
      </c>
      <c r="C115" s="412">
        <f t="shared" si="32"/>
        <v>85.412214213623315</v>
      </c>
      <c r="D115" s="426">
        <f t="shared" si="33"/>
        <v>0.15000000000000002</v>
      </c>
      <c r="E115" s="412"/>
      <c r="F115" s="412"/>
      <c r="G115" s="412"/>
      <c r="H115" s="412"/>
      <c r="I115" s="393"/>
      <c r="J115" s="414"/>
      <c r="K115" s="414"/>
      <c r="L115" s="414"/>
      <c r="M115" s="414"/>
      <c r="N115" s="326"/>
      <c r="O115" s="326"/>
      <c r="P115" s="326"/>
      <c r="Q115" s="326"/>
      <c r="R115" s="414"/>
      <c r="S115" s="385"/>
      <c r="T115" s="326">
        <f>+$C115*$D115</f>
        <v>12.811832132043499</v>
      </c>
      <c r="U115" s="385"/>
      <c r="V115" s="385"/>
      <c r="W115" s="385"/>
      <c r="X115" s="326"/>
      <c r="Y115" s="326"/>
      <c r="Z115" s="326"/>
      <c r="AA115" s="326"/>
      <c r="AB115" s="326"/>
    </row>
    <row r="116" spans="2:30" ht="14.35" customHeight="1">
      <c r="B116" s="24">
        <f t="shared" si="31"/>
        <v>46022</v>
      </c>
      <c r="C116" s="412">
        <f t="shared" si="32"/>
        <v>88.909999077903365</v>
      </c>
      <c r="D116" s="426">
        <f t="shared" si="33"/>
        <v>0.15000000000000002</v>
      </c>
      <c r="E116" s="412"/>
      <c r="F116" s="412"/>
      <c r="G116" s="412"/>
      <c r="H116" s="412"/>
      <c r="I116" s="393"/>
      <c r="J116" s="414"/>
      <c r="K116" s="414"/>
      <c r="L116" s="414"/>
      <c r="M116" s="414"/>
      <c r="N116" s="326"/>
      <c r="O116" s="326"/>
      <c r="P116" s="326"/>
      <c r="Q116" s="326"/>
      <c r="R116" s="414"/>
      <c r="S116" s="385"/>
      <c r="T116" s="385"/>
      <c r="U116" s="326">
        <f>+$C116*$D116</f>
        <v>13.336499861685507</v>
      </c>
      <c r="V116" s="385"/>
      <c r="W116" s="385"/>
      <c r="X116" s="385"/>
      <c r="Y116" s="326"/>
      <c r="Z116" s="326"/>
      <c r="AA116" s="326"/>
      <c r="AB116" s="326"/>
    </row>
    <row r="117" spans="2:30" ht="14.35" customHeight="1">
      <c r="B117" s="24">
        <f t="shared" si="31"/>
        <v>46112</v>
      </c>
      <c r="C117" s="412">
        <f t="shared" si="32"/>
        <v>83.421223098461809</v>
      </c>
      <c r="D117" s="426">
        <f t="shared" si="33"/>
        <v>0.15000000000000002</v>
      </c>
      <c r="E117" s="412"/>
      <c r="F117" s="412"/>
      <c r="G117" s="412"/>
      <c r="H117" s="412"/>
      <c r="I117" s="393"/>
      <c r="J117" s="414"/>
      <c r="K117" s="414"/>
      <c r="L117" s="414"/>
      <c r="M117" s="414"/>
      <c r="N117" s="326"/>
      <c r="O117" s="326"/>
      <c r="P117" s="326"/>
      <c r="Q117" s="326"/>
      <c r="R117" s="414"/>
      <c r="S117" s="385"/>
      <c r="T117" s="385"/>
      <c r="U117" s="385"/>
      <c r="V117" s="326">
        <f>+$C117*$D117</f>
        <v>12.513183464769273</v>
      </c>
      <c r="W117" s="385"/>
      <c r="X117" s="385"/>
      <c r="Y117" s="385"/>
      <c r="Z117" s="326"/>
      <c r="AA117" s="326"/>
      <c r="AB117" s="326"/>
    </row>
    <row r="118" spans="2:30" ht="14.35" customHeight="1">
      <c r="B118" s="24">
        <f t="shared" si="31"/>
        <v>46203</v>
      </c>
      <c r="C118" s="412">
        <f t="shared" si="32"/>
        <v>84.859730068540131</v>
      </c>
      <c r="D118" s="426">
        <f t="shared" si="33"/>
        <v>0.15000000000000002</v>
      </c>
      <c r="E118" s="412"/>
      <c r="F118" s="412"/>
      <c r="G118" s="412"/>
      <c r="H118" s="412"/>
      <c r="I118" s="393"/>
      <c r="J118" s="414"/>
      <c r="K118" s="414"/>
      <c r="L118" s="414"/>
      <c r="M118" s="414"/>
      <c r="N118" s="326"/>
      <c r="O118" s="326"/>
      <c r="P118" s="326"/>
      <c r="Q118" s="326"/>
      <c r="R118" s="414"/>
      <c r="S118" s="385"/>
      <c r="T118" s="385"/>
      <c r="U118" s="385"/>
      <c r="V118" s="385"/>
      <c r="W118" s="326">
        <f>+$C118*$D118</f>
        <v>12.728959510281021</v>
      </c>
      <c r="X118" s="385"/>
      <c r="Y118" s="385"/>
      <c r="Z118" s="385"/>
      <c r="AA118" s="326"/>
      <c r="AB118" s="326"/>
    </row>
    <row r="119" spans="2:30" ht="14.35" customHeight="1">
      <c r="B119" s="24">
        <f t="shared" si="31"/>
        <v>46295</v>
      </c>
      <c r="C119" s="412">
        <f t="shared" si="32"/>
        <v>87.219259291366711</v>
      </c>
      <c r="D119" s="426">
        <f t="shared" si="33"/>
        <v>0.15000000000000002</v>
      </c>
      <c r="E119" s="412"/>
      <c r="F119" s="412"/>
      <c r="G119" s="412"/>
      <c r="H119" s="412"/>
      <c r="I119" s="393"/>
      <c r="J119" s="414"/>
      <c r="K119" s="414"/>
      <c r="L119" s="414"/>
      <c r="M119" s="414"/>
      <c r="N119" s="326"/>
      <c r="O119" s="326"/>
      <c r="P119" s="326"/>
      <c r="Q119" s="326"/>
      <c r="R119" s="414"/>
      <c r="S119" s="385"/>
      <c r="T119" s="385"/>
      <c r="U119" s="385"/>
      <c r="V119" s="385"/>
      <c r="W119" s="385"/>
      <c r="X119" s="326">
        <f>+$C119*$D119</f>
        <v>13.082888893705009</v>
      </c>
      <c r="Y119" s="326"/>
      <c r="Z119" s="385"/>
      <c r="AA119" s="385"/>
      <c r="AB119" s="326"/>
      <c r="AC119" s="43"/>
    </row>
    <row r="120" spans="2:30" ht="14.35" customHeight="1">
      <c r="B120" s="24">
        <f t="shared" si="31"/>
        <v>46387</v>
      </c>
      <c r="C120" s="412">
        <f t="shared" si="32"/>
        <v>90.72607938103549</v>
      </c>
      <c r="D120" s="426">
        <f t="shared" si="33"/>
        <v>0.15000000000000002</v>
      </c>
      <c r="E120" s="412"/>
      <c r="F120" s="412"/>
      <c r="G120" s="412"/>
      <c r="H120" s="412"/>
      <c r="I120" s="393"/>
      <c r="J120" s="414"/>
      <c r="K120" s="414"/>
      <c r="L120" s="414"/>
      <c r="M120" s="414"/>
      <c r="N120" s="326"/>
      <c r="O120" s="326"/>
      <c r="P120" s="326"/>
      <c r="Q120" s="326"/>
      <c r="R120" s="414"/>
      <c r="S120" s="385"/>
      <c r="T120" s="385"/>
      <c r="U120" s="385"/>
      <c r="V120" s="385"/>
      <c r="W120" s="385"/>
      <c r="X120" s="385"/>
      <c r="Y120" s="326">
        <f>+$C120*$D120</f>
        <v>13.608911907155326</v>
      </c>
      <c r="Z120" s="385"/>
      <c r="AA120" s="385"/>
      <c r="AB120" s="385"/>
      <c r="AC120" s="43"/>
      <c r="AD120" s="43"/>
    </row>
    <row r="121" spans="2:30" ht="14.35" customHeight="1">
      <c r="B121" s="24">
        <f t="shared" si="31"/>
        <v>46477</v>
      </c>
      <c r="C121" s="412">
        <f t="shared" si="32"/>
        <v>85.246383803109595</v>
      </c>
      <c r="D121" s="426">
        <f t="shared" si="33"/>
        <v>0.15000000000000002</v>
      </c>
      <c r="E121" s="412"/>
      <c r="F121" s="412"/>
      <c r="G121" s="412"/>
      <c r="H121" s="412"/>
      <c r="I121" s="393"/>
      <c r="J121" s="414"/>
      <c r="K121" s="414"/>
      <c r="L121" s="414"/>
      <c r="M121" s="414"/>
      <c r="N121" s="326"/>
      <c r="O121" s="326"/>
      <c r="P121" s="326"/>
      <c r="Q121" s="326"/>
      <c r="R121" s="414"/>
      <c r="S121" s="385"/>
      <c r="T121" s="385"/>
      <c r="U121" s="385"/>
      <c r="V121" s="385"/>
      <c r="W121" s="385"/>
      <c r="X121" s="385"/>
      <c r="Y121" s="385"/>
      <c r="Z121" s="326">
        <f>+$C121*$D121</f>
        <v>12.786957570466441</v>
      </c>
      <c r="AA121" s="385"/>
      <c r="AB121" s="385"/>
      <c r="AC121" s="43"/>
      <c r="AD121" s="43"/>
    </row>
    <row r="122" spans="2:30" ht="14.35" customHeight="1">
      <c r="B122" s="24">
        <f t="shared" si="31"/>
        <v>46568</v>
      </c>
      <c r="C122" s="412">
        <f t="shared" si="32"/>
        <v>86.694016576711135</v>
      </c>
      <c r="D122" s="426">
        <f t="shared" si="33"/>
        <v>0.15000000000000002</v>
      </c>
      <c r="E122" s="412"/>
      <c r="F122" s="412"/>
      <c r="G122" s="412"/>
      <c r="H122" s="412"/>
      <c r="I122" s="393"/>
      <c r="J122" s="414"/>
      <c r="K122" s="414"/>
      <c r="L122" s="414"/>
      <c r="M122" s="414"/>
      <c r="N122" s="326"/>
      <c r="O122" s="326"/>
      <c r="P122" s="326"/>
      <c r="Q122" s="326"/>
      <c r="R122" s="414"/>
      <c r="S122" s="385"/>
      <c r="T122" s="385"/>
      <c r="U122" s="385"/>
      <c r="V122" s="385"/>
      <c r="W122" s="385"/>
      <c r="X122" s="385"/>
      <c r="Y122" s="385"/>
      <c r="Z122" s="385"/>
      <c r="AA122" s="326">
        <f>+$C122*$D122</f>
        <v>13.004102486506673</v>
      </c>
      <c r="AB122" s="385"/>
      <c r="AC122" s="43"/>
      <c r="AD122" s="43"/>
    </row>
    <row r="123" spans="2:30" ht="14.35" customHeight="1">
      <c r="B123" s="24">
        <f t="shared" si="31"/>
        <v>46660</v>
      </c>
      <c r="C123" s="412">
        <f t="shared" si="32"/>
        <v>89.062717232078583</v>
      </c>
      <c r="D123" s="426">
        <f t="shared" si="33"/>
        <v>0.15000000000000002</v>
      </c>
      <c r="E123" s="412"/>
      <c r="F123" s="412"/>
      <c r="G123" s="412"/>
      <c r="H123" s="412"/>
      <c r="I123" s="393"/>
      <c r="J123" s="414"/>
      <c r="K123" s="414"/>
      <c r="L123" s="414"/>
      <c r="M123" s="414"/>
      <c r="N123" s="326"/>
      <c r="O123" s="326"/>
      <c r="P123" s="326"/>
      <c r="Q123" s="326"/>
      <c r="R123" s="414"/>
      <c r="S123" s="385"/>
      <c r="T123" s="385"/>
      <c r="U123" s="385"/>
      <c r="V123" s="385"/>
      <c r="W123" s="385"/>
      <c r="X123" s="385"/>
      <c r="Y123" s="385"/>
      <c r="Z123" s="385"/>
      <c r="AA123" s="385"/>
      <c r="AB123" s="326">
        <f>+$C123*$D123</f>
        <v>13.359407584811789</v>
      </c>
      <c r="AC123" s="43"/>
      <c r="AD123" s="43"/>
    </row>
    <row r="124" spans="2:30" ht="14.35" customHeight="1">
      <c r="B124" s="24">
        <f t="shared" si="31"/>
        <v>46752</v>
      </c>
      <c r="C124" s="412">
        <f t="shared" si="32"/>
        <v>92.578754611450904</v>
      </c>
      <c r="D124" s="426">
        <f t="shared" si="33"/>
        <v>0.15000000000000002</v>
      </c>
      <c r="E124" s="412"/>
      <c r="F124" s="412"/>
      <c r="G124" s="412"/>
      <c r="H124" s="412"/>
      <c r="I124" s="393"/>
      <c r="J124" s="414"/>
      <c r="K124" s="414"/>
      <c r="L124" s="414"/>
      <c r="M124" s="414"/>
      <c r="N124" s="326"/>
      <c r="O124" s="326"/>
      <c r="P124" s="326"/>
      <c r="Q124" s="326"/>
      <c r="R124" s="414"/>
      <c r="S124" s="385"/>
      <c r="T124" s="385"/>
      <c r="U124" s="385"/>
      <c r="V124" s="385"/>
      <c r="W124" s="385"/>
      <c r="X124" s="385"/>
      <c r="Y124" s="385"/>
      <c r="Z124" s="385"/>
      <c r="AA124" s="385"/>
      <c r="AB124" s="385"/>
      <c r="AC124" s="43"/>
      <c r="AD124" s="43"/>
    </row>
    <row r="125" spans="2:30" ht="14.35" customHeight="1">
      <c r="B125" s="23"/>
      <c r="C125" s="418"/>
      <c r="D125" s="429"/>
      <c r="E125" s="348"/>
      <c r="F125" s="348"/>
      <c r="G125" s="348"/>
      <c r="H125" s="348"/>
      <c r="I125" s="414"/>
      <c r="J125" s="414"/>
      <c r="K125" s="414"/>
      <c r="L125" s="414"/>
      <c r="M125" s="326"/>
      <c r="N125" s="326"/>
      <c r="O125" s="326"/>
      <c r="P125" s="326"/>
      <c r="Q125" s="414"/>
      <c r="R125" s="385"/>
      <c r="S125" s="385"/>
      <c r="T125" s="385"/>
      <c r="U125" s="385"/>
      <c r="V125" s="385"/>
      <c r="W125" s="385"/>
      <c r="X125" s="385"/>
      <c r="Y125" s="385"/>
      <c r="Z125" s="385"/>
      <c r="AA125" s="385"/>
      <c r="AB125" s="385"/>
    </row>
    <row r="126" spans="2:30" ht="14.35" customHeight="1" thickBot="1">
      <c r="B126" s="52" t="s">
        <v>19</v>
      </c>
      <c r="C126" s="419"/>
      <c r="D126" s="430"/>
      <c r="E126" s="417">
        <f>SUM(E74:E124)</f>
        <v>47.24823828365102</v>
      </c>
      <c r="F126" s="417">
        <f t="shared" ref="F126:AB126" si="34">SUM(F74:F124)</f>
        <v>62.405254771469991</v>
      </c>
      <c r="G126" s="417">
        <f t="shared" si="34"/>
        <v>71.459060382413668</v>
      </c>
      <c r="H126" s="417">
        <f t="shared" si="34"/>
        <v>82.049709596674845</v>
      </c>
      <c r="I126" s="417">
        <f t="shared" si="34"/>
        <v>78.986458580310753</v>
      </c>
      <c r="J126" s="417">
        <f t="shared" si="34"/>
        <v>79.359582703385755</v>
      </c>
      <c r="K126" s="417">
        <f t="shared" si="34"/>
        <v>81.554536731701887</v>
      </c>
      <c r="L126" s="417">
        <f>SUM(L74:L124)</f>
        <v>84.862709225463135</v>
      </c>
      <c r="M126" s="417">
        <f t="shared" si="34"/>
        <v>80.704304261965817</v>
      </c>
      <c r="N126" s="417">
        <f t="shared" si="34"/>
        <v>81.086017613449087</v>
      </c>
      <c r="O126" s="417">
        <f t="shared" si="34"/>
        <v>83.289603816315534</v>
      </c>
      <c r="P126" s="417">
        <f t="shared" si="34"/>
        <v>86.606451645499845</v>
      </c>
      <c r="Q126" s="417">
        <f t="shared" si="34"/>
        <v>82.456765394102703</v>
      </c>
      <c r="R126" s="417">
        <f t="shared" si="34"/>
        <v>82.847241051246669</v>
      </c>
      <c r="S126" s="417">
        <f t="shared" si="34"/>
        <v>85.059633371302112</v>
      </c>
      <c r="T126" s="417">
        <f t="shared" si="34"/>
        <v>88.38533134826136</v>
      </c>
      <c r="U126" s="417">
        <f t="shared" si="34"/>
        <v>84.244539495378049</v>
      </c>
      <c r="V126" s="417">
        <f t="shared" si="34"/>
        <v>84.643954023028385</v>
      </c>
      <c r="W126" s="417">
        <f t="shared" si="34"/>
        <v>86.865329907942723</v>
      </c>
      <c r="X126" s="417">
        <f t="shared" si="34"/>
        <v>90.200056367585162</v>
      </c>
      <c r="Y126" s="417">
        <f t="shared" si="34"/>
        <v>86.068338139798485</v>
      </c>
      <c r="Z126" s="417">
        <f t="shared" si="34"/>
        <v>86.476871660670909</v>
      </c>
      <c r="AA126" s="417">
        <f t="shared" si="34"/>
        <v>88.70741213377346</v>
      </c>
      <c r="AB126" s="417">
        <f t="shared" si="34"/>
        <v>92.05134900454506</v>
      </c>
    </row>
    <row r="127" spans="2:30" ht="14.35" customHeight="1" thickTop="1">
      <c r="B127" s="42"/>
      <c r="C127" s="414"/>
      <c r="D127" s="421"/>
      <c r="E127" s="385"/>
      <c r="F127" s="385"/>
      <c r="G127" s="385"/>
      <c r="H127" s="385"/>
      <c r="I127" s="385"/>
      <c r="J127" s="385"/>
      <c r="K127" s="385"/>
      <c r="L127" s="385"/>
      <c r="M127" s="385"/>
      <c r="N127" s="385"/>
      <c r="O127" s="385"/>
      <c r="P127" s="385"/>
      <c r="Q127" s="385"/>
      <c r="R127" s="385"/>
      <c r="S127" s="385"/>
      <c r="T127" s="385"/>
      <c r="U127" s="385"/>
      <c r="V127" s="385"/>
      <c r="W127" s="385"/>
      <c r="X127" s="385"/>
      <c r="Y127" s="385"/>
      <c r="Z127" s="385"/>
      <c r="AA127" s="385"/>
      <c r="AB127" s="385"/>
    </row>
    <row r="128" spans="2:30">
      <c r="C128" s="393"/>
      <c r="E128" s="393"/>
      <c r="F128" s="393"/>
      <c r="G128" s="393"/>
      <c r="H128" s="393"/>
      <c r="I128" s="348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  <c r="AA128" s="393"/>
      <c r="AB128" s="393"/>
    </row>
    <row r="129" spans="3:28">
      <c r="C129" s="393"/>
      <c r="E129" s="393"/>
      <c r="F129" s="393"/>
      <c r="G129" s="393"/>
      <c r="H129" s="393"/>
      <c r="I129" s="348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  <c r="AA129" s="393"/>
      <c r="AB129" s="393"/>
    </row>
    <row r="130" spans="3:28">
      <c r="C130" s="393"/>
      <c r="E130" s="393"/>
      <c r="F130" s="393"/>
      <c r="G130" s="393"/>
      <c r="H130" s="393"/>
      <c r="I130" s="348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  <c r="AA130" s="393"/>
      <c r="AB130" s="393"/>
    </row>
  </sheetData>
  <pageMargins left="0.7" right="0.7" top="0.75" bottom="0.75" header="0.3" footer="0.3"/>
  <pageSetup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C029-8639-430A-B491-7B63C8ACEC66}">
  <dimension ref="B1:AQ85"/>
  <sheetViews>
    <sheetView showGridLines="0" zoomScale="160" zoomScaleNormal="160" zoomScaleSheetLayoutView="13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ColWidth="9.1328125" defaultRowHeight="13.15"/>
  <cols>
    <col min="1" max="1" width="5.53125" style="1" customWidth="1"/>
    <col min="2" max="2" width="22" style="2" customWidth="1"/>
    <col min="3" max="6" width="9.1328125" style="1"/>
    <col min="7" max="7" width="9.1328125" style="69"/>
    <col min="8" max="8" width="9.86328125" style="70" customWidth="1"/>
    <col min="9" max="16384" width="9.1328125" style="1"/>
  </cols>
  <sheetData>
    <row r="1" spans="2:27" s="2" customFormat="1">
      <c r="B1" s="7"/>
      <c r="G1" s="62"/>
      <c r="H1" s="63"/>
    </row>
    <row r="2" spans="2:27" s="2" customFormat="1">
      <c r="B2" s="3"/>
      <c r="C2" s="29"/>
      <c r="D2" s="29"/>
      <c r="E2" s="29"/>
      <c r="F2" s="29"/>
      <c r="G2" s="64"/>
      <c r="H2" s="65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88" t="s">
        <v>253</v>
      </c>
    </row>
    <row r="3" spans="2:27" s="2" customFormat="1">
      <c r="B3" s="287"/>
      <c r="C3" s="21"/>
      <c r="D3" s="21"/>
      <c r="E3" s="21"/>
      <c r="F3" s="21"/>
      <c r="G3" s="216">
        <v>44926</v>
      </c>
      <c r="H3" s="193">
        <f t="shared" ref="H3:AA3" si="0">EOMONTH(G3, 3)</f>
        <v>45016</v>
      </c>
      <c r="I3" s="193">
        <f t="shared" si="0"/>
        <v>45107</v>
      </c>
      <c r="J3" s="193">
        <f t="shared" si="0"/>
        <v>45199</v>
      </c>
      <c r="K3" s="193">
        <f t="shared" si="0"/>
        <v>45291</v>
      </c>
      <c r="L3" s="193">
        <f t="shared" si="0"/>
        <v>45382</v>
      </c>
      <c r="M3" s="193">
        <f t="shared" si="0"/>
        <v>45473</v>
      </c>
      <c r="N3" s="193">
        <f t="shared" si="0"/>
        <v>45565</v>
      </c>
      <c r="O3" s="193">
        <f t="shared" si="0"/>
        <v>45657</v>
      </c>
      <c r="P3" s="193">
        <f t="shared" si="0"/>
        <v>45747</v>
      </c>
      <c r="Q3" s="193">
        <f t="shared" si="0"/>
        <v>45838</v>
      </c>
      <c r="R3" s="193">
        <f t="shared" si="0"/>
        <v>45930</v>
      </c>
      <c r="S3" s="193">
        <f t="shared" si="0"/>
        <v>46022</v>
      </c>
      <c r="T3" s="193">
        <f t="shared" si="0"/>
        <v>46112</v>
      </c>
      <c r="U3" s="193">
        <f t="shared" si="0"/>
        <v>46203</v>
      </c>
      <c r="V3" s="193">
        <f t="shared" si="0"/>
        <v>46295</v>
      </c>
      <c r="W3" s="193">
        <f t="shared" si="0"/>
        <v>46387</v>
      </c>
      <c r="X3" s="193">
        <f t="shared" si="0"/>
        <v>46477</v>
      </c>
      <c r="Y3" s="193">
        <f t="shared" si="0"/>
        <v>46568</v>
      </c>
      <c r="Z3" s="193">
        <f t="shared" si="0"/>
        <v>46660</v>
      </c>
      <c r="AA3" s="193">
        <f t="shared" si="0"/>
        <v>46752</v>
      </c>
    </row>
    <row r="4" spans="2:27">
      <c r="B4" s="48" t="s">
        <v>70</v>
      </c>
      <c r="C4" s="47"/>
      <c r="D4" s="47"/>
      <c r="E4" s="47"/>
      <c r="F4" s="47"/>
      <c r="G4" s="165"/>
      <c r="H4" s="166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spans="2:27" s="23" customFormat="1" ht="14.35" customHeight="1">
      <c r="B5" s="54" t="s">
        <v>54</v>
      </c>
      <c r="E5" s="38"/>
      <c r="F5" s="38"/>
      <c r="G5" s="432"/>
      <c r="H5" s="433"/>
      <c r="I5" s="410"/>
      <c r="J5" s="410"/>
      <c r="K5" s="410"/>
      <c r="L5" s="410"/>
      <c r="M5" s="410"/>
      <c r="N5" s="410"/>
      <c r="O5" s="392"/>
      <c r="P5" s="434"/>
      <c r="Q5" s="435"/>
      <c r="R5" s="435"/>
      <c r="S5" s="435"/>
      <c r="T5" s="435"/>
      <c r="U5" s="435"/>
      <c r="V5" s="435"/>
      <c r="W5" s="435"/>
      <c r="X5" s="435"/>
      <c r="Y5" s="435"/>
      <c r="Z5" s="435"/>
      <c r="AA5" s="392"/>
    </row>
    <row r="6" spans="2:27">
      <c r="B6" s="24" t="s">
        <v>108</v>
      </c>
      <c r="C6" s="23"/>
      <c r="D6" s="23"/>
      <c r="G6" s="436"/>
      <c r="H6" s="391">
        <f>+G9</f>
        <v>14.2204</v>
      </c>
      <c r="I6" s="392">
        <f t="shared" ref="I6:AA6" si="1">+H9</f>
        <v>15.972382360319999</v>
      </c>
      <c r="J6" s="392">
        <f t="shared" si="1"/>
        <v>17.572521172421599</v>
      </c>
      <c r="K6" s="392">
        <f t="shared" si="1"/>
        <v>19.020057218563707</v>
      </c>
      <c r="L6" s="392">
        <f t="shared" si="1"/>
        <v>20.314227484916529</v>
      </c>
      <c r="M6" s="392">
        <f t="shared" si="1"/>
        <v>21.454265142581111</v>
      </c>
      <c r="N6" s="392">
        <f t="shared" si="1"/>
        <v>22.439399528514016</v>
      </c>
      <c r="O6" s="392">
        <f t="shared" si="1"/>
        <v>23.268856126356585</v>
      </c>
      <c r="P6" s="392">
        <f t="shared" si="1"/>
        <v>23.941856547168371</v>
      </c>
      <c r="Q6" s="392">
        <f t="shared" si="1"/>
        <v>24.457618510064211</v>
      </c>
      <c r="R6" s="392">
        <f t="shared" si="1"/>
        <v>24.81535582275453</v>
      </c>
      <c r="S6" s="392">
        <f t="shared" si="1"/>
        <v>25.014278361988303</v>
      </c>
      <c r="T6" s="392">
        <f t="shared" si="1"/>
        <v>25.053592053898246</v>
      </c>
      <c r="U6" s="392">
        <f t="shared" si="1"/>
        <v>24.932498854247736</v>
      </c>
      <c r="V6" s="392">
        <f t="shared" si="1"/>
        <v>24.650196728578976</v>
      </c>
      <c r="W6" s="392">
        <f t="shared" si="1"/>
        <v>24.205879632261869</v>
      </c>
      <c r="X6" s="392">
        <f t="shared" si="1"/>
        <v>23.598737490443181</v>
      </c>
      <c r="Y6" s="392">
        <f t="shared" si="1"/>
        <v>23.716731177895397</v>
      </c>
      <c r="Z6" s="392">
        <f t="shared" si="1"/>
        <v>23.835314833784874</v>
      </c>
      <c r="AA6" s="392">
        <f t="shared" si="1"/>
        <v>23.9544914079538</v>
      </c>
    </row>
    <row r="7" spans="2:27">
      <c r="B7" s="24" t="s">
        <v>106</v>
      </c>
      <c r="C7" s="23"/>
      <c r="D7" s="23"/>
      <c r="G7" s="432"/>
      <c r="H7" s="391">
        <f>+H12*H13</f>
        <v>2.6407573603200007</v>
      </c>
      <c r="I7" s="392">
        <f t="shared" ref="I7:AA7" si="2">+I12*I13</f>
        <v>2.6539611471216005</v>
      </c>
      <c r="J7" s="392">
        <f t="shared" si="2"/>
        <v>2.6672309528572082</v>
      </c>
      <c r="K7" s="392">
        <f t="shared" si="2"/>
        <v>2.6805671076214943</v>
      </c>
      <c r="L7" s="392">
        <f t="shared" si="2"/>
        <v>2.6939699431596016</v>
      </c>
      <c r="M7" s="392">
        <f t="shared" si="2"/>
        <v>2.7074397928753995</v>
      </c>
      <c r="N7" s="392">
        <f t="shared" si="2"/>
        <v>2.7209769918397764</v>
      </c>
      <c r="O7" s="392">
        <f t="shared" si="2"/>
        <v>2.734581876798976</v>
      </c>
      <c r="P7" s="392">
        <f t="shared" si="2"/>
        <v>2.74825478618297</v>
      </c>
      <c r="Q7" s="392">
        <f t="shared" si="2"/>
        <v>2.7619960601138849</v>
      </c>
      <c r="R7" s="392">
        <f t="shared" si="2"/>
        <v>2.7758060404144542</v>
      </c>
      <c r="S7" s="392">
        <f t="shared" si="2"/>
        <v>2.7896850706165268</v>
      </c>
      <c r="T7" s="392">
        <f t="shared" si="2"/>
        <v>2.8036334959696094</v>
      </c>
      <c r="U7" s="392">
        <f t="shared" si="2"/>
        <v>2.8176516634494573</v>
      </c>
      <c r="V7" s="392">
        <f t="shared" si="2"/>
        <v>2.8317399217667041</v>
      </c>
      <c r="W7" s="392">
        <f t="shared" si="2"/>
        <v>2.8458986213755382</v>
      </c>
      <c r="X7" s="392">
        <f t="shared" si="2"/>
        <v>2.860128114482416</v>
      </c>
      <c r="Y7" s="392">
        <f t="shared" si="2"/>
        <v>2.874428755054828</v>
      </c>
      <c r="Z7" s="392">
        <f t="shared" si="2"/>
        <v>2.8888008988301017</v>
      </c>
      <c r="AA7" s="392">
        <f t="shared" si="2"/>
        <v>2.9032449033242522</v>
      </c>
    </row>
    <row r="8" spans="2:27">
      <c r="B8" s="24" t="s">
        <v>107</v>
      </c>
      <c r="C8" s="23"/>
      <c r="D8" s="23"/>
      <c r="E8" s="40"/>
      <c r="F8" s="40"/>
      <c r="G8" s="432"/>
      <c r="H8" s="391">
        <f>+-H39</f>
        <v>-0.88877499999999998</v>
      </c>
      <c r="I8" s="392">
        <f t="shared" ref="I8:AA8" si="3">+-I39</f>
        <v>-1.05382233502</v>
      </c>
      <c r="J8" s="392">
        <f t="shared" si="3"/>
        <v>-1.2196949067150999</v>
      </c>
      <c r="K8" s="392">
        <f t="shared" si="3"/>
        <v>-1.3863968412686756</v>
      </c>
      <c r="L8" s="392">
        <f t="shared" si="3"/>
        <v>-1.5539322854950191</v>
      </c>
      <c r="M8" s="392">
        <f t="shared" si="3"/>
        <v>-1.7223054069424941</v>
      </c>
      <c r="N8" s="392">
        <f t="shared" si="3"/>
        <v>-1.8915203939972065</v>
      </c>
      <c r="O8" s="392">
        <f t="shared" si="3"/>
        <v>-2.0615814559871923</v>
      </c>
      <c r="P8" s="392">
        <f t="shared" si="3"/>
        <v>-2.2324928232871284</v>
      </c>
      <c r="Q8" s="392">
        <f t="shared" si="3"/>
        <v>-2.4042587474235639</v>
      </c>
      <c r="R8" s="392">
        <f t="shared" si="3"/>
        <v>-2.5768835011806819</v>
      </c>
      <c r="S8" s="392">
        <f t="shared" si="3"/>
        <v>-2.7503713787065851</v>
      </c>
      <c r="T8" s="392">
        <f t="shared" si="3"/>
        <v>-2.9247266956201181</v>
      </c>
      <c r="U8" s="392">
        <f t="shared" si="3"/>
        <v>-3.0999537891182185</v>
      </c>
      <c r="V8" s="392">
        <f t="shared" si="3"/>
        <v>-3.2760570180838098</v>
      </c>
      <c r="W8" s="392">
        <f t="shared" si="3"/>
        <v>-3.4530407631942288</v>
      </c>
      <c r="X8" s="392">
        <f t="shared" si="3"/>
        <v>-2.7421344270302002</v>
      </c>
      <c r="Y8" s="392">
        <f t="shared" si="3"/>
        <v>-2.7558450991653514</v>
      </c>
      <c r="Z8" s="392">
        <f t="shared" si="3"/>
        <v>-2.7696243246611778</v>
      </c>
      <c r="AA8" s="392">
        <f t="shared" si="3"/>
        <v>-2.7834724462844838</v>
      </c>
    </row>
    <row r="9" spans="2:27">
      <c r="B9" s="55" t="s">
        <v>109</v>
      </c>
      <c r="C9" s="123"/>
      <c r="D9" s="123"/>
      <c r="E9" s="81"/>
      <c r="F9" s="81"/>
      <c r="G9" s="437">
        <f>Model!N54</f>
        <v>14.2204</v>
      </c>
      <c r="H9" s="438">
        <f>SUM(H6:H8)</f>
        <v>15.972382360319999</v>
      </c>
      <c r="I9" s="411">
        <f t="shared" ref="I9:AA9" si="4">SUM(I6:I8)</f>
        <v>17.572521172421599</v>
      </c>
      <c r="J9" s="411">
        <f t="shared" si="4"/>
        <v>19.020057218563707</v>
      </c>
      <c r="K9" s="411">
        <f t="shared" si="4"/>
        <v>20.314227484916529</v>
      </c>
      <c r="L9" s="411">
        <f t="shared" si="4"/>
        <v>21.454265142581111</v>
      </c>
      <c r="M9" s="411">
        <f t="shared" si="4"/>
        <v>22.439399528514016</v>
      </c>
      <c r="N9" s="411">
        <f t="shared" si="4"/>
        <v>23.268856126356585</v>
      </c>
      <c r="O9" s="411">
        <f t="shared" si="4"/>
        <v>23.941856547168371</v>
      </c>
      <c r="P9" s="411">
        <f t="shared" si="4"/>
        <v>24.457618510064211</v>
      </c>
      <c r="Q9" s="411">
        <f t="shared" si="4"/>
        <v>24.81535582275453</v>
      </c>
      <c r="R9" s="411">
        <f t="shared" si="4"/>
        <v>25.014278361988303</v>
      </c>
      <c r="S9" s="411">
        <f t="shared" si="4"/>
        <v>25.053592053898246</v>
      </c>
      <c r="T9" s="411">
        <f t="shared" si="4"/>
        <v>24.932498854247736</v>
      </c>
      <c r="U9" s="411">
        <f t="shared" si="4"/>
        <v>24.650196728578976</v>
      </c>
      <c r="V9" s="411">
        <f t="shared" si="4"/>
        <v>24.205879632261869</v>
      </c>
      <c r="W9" s="411">
        <f t="shared" si="4"/>
        <v>23.598737490443181</v>
      </c>
      <c r="X9" s="411">
        <f t="shared" si="4"/>
        <v>23.716731177895397</v>
      </c>
      <c r="Y9" s="411">
        <f t="shared" si="4"/>
        <v>23.835314833784874</v>
      </c>
      <c r="Z9" s="411">
        <f t="shared" si="4"/>
        <v>23.9544914079538</v>
      </c>
      <c r="AA9" s="411">
        <f t="shared" si="4"/>
        <v>24.074263864993569</v>
      </c>
    </row>
    <row r="10" spans="2:27">
      <c r="B10" s="57"/>
      <c r="C10" s="129"/>
      <c r="D10" s="129"/>
      <c r="G10" s="439"/>
      <c r="H10" s="440"/>
      <c r="I10" s="435"/>
      <c r="J10" s="435"/>
      <c r="K10" s="435"/>
      <c r="L10" s="435"/>
      <c r="M10" s="435"/>
      <c r="N10" s="435"/>
      <c r="O10" s="435"/>
      <c r="P10" s="435"/>
      <c r="Q10" s="435"/>
      <c r="R10" s="435"/>
      <c r="S10" s="435"/>
      <c r="T10" s="435"/>
      <c r="U10" s="435"/>
      <c r="V10" s="435"/>
      <c r="W10" s="435"/>
      <c r="X10" s="435"/>
      <c r="Y10" s="435"/>
      <c r="Z10" s="435"/>
      <c r="AA10" s="435"/>
    </row>
    <row r="11" spans="2:27">
      <c r="B11" s="16" t="s">
        <v>212</v>
      </c>
      <c r="C11" s="122"/>
      <c r="D11" s="122"/>
      <c r="E11" s="122"/>
      <c r="F11" s="122"/>
      <c r="G11" s="441"/>
      <c r="H11" s="440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</row>
    <row r="12" spans="2:27">
      <c r="B12" s="2" t="s">
        <v>154</v>
      </c>
      <c r="C12" s="217"/>
      <c r="D12" s="217"/>
      <c r="E12" s="217"/>
      <c r="F12" s="217"/>
      <c r="G12" s="442"/>
      <c r="H12" s="443">
        <f>Model!O20</f>
        <v>14.670874224000004</v>
      </c>
      <c r="I12" s="444">
        <f>Model!P20</f>
        <v>14.744228595120003</v>
      </c>
      <c r="J12" s="444">
        <f>Model!Q20</f>
        <v>14.817949738095603</v>
      </c>
      <c r="K12" s="444">
        <f>Model!R20</f>
        <v>14.89203948678608</v>
      </c>
      <c r="L12" s="444">
        <f>Model!S20</f>
        <v>14.966499684220009</v>
      </c>
      <c r="M12" s="444">
        <f>Model!T20</f>
        <v>15.04133218264111</v>
      </c>
      <c r="N12" s="444">
        <f>Model!U20</f>
        <v>15.116538843554315</v>
      </c>
      <c r="O12" s="444">
        <f>Model!V20</f>
        <v>15.192121537772088</v>
      </c>
      <c r="P12" s="444">
        <f>Model!W20</f>
        <v>15.268082145460946</v>
      </c>
      <c r="Q12" s="444">
        <f>Model!X20</f>
        <v>15.344422556188251</v>
      </c>
      <c r="R12" s="444">
        <f>Model!Y20</f>
        <v>15.421144668969191</v>
      </c>
      <c r="S12" s="444">
        <f>Model!Z20</f>
        <v>15.49825039231404</v>
      </c>
      <c r="T12" s="444">
        <f>Model!AA20</f>
        <v>15.57574164427561</v>
      </c>
      <c r="U12" s="444">
        <f>Model!AB20</f>
        <v>15.653620352496985</v>
      </c>
      <c r="V12" s="444">
        <f>Model!AC20</f>
        <v>15.731888454259469</v>
      </c>
      <c r="W12" s="444">
        <f>Model!AD20</f>
        <v>15.810547896530768</v>
      </c>
      <c r="X12" s="444">
        <f>Model!AE20</f>
        <v>15.889600636013423</v>
      </c>
      <c r="Y12" s="444">
        <f>Model!AF20</f>
        <v>15.969048639193488</v>
      </c>
      <c r="Z12" s="444">
        <f>Model!AG20</f>
        <v>16.048893882389454</v>
      </c>
      <c r="AA12" s="444">
        <f>Model!AH20</f>
        <v>16.129138351801402</v>
      </c>
    </row>
    <row r="13" spans="2:27">
      <c r="B13" s="2" t="s">
        <v>227</v>
      </c>
      <c r="C13" s="201"/>
      <c r="D13" s="201"/>
      <c r="E13" s="201"/>
      <c r="F13" s="201"/>
      <c r="G13" s="207"/>
      <c r="H13" s="327">
        <v>0.18</v>
      </c>
      <c r="I13" s="328">
        <v>0.18</v>
      </c>
      <c r="J13" s="328">
        <v>0.18</v>
      </c>
      <c r="K13" s="328">
        <v>0.18</v>
      </c>
      <c r="L13" s="328">
        <v>0.18</v>
      </c>
      <c r="M13" s="328">
        <v>0.18</v>
      </c>
      <c r="N13" s="328">
        <v>0.18</v>
      </c>
      <c r="O13" s="328">
        <v>0.18</v>
      </c>
      <c r="P13" s="328">
        <v>0.18</v>
      </c>
      <c r="Q13" s="328">
        <v>0.18</v>
      </c>
      <c r="R13" s="328">
        <v>0.18</v>
      </c>
      <c r="S13" s="328">
        <v>0.18</v>
      </c>
      <c r="T13" s="328">
        <v>0.18</v>
      </c>
      <c r="U13" s="328">
        <v>0.18</v>
      </c>
      <c r="V13" s="328">
        <v>0.18</v>
      </c>
      <c r="W13" s="328">
        <v>0.18</v>
      </c>
      <c r="X13" s="328">
        <v>0.18</v>
      </c>
      <c r="Y13" s="328">
        <v>0.18</v>
      </c>
      <c r="Z13" s="328">
        <v>0.18</v>
      </c>
      <c r="AA13" s="328">
        <v>0.18</v>
      </c>
    </row>
    <row r="14" spans="2:27">
      <c r="B14" s="6"/>
      <c r="C14" s="78"/>
      <c r="D14" s="78"/>
      <c r="E14" s="78"/>
      <c r="F14" s="78"/>
      <c r="G14" s="79"/>
      <c r="H14" s="80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</row>
    <row r="15" spans="2:27">
      <c r="B15" s="54" t="s">
        <v>164</v>
      </c>
      <c r="C15" s="129"/>
      <c r="D15" s="129"/>
      <c r="G15" s="74"/>
      <c r="H15" s="167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</row>
    <row r="16" spans="2:27">
      <c r="B16" s="49" t="s">
        <v>4</v>
      </c>
      <c r="C16" s="50" t="s">
        <v>102</v>
      </c>
      <c r="D16" s="50" t="s">
        <v>103</v>
      </c>
      <c r="E16" s="50" t="s">
        <v>104</v>
      </c>
      <c r="F16" s="50" t="s">
        <v>105</v>
      </c>
      <c r="G16" s="445"/>
      <c r="H16" s="387"/>
      <c r="I16" s="385"/>
      <c r="J16" s="385"/>
      <c r="K16" s="385"/>
      <c r="L16" s="385"/>
      <c r="M16" s="385"/>
      <c r="N16" s="385"/>
      <c r="O16" s="385"/>
      <c r="P16" s="385"/>
      <c r="Q16" s="385"/>
      <c r="R16" s="385"/>
      <c r="S16" s="385"/>
      <c r="T16" s="385"/>
      <c r="U16" s="385"/>
      <c r="V16" s="385"/>
      <c r="W16" s="385"/>
      <c r="X16" s="385"/>
      <c r="Y16" s="385"/>
      <c r="Z16" s="385"/>
      <c r="AA16" s="385"/>
    </row>
    <row r="17" spans="2:38">
      <c r="B17" s="24" cm="1">
        <f t="array" ref="B17:B37">TRANSPOSE(G3:AA3)</f>
        <v>44926</v>
      </c>
      <c r="C17" s="452">
        <f>G9</f>
        <v>14.2204</v>
      </c>
      <c r="D17" s="124">
        <v>4</v>
      </c>
      <c r="E17" s="125">
        <f>+D17*4</f>
        <v>16</v>
      </c>
      <c r="F17" s="126">
        <f>EOMONTH(B17, D17*12)</f>
        <v>46387</v>
      </c>
      <c r="G17" s="356"/>
      <c r="H17" s="326">
        <f>$C17/$E17</f>
        <v>0.88877499999999998</v>
      </c>
      <c r="I17" s="326">
        <f t="shared" ref="I17:AA35" si="5">$C17/$E17</f>
        <v>0.88877499999999998</v>
      </c>
      <c r="J17" s="326">
        <f t="shared" si="5"/>
        <v>0.88877499999999998</v>
      </c>
      <c r="K17" s="326">
        <f t="shared" si="5"/>
        <v>0.88877499999999998</v>
      </c>
      <c r="L17" s="326">
        <f t="shared" si="5"/>
        <v>0.88877499999999998</v>
      </c>
      <c r="M17" s="326">
        <f t="shared" si="5"/>
        <v>0.88877499999999998</v>
      </c>
      <c r="N17" s="326">
        <f t="shared" si="5"/>
        <v>0.88877499999999998</v>
      </c>
      <c r="O17" s="326">
        <f t="shared" si="5"/>
        <v>0.88877499999999998</v>
      </c>
      <c r="P17" s="326">
        <f t="shared" si="5"/>
        <v>0.88877499999999998</v>
      </c>
      <c r="Q17" s="326">
        <f t="shared" si="5"/>
        <v>0.88877499999999998</v>
      </c>
      <c r="R17" s="326">
        <f t="shared" si="5"/>
        <v>0.88877499999999998</v>
      </c>
      <c r="S17" s="326">
        <f t="shared" si="5"/>
        <v>0.88877499999999998</v>
      </c>
      <c r="T17" s="326">
        <f t="shared" si="5"/>
        <v>0.88877499999999998</v>
      </c>
      <c r="U17" s="326">
        <f t="shared" si="5"/>
        <v>0.88877499999999998</v>
      </c>
      <c r="V17" s="326">
        <f t="shared" si="5"/>
        <v>0.88877499999999998</v>
      </c>
      <c r="W17" s="326">
        <f t="shared" si="5"/>
        <v>0.88877499999999998</v>
      </c>
      <c r="X17" s="326"/>
      <c r="Y17" s="326"/>
      <c r="Z17" s="326"/>
      <c r="AA17" s="326"/>
    </row>
    <row r="18" spans="2:38">
      <c r="B18" s="24">
        <v>45016</v>
      </c>
      <c r="C18" s="412" cm="1">
        <f t="array" ref="C18:C37">TRANSPOSE(H7:AA7)</f>
        <v>2.6407573603200007</v>
      </c>
      <c r="D18" s="124">
        <v>4</v>
      </c>
      <c r="E18" s="125">
        <f t="shared" ref="E18:E37" si="6">+D18*4</f>
        <v>16</v>
      </c>
      <c r="F18" s="126">
        <f t="shared" ref="F18" si="7">EOMONTH(B18, D18*12)</f>
        <v>46477</v>
      </c>
      <c r="G18" s="445"/>
      <c r="H18" s="325"/>
      <c r="I18" s="326">
        <f>$C18/$E18</f>
        <v>0.16504733502000005</v>
      </c>
      <c r="J18" s="326">
        <f t="shared" si="5"/>
        <v>0.16504733502000005</v>
      </c>
      <c r="K18" s="326">
        <f t="shared" si="5"/>
        <v>0.16504733502000005</v>
      </c>
      <c r="L18" s="326">
        <f t="shared" si="5"/>
        <v>0.16504733502000005</v>
      </c>
      <c r="M18" s="326">
        <f t="shared" si="5"/>
        <v>0.16504733502000005</v>
      </c>
      <c r="N18" s="326">
        <f t="shared" si="5"/>
        <v>0.16504733502000005</v>
      </c>
      <c r="O18" s="326">
        <f t="shared" si="5"/>
        <v>0.16504733502000005</v>
      </c>
      <c r="P18" s="326">
        <f t="shared" si="5"/>
        <v>0.16504733502000005</v>
      </c>
      <c r="Q18" s="326">
        <f t="shared" si="5"/>
        <v>0.16504733502000005</v>
      </c>
      <c r="R18" s="326">
        <f t="shared" si="5"/>
        <v>0.16504733502000005</v>
      </c>
      <c r="S18" s="326">
        <f t="shared" si="5"/>
        <v>0.16504733502000005</v>
      </c>
      <c r="T18" s="326">
        <f t="shared" si="5"/>
        <v>0.16504733502000005</v>
      </c>
      <c r="U18" s="326">
        <f t="shared" si="5"/>
        <v>0.16504733502000005</v>
      </c>
      <c r="V18" s="326">
        <f t="shared" si="5"/>
        <v>0.16504733502000005</v>
      </c>
      <c r="W18" s="326">
        <f t="shared" si="5"/>
        <v>0.16504733502000005</v>
      </c>
      <c r="X18" s="326">
        <f t="shared" si="5"/>
        <v>0.16504733502000005</v>
      </c>
      <c r="Y18" s="326"/>
      <c r="Z18" s="326"/>
      <c r="AA18" s="326"/>
    </row>
    <row r="19" spans="2:38">
      <c r="B19" s="24">
        <v>45107</v>
      </c>
      <c r="C19" s="412">
        <v>2.6539611471216005</v>
      </c>
      <c r="D19" s="124">
        <v>4</v>
      </c>
      <c r="E19" s="125">
        <f t="shared" si="6"/>
        <v>16</v>
      </c>
      <c r="F19" s="126">
        <f t="shared" ref="F19:F37" si="8">EOMONTH(B19, D19*12)</f>
        <v>46568</v>
      </c>
      <c r="G19" s="445"/>
      <c r="H19" s="325"/>
      <c r="I19" s="326"/>
      <c r="J19" s="326">
        <f>$C19/$E19</f>
        <v>0.16587257169510003</v>
      </c>
      <c r="K19" s="326">
        <f t="shared" si="5"/>
        <v>0.16587257169510003</v>
      </c>
      <c r="L19" s="326">
        <f t="shared" si="5"/>
        <v>0.16587257169510003</v>
      </c>
      <c r="M19" s="326">
        <f t="shared" si="5"/>
        <v>0.16587257169510003</v>
      </c>
      <c r="N19" s="326">
        <f t="shared" si="5"/>
        <v>0.16587257169510003</v>
      </c>
      <c r="O19" s="326">
        <f t="shared" si="5"/>
        <v>0.16587257169510003</v>
      </c>
      <c r="P19" s="326">
        <f t="shared" si="5"/>
        <v>0.16587257169510003</v>
      </c>
      <c r="Q19" s="326">
        <f t="shared" si="5"/>
        <v>0.16587257169510003</v>
      </c>
      <c r="R19" s="326">
        <f t="shared" si="5"/>
        <v>0.16587257169510003</v>
      </c>
      <c r="S19" s="326">
        <f t="shared" si="5"/>
        <v>0.16587257169510003</v>
      </c>
      <c r="T19" s="326">
        <f t="shared" si="5"/>
        <v>0.16587257169510003</v>
      </c>
      <c r="U19" s="326">
        <f t="shared" si="5"/>
        <v>0.16587257169510003</v>
      </c>
      <c r="V19" s="326">
        <f t="shared" si="5"/>
        <v>0.16587257169510003</v>
      </c>
      <c r="W19" s="326">
        <f t="shared" si="5"/>
        <v>0.16587257169510003</v>
      </c>
      <c r="X19" s="326">
        <f t="shared" si="5"/>
        <v>0.16587257169510003</v>
      </c>
      <c r="Y19" s="326">
        <f t="shared" si="5"/>
        <v>0.16587257169510003</v>
      </c>
      <c r="Z19" s="326"/>
      <c r="AA19" s="326"/>
    </row>
    <row r="20" spans="2:38">
      <c r="B20" s="24">
        <v>45199</v>
      </c>
      <c r="C20" s="412">
        <v>2.6672309528572082</v>
      </c>
      <c r="D20" s="124">
        <v>4</v>
      </c>
      <c r="E20" s="125">
        <f t="shared" si="6"/>
        <v>16</v>
      </c>
      <c r="F20" s="126">
        <f t="shared" si="8"/>
        <v>46660</v>
      </c>
      <c r="G20" s="356"/>
      <c r="H20" s="325"/>
      <c r="I20" s="326"/>
      <c r="J20" s="326"/>
      <c r="K20" s="326">
        <f>$C20/$E20</f>
        <v>0.16670193455357551</v>
      </c>
      <c r="L20" s="326">
        <f t="shared" si="5"/>
        <v>0.16670193455357551</v>
      </c>
      <c r="M20" s="326">
        <f t="shared" si="5"/>
        <v>0.16670193455357551</v>
      </c>
      <c r="N20" s="326">
        <f t="shared" si="5"/>
        <v>0.16670193455357551</v>
      </c>
      <c r="O20" s="326">
        <f t="shared" si="5"/>
        <v>0.16670193455357551</v>
      </c>
      <c r="P20" s="326">
        <f t="shared" si="5"/>
        <v>0.16670193455357551</v>
      </c>
      <c r="Q20" s="326">
        <f t="shared" si="5"/>
        <v>0.16670193455357551</v>
      </c>
      <c r="R20" s="326">
        <f t="shared" si="5"/>
        <v>0.16670193455357551</v>
      </c>
      <c r="S20" s="326">
        <f t="shared" si="5"/>
        <v>0.16670193455357551</v>
      </c>
      <c r="T20" s="326">
        <f t="shared" si="5"/>
        <v>0.16670193455357551</v>
      </c>
      <c r="U20" s="326">
        <f t="shared" si="5"/>
        <v>0.16670193455357551</v>
      </c>
      <c r="V20" s="326">
        <f t="shared" si="5"/>
        <v>0.16670193455357551</v>
      </c>
      <c r="W20" s="326">
        <f t="shared" si="5"/>
        <v>0.16670193455357551</v>
      </c>
      <c r="X20" s="326">
        <f t="shared" si="5"/>
        <v>0.16670193455357551</v>
      </c>
      <c r="Y20" s="326">
        <f t="shared" si="5"/>
        <v>0.16670193455357551</v>
      </c>
      <c r="Z20" s="326">
        <f t="shared" ref="Z20:AA34" si="9">$C20/$E20</f>
        <v>0.16670193455357551</v>
      </c>
      <c r="AA20" s="326"/>
    </row>
    <row r="21" spans="2:38">
      <c r="B21" s="24">
        <v>45291</v>
      </c>
      <c r="C21" s="412">
        <v>2.6805671076214943</v>
      </c>
      <c r="D21" s="124">
        <v>4</v>
      </c>
      <c r="E21" s="125">
        <f t="shared" si="6"/>
        <v>16</v>
      </c>
      <c r="F21" s="126">
        <f t="shared" si="8"/>
        <v>46752</v>
      </c>
      <c r="G21" s="445"/>
      <c r="H21" s="325"/>
      <c r="I21" s="326"/>
      <c r="J21" s="326"/>
      <c r="K21" s="326"/>
      <c r="L21" s="326">
        <f>$C21/$E21</f>
        <v>0.16753544422634339</v>
      </c>
      <c r="M21" s="326">
        <f t="shared" si="5"/>
        <v>0.16753544422634339</v>
      </c>
      <c r="N21" s="326">
        <f t="shared" si="5"/>
        <v>0.16753544422634339</v>
      </c>
      <c r="O21" s="326">
        <f t="shared" si="5"/>
        <v>0.16753544422634339</v>
      </c>
      <c r="P21" s="326">
        <f t="shared" si="5"/>
        <v>0.16753544422634339</v>
      </c>
      <c r="Q21" s="326">
        <f t="shared" si="5"/>
        <v>0.16753544422634339</v>
      </c>
      <c r="R21" s="326">
        <f t="shared" si="5"/>
        <v>0.16753544422634339</v>
      </c>
      <c r="S21" s="326">
        <f t="shared" si="5"/>
        <v>0.16753544422634339</v>
      </c>
      <c r="T21" s="326">
        <f t="shared" si="5"/>
        <v>0.16753544422634339</v>
      </c>
      <c r="U21" s="326">
        <f t="shared" si="5"/>
        <v>0.16753544422634339</v>
      </c>
      <c r="V21" s="326">
        <f t="shared" si="5"/>
        <v>0.16753544422634339</v>
      </c>
      <c r="W21" s="326">
        <f t="shared" si="5"/>
        <v>0.16753544422634339</v>
      </c>
      <c r="X21" s="326">
        <f t="shared" si="5"/>
        <v>0.16753544422634339</v>
      </c>
      <c r="Y21" s="326">
        <f t="shared" si="5"/>
        <v>0.16753544422634339</v>
      </c>
      <c r="Z21" s="326">
        <f t="shared" si="9"/>
        <v>0.16753544422634339</v>
      </c>
      <c r="AA21" s="326">
        <f t="shared" si="9"/>
        <v>0.16753544422634339</v>
      </c>
    </row>
    <row r="22" spans="2:38">
      <c r="B22" s="24">
        <v>45382</v>
      </c>
      <c r="C22" s="412">
        <v>2.6939699431596016</v>
      </c>
      <c r="D22" s="124">
        <v>4</v>
      </c>
      <c r="E22" s="125">
        <f t="shared" si="6"/>
        <v>16</v>
      </c>
      <c r="F22" s="126">
        <f t="shared" si="8"/>
        <v>46843</v>
      </c>
      <c r="G22" s="445"/>
      <c r="H22" s="325"/>
      <c r="I22" s="326"/>
      <c r="J22" s="326"/>
      <c r="K22" s="326"/>
      <c r="L22" s="326"/>
      <c r="M22" s="326">
        <f>$C22/$E22</f>
        <v>0.1683731214474751</v>
      </c>
      <c r="N22" s="326">
        <f t="shared" si="5"/>
        <v>0.1683731214474751</v>
      </c>
      <c r="O22" s="326">
        <f t="shared" si="5"/>
        <v>0.1683731214474751</v>
      </c>
      <c r="P22" s="326">
        <f t="shared" si="5"/>
        <v>0.1683731214474751</v>
      </c>
      <c r="Q22" s="326">
        <f t="shared" si="5"/>
        <v>0.1683731214474751</v>
      </c>
      <c r="R22" s="326">
        <f t="shared" si="5"/>
        <v>0.1683731214474751</v>
      </c>
      <c r="S22" s="326">
        <f t="shared" si="5"/>
        <v>0.1683731214474751</v>
      </c>
      <c r="T22" s="326">
        <f t="shared" si="5"/>
        <v>0.1683731214474751</v>
      </c>
      <c r="U22" s="326">
        <f t="shared" si="5"/>
        <v>0.1683731214474751</v>
      </c>
      <c r="V22" s="326">
        <f t="shared" si="5"/>
        <v>0.1683731214474751</v>
      </c>
      <c r="W22" s="326">
        <f t="shared" si="5"/>
        <v>0.1683731214474751</v>
      </c>
      <c r="X22" s="326">
        <f t="shared" si="5"/>
        <v>0.1683731214474751</v>
      </c>
      <c r="Y22" s="326">
        <f t="shared" si="5"/>
        <v>0.1683731214474751</v>
      </c>
      <c r="Z22" s="326">
        <f t="shared" si="9"/>
        <v>0.1683731214474751</v>
      </c>
      <c r="AA22" s="326">
        <f t="shared" si="9"/>
        <v>0.1683731214474751</v>
      </c>
      <c r="AB22" s="127"/>
    </row>
    <row r="23" spans="2:38">
      <c r="B23" s="24">
        <v>45473</v>
      </c>
      <c r="C23" s="412">
        <v>2.7074397928753995</v>
      </c>
      <c r="D23" s="124">
        <v>4</v>
      </c>
      <c r="E23" s="125">
        <f t="shared" si="6"/>
        <v>16</v>
      </c>
      <c r="F23" s="126">
        <f t="shared" si="8"/>
        <v>46934</v>
      </c>
      <c r="G23" s="445"/>
      <c r="H23" s="325"/>
      <c r="I23" s="326"/>
      <c r="J23" s="326"/>
      <c r="K23" s="326"/>
      <c r="L23" s="326"/>
      <c r="M23" s="326"/>
      <c r="N23" s="326">
        <f>$C23/$E23</f>
        <v>0.16921498705471247</v>
      </c>
      <c r="O23" s="326">
        <f t="shared" si="5"/>
        <v>0.16921498705471247</v>
      </c>
      <c r="P23" s="326">
        <f t="shared" si="5"/>
        <v>0.16921498705471247</v>
      </c>
      <c r="Q23" s="326">
        <f t="shared" si="5"/>
        <v>0.16921498705471247</v>
      </c>
      <c r="R23" s="326">
        <f t="shared" si="5"/>
        <v>0.16921498705471247</v>
      </c>
      <c r="S23" s="326">
        <f t="shared" si="5"/>
        <v>0.16921498705471247</v>
      </c>
      <c r="T23" s="326">
        <f t="shared" si="5"/>
        <v>0.16921498705471247</v>
      </c>
      <c r="U23" s="326">
        <f t="shared" si="5"/>
        <v>0.16921498705471247</v>
      </c>
      <c r="V23" s="326">
        <f t="shared" si="5"/>
        <v>0.16921498705471247</v>
      </c>
      <c r="W23" s="326">
        <f t="shared" si="5"/>
        <v>0.16921498705471247</v>
      </c>
      <c r="X23" s="326">
        <f t="shared" si="5"/>
        <v>0.16921498705471247</v>
      </c>
      <c r="Y23" s="326">
        <f t="shared" si="5"/>
        <v>0.16921498705471247</v>
      </c>
      <c r="Z23" s="326">
        <f t="shared" si="9"/>
        <v>0.16921498705471247</v>
      </c>
      <c r="AA23" s="326">
        <f t="shared" si="9"/>
        <v>0.16921498705471247</v>
      </c>
      <c r="AB23" s="127"/>
      <c r="AC23" s="127"/>
    </row>
    <row r="24" spans="2:38">
      <c r="B24" s="24">
        <v>45565</v>
      </c>
      <c r="C24" s="412">
        <v>2.7209769918397764</v>
      </c>
      <c r="D24" s="124">
        <v>4</v>
      </c>
      <c r="E24" s="125">
        <f t="shared" si="6"/>
        <v>16</v>
      </c>
      <c r="F24" s="126">
        <f t="shared" si="8"/>
        <v>47026</v>
      </c>
      <c r="G24" s="445"/>
      <c r="H24" s="325"/>
      <c r="I24" s="326"/>
      <c r="J24" s="326"/>
      <c r="K24" s="326"/>
      <c r="L24" s="326"/>
      <c r="M24" s="326"/>
      <c r="N24" s="326"/>
      <c r="O24" s="326">
        <f>$C24/$E24</f>
        <v>0.17006106198998602</v>
      </c>
      <c r="P24" s="326">
        <f t="shared" si="5"/>
        <v>0.17006106198998602</v>
      </c>
      <c r="Q24" s="326">
        <f t="shared" si="5"/>
        <v>0.17006106198998602</v>
      </c>
      <c r="R24" s="326">
        <f t="shared" si="5"/>
        <v>0.17006106198998602</v>
      </c>
      <c r="S24" s="326">
        <f t="shared" si="5"/>
        <v>0.17006106198998602</v>
      </c>
      <c r="T24" s="326">
        <f t="shared" si="5"/>
        <v>0.17006106198998602</v>
      </c>
      <c r="U24" s="326">
        <f t="shared" si="5"/>
        <v>0.17006106198998602</v>
      </c>
      <c r="V24" s="326">
        <f t="shared" si="5"/>
        <v>0.17006106198998602</v>
      </c>
      <c r="W24" s="326">
        <f t="shared" si="5"/>
        <v>0.17006106198998602</v>
      </c>
      <c r="X24" s="326">
        <f t="shared" si="5"/>
        <v>0.17006106198998602</v>
      </c>
      <c r="Y24" s="326">
        <f t="shared" si="5"/>
        <v>0.17006106198998602</v>
      </c>
      <c r="Z24" s="326">
        <f t="shared" si="9"/>
        <v>0.17006106198998602</v>
      </c>
      <c r="AA24" s="326">
        <f t="shared" si="9"/>
        <v>0.17006106198998602</v>
      </c>
      <c r="AB24" s="127"/>
      <c r="AC24" s="127"/>
      <c r="AD24" s="127"/>
    </row>
    <row r="25" spans="2:38">
      <c r="B25" s="24">
        <v>45657</v>
      </c>
      <c r="C25" s="412">
        <v>2.734581876798976</v>
      </c>
      <c r="D25" s="124">
        <v>4</v>
      </c>
      <c r="E25" s="125">
        <f t="shared" si="6"/>
        <v>16</v>
      </c>
      <c r="F25" s="126">
        <f t="shared" si="8"/>
        <v>47118</v>
      </c>
      <c r="G25" s="445"/>
      <c r="H25" s="325"/>
      <c r="I25" s="326"/>
      <c r="J25" s="326"/>
      <c r="K25" s="326"/>
      <c r="L25" s="326"/>
      <c r="M25" s="326"/>
      <c r="N25" s="326"/>
      <c r="O25" s="326"/>
      <c r="P25" s="326">
        <f>$C25/$E25</f>
        <v>0.170911367299936</v>
      </c>
      <c r="Q25" s="326">
        <f t="shared" si="5"/>
        <v>0.170911367299936</v>
      </c>
      <c r="R25" s="326">
        <f t="shared" si="5"/>
        <v>0.170911367299936</v>
      </c>
      <c r="S25" s="326">
        <f t="shared" si="5"/>
        <v>0.170911367299936</v>
      </c>
      <c r="T25" s="326">
        <f t="shared" si="5"/>
        <v>0.170911367299936</v>
      </c>
      <c r="U25" s="326">
        <f t="shared" si="5"/>
        <v>0.170911367299936</v>
      </c>
      <c r="V25" s="326">
        <f t="shared" si="5"/>
        <v>0.170911367299936</v>
      </c>
      <c r="W25" s="326">
        <f t="shared" si="5"/>
        <v>0.170911367299936</v>
      </c>
      <c r="X25" s="326">
        <f t="shared" si="5"/>
        <v>0.170911367299936</v>
      </c>
      <c r="Y25" s="326">
        <f t="shared" si="5"/>
        <v>0.170911367299936</v>
      </c>
      <c r="Z25" s="326">
        <f t="shared" si="9"/>
        <v>0.170911367299936</v>
      </c>
      <c r="AA25" s="326">
        <f t="shared" si="9"/>
        <v>0.170911367299936</v>
      </c>
      <c r="AB25" s="127"/>
      <c r="AC25" s="127"/>
      <c r="AD25" s="127"/>
      <c r="AE25" s="127"/>
    </row>
    <row r="26" spans="2:38">
      <c r="B26" s="24">
        <v>45747</v>
      </c>
      <c r="C26" s="412">
        <v>2.74825478618297</v>
      </c>
      <c r="D26" s="124">
        <v>4</v>
      </c>
      <c r="E26" s="125">
        <f t="shared" si="6"/>
        <v>16</v>
      </c>
      <c r="F26" s="126">
        <f t="shared" si="8"/>
        <v>47208</v>
      </c>
      <c r="G26" s="445"/>
      <c r="H26" s="325"/>
      <c r="I26" s="326"/>
      <c r="J26" s="326"/>
      <c r="K26" s="326"/>
      <c r="L26" s="326"/>
      <c r="M26" s="326"/>
      <c r="N26" s="326"/>
      <c r="O26" s="326"/>
      <c r="P26" s="326"/>
      <c r="Q26" s="326">
        <f>$C26/$E26</f>
        <v>0.17176592413643563</v>
      </c>
      <c r="R26" s="326">
        <f t="shared" si="5"/>
        <v>0.17176592413643563</v>
      </c>
      <c r="S26" s="326">
        <f t="shared" si="5"/>
        <v>0.17176592413643563</v>
      </c>
      <c r="T26" s="326">
        <f t="shared" si="5"/>
        <v>0.17176592413643563</v>
      </c>
      <c r="U26" s="326">
        <f t="shared" si="5"/>
        <v>0.17176592413643563</v>
      </c>
      <c r="V26" s="326">
        <f t="shared" si="5"/>
        <v>0.17176592413643563</v>
      </c>
      <c r="W26" s="326">
        <f t="shared" si="5"/>
        <v>0.17176592413643563</v>
      </c>
      <c r="X26" s="326">
        <f t="shared" si="5"/>
        <v>0.17176592413643563</v>
      </c>
      <c r="Y26" s="326">
        <f t="shared" si="5"/>
        <v>0.17176592413643563</v>
      </c>
      <c r="Z26" s="326">
        <f t="shared" si="9"/>
        <v>0.17176592413643563</v>
      </c>
      <c r="AA26" s="326">
        <f t="shared" si="9"/>
        <v>0.17176592413643563</v>
      </c>
      <c r="AB26" s="127"/>
      <c r="AC26" s="127"/>
      <c r="AD26" s="127"/>
      <c r="AE26" s="127"/>
      <c r="AF26" s="127"/>
    </row>
    <row r="27" spans="2:38">
      <c r="B27" s="24">
        <v>45838</v>
      </c>
      <c r="C27" s="412">
        <v>2.7619960601138849</v>
      </c>
      <c r="D27" s="124">
        <v>4</v>
      </c>
      <c r="E27" s="125">
        <f t="shared" si="6"/>
        <v>16</v>
      </c>
      <c r="F27" s="126">
        <f t="shared" si="8"/>
        <v>47299</v>
      </c>
      <c r="G27" s="445"/>
      <c r="H27" s="325"/>
      <c r="I27" s="326"/>
      <c r="J27" s="326"/>
      <c r="K27" s="326"/>
      <c r="L27" s="326"/>
      <c r="M27" s="326"/>
      <c r="N27" s="326"/>
      <c r="O27" s="326"/>
      <c r="P27" s="326"/>
      <c r="Q27" s="326"/>
      <c r="R27" s="326">
        <f>$C27/$E27</f>
        <v>0.1726247537571178</v>
      </c>
      <c r="S27" s="326">
        <f t="shared" si="5"/>
        <v>0.1726247537571178</v>
      </c>
      <c r="T27" s="326">
        <f t="shared" si="5"/>
        <v>0.1726247537571178</v>
      </c>
      <c r="U27" s="326">
        <f t="shared" si="5"/>
        <v>0.1726247537571178</v>
      </c>
      <c r="V27" s="326">
        <f t="shared" si="5"/>
        <v>0.1726247537571178</v>
      </c>
      <c r="W27" s="326">
        <f t="shared" si="5"/>
        <v>0.1726247537571178</v>
      </c>
      <c r="X27" s="326">
        <f t="shared" si="5"/>
        <v>0.1726247537571178</v>
      </c>
      <c r="Y27" s="326">
        <f t="shared" si="5"/>
        <v>0.1726247537571178</v>
      </c>
      <c r="Z27" s="326">
        <f t="shared" si="9"/>
        <v>0.1726247537571178</v>
      </c>
      <c r="AA27" s="326">
        <f t="shared" si="9"/>
        <v>0.1726247537571178</v>
      </c>
      <c r="AB27" s="127"/>
      <c r="AC27" s="127"/>
      <c r="AD27" s="127"/>
      <c r="AE27" s="127"/>
      <c r="AF27" s="127"/>
      <c r="AG27" s="127"/>
    </row>
    <row r="28" spans="2:38">
      <c r="B28" s="24">
        <v>45930</v>
      </c>
      <c r="C28" s="412">
        <v>2.7758060404144542</v>
      </c>
      <c r="D28" s="124">
        <v>4</v>
      </c>
      <c r="E28" s="125">
        <f t="shared" si="6"/>
        <v>16</v>
      </c>
      <c r="F28" s="126">
        <f t="shared" si="8"/>
        <v>47391</v>
      </c>
      <c r="G28" s="445"/>
      <c r="H28" s="325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>
        <f>$C28/$E28</f>
        <v>0.17348787752590339</v>
      </c>
      <c r="T28" s="326">
        <f t="shared" si="5"/>
        <v>0.17348787752590339</v>
      </c>
      <c r="U28" s="326">
        <f t="shared" si="5"/>
        <v>0.17348787752590339</v>
      </c>
      <c r="V28" s="326">
        <f t="shared" si="5"/>
        <v>0.17348787752590339</v>
      </c>
      <c r="W28" s="326">
        <f t="shared" si="5"/>
        <v>0.17348787752590339</v>
      </c>
      <c r="X28" s="326">
        <f t="shared" si="5"/>
        <v>0.17348787752590339</v>
      </c>
      <c r="Y28" s="326">
        <f t="shared" si="5"/>
        <v>0.17348787752590339</v>
      </c>
      <c r="Z28" s="326">
        <f t="shared" si="9"/>
        <v>0.17348787752590339</v>
      </c>
      <c r="AA28" s="326">
        <f t="shared" si="9"/>
        <v>0.17348787752590339</v>
      </c>
      <c r="AB28" s="127"/>
      <c r="AC28" s="127"/>
      <c r="AD28" s="127"/>
      <c r="AE28" s="127"/>
      <c r="AF28" s="127"/>
      <c r="AG28" s="127"/>
      <c r="AH28" s="127"/>
    </row>
    <row r="29" spans="2:38">
      <c r="B29" s="24">
        <v>46022</v>
      </c>
      <c r="C29" s="412">
        <v>2.7896850706165268</v>
      </c>
      <c r="D29" s="124">
        <v>4</v>
      </c>
      <c r="E29" s="125">
        <f t="shared" si="6"/>
        <v>16</v>
      </c>
      <c r="F29" s="126">
        <f t="shared" si="8"/>
        <v>47483</v>
      </c>
      <c r="G29" s="445"/>
      <c r="H29" s="325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>
        <f>$C29/$E29</f>
        <v>0.17435531691353293</v>
      </c>
      <c r="U29" s="326">
        <f t="shared" si="5"/>
        <v>0.17435531691353293</v>
      </c>
      <c r="V29" s="326">
        <f t="shared" si="5"/>
        <v>0.17435531691353293</v>
      </c>
      <c r="W29" s="326">
        <f t="shared" si="5"/>
        <v>0.17435531691353293</v>
      </c>
      <c r="X29" s="326">
        <f t="shared" si="5"/>
        <v>0.17435531691353293</v>
      </c>
      <c r="Y29" s="326">
        <f t="shared" si="5"/>
        <v>0.17435531691353293</v>
      </c>
      <c r="Z29" s="326">
        <f t="shared" si="9"/>
        <v>0.17435531691353293</v>
      </c>
      <c r="AA29" s="326">
        <f t="shared" si="9"/>
        <v>0.17435531691353293</v>
      </c>
      <c r="AB29" s="127"/>
      <c r="AC29" s="127"/>
      <c r="AD29" s="127"/>
      <c r="AE29" s="127"/>
      <c r="AF29" s="127"/>
      <c r="AG29" s="127"/>
      <c r="AH29" s="127"/>
      <c r="AI29" s="127"/>
    </row>
    <row r="30" spans="2:38">
      <c r="B30" s="24">
        <v>46112</v>
      </c>
      <c r="C30" s="412">
        <v>2.8036334959696094</v>
      </c>
      <c r="D30" s="124">
        <v>4</v>
      </c>
      <c r="E30" s="125">
        <f t="shared" si="6"/>
        <v>16</v>
      </c>
      <c r="F30" s="126">
        <f t="shared" si="8"/>
        <v>47573</v>
      </c>
      <c r="G30" s="445"/>
      <c r="H30" s="325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>
        <f>$C30/$E30</f>
        <v>0.17522709349810059</v>
      </c>
      <c r="V30" s="326">
        <f t="shared" si="5"/>
        <v>0.17522709349810059</v>
      </c>
      <c r="W30" s="326">
        <f t="shared" si="5"/>
        <v>0.17522709349810059</v>
      </c>
      <c r="X30" s="326">
        <f t="shared" si="5"/>
        <v>0.17522709349810059</v>
      </c>
      <c r="Y30" s="326">
        <f t="shared" si="5"/>
        <v>0.17522709349810059</v>
      </c>
      <c r="Z30" s="326">
        <f t="shared" si="9"/>
        <v>0.17522709349810059</v>
      </c>
      <c r="AA30" s="326">
        <f t="shared" si="9"/>
        <v>0.17522709349810059</v>
      </c>
      <c r="AB30" s="127"/>
      <c r="AC30" s="127"/>
      <c r="AD30" s="127"/>
      <c r="AE30" s="127"/>
      <c r="AF30" s="127"/>
      <c r="AG30" s="127"/>
      <c r="AH30" s="127"/>
      <c r="AI30" s="127"/>
      <c r="AJ30" s="127"/>
    </row>
    <row r="31" spans="2:38">
      <c r="B31" s="24">
        <v>46203</v>
      </c>
      <c r="C31" s="412">
        <v>2.8176516634494573</v>
      </c>
      <c r="D31" s="124">
        <v>4</v>
      </c>
      <c r="E31" s="125">
        <f t="shared" si="6"/>
        <v>16</v>
      </c>
      <c r="F31" s="126">
        <f t="shared" si="8"/>
        <v>47664</v>
      </c>
      <c r="G31" s="445"/>
      <c r="H31" s="325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>
        <f>$C31/$E31</f>
        <v>0.17610322896559108</v>
      </c>
      <c r="W31" s="326">
        <f t="shared" si="5"/>
        <v>0.17610322896559108</v>
      </c>
      <c r="X31" s="326">
        <f t="shared" si="5"/>
        <v>0.17610322896559108</v>
      </c>
      <c r="Y31" s="326">
        <f t="shared" si="5"/>
        <v>0.17610322896559108</v>
      </c>
      <c r="Z31" s="326">
        <f t="shared" si="9"/>
        <v>0.17610322896559108</v>
      </c>
      <c r="AA31" s="326">
        <f t="shared" si="9"/>
        <v>0.17610322896559108</v>
      </c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</row>
    <row r="32" spans="2:38">
      <c r="B32" s="24">
        <v>46295</v>
      </c>
      <c r="C32" s="412">
        <v>2.8317399217667041</v>
      </c>
      <c r="D32" s="124">
        <v>4</v>
      </c>
      <c r="E32" s="125">
        <f t="shared" si="6"/>
        <v>16</v>
      </c>
      <c r="F32" s="126">
        <f t="shared" si="8"/>
        <v>47756</v>
      </c>
      <c r="G32" s="445"/>
      <c r="H32" s="325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>
        <f>$C32/$E32</f>
        <v>0.17698374511041901</v>
      </c>
      <c r="X32" s="326">
        <f t="shared" si="5"/>
        <v>0.17698374511041901</v>
      </c>
      <c r="Y32" s="326">
        <f t="shared" si="5"/>
        <v>0.17698374511041901</v>
      </c>
      <c r="Z32" s="326">
        <f t="shared" si="9"/>
        <v>0.17698374511041901</v>
      </c>
      <c r="AA32" s="326">
        <f t="shared" si="9"/>
        <v>0.17698374511041901</v>
      </c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</row>
    <row r="33" spans="2:43">
      <c r="B33" s="24">
        <v>46387</v>
      </c>
      <c r="C33" s="412">
        <v>2.8458986213755382</v>
      </c>
      <c r="D33" s="124">
        <v>4</v>
      </c>
      <c r="E33" s="125">
        <f t="shared" si="6"/>
        <v>16</v>
      </c>
      <c r="F33" s="126">
        <f t="shared" si="8"/>
        <v>47848</v>
      </c>
      <c r="G33" s="445"/>
      <c r="H33" s="325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>
        <f>$C33/$E33</f>
        <v>0.17786866383597114</v>
      </c>
      <c r="Y33" s="326">
        <f t="shared" si="5"/>
        <v>0.17786866383597114</v>
      </c>
      <c r="Z33" s="326">
        <f t="shared" si="9"/>
        <v>0.17786866383597114</v>
      </c>
      <c r="AA33" s="326">
        <f t="shared" si="9"/>
        <v>0.17786866383597114</v>
      </c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</row>
    <row r="34" spans="2:43">
      <c r="B34" s="24">
        <v>46477</v>
      </c>
      <c r="C34" s="412">
        <v>2.860128114482416</v>
      </c>
      <c r="D34" s="124">
        <v>4</v>
      </c>
      <c r="E34" s="125">
        <f t="shared" si="6"/>
        <v>16</v>
      </c>
      <c r="F34" s="126">
        <f t="shared" si="8"/>
        <v>47938</v>
      </c>
      <c r="G34" s="445"/>
      <c r="H34" s="325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>
        <f>$C34/$E34</f>
        <v>0.178758007155151</v>
      </c>
      <c r="Z34" s="326">
        <f t="shared" si="5"/>
        <v>0.178758007155151</v>
      </c>
      <c r="AA34" s="326">
        <f t="shared" si="9"/>
        <v>0.178758007155151</v>
      </c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</row>
    <row r="35" spans="2:43">
      <c r="B35" s="24">
        <v>46568</v>
      </c>
      <c r="C35" s="412">
        <v>2.874428755054828</v>
      </c>
      <c r="D35" s="124">
        <v>4</v>
      </c>
      <c r="E35" s="125">
        <f t="shared" si="6"/>
        <v>16</v>
      </c>
      <c r="F35" s="126">
        <f t="shared" si="8"/>
        <v>48029</v>
      </c>
      <c r="G35" s="445"/>
      <c r="H35" s="325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>
        <f>$C35/$E35</f>
        <v>0.17965179719092675</v>
      </c>
      <c r="AA35" s="326">
        <f t="shared" si="5"/>
        <v>0.17965179719092675</v>
      </c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</row>
    <row r="36" spans="2:43">
      <c r="B36" s="24">
        <v>46660</v>
      </c>
      <c r="C36" s="412">
        <v>2.8888008988301017</v>
      </c>
      <c r="D36" s="124">
        <v>4</v>
      </c>
      <c r="E36" s="125">
        <f t="shared" si="6"/>
        <v>16</v>
      </c>
      <c r="F36" s="126">
        <f t="shared" si="8"/>
        <v>48121</v>
      </c>
      <c r="G36" s="445"/>
      <c r="H36" s="325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>
        <f>$C36/$E36</f>
        <v>0.18055005617688136</v>
      </c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  <c r="AN36" s="127"/>
      <c r="AO36" s="127"/>
      <c r="AP36" s="127"/>
    </row>
    <row r="37" spans="2:43">
      <c r="B37" s="24">
        <v>46752</v>
      </c>
      <c r="C37" s="412">
        <v>2.9032449033242522</v>
      </c>
      <c r="D37" s="124">
        <v>4</v>
      </c>
      <c r="E37" s="125">
        <f t="shared" si="6"/>
        <v>16</v>
      </c>
      <c r="F37" s="126">
        <f t="shared" si="8"/>
        <v>48213</v>
      </c>
      <c r="G37" s="445"/>
      <c r="H37" s="325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</row>
    <row r="38" spans="2:43">
      <c r="B38" s="24"/>
      <c r="C38" s="412"/>
      <c r="D38" s="45"/>
      <c r="E38" s="45"/>
      <c r="F38" s="126"/>
      <c r="G38" s="445"/>
      <c r="H38" s="325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</row>
    <row r="39" spans="2:43">
      <c r="B39" s="55" t="s">
        <v>211</v>
      </c>
      <c r="C39" s="453"/>
      <c r="D39" s="128"/>
      <c r="E39" s="128"/>
      <c r="F39" s="128"/>
      <c r="G39" s="446"/>
      <c r="H39" s="368">
        <f>SUM(H17:H38)</f>
        <v>0.88877499999999998</v>
      </c>
      <c r="I39" s="358">
        <f t="shared" ref="I39:AA39" si="10">SUM(I17:I38)</f>
        <v>1.05382233502</v>
      </c>
      <c r="J39" s="358">
        <f t="shared" si="10"/>
        <v>1.2196949067150999</v>
      </c>
      <c r="K39" s="358">
        <f t="shared" si="10"/>
        <v>1.3863968412686756</v>
      </c>
      <c r="L39" s="358">
        <f t="shared" si="10"/>
        <v>1.5539322854950191</v>
      </c>
      <c r="M39" s="358">
        <f t="shared" si="10"/>
        <v>1.7223054069424941</v>
      </c>
      <c r="N39" s="358">
        <f t="shared" si="10"/>
        <v>1.8915203939972065</v>
      </c>
      <c r="O39" s="358">
        <f t="shared" si="10"/>
        <v>2.0615814559871923</v>
      </c>
      <c r="P39" s="358">
        <f t="shared" si="10"/>
        <v>2.2324928232871284</v>
      </c>
      <c r="Q39" s="358">
        <f t="shared" si="10"/>
        <v>2.4042587474235639</v>
      </c>
      <c r="R39" s="358">
        <f t="shared" si="10"/>
        <v>2.5768835011806819</v>
      </c>
      <c r="S39" s="358">
        <f t="shared" si="10"/>
        <v>2.7503713787065851</v>
      </c>
      <c r="T39" s="358">
        <f t="shared" si="10"/>
        <v>2.9247266956201181</v>
      </c>
      <c r="U39" s="358">
        <f t="shared" si="10"/>
        <v>3.0999537891182185</v>
      </c>
      <c r="V39" s="358">
        <f t="shared" si="10"/>
        <v>3.2760570180838098</v>
      </c>
      <c r="W39" s="358">
        <f t="shared" si="10"/>
        <v>3.4530407631942288</v>
      </c>
      <c r="X39" s="358">
        <f t="shared" si="10"/>
        <v>2.7421344270302002</v>
      </c>
      <c r="Y39" s="358">
        <f t="shared" si="10"/>
        <v>2.7558450991653514</v>
      </c>
      <c r="Z39" s="358">
        <f t="shared" si="10"/>
        <v>2.7696243246611778</v>
      </c>
      <c r="AA39" s="358">
        <f t="shared" si="10"/>
        <v>2.7834724462844838</v>
      </c>
    </row>
    <row r="40" spans="2:43">
      <c r="B40" s="24"/>
      <c r="C40" s="413"/>
      <c r="D40" s="50"/>
      <c r="G40" s="445"/>
      <c r="H40" s="447"/>
      <c r="I40" s="414"/>
      <c r="J40" s="414"/>
      <c r="K40" s="414"/>
      <c r="L40" s="326"/>
      <c r="M40" s="326"/>
      <c r="N40" s="326"/>
      <c r="O40" s="326"/>
      <c r="P40" s="414"/>
      <c r="Q40" s="385"/>
      <c r="R40" s="385"/>
      <c r="S40" s="385"/>
      <c r="T40" s="385"/>
      <c r="U40" s="385"/>
      <c r="V40" s="385"/>
      <c r="W40" s="385"/>
      <c r="X40" s="385"/>
      <c r="Y40" s="385"/>
      <c r="Z40" s="326"/>
      <c r="AA40" s="326"/>
    </row>
    <row r="41" spans="2:43">
      <c r="B41" s="24"/>
      <c r="C41" s="50"/>
      <c r="D41" s="50"/>
      <c r="G41" s="445"/>
      <c r="H41" s="447"/>
      <c r="I41" s="414"/>
      <c r="J41" s="414"/>
      <c r="K41" s="414"/>
      <c r="L41" s="326"/>
      <c r="M41" s="326"/>
      <c r="N41" s="326"/>
      <c r="O41" s="326"/>
      <c r="P41" s="414"/>
      <c r="Q41" s="385"/>
      <c r="R41" s="385"/>
      <c r="S41" s="385"/>
      <c r="T41" s="385"/>
      <c r="U41" s="385"/>
      <c r="V41" s="385"/>
      <c r="W41" s="385"/>
      <c r="X41" s="385"/>
      <c r="Y41" s="385"/>
      <c r="Z41" s="385"/>
      <c r="AA41" s="326"/>
    </row>
    <row r="42" spans="2:43">
      <c r="G42" s="448"/>
      <c r="H42" s="366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</row>
    <row r="43" spans="2:43">
      <c r="G43" s="448"/>
      <c r="H43" s="366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</row>
    <row r="44" spans="2:43" s="23" customFormat="1" ht="14.35" customHeight="1">
      <c r="B44" s="48" t="s">
        <v>110</v>
      </c>
      <c r="C44" s="47"/>
      <c r="D44" s="47"/>
      <c r="E44" s="47"/>
      <c r="F44" s="47"/>
      <c r="G44" s="449"/>
      <c r="H44" s="450"/>
      <c r="I44" s="416"/>
      <c r="J44" s="416"/>
      <c r="K44" s="416"/>
      <c r="L44" s="416"/>
      <c r="M44" s="416"/>
      <c r="N44" s="416"/>
      <c r="O44" s="416"/>
      <c r="P44" s="416"/>
      <c r="Q44" s="416"/>
      <c r="R44" s="416"/>
      <c r="S44" s="416"/>
      <c r="T44" s="416"/>
      <c r="U44" s="416"/>
      <c r="V44" s="416"/>
      <c r="W44" s="416"/>
      <c r="X44" s="416"/>
      <c r="Y44" s="416"/>
      <c r="Z44" s="416"/>
      <c r="AA44" s="416"/>
    </row>
    <row r="45" spans="2:43" s="23" customFormat="1" ht="14.35" customHeight="1">
      <c r="B45" s="54" t="s">
        <v>54</v>
      </c>
      <c r="C45" s="40"/>
      <c r="D45" s="40"/>
      <c r="E45" s="40"/>
      <c r="F45" s="40"/>
      <c r="G45" s="324"/>
      <c r="H45" s="367"/>
      <c r="I45" s="357"/>
      <c r="J45" s="357"/>
      <c r="K45" s="357"/>
      <c r="L45" s="357"/>
      <c r="M45" s="357"/>
      <c r="N45" s="357"/>
      <c r="O45" s="357"/>
      <c r="P45" s="357"/>
      <c r="Q45" s="357"/>
      <c r="R45" s="357"/>
      <c r="S45" s="357"/>
      <c r="T45" s="357"/>
      <c r="U45" s="357"/>
      <c r="V45" s="357"/>
      <c r="W45" s="357"/>
      <c r="X45" s="357"/>
      <c r="Y45" s="357"/>
      <c r="Z45" s="357"/>
      <c r="AA45" s="357"/>
    </row>
    <row r="46" spans="2:43" s="23" customFormat="1" ht="14.35" customHeight="1">
      <c r="B46" s="24" t="s">
        <v>111</v>
      </c>
      <c r="C46" s="40"/>
      <c r="D46" s="40"/>
      <c r="E46" s="40"/>
      <c r="F46" s="40"/>
      <c r="G46" s="414"/>
      <c r="H46" s="325">
        <f>+G49</f>
        <v>5.9109173558477197</v>
      </c>
      <c r="I46" s="326">
        <f t="shared" ref="I46:AA46" si="11">+H49</f>
        <v>6.2514641016473975</v>
      </c>
      <c r="J46" s="326">
        <f t="shared" si="11"/>
        <v>6.5704935652518763</v>
      </c>
      <c r="K46" s="326">
        <f t="shared" si="11"/>
        <v>6.8678981602501787</v>
      </c>
      <c r="L46" s="326">
        <f t="shared" si="11"/>
        <v>7.1435697622992747</v>
      </c>
      <c r="M46" s="326">
        <f t="shared" si="11"/>
        <v>7.3973997064344177</v>
      </c>
      <c r="N46" s="326">
        <f t="shared" si="11"/>
        <v>7.6292787843660372</v>
      </c>
      <c r="O46" s="326">
        <f t="shared" si="11"/>
        <v>7.8390972417631177</v>
      </c>
      <c r="P46" s="326">
        <f t="shared" si="11"/>
        <v>8.0267447755229853</v>
      </c>
      <c r="Q46" s="326">
        <f t="shared" si="11"/>
        <v>8.1921105310274527</v>
      </c>
      <c r="R46" s="326">
        <f t="shared" si="11"/>
        <v>8.3350830993852441</v>
      </c>
      <c r="S46" s="326">
        <f t="shared" si="11"/>
        <v>8.4555505146606258</v>
      </c>
      <c r="T46" s="326">
        <f t="shared" si="11"/>
        <v>8.5534002510881866</v>
      </c>
      <c r="U46" s="326">
        <f t="shared" si="11"/>
        <v>8.6285192202736862</v>
      </c>
      <c r="V46" s="326">
        <f t="shared" si="11"/>
        <v>8.6807937683809158</v>
      </c>
      <c r="W46" s="326">
        <f t="shared" si="11"/>
        <v>8.7101096733044834</v>
      </c>
      <c r="X46" s="326">
        <f t="shared" si="11"/>
        <v>8.7163521418284695</v>
      </c>
      <c r="Y46" s="326">
        <f t="shared" si="11"/>
        <v>8.9456940299311984</v>
      </c>
      <c r="Z46" s="326">
        <f t="shared" si="11"/>
        <v>9.1761826274744429</v>
      </c>
      <c r="AA46" s="326">
        <f t="shared" si="11"/>
        <v>9.4078236680054026</v>
      </c>
    </row>
    <row r="47" spans="2:43" s="23" customFormat="1" ht="14.35" customHeight="1">
      <c r="B47" s="24" t="s">
        <v>113</v>
      </c>
      <c r="C47" s="40"/>
      <c r="D47" s="40"/>
      <c r="E47" s="40"/>
      <c r="F47" s="40"/>
      <c r="G47" s="324"/>
      <c r="H47" s="325">
        <f>H52*H53</f>
        <v>0.58683496896000009</v>
      </c>
      <c r="I47" s="326">
        <f t="shared" ref="I47:AA47" si="12">I52*I53</f>
        <v>0.58976914380480006</v>
      </c>
      <c r="J47" s="326">
        <f t="shared" si="12"/>
        <v>0.59271798952382404</v>
      </c>
      <c r="K47" s="326">
        <f t="shared" si="12"/>
        <v>0.59568157947144318</v>
      </c>
      <c r="L47" s="326">
        <f t="shared" si="12"/>
        <v>0.59865998736880044</v>
      </c>
      <c r="M47" s="326">
        <f t="shared" si="12"/>
        <v>0.60165328730564438</v>
      </c>
      <c r="N47" s="326">
        <f t="shared" si="12"/>
        <v>0.60466155374217256</v>
      </c>
      <c r="O47" s="326">
        <f t="shared" si="12"/>
        <v>0.60768486151088341</v>
      </c>
      <c r="P47" s="326">
        <f t="shared" si="12"/>
        <v>0.61072328581843793</v>
      </c>
      <c r="Q47" s="326">
        <f t="shared" si="12"/>
        <v>0.61377690224753012</v>
      </c>
      <c r="R47" s="326">
        <f t="shared" si="12"/>
        <v>0.61684578675876767</v>
      </c>
      <c r="S47" s="326">
        <f t="shared" si="12"/>
        <v>0.61993001569256156</v>
      </c>
      <c r="T47" s="326">
        <f t="shared" si="12"/>
        <v>0.62302966577102425</v>
      </c>
      <c r="U47" s="326">
        <f t="shared" si="12"/>
        <v>0.62614481409987932</v>
      </c>
      <c r="V47" s="326">
        <f t="shared" si="12"/>
        <v>0.62927553817037873</v>
      </c>
      <c r="W47" s="326">
        <f t="shared" si="12"/>
        <v>0.63242191586123064</v>
      </c>
      <c r="X47" s="326">
        <f t="shared" si="12"/>
        <v>0.63558402544053683</v>
      </c>
      <c r="Y47" s="326">
        <f t="shared" si="12"/>
        <v>0.63876194556773946</v>
      </c>
      <c r="Z47" s="326">
        <f t="shared" si="12"/>
        <v>0.64195575529557813</v>
      </c>
      <c r="AA47" s="326">
        <f t="shared" si="12"/>
        <v>0.64516553407205601</v>
      </c>
    </row>
    <row r="48" spans="2:43" s="23" customFormat="1" ht="14.35" customHeight="1">
      <c r="B48" s="24" t="s">
        <v>112</v>
      </c>
      <c r="C48" s="40"/>
      <c r="D48" s="40"/>
      <c r="E48" s="40"/>
      <c r="F48" s="40"/>
      <c r="G48" s="324"/>
      <c r="H48" s="325">
        <f>-H78</f>
        <v>-0.24628822316032165</v>
      </c>
      <c r="I48" s="326">
        <f t="shared" ref="I48:AA48" si="13">-I78</f>
        <v>-0.27073968020032163</v>
      </c>
      <c r="J48" s="326">
        <f t="shared" si="13"/>
        <v>-0.29531339452552163</v>
      </c>
      <c r="K48" s="326">
        <f t="shared" si="13"/>
        <v>-0.32000997742234766</v>
      </c>
      <c r="L48" s="326">
        <f t="shared" si="13"/>
        <v>-0.34483004323365779</v>
      </c>
      <c r="M48" s="326">
        <f t="shared" si="13"/>
        <v>-0.3697742093740245</v>
      </c>
      <c r="N48" s="326">
        <f t="shared" si="13"/>
        <v>-0.39484309634509301</v>
      </c>
      <c r="O48" s="326">
        <f t="shared" si="13"/>
        <v>-0.42003732775101688</v>
      </c>
      <c r="P48" s="326">
        <f t="shared" si="13"/>
        <v>-0.44535753031397035</v>
      </c>
      <c r="Q48" s="326">
        <f t="shared" si="13"/>
        <v>-0.47080433388973858</v>
      </c>
      <c r="R48" s="326">
        <f t="shared" si="13"/>
        <v>-0.49637837148338565</v>
      </c>
      <c r="S48" s="326">
        <f t="shared" si="13"/>
        <v>-0.522080279265001</v>
      </c>
      <c r="T48" s="326">
        <f t="shared" si="13"/>
        <v>-0.54791069658552438</v>
      </c>
      <c r="U48" s="326">
        <f t="shared" si="13"/>
        <v>-0.57387026599265034</v>
      </c>
      <c r="V48" s="326">
        <f t="shared" si="13"/>
        <v>-0.59995963324681201</v>
      </c>
      <c r="W48" s="326">
        <f t="shared" si="13"/>
        <v>-0.6261794473372444</v>
      </c>
      <c r="X48" s="326">
        <f t="shared" si="13"/>
        <v>-0.40624213733780745</v>
      </c>
      <c r="Y48" s="326">
        <f t="shared" si="13"/>
        <v>-0.40827334802449644</v>
      </c>
      <c r="Z48" s="326">
        <f t="shared" si="13"/>
        <v>-0.41031471476461895</v>
      </c>
      <c r="AA48" s="326">
        <f t="shared" si="13"/>
        <v>-0.41236628833844208</v>
      </c>
    </row>
    <row r="49" spans="2:32" s="23" customFormat="1" ht="14.35" customHeight="1">
      <c r="B49" s="55" t="s">
        <v>209</v>
      </c>
      <c r="C49" s="81"/>
      <c r="D49" s="81"/>
      <c r="E49" s="81"/>
      <c r="F49" s="81"/>
      <c r="G49" s="389">
        <f>Model!N55</f>
        <v>5.9109173558477197</v>
      </c>
      <c r="H49" s="368">
        <f>SUM(H46:H48)</f>
        <v>6.2514641016473975</v>
      </c>
      <c r="I49" s="358">
        <f t="shared" ref="I49:AA49" si="14">SUM(I46:I48)</f>
        <v>6.5704935652518763</v>
      </c>
      <c r="J49" s="358">
        <f t="shared" si="14"/>
        <v>6.8678981602501787</v>
      </c>
      <c r="K49" s="358">
        <f t="shared" si="14"/>
        <v>7.1435697622992747</v>
      </c>
      <c r="L49" s="358">
        <f t="shared" si="14"/>
        <v>7.3973997064344177</v>
      </c>
      <c r="M49" s="358">
        <f t="shared" si="14"/>
        <v>7.6292787843660372</v>
      </c>
      <c r="N49" s="358">
        <f t="shared" si="14"/>
        <v>7.8390972417631177</v>
      </c>
      <c r="O49" s="358">
        <f t="shared" si="14"/>
        <v>8.0267447755229853</v>
      </c>
      <c r="P49" s="358">
        <f t="shared" si="14"/>
        <v>8.1921105310274527</v>
      </c>
      <c r="Q49" s="358">
        <f t="shared" si="14"/>
        <v>8.3350830993852441</v>
      </c>
      <c r="R49" s="358">
        <f t="shared" si="14"/>
        <v>8.4555505146606258</v>
      </c>
      <c r="S49" s="358">
        <f t="shared" si="14"/>
        <v>8.5534002510881866</v>
      </c>
      <c r="T49" s="358">
        <f t="shared" si="14"/>
        <v>8.6285192202736862</v>
      </c>
      <c r="U49" s="358">
        <f t="shared" si="14"/>
        <v>8.6807937683809158</v>
      </c>
      <c r="V49" s="358">
        <f t="shared" si="14"/>
        <v>8.7101096733044834</v>
      </c>
      <c r="W49" s="358">
        <f t="shared" si="14"/>
        <v>8.7163521418284695</v>
      </c>
      <c r="X49" s="358">
        <f t="shared" si="14"/>
        <v>8.9456940299311984</v>
      </c>
      <c r="Y49" s="358">
        <f t="shared" si="14"/>
        <v>9.1761826274744429</v>
      </c>
      <c r="Z49" s="358">
        <f t="shared" si="14"/>
        <v>9.4078236680054026</v>
      </c>
      <c r="AA49" s="358">
        <f t="shared" si="14"/>
        <v>9.6406229137390174</v>
      </c>
    </row>
    <row r="50" spans="2:32" s="23" customFormat="1" ht="14.35" customHeight="1">
      <c r="B50" s="57"/>
      <c r="C50" s="122"/>
      <c r="D50" s="122"/>
      <c r="E50" s="122"/>
      <c r="F50" s="122"/>
      <c r="G50" s="451"/>
      <c r="H50" s="387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</row>
    <row r="51" spans="2:32">
      <c r="B51" s="16" t="s">
        <v>210</v>
      </c>
      <c r="C51" s="122"/>
      <c r="D51" s="122"/>
      <c r="E51" s="122"/>
      <c r="F51" s="122"/>
      <c r="G51" s="386"/>
      <c r="H51" s="387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393"/>
      <c r="X51" s="393"/>
      <c r="Y51" s="393"/>
      <c r="Z51" s="393"/>
      <c r="AA51" s="393"/>
    </row>
    <row r="52" spans="2:32">
      <c r="B52" s="2" t="s">
        <v>153</v>
      </c>
      <c r="C52" s="38"/>
      <c r="D52" s="38"/>
      <c r="E52" s="38"/>
      <c r="F52" s="38"/>
      <c r="G52" s="324"/>
      <c r="H52" s="367">
        <f>Model!O21</f>
        <v>9.7805828160000026</v>
      </c>
      <c r="I52" s="357">
        <f>Model!P21</f>
        <v>9.8294857300800018</v>
      </c>
      <c r="J52" s="357">
        <f>Model!Q21</f>
        <v>9.8786331587304019</v>
      </c>
      <c r="K52" s="357">
        <f>Model!R21</f>
        <v>9.928026324524053</v>
      </c>
      <c r="L52" s="357">
        <f>Model!S21</f>
        <v>9.9776664561466735</v>
      </c>
      <c r="M52" s="357">
        <f>Model!T21</f>
        <v>10.027554788427407</v>
      </c>
      <c r="N52" s="357">
        <f>Model!U21</f>
        <v>10.077692562369544</v>
      </c>
      <c r="O52" s="357">
        <f>Model!V21</f>
        <v>10.128081025181391</v>
      </c>
      <c r="P52" s="357">
        <f>Model!W21</f>
        <v>10.178721430307299</v>
      </c>
      <c r="Q52" s="357">
        <f>Model!X21</f>
        <v>10.229615037458835</v>
      </c>
      <c r="R52" s="357">
        <f>Model!Y21</f>
        <v>10.280763112646127</v>
      </c>
      <c r="S52" s="357">
        <f>Model!Z21</f>
        <v>10.332166928209359</v>
      </c>
      <c r="T52" s="357">
        <f>Model!AA21</f>
        <v>10.383827762850405</v>
      </c>
      <c r="U52" s="357">
        <f>Model!AB21</f>
        <v>10.435746901664656</v>
      </c>
      <c r="V52" s="357">
        <f>Model!AC21</f>
        <v>10.48792563617298</v>
      </c>
      <c r="W52" s="357">
        <f>Model!AD21</f>
        <v>10.540365264353845</v>
      </c>
      <c r="X52" s="357">
        <f>Model!AE21</f>
        <v>10.593067090675614</v>
      </c>
      <c r="Y52" s="357">
        <f>Model!AF21</f>
        <v>10.646032426128992</v>
      </c>
      <c r="Z52" s="357">
        <f>Model!AG21</f>
        <v>10.699262588259636</v>
      </c>
      <c r="AA52" s="357">
        <f>Model!AH21</f>
        <v>10.752758901200934</v>
      </c>
    </row>
    <row r="53" spans="2:32">
      <c r="B53" s="40" t="s">
        <v>226</v>
      </c>
      <c r="C53" s="51"/>
      <c r="D53" s="51"/>
      <c r="E53" s="51"/>
      <c r="F53" s="51"/>
      <c r="G53" s="219"/>
      <c r="H53" s="257">
        <v>0.06</v>
      </c>
      <c r="I53" s="258">
        <v>0.06</v>
      </c>
      <c r="J53" s="258">
        <v>0.06</v>
      </c>
      <c r="K53" s="258">
        <v>0.06</v>
      </c>
      <c r="L53" s="258">
        <v>0.06</v>
      </c>
      <c r="M53" s="258">
        <v>0.06</v>
      </c>
      <c r="N53" s="258">
        <v>0.06</v>
      </c>
      <c r="O53" s="258">
        <v>0.06</v>
      </c>
      <c r="P53" s="258">
        <v>0.06</v>
      </c>
      <c r="Q53" s="258">
        <v>0.06</v>
      </c>
      <c r="R53" s="258">
        <v>0.06</v>
      </c>
      <c r="S53" s="258">
        <v>0.06</v>
      </c>
      <c r="T53" s="258">
        <v>0.06</v>
      </c>
      <c r="U53" s="258">
        <v>0.06</v>
      </c>
      <c r="V53" s="258">
        <v>0.06</v>
      </c>
      <c r="W53" s="258">
        <v>0.06</v>
      </c>
      <c r="X53" s="258">
        <v>0.06</v>
      </c>
      <c r="Y53" s="258">
        <v>0.06</v>
      </c>
      <c r="Z53" s="258">
        <v>0.06</v>
      </c>
      <c r="AA53" s="258">
        <v>0.06</v>
      </c>
    </row>
    <row r="54" spans="2:32" s="23" customFormat="1" ht="14.35" customHeight="1">
      <c r="B54" s="157"/>
      <c r="C54" s="122"/>
      <c r="D54" s="122"/>
      <c r="E54" s="122"/>
      <c r="F54" s="122"/>
      <c r="G54" s="74"/>
      <c r="H54" s="75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32" s="23" customFormat="1" ht="14.35" customHeight="1">
      <c r="B55" s="16" t="s">
        <v>164</v>
      </c>
      <c r="C55" s="42"/>
      <c r="D55" s="42"/>
      <c r="E55" s="42"/>
      <c r="F55" s="42"/>
      <c r="G55" s="88"/>
      <c r="H55" s="89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32" s="23" customFormat="1" ht="14.35" customHeight="1">
      <c r="B56" s="49" t="s">
        <v>4</v>
      </c>
      <c r="C56" s="50" t="s">
        <v>214</v>
      </c>
      <c r="D56" s="50" t="s">
        <v>103</v>
      </c>
      <c r="E56" s="50" t="s">
        <v>104</v>
      </c>
      <c r="F56" s="50" t="s">
        <v>105</v>
      </c>
      <c r="G56" s="168"/>
      <c r="H56" s="89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32" s="23" customFormat="1" ht="14.35" customHeight="1">
      <c r="B57" s="24" cm="1">
        <f t="array" ref="B57:B77">TRANSPOSE(G3:AA3)</f>
        <v>44926</v>
      </c>
      <c r="C57" s="452">
        <f>G49</f>
        <v>5.9109173558477197</v>
      </c>
      <c r="D57" s="124">
        <v>6</v>
      </c>
      <c r="E57" s="125">
        <f>+D57*4</f>
        <v>24</v>
      </c>
      <c r="F57" s="126">
        <f>EOMONTH(B57, 12*D57)</f>
        <v>47118</v>
      </c>
      <c r="G57" s="356"/>
      <c r="H57" s="325">
        <f>$C57/$E57</f>
        <v>0.24628822316032165</v>
      </c>
      <c r="I57" s="326">
        <f t="shared" ref="I57:AA75" si="15">$C57/$E57</f>
        <v>0.24628822316032165</v>
      </c>
      <c r="J57" s="326">
        <f t="shared" si="15"/>
        <v>0.24628822316032165</v>
      </c>
      <c r="K57" s="326">
        <f t="shared" si="15"/>
        <v>0.24628822316032165</v>
      </c>
      <c r="L57" s="326">
        <f t="shared" si="15"/>
        <v>0.24628822316032165</v>
      </c>
      <c r="M57" s="326">
        <f t="shared" si="15"/>
        <v>0.24628822316032165</v>
      </c>
      <c r="N57" s="326">
        <f t="shared" si="15"/>
        <v>0.24628822316032165</v>
      </c>
      <c r="O57" s="326">
        <f t="shared" si="15"/>
        <v>0.24628822316032165</v>
      </c>
      <c r="P57" s="326">
        <f t="shared" si="15"/>
        <v>0.24628822316032165</v>
      </c>
      <c r="Q57" s="326">
        <f t="shared" si="15"/>
        <v>0.24628822316032165</v>
      </c>
      <c r="R57" s="326">
        <f t="shared" si="15"/>
        <v>0.24628822316032165</v>
      </c>
      <c r="S57" s="326">
        <f t="shared" si="15"/>
        <v>0.24628822316032165</v>
      </c>
      <c r="T57" s="326">
        <f t="shared" si="15"/>
        <v>0.24628822316032165</v>
      </c>
      <c r="U57" s="326">
        <f t="shared" si="15"/>
        <v>0.24628822316032165</v>
      </c>
      <c r="V57" s="326">
        <f t="shared" si="15"/>
        <v>0.24628822316032165</v>
      </c>
      <c r="W57" s="326">
        <f t="shared" si="15"/>
        <v>0.24628822316032165</v>
      </c>
      <c r="X57" s="326"/>
      <c r="Y57" s="326"/>
      <c r="Z57" s="326"/>
      <c r="AA57" s="326"/>
    </row>
    <row r="58" spans="2:32" s="23" customFormat="1" ht="14.35" customHeight="1">
      <c r="B58" s="24">
        <v>45016</v>
      </c>
      <c r="C58" s="412" cm="1">
        <f t="array" ref="C58:C77">TRANSPOSE(H47:AA47)</f>
        <v>0.58683496896000009</v>
      </c>
      <c r="D58" s="124">
        <v>6</v>
      </c>
      <c r="E58" s="125">
        <f t="shared" ref="E58:E77" si="16">+D58*4</f>
        <v>24</v>
      </c>
      <c r="F58" s="126">
        <f t="shared" ref="F58:F77" si="17">EOMONTH(B58, 12*D58)</f>
        <v>47208</v>
      </c>
      <c r="G58" s="445"/>
      <c r="H58" s="325"/>
      <c r="I58" s="326">
        <f>$C58/$E58</f>
        <v>2.4451457040000003E-2</v>
      </c>
      <c r="J58" s="326">
        <f t="shared" si="15"/>
        <v>2.4451457040000003E-2</v>
      </c>
      <c r="K58" s="326">
        <f t="shared" si="15"/>
        <v>2.4451457040000003E-2</v>
      </c>
      <c r="L58" s="326">
        <f t="shared" si="15"/>
        <v>2.4451457040000003E-2</v>
      </c>
      <c r="M58" s="326">
        <f t="shared" si="15"/>
        <v>2.4451457040000003E-2</v>
      </c>
      <c r="N58" s="326">
        <f t="shared" si="15"/>
        <v>2.4451457040000003E-2</v>
      </c>
      <c r="O58" s="326">
        <f t="shared" si="15"/>
        <v>2.4451457040000003E-2</v>
      </c>
      <c r="P58" s="326">
        <f t="shared" si="15"/>
        <v>2.4451457040000003E-2</v>
      </c>
      <c r="Q58" s="326">
        <f t="shared" si="15"/>
        <v>2.4451457040000003E-2</v>
      </c>
      <c r="R58" s="326">
        <f t="shared" si="15"/>
        <v>2.4451457040000003E-2</v>
      </c>
      <c r="S58" s="326">
        <f t="shared" si="15"/>
        <v>2.4451457040000003E-2</v>
      </c>
      <c r="T58" s="326">
        <f t="shared" si="15"/>
        <v>2.4451457040000003E-2</v>
      </c>
      <c r="U58" s="326">
        <f t="shared" si="15"/>
        <v>2.4451457040000003E-2</v>
      </c>
      <c r="V58" s="326">
        <f t="shared" si="15"/>
        <v>2.4451457040000003E-2</v>
      </c>
      <c r="W58" s="326">
        <f t="shared" si="15"/>
        <v>2.4451457040000003E-2</v>
      </c>
      <c r="X58" s="326">
        <f t="shared" si="15"/>
        <v>2.4451457040000003E-2</v>
      </c>
      <c r="Y58" s="326"/>
      <c r="Z58" s="326"/>
      <c r="AA58" s="326"/>
    </row>
    <row r="59" spans="2:32" s="23" customFormat="1" ht="14.35" customHeight="1">
      <c r="B59" s="24">
        <v>45107</v>
      </c>
      <c r="C59" s="412">
        <v>0.58976914380480006</v>
      </c>
      <c r="D59" s="124">
        <v>6</v>
      </c>
      <c r="E59" s="125">
        <f t="shared" si="16"/>
        <v>24</v>
      </c>
      <c r="F59" s="126">
        <f t="shared" si="17"/>
        <v>47299</v>
      </c>
      <c r="G59" s="445"/>
      <c r="H59" s="325"/>
      <c r="I59" s="326"/>
      <c r="J59" s="326">
        <f>$C59/$E59</f>
        <v>2.4573714325200002E-2</v>
      </c>
      <c r="K59" s="326">
        <f t="shared" si="15"/>
        <v>2.4573714325200002E-2</v>
      </c>
      <c r="L59" s="326">
        <f t="shared" si="15"/>
        <v>2.4573714325200002E-2</v>
      </c>
      <c r="M59" s="326">
        <f t="shared" si="15"/>
        <v>2.4573714325200002E-2</v>
      </c>
      <c r="N59" s="326">
        <f t="shared" si="15"/>
        <v>2.4573714325200002E-2</v>
      </c>
      <c r="O59" s="326">
        <f t="shared" si="15"/>
        <v>2.4573714325200002E-2</v>
      </c>
      <c r="P59" s="326">
        <f t="shared" si="15"/>
        <v>2.4573714325200002E-2</v>
      </c>
      <c r="Q59" s="326">
        <f t="shared" si="15"/>
        <v>2.4573714325200002E-2</v>
      </c>
      <c r="R59" s="326">
        <f t="shared" si="15"/>
        <v>2.4573714325200002E-2</v>
      </c>
      <c r="S59" s="326">
        <f t="shared" si="15"/>
        <v>2.4573714325200002E-2</v>
      </c>
      <c r="T59" s="326">
        <f t="shared" si="15"/>
        <v>2.4573714325200002E-2</v>
      </c>
      <c r="U59" s="326">
        <f t="shared" si="15"/>
        <v>2.4573714325200002E-2</v>
      </c>
      <c r="V59" s="326">
        <f t="shared" si="15"/>
        <v>2.4573714325200002E-2</v>
      </c>
      <c r="W59" s="326">
        <f t="shared" si="15"/>
        <v>2.4573714325200002E-2</v>
      </c>
      <c r="X59" s="326">
        <f t="shared" si="15"/>
        <v>2.4573714325200002E-2</v>
      </c>
      <c r="Y59" s="326">
        <f t="shared" ref="Y59:AA74" si="18">$C59/$E59</f>
        <v>2.4573714325200002E-2</v>
      </c>
      <c r="Z59" s="326"/>
      <c r="AA59" s="326"/>
    </row>
    <row r="60" spans="2:32" s="23" customFormat="1" ht="14.35" customHeight="1">
      <c r="B60" s="24">
        <v>45199</v>
      </c>
      <c r="C60" s="412">
        <v>0.59271798952382404</v>
      </c>
      <c r="D60" s="124">
        <v>6</v>
      </c>
      <c r="E60" s="125">
        <f t="shared" si="16"/>
        <v>24</v>
      </c>
      <c r="F60" s="126">
        <f t="shared" si="17"/>
        <v>47391</v>
      </c>
      <c r="G60" s="356"/>
      <c r="H60" s="325"/>
      <c r="I60" s="326"/>
      <c r="J60" s="326"/>
      <c r="K60" s="326">
        <f>$C60/$E60</f>
        <v>2.4696582896826001E-2</v>
      </c>
      <c r="L60" s="326">
        <f t="shared" si="15"/>
        <v>2.4696582896826001E-2</v>
      </c>
      <c r="M60" s="326">
        <f t="shared" si="15"/>
        <v>2.4696582896826001E-2</v>
      </c>
      <c r="N60" s="326">
        <f t="shared" si="15"/>
        <v>2.4696582896826001E-2</v>
      </c>
      <c r="O60" s="326">
        <f t="shared" si="15"/>
        <v>2.4696582896826001E-2</v>
      </c>
      <c r="P60" s="326">
        <f t="shared" si="15"/>
        <v>2.4696582896826001E-2</v>
      </c>
      <c r="Q60" s="326">
        <f t="shared" si="15"/>
        <v>2.4696582896826001E-2</v>
      </c>
      <c r="R60" s="326">
        <f t="shared" si="15"/>
        <v>2.4696582896826001E-2</v>
      </c>
      <c r="S60" s="326">
        <f t="shared" si="15"/>
        <v>2.4696582896826001E-2</v>
      </c>
      <c r="T60" s="326">
        <f t="shared" si="15"/>
        <v>2.4696582896826001E-2</v>
      </c>
      <c r="U60" s="326">
        <f t="shared" si="15"/>
        <v>2.4696582896826001E-2</v>
      </c>
      <c r="V60" s="326">
        <f t="shared" si="15"/>
        <v>2.4696582896826001E-2</v>
      </c>
      <c r="W60" s="326">
        <f t="shared" si="15"/>
        <v>2.4696582896826001E-2</v>
      </c>
      <c r="X60" s="326">
        <f t="shared" si="15"/>
        <v>2.4696582896826001E-2</v>
      </c>
      <c r="Y60" s="326">
        <f t="shared" si="18"/>
        <v>2.4696582896826001E-2</v>
      </c>
      <c r="Z60" s="326">
        <f t="shared" si="18"/>
        <v>2.4696582896826001E-2</v>
      </c>
      <c r="AA60" s="326"/>
      <c r="AB60" s="43"/>
    </row>
    <row r="61" spans="2:32" s="23" customFormat="1" ht="14.35" customHeight="1">
      <c r="B61" s="24">
        <v>45291</v>
      </c>
      <c r="C61" s="412">
        <v>0.59568157947144318</v>
      </c>
      <c r="D61" s="124">
        <v>6</v>
      </c>
      <c r="E61" s="125">
        <f t="shared" si="16"/>
        <v>24</v>
      </c>
      <c r="F61" s="126">
        <f t="shared" si="17"/>
        <v>47483</v>
      </c>
      <c r="G61" s="445"/>
      <c r="H61" s="325"/>
      <c r="I61" s="326"/>
      <c r="J61" s="326"/>
      <c r="K61" s="326"/>
      <c r="L61" s="326">
        <f>$C61/$E61</f>
        <v>2.4820065811310132E-2</v>
      </c>
      <c r="M61" s="326">
        <f t="shared" si="15"/>
        <v>2.4820065811310132E-2</v>
      </c>
      <c r="N61" s="326">
        <f t="shared" si="15"/>
        <v>2.4820065811310132E-2</v>
      </c>
      <c r="O61" s="326">
        <f t="shared" si="15"/>
        <v>2.4820065811310132E-2</v>
      </c>
      <c r="P61" s="326">
        <f t="shared" si="15"/>
        <v>2.4820065811310132E-2</v>
      </c>
      <c r="Q61" s="326">
        <f t="shared" si="15"/>
        <v>2.4820065811310132E-2</v>
      </c>
      <c r="R61" s="326">
        <f t="shared" si="15"/>
        <v>2.4820065811310132E-2</v>
      </c>
      <c r="S61" s="326">
        <f t="shared" si="15"/>
        <v>2.4820065811310132E-2</v>
      </c>
      <c r="T61" s="326">
        <f t="shared" si="15"/>
        <v>2.4820065811310132E-2</v>
      </c>
      <c r="U61" s="326">
        <f t="shared" si="15"/>
        <v>2.4820065811310132E-2</v>
      </c>
      <c r="V61" s="326">
        <f t="shared" si="15"/>
        <v>2.4820065811310132E-2</v>
      </c>
      <c r="W61" s="326">
        <f t="shared" si="15"/>
        <v>2.4820065811310132E-2</v>
      </c>
      <c r="X61" s="326">
        <f t="shared" si="15"/>
        <v>2.4820065811310132E-2</v>
      </c>
      <c r="Y61" s="326">
        <f t="shared" si="18"/>
        <v>2.4820065811310132E-2</v>
      </c>
      <c r="Z61" s="326">
        <f t="shared" si="18"/>
        <v>2.4820065811310132E-2</v>
      </c>
      <c r="AA61" s="326">
        <f t="shared" si="18"/>
        <v>2.4820065811310132E-2</v>
      </c>
      <c r="AB61" s="43"/>
      <c r="AC61" s="43"/>
    </row>
    <row r="62" spans="2:32" s="23" customFormat="1" ht="14.35" customHeight="1">
      <c r="B62" s="24">
        <v>45382</v>
      </c>
      <c r="C62" s="412">
        <v>0.59865998736880044</v>
      </c>
      <c r="D62" s="124">
        <v>6</v>
      </c>
      <c r="E62" s="125">
        <f t="shared" si="16"/>
        <v>24</v>
      </c>
      <c r="F62" s="126">
        <f t="shared" si="17"/>
        <v>47573</v>
      </c>
      <c r="G62" s="445"/>
      <c r="H62" s="325"/>
      <c r="I62" s="326"/>
      <c r="J62" s="326"/>
      <c r="K62" s="326"/>
      <c r="L62" s="326"/>
      <c r="M62" s="326">
        <f>$C62/$E62</f>
        <v>2.4944166140366684E-2</v>
      </c>
      <c r="N62" s="326">
        <f t="shared" si="15"/>
        <v>2.4944166140366684E-2</v>
      </c>
      <c r="O62" s="326">
        <f t="shared" si="15"/>
        <v>2.4944166140366684E-2</v>
      </c>
      <c r="P62" s="326">
        <f t="shared" si="15"/>
        <v>2.4944166140366684E-2</v>
      </c>
      <c r="Q62" s="326">
        <f t="shared" si="15"/>
        <v>2.4944166140366684E-2</v>
      </c>
      <c r="R62" s="326">
        <f t="shared" si="15"/>
        <v>2.4944166140366684E-2</v>
      </c>
      <c r="S62" s="326">
        <f t="shared" si="15"/>
        <v>2.4944166140366684E-2</v>
      </c>
      <c r="T62" s="326">
        <f t="shared" si="15"/>
        <v>2.4944166140366684E-2</v>
      </c>
      <c r="U62" s="326">
        <f t="shared" si="15"/>
        <v>2.4944166140366684E-2</v>
      </c>
      <c r="V62" s="326">
        <f t="shared" si="15"/>
        <v>2.4944166140366684E-2</v>
      </c>
      <c r="W62" s="326">
        <f t="shared" si="15"/>
        <v>2.4944166140366684E-2</v>
      </c>
      <c r="X62" s="326">
        <f t="shared" si="15"/>
        <v>2.4944166140366684E-2</v>
      </c>
      <c r="Y62" s="326">
        <f t="shared" si="18"/>
        <v>2.4944166140366684E-2</v>
      </c>
      <c r="Z62" s="326">
        <f t="shared" si="18"/>
        <v>2.4944166140366684E-2</v>
      </c>
      <c r="AA62" s="326">
        <f t="shared" si="18"/>
        <v>2.4944166140366684E-2</v>
      </c>
      <c r="AB62" s="127"/>
      <c r="AC62" s="43"/>
      <c r="AD62" s="43"/>
    </row>
    <row r="63" spans="2:32" s="23" customFormat="1" ht="14.35" customHeight="1">
      <c r="B63" s="24">
        <v>45473</v>
      </c>
      <c r="C63" s="412">
        <v>0.60165328730564438</v>
      </c>
      <c r="D63" s="124">
        <v>6</v>
      </c>
      <c r="E63" s="125">
        <f t="shared" si="16"/>
        <v>24</v>
      </c>
      <c r="F63" s="126">
        <f t="shared" si="17"/>
        <v>47664</v>
      </c>
      <c r="G63" s="445"/>
      <c r="H63" s="325"/>
      <c r="I63" s="326"/>
      <c r="J63" s="326"/>
      <c r="K63" s="326"/>
      <c r="L63" s="326"/>
      <c r="M63" s="326"/>
      <c r="N63" s="326">
        <f>$C63/$E63</f>
        <v>2.5068886971068516E-2</v>
      </c>
      <c r="O63" s="326">
        <f t="shared" si="15"/>
        <v>2.5068886971068516E-2</v>
      </c>
      <c r="P63" s="326">
        <f t="shared" si="15"/>
        <v>2.5068886971068516E-2</v>
      </c>
      <c r="Q63" s="326">
        <f t="shared" si="15"/>
        <v>2.5068886971068516E-2</v>
      </c>
      <c r="R63" s="326">
        <f t="shared" si="15"/>
        <v>2.5068886971068516E-2</v>
      </c>
      <c r="S63" s="326">
        <f t="shared" si="15"/>
        <v>2.5068886971068516E-2</v>
      </c>
      <c r="T63" s="326">
        <f t="shared" si="15"/>
        <v>2.5068886971068516E-2</v>
      </c>
      <c r="U63" s="326">
        <f t="shared" si="15"/>
        <v>2.5068886971068516E-2</v>
      </c>
      <c r="V63" s="326">
        <f t="shared" si="15"/>
        <v>2.5068886971068516E-2</v>
      </c>
      <c r="W63" s="326">
        <f t="shared" si="15"/>
        <v>2.5068886971068516E-2</v>
      </c>
      <c r="X63" s="326">
        <f t="shared" si="15"/>
        <v>2.5068886971068516E-2</v>
      </c>
      <c r="Y63" s="326">
        <f t="shared" si="18"/>
        <v>2.5068886971068516E-2</v>
      </c>
      <c r="Z63" s="326">
        <f t="shared" si="18"/>
        <v>2.5068886971068516E-2</v>
      </c>
      <c r="AA63" s="326">
        <f t="shared" si="18"/>
        <v>2.5068886971068516E-2</v>
      </c>
      <c r="AB63" s="127"/>
      <c r="AC63" s="127"/>
      <c r="AD63" s="43"/>
      <c r="AE63" s="43"/>
    </row>
    <row r="64" spans="2:32" s="23" customFormat="1" ht="14.35" customHeight="1">
      <c r="B64" s="24">
        <v>45565</v>
      </c>
      <c r="C64" s="412">
        <v>0.60466155374217256</v>
      </c>
      <c r="D64" s="124">
        <v>6</v>
      </c>
      <c r="E64" s="125">
        <f t="shared" si="16"/>
        <v>24</v>
      </c>
      <c r="F64" s="126">
        <f t="shared" si="17"/>
        <v>47756</v>
      </c>
      <c r="G64" s="445"/>
      <c r="H64" s="325"/>
      <c r="I64" s="326"/>
      <c r="J64" s="326"/>
      <c r="K64" s="326"/>
      <c r="L64" s="326"/>
      <c r="M64" s="326"/>
      <c r="N64" s="326"/>
      <c r="O64" s="326">
        <f>$C64/$E64</f>
        <v>2.5194231405923858E-2</v>
      </c>
      <c r="P64" s="326">
        <f t="shared" si="15"/>
        <v>2.5194231405923858E-2</v>
      </c>
      <c r="Q64" s="326">
        <f t="shared" si="15"/>
        <v>2.5194231405923858E-2</v>
      </c>
      <c r="R64" s="326">
        <f t="shared" si="15"/>
        <v>2.5194231405923858E-2</v>
      </c>
      <c r="S64" s="326">
        <f t="shared" si="15"/>
        <v>2.5194231405923858E-2</v>
      </c>
      <c r="T64" s="326">
        <f t="shared" si="15"/>
        <v>2.5194231405923858E-2</v>
      </c>
      <c r="U64" s="326">
        <f t="shared" si="15"/>
        <v>2.5194231405923858E-2</v>
      </c>
      <c r="V64" s="326">
        <f t="shared" si="15"/>
        <v>2.5194231405923858E-2</v>
      </c>
      <c r="W64" s="326">
        <f t="shared" si="15"/>
        <v>2.5194231405923858E-2</v>
      </c>
      <c r="X64" s="326">
        <f t="shared" si="15"/>
        <v>2.5194231405923858E-2</v>
      </c>
      <c r="Y64" s="326">
        <f t="shared" si="18"/>
        <v>2.5194231405923858E-2</v>
      </c>
      <c r="Z64" s="326">
        <f t="shared" si="18"/>
        <v>2.5194231405923858E-2</v>
      </c>
      <c r="AA64" s="326">
        <f t="shared" si="18"/>
        <v>2.5194231405923858E-2</v>
      </c>
      <c r="AB64" s="127"/>
      <c r="AC64" s="127"/>
      <c r="AD64" s="127"/>
      <c r="AE64" s="43"/>
      <c r="AF64" s="43"/>
    </row>
    <row r="65" spans="2:43" s="23" customFormat="1" ht="14.35" customHeight="1">
      <c r="B65" s="24">
        <v>45657</v>
      </c>
      <c r="C65" s="412">
        <v>0.60768486151088341</v>
      </c>
      <c r="D65" s="124">
        <v>6</v>
      </c>
      <c r="E65" s="125">
        <f t="shared" si="16"/>
        <v>24</v>
      </c>
      <c r="F65" s="126">
        <f t="shared" si="17"/>
        <v>47848</v>
      </c>
      <c r="G65" s="445"/>
      <c r="H65" s="325"/>
      <c r="I65" s="326"/>
      <c r="J65" s="326"/>
      <c r="K65" s="326"/>
      <c r="L65" s="326"/>
      <c r="M65" s="326"/>
      <c r="N65" s="326"/>
      <c r="O65" s="326"/>
      <c r="P65" s="326">
        <f>$C65/$E65</f>
        <v>2.5320202562953475E-2</v>
      </c>
      <c r="Q65" s="326">
        <f t="shared" si="15"/>
        <v>2.5320202562953475E-2</v>
      </c>
      <c r="R65" s="326">
        <f t="shared" si="15"/>
        <v>2.5320202562953475E-2</v>
      </c>
      <c r="S65" s="326">
        <f t="shared" si="15"/>
        <v>2.5320202562953475E-2</v>
      </c>
      <c r="T65" s="326">
        <f t="shared" si="15"/>
        <v>2.5320202562953475E-2</v>
      </c>
      <c r="U65" s="326">
        <f t="shared" si="15"/>
        <v>2.5320202562953475E-2</v>
      </c>
      <c r="V65" s="326">
        <f t="shared" si="15"/>
        <v>2.5320202562953475E-2</v>
      </c>
      <c r="W65" s="326">
        <f t="shared" si="15"/>
        <v>2.5320202562953475E-2</v>
      </c>
      <c r="X65" s="326">
        <f t="shared" si="15"/>
        <v>2.5320202562953475E-2</v>
      </c>
      <c r="Y65" s="326">
        <f t="shared" si="18"/>
        <v>2.5320202562953475E-2</v>
      </c>
      <c r="Z65" s="326">
        <f t="shared" si="18"/>
        <v>2.5320202562953475E-2</v>
      </c>
      <c r="AA65" s="326">
        <f t="shared" si="18"/>
        <v>2.5320202562953475E-2</v>
      </c>
      <c r="AB65" s="127"/>
      <c r="AC65" s="127"/>
      <c r="AD65" s="127"/>
      <c r="AE65" s="127"/>
      <c r="AF65" s="43"/>
      <c r="AG65" s="43"/>
    </row>
    <row r="66" spans="2:43" s="23" customFormat="1" ht="14.35" customHeight="1">
      <c r="B66" s="24">
        <v>45747</v>
      </c>
      <c r="C66" s="412">
        <v>0.61072328581843793</v>
      </c>
      <c r="D66" s="124">
        <v>6</v>
      </c>
      <c r="E66" s="125">
        <f t="shared" si="16"/>
        <v>24</v>
      </c>
      <c r="F66" s="126">
        <f t="shared" si="17"/>
        <v>47938</v>
      </c>
      <c r="G66" s="445"/>
      <c r="H66" s="325"/>
      <c r="I66" s="326"/>
      <c r="J66" s="326"/>
      <c r="K66" s="326"/>
      <c r="L66" s="326"/>
      <c r="M66" s="326"/>
      <c r="N66" s="326"/>
      <c r="O66" s="326"/>
      <c r="P66" s="326"/>
      <c r="Q66" s="326">
        <f>$C66/$E66</f>
        <v>2.5446803575768246E-2</v>
      </c>
      <c r="R66" s="326">
        <f t="shared" si="15"/>
        <v>2.5446803575768246E-2</v>
      </c>
      <c r="S66" s="326">
        <f t="shared" si="15"/>
        <v>2.5446803575768246E-2</v>
      </c>
      <c r="T66" s="326">
        <f t="shared" si="15"/>
        <v>2.5446803575768246E-2</v>
      </c>
      <c r="U66" s="326">
        <f t="shared" si="15"/>
        <v>2.5446803575768246E-2</v>
      </c>
      <c r="V66" s="326">
        <f t="shared" si="15"/>
        <v>2.5446803575768246E-2</v>
      </c>
      <c r="W66" s="326">
        <f t="shared" si="15"/>
        <v>2.5446803575768246E-2</v>
      </c>
      <c r="X66" s="326">
        <f t="shared" si="15"/>
        <v>2.5446803575768246E-2</v>
      </c>
      <c r="Y66" s="326">
        <f t="shared" si="18"/>
        <v>2.5446803575768246E-2</v>
      </c>
      <c r="Z66" s="326">
        <f t="shared" si="18"/>
        <v>2.5446803575768246E-2</v>
      </c>
      <c r="AA66" s="326">
        <f t="shared" si="18"/>
        <v>2.5446803575768246E-2</v>
      </c>
      <c r="AB66" s="127"/>
      <c r="AC66" s="127"/>
      <c r="AD66" s="127"/>
      <c r="AE66" s="127"/>
      <c r="AF66" s="127"/>
    </row>
    <row r="67" spans="2:43" s="23" customFormat="1" ht="14.35" customHeight="1">
      <c r="B67" s="24">
        <v>45838</v>
      </c>
      <c r="C67" s="412">
        <v>0.61377690224753012</v>
      </c>
      <c r="D67" s="124">
        <v>6</v>
      </c>
      <c r="E67" s="125">
        <f t="shared" si="16"/>
        <v>24</v>
      </c>
      <c r="F67" s="126">
        <f t="shared" si="17"/>
        <v>48029</v>
      </c>
      <c r="G67" s="445"/>
      <c r="H67" s="325"/>
      <c r="I67" s="326"/>
      <c r="J67" s="326"/>
      <c r="K67" s="326"/>
      <c r="L67" s="326"/>
      <c r="M67" s="326"/>
      <c r="N67" s="326"/>
      <c r="O67" s="326"/>
      <c r="P67" s="326"/>
      <c r="Q67" s="326"/>
      <c r="R67" s="326">
        <f>$C67/$E67</f>
        <v>2.5574037593647087E-2</v>
      </c>
      <c r="S67" s="326">
        <f t="shared" si="15"/>
        <v>2.5574037593647087E-2</v>
      </c>
      <c r="T67" s="326">
        <f t="shared" si="15"/>
        <v>2.5574037593647087E-2</v>
      </c>
      <c r="U67" s="326">
        <f t="shared" si="15"/>
        <v>2.5574037593647087E-2</v>
      </c>
      <c r="V67" s="326">
        <f t="shared" si="15"/>
        <v>2.5574037593647087E-2</v>
      </c>
      <c r="W67" s="326">
        <f t="shared" si="15"/>
        <v>2.5574037593647087E-2</v>
      </c>
      <c r="X67" s="326">
        <f t="shared" si="15"/>
        <v>2.5574037593647087E-2</v>
      </c>
      <c r="Y67" s="326">
        <f t="shared" si="18"/>
        <v>2.5574037593647087E-2</v>
      </c>
      <c r="Z67" s="326">
        <f t="shared" si="18"/>
        <v>2.5574037593647087E-2</v>
      </c>
      <c r="AA67" s="326">
        <f t="shared" si="18"/>
        <v>2.5574037593647087E-2</v>
      </c>
      <c r="AB67" s="127"/>
      <c r="AC67" s="127"/>
      <c r="AD67" s="127"/>
      <c r="AE67" s="127"/>
      <c r="AF67" s="127"/>
      <c r="AG67" s="127"/>
    </row>
    <row r="68" spans="2:43" s="23" customFormat="1" ht="14.35" customHeight="1">
      <c r="B68" s="24">
        <v>45930</v>
      </c>
      <c r="C68" s="412">
        <v>0.61684578675876767</v>
      </c>
      <c r="D68" s="124">
        <v>6</v>
      </c>
      <c r="E68" s="125">
        <f t="shared" si="16"/>
        <v>24</v>
      </c>
      <c r="F68" s="126">
        <f t="shared" si="17"/>
        <v>48121</v>
      </c>
      <c r="G68" s="445"/>
      <c r="H68" s="325"/>
      <c r="I68" s="326"/>
      <c r="J68" s="326"/>
      <c r="K68" s="326"/>
      <c r="L68" s="326"/>
      <c r="M68" s="326"/>
      <c r="N68" s="326"/>
      <c r="O68" s="326"/>
      <c r="P68" s="326"/>
      <c r="Q68" s="326"/>
      <c r="R68" s="326"/>
      <c r="S68" s="326">
        <f>$C68/$E68</f>
        <v>2.5701907781615321E-2</v>
      </c>
      <c r="T68" s="326">
        <f t="shared" si="15"/>
        <v>2.5701907781615321E-2</v>
      </c>
      <c r="U68" s="326">
        <f t="shared" si="15"/>
        <v>2.5701907781615321E-2</v>
      </c>
      <c r="V68" s="326">
        <f t="shared" si="15"/>
        <v>2.5701907781615321E-2</v>
      </c>
      <c r="W68" s="326">
        <f t="shared" si="15"/>
        <v>2.5701907781615321E-2</v>
      </c>
      <c r="X68" s="326">
        <f t="shared" si="15"/>
        <v>2.5701907781615321E-2</v>
      </c>
      <c r="Y68" s="326">
        <f t="shared" si="18"/>
        <v>2.5701907781615321E-2</v>
      </c>
      <c r="Z68" s="326">
        <f t="shared" si="18"/>
        <v>2.5701907781615321E-2</v>
      </c>
      <c r="AA68" s="326">
        <f t="shared" si="18"/>
        <v>2.5701907781615321E-2</v>
      </c>
      <c r="AB68" s="127"/>
      <c r="AC68" s="127"/>
      <c r="AD68" s="127"/>
      <c r="AE68" s="127"/>
      <c r="AF68" s="127"/>
      <c r="AG68" s="127"/>
      <c r="AH68" s="127"/>
    </row>
    <row r="69" spans="2:43" s="23" customFormat="1" ht="14.35" customHeight="1">
      <c r="B69" s="24">
        <v>46022</v>
      </c>
      <c r="C69" s="412">
        <v>0.61993001569256156</v>
      </c>
      <c r="D69" s="124">
        <v>6</v>
      </c>
      <c r="E69" s="125">
        <f t="shared" si="16"/>
        <v>24</v>
      </c>
      <c r="F69" s="126">
        <f t="shared" si="17"/>
        <v>48213</v>
      </c>
      <c r="G69" s="445"/>
      <c r="H69" s="325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>
        <f>$C69/$E69</f>
        <v>2.5830417320523397E-2</v>
      </c>
      <c r="U69" s="326">
        <f t="shared" si="15"/>
        <v>2.5830417320523397E-2</v>
      </c>
      <c r="V69" s="326">
        <f t="shared" si="15"/>
        <v>2.5830417320523397E-2</v>
      </c>
      <c r="W69" s="326">
        <f t="shared" si="15"/>
        <v>2.5830417320523397E-2</v>
      </c>
      <c r="X69" s="326">
        <f t="shared" si="15"/>
        <v>2.5830417320523397E-2</v>
      </c>
      <c r="Y69" s="326">
        <f t="shared" si="18"/>
        <v>2.5830417320523397E-2</v>
      </c>
      <c r="Z69" s="326">
        <f t="shared" si="18"/>
        <v>2.5830417320523397E-2</v>
      </c>
      <c r="AA69" s="326">
        <f t="shared" si="18"/>
        <v>2.5830417320523397E-2</v>
      </c>
      <c r="AB69" s="127"/>
      <c r="AC69" s="127"/>
      <c r="AD69" s="127"/>
      <c r="AE69" s="127"/>
      <c r="AF69" s="127"/>
      <c r="AG69" s="127"/>
      <c r="AH69" s="127"/>
      <c r="AI69" s="127"/>
    </row>
    <row r="70" spans="2:43" s="23" customFormat="1" ht="14.35" customHeight="1">
      <c r="B70" s="24">
        <v>46112</v>
      </c>
      <c r="C70" s="412">
        <v>0.62302966577102425</v>
      </c>
      <c r="D70" s="124">
        <v>6</v>
      </c>
      <c r="E70" s="125">
        <f t="shared" si="16"/>
        <v>24</v>
      </c>
      <c r="F70" s="126">
        <f t="shared" si="17"/>
        <v>48304</v>
      </c>
      <c r="G70" s="445"/>
      <c r="H70" s="325"/>
      <c r="I70" s="326"/>
      <c r="J70" s="326"/>
      <c r="K70" s="326"/>
      <c r="L70" s="326"/>
      <c r="M70" s="326"/>
      <c r="N70" s="326"/>
      <c r="O70" s="326"/>
      <c r="P70" s="326"/>
      <c r="Q70" s="326"/>
      <c r="R70" s="326"/>
      <c r="S70" s="326"/>
      <c r="T70" s="326"/>
      <c r="U70" s="326">
        <f>$C70/$E70</f>
        <v>2.5959569407126012E-2</v>
      </c>
      <c r="V70" s="326">
        <f t="shared" si="15"/>
        <v>2.5959569407126012E-2</v>
      </c>
      <c r="W70" s="326">
        <f t="shared" si="15"/>
        <v>2.5959569407126012E-2</v>
      </c>
      <c r="X70" s="326">
        <f t="shared" si="15"/>
        <v>2.5959569407126012E-2</v>
      </c>
      <c r="Y70" s="326">
        <f t="shared" si="18"/>
        <v>2.5959569407126012E-2</v>
      </c>
      <c r="Z70" s="326">
        <f t="shared" si="18"/>
        <v>2.5959569407126012E-2</v>
      </c>
      <c r="AA70" s="326">
        <f t="shared" si="18"/>
        <v>2.5959569407126012E-2</v>
      </c>
      <c r="AB70" s="127"/>
      <c r="AC70" s="127"/>
      <c r="AD70" s="127"/>
      <c r="AE70" s="127"/>
      <c r="AF70" s="127"/>
      <c r="AG70" s="127"/>
      <c r="AH70" s="127"/>
      <c r="AI70" s="127"/>
      <c r="AJ70" s="127"/>
    </row>
    <row r="71" spans="2:43" s="23" customFormat="1" ht="14.35" customHeight="1">
      <c r="B71" s="24">
        <v>46203</v>
      </c>
      <c r="C71" s="412">
        <v>0.62614481409987932</v>
      </c>
      <c r="D71" s="124">
        <v>6</v>
      </c>
      <c r="E71" s="125">
        <f t="shared" si="16"/>
        <v>24</v>
      </c>
      <c r="F71" s="126">
        <f t="shared" si="17"/>
        <v>48395</v>
      </c>
      <c r="G71" s="445"/>
      <c r="H71" s="325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>
        <f>$C71/$E71</f>
        <v>2.6089367254161638E-2</v>
      </c>
      <c r="W71" s="326">
        <f t="shared" si="15"/>
        <v>2.6089367254161638E-2</v>
      </c>
      <c r="X71" s="326">
        <f t="shared" si="15"/>
        <v>2.6089367254161638E-2</v>
      </c>
      <c r="Y71" s="326">
        <f t="shared" si="18"/>
        <v>2.6089367254161638E-2</v>
      </c>
      <c r="Z71" s="326">
        <f t="shared" si="18"/>
        <v>2.6089367254161638E-2</v>
      </c>
      <c r="AA71" s="326">
        <f t="shared" si="18"/>
        <v>2.6089367254161638E-2</v>
      </c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</row>
    <row r="72" spans="2:43" s="23" customFormat="1" ht="14.35" customHeight="1">
      <c r="B72" s="24">
        <v>46295</v>
      </c>
      <c r="C72" s="412">
        <v>0.62927553817037873</v>
      </c>
      <c r="D72" s="124">
        <v>6</v>
      </c>
      <c r="E72" s="125">
        <f t="shared" si="16"/>
        <v>24</v>
      </c>
      <c r="F72" s="126">
        <f t="shared" si="17"/>
        <v>48487</v>
      </c>
      <c r="G72" s="445"/>
      <c r="H72" s="325"/>
      <c r="I72" s="326"/>
      <c r="J72" s="326"/>
      <c r="K72" s="326"/>
      <c r="L72" s="326"/>
      <c r="M72" s="326"/>
      <c r="N72" s="326"/>
      <c r="O72" s="326"/>
      <c r="P72" s="326"/>
      <c r="Q72" s="326"/>
      <c r="R72" s="326"/>
      <c r="S72" s="326"/>
      <c r="T72" s="326"/>
      <c r="U72" s="326"/>
      <c r="V72" s="326"/>
      <c r="W72" s="326">
        <f>$C72/$E72</f>
        <v>2.6219814090432447E-2</v>
      </c>
      <c r="X72" s="326">
        <f t="shared" si="15"/>
        <v>2.6219814090432447E-2</v>
      </c>
      <c r="Y72" s="326">
        <f t="shared" si="18"/>
        <v>2.6219814090432447E-2</v>
      </c>
      <c r="Z72" s="326">
        <f t="shared" si="18"/>
        <v>2.6219814090432447E-2</v>
      </c>
      <c r="AA72" s="326">
        <f t="shared" si="18"/>
        <v>2.6219814090432447E-2</v>
      </c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</row>
    <row r="73" spans="2:43" s="23" customFormat="1" ht="14.35" customHeight="1">
      <c r="B73" s="24">
        <v>46387</v>
      </c>
      <c r="C73" s="412">
        <v>0.63242191586123064</v>
      </c>
      <c r="D73" s="124">
        <v>6</v>
      </c>
      <c r="E73" s="125">
        <f t="shared" si="16"/>
        <v>24</v>
      </c>
      <c r="F73" s="126">
        <f t="shared" si="17"/>
        <v>48579</v>
      </c>
      <c r="G73" s="445"/>
      <c r="H73" s="325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  <c r="W73" s="326"/>
      <c r="X73" s="326">
        <f>$C73/$E73</f>
        <v>2.6350913160884611E-2</v>
      </c>
      <c r="Y73" s="326">
        <f t="shared" si="15"/>
        <v>2.6350913160884611E-2</v>
      </c>
      <c r="Z73" s="326">
        <f t="shared" si="18"/>
        <v>2.6350913160884611E-2</v>
      </c>
      <c r="AA73" s="326">
        <f t="shared" si="18"/>
        <v>2.6350913160884611E-2</v>
      </c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</row>
    <row r="74" spans="2:43" s="23" customFormat="1" ht="14.35" customHeight="1">
      <c r="B74" s="24">
        <v>46477</v>
      </c>
      <c r="C74" s="412">
        <v>0.63558402544053683</v>
      </c>
      <c r="D74" s="124">
        <v>6</v>
      </c>
      <c r="E74" s="125">
        <f t="shared" si="16"/>
        <v>24</v>
      </c>
      <c r="F74" s="126">
        <f t="shared" si="17"/>
        <v>48669</v>
      </c>
      <c r="G74" s="445"/>
      <c r="H74" s="325"/>
      <c r="I74" s="326"/>
      <c r="J74" s="326"/>
      <c r="K74" s="326"/>
      <c r="L74" s="326"/>
      <c r="M74" s="326"/>
      <c r="N74" s="326"/>
      <c r="O74" s="326"/>
      <c r="P74" s="326"/>
      <c r="Q74" s="326"/>
      <c r="R74" s="326"/>
      <c r="S74" s="326"/>
      <c r="T74" s="326"/>
      <c r="U74" s="326"/>
      <c r="V74" s="326"/>
      <c r="W74" s="326"/>
      <c r="X74" s="326"/>
      <c r="Y74" s="326">
        <f>$C74/$E74</f>
        <v>2.6482667726689033E-2</v>
      </c>
      <c r="Z74" s="326">
        <f t="shared" si="15"/>
        <v>2.6482667726689033E-2</v>
      </c>
      <c r="AA74" s="326">
        <f t="shared" si="18"/>
        <v>2.6482667726689033E-2</v>
      </c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127"/>
    </row>
    <row r="75" spans="2:43" s="23" customFormat="1" ht="14.35" customHeight="1">
      <c r="B75" s="24">
        <v>46568</v>
      </c>
      <c r="C75" s="412">
        <v>0.63876194556773946</v>
      </c>
      <c r="D75" s="124">
        <v>6</v>
      </c>
      <c r="E75" s="125">
        <f t="shared" si="16"/>
        <v>24</v>
      </c>
      <c r="F75" s="126">
        <f t="shared" si="17"/>
        <v>48760</v>
      </c>
      <c r="G75" s="445"/>
      <c r="H75" s="325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  <c r="W75" s="326"/>
      <c r="X75" s="326"/>
      <c r="Y75" s="326"/>
      <c r="Z75" s="326">
        <f>$C75/$E75</f>
        <v>2.6615081065322479E-2</v>
      </c>
      <c r="AA75" s="326">
        <f t="shared" si="15"/>
        <v>2.6615081065322479E-2</v>
      </c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127"/>
      <c r="AO75" s="127"/>
    </row>
    <row r="76" spans="2:43" s="23" customFormat="1" ht="14.35" customHeight="1">
      <c r="B76" s="24">
        <v>46660</v>
      </c>
      <c r="C76" s="412">
        <v>0.64195575529557813</v>
      </c>
      <c r="D76" s="124">
        <v>6</v>
      </c>
      <c r="E76" s="125">
        <f t="shared" si="16"/>
        <v>24</v>
      </c>
      <c r="F76" s="126">
        <f t="shared" si="17"/>
        <v>48852</v>
      </c>
      <c r="G76" s="445"/>
      <c r="H76" s="325"/>
      <c r="I76" s="326"/>
      <c r="J76" s="326"/>
      <c r="K76" s="326"/>
      <c r="L76" s="326"/>
      <c r="M76" s="326"/>
      <c r="N76" s="326"/>
      <c r="O76" s="326"/>
      <c r="P76" s="326"/>
      <c r="Q76" s="326"/>
      <c r="R76" s="326"/>
      <c r="S76" s="326"/>
      <c r="T76" s="326"/>
      <c r="U76" s="326"/>
      <c r="V76" s="326"/>
      <c r="W76" s="326"/>
      <c r="X76" s="326"/>
      <c r="Y76" s="326"/>
      <c r="Z76" s="326"/>
      <c r="AA76" s="326">
        <f>$C76/$E76</f>
        <v>2.6748156470649088E-2</v>
      </c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127"/>
      <c r="AO76" s="127"/>
      <c r="AP76" s="127"/>
    </row>
    <row r="77" spans="2:43" s="23" customFormat="1" ht="14.35" customHeight="1">
      <c r="B77" s="24">
        <v>46752</v>
      </c>
      <c r="C77" s="412">
        <v>0.64516553407205601</v>
      </c>
      <c r="D77" s="124">
        <v>6</v>
      </c>
      <c r="E77" s="125">
        <f t="shared" si="16"/>
        <v>24</v>
      </c>
      <c r="F77" s="126">
        <f t="shared" si="17"/>
        <v>48944</v>
      </c>
      <c r="G77" s="445"/>
      <c r="H77" s="325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  <c r="W77" s="326"/>
      <c r="X77" s="326"/>
      <c r="Y77" s="326"/>
      <c r="Z77" s="326"/>
      <c r="AA77" s="326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127"/>
      <c r="AO77" s="127"/>
      <c r="AP77" s="127"/>
      <c r="AQ77" s="127"/>
    </row>
    <row r="78" spans="2:43" s="23" customFormat="1" ht="14.35" customHeight="1">
      <c r="B78" s="55" t="s">
        <v>112</v>
      </c>
      <c r="C78" s="128"/>
      <c r="D78" s="128"/>
      <c r="E78" s="128"/>
      <c r="F78" s="128"/>
      <c r="G78" s="446"/>
      <c r="H78" s="368">
        <f>SUM(H57:H77)</f>
        <v>0.24628822316032165</v>
      </c>
      <c r="I78" s="358">
        <f t="shared" ref="I78:AA78" si="19">SUM(I57:I77)</f>
        <v>0.27073968020032163</v>
      </c>
      <c r="J78" s="358">
        <f t="shared" si="19"/>
        <v>0.29531339452552163</v>
      </c>
      <c r="K78" s="358">
        <f t="shared" si="19"/>
        <v>0.32000997742234766</v>
      </c>
      <c r="L78" s="358">
        <f t="shared" si="19"/>
        <v>0.34483004323365779</v>
      </c>
      <c r="M78" s="358">
        <f t="shared" si="19"/>
        <v>0.3697742093740245</v>
      </c>
      <c r="N78" s="358">
        <f t="shared" si="19"/>
        <v>0.39484309634509301</v>
      </c>
      <c r="O78" s="358">
        <f t="shared" si="19"/>
        <v>0.42003732775101688</v>
      </c>
      <c r="P78" s="358">
        <f t="shared" si="19"/>
        <v>0.44535753031397035</v>
      </c>
      <c r="Q78" s="358">
        <f t="shared" si="19"/>
        <v>0.47080433388973858</v>
      </c>
      <c r="R78" s="358">
        <f t="shared" si="19"/>
        <v>0.49637837148338565</v>
      </c>
      <c r="S78" s="358">
        <f t="shared" si="19"/>
        <v>0.522080279265001</v>
      </c>
      <c r="T78" s="358">
        <f t="shared" si="19"/>
        <v>0.54791069658552438</v>
      </c>
      <c r="U78" s="358">
        <f t="shared" si="19"/>
        <v>0.57387026599265034</v>
      </c>
      <c r="V78" s="358">
        <f t="shared" si="19"/>
        <v>0.59995963324681201</v>
      </c>
      <c r="W78" s="358">
        <f t="shared" si="19"/>
        <v>0.6261794473372444</v>
      </c>
      <c r="X78" s="358">
        <f t="shared" si="19"/>
        <v>0.40624213733780745</v>
      </c>
      <c r="Y78" s="358">
        <f t="shared" si="19"/>
        <v>0.40827334802449644</v>
      </c>
      <c r="Z78" s="358">
        <f t="shared" si="19"/>
        <v>0.41031471476461895</v>
      </c>
      <c r="AA78" s="358">
        <f t="shared" si="19"/>
        <v>0.41236628833844208</v>
      </c>
    </row>
    <row r="79" spans="2:43" s="23" customFormat="1" ht="14.35" customHeight="1">
      <c r="B79" s="24"/>
      <c r="C79" s="45"/>
      <c r="D79" s="45"/>
      <c r="E79" s="45"/>
      <c r="F79" s="45"/>
      <c r="G79" s="445"/>
      <c r="H79" s="447"/>
      <c r="I79" s="414"/>
      <c r="J79" s="414"/>
      <c r="K79" s="414"/>
      <c r="L79" s="326"/>
      <c r="M79" s="326"/>
      <c r="N79" s="326"/>
      <c r="O79" s="326"/>
      <c r="P79" s="414"/>
      <c r="Q79" s="385"/>
      <c r="R79" s="385"/>
      <c r="S79" s="385"/>
      <c r="T79" s="385"/>
      <c r="U79" s="385"/>
      <c r="V79" s="385"/>
      <c r="W79" s="385"/>
      <c r="X79" s="385"/>
      <c r="Y79" s="385"/>
      <c r="Z79" s="326"/>
      <c r="AA79" s="326"/>
    </row>
    <row r="80" spans="2:43" s="23" customFormat="1" ht="14.35" customHeight="1">
      <c r="B80" s="24"/>
      <c r="C80" s="45"/>
      <c r="D80" s="45"/>
      <c r="E80" s="45"/>
      <c r="F80" s="45"/>
      <c r="G80" s="445"/>
      <c r="H80" s="447"/>
      <c r="I80" s="414"/>
      <c r="J80" s="414"/>
      <c r="K80" s="414"/>
      <c r="L80" s="326"/>
      <c r="M80" s="326"/>
      <c r="N80" s="326"/>
      <c r="O80" s="326"/>
      <c r="P80" s="414"/>
      <c r="Q80" s="385"/>
      <c r="R80" s="385"/>
      <c r="S80" s="385"/>
      <c r="T80" s="385"/>
      <c r="U80" s="385"/>
      <c r="V80" s="385"/>
      <c r="W80" s="385"/>
      <c r="X80" s="385"/>
      <c r="Y80" s="385"/>
      <c r="Z80" s="326"/>
      <c r="AA80" s="326"/>
    </row>
    <row r="81" spans="2:27" s="23" customFormat="1" ht="14.35" customHeight="1">
      <c r="B81" s="24"/>
      <c r="C81" s="45"/>
      <c r="D81" s="45"/>
      <c r="E81" s="45"/>
      <c r="F81" s="45"/>
      <c r="G81" s="445"/>
      <c r="H81" s="447"/>
      <c r="I81" s="414"/>
      <c r="J81" s="414"/>
      <c r="K81" s="414"/>
      <c r="L81" s="326"/>
      <c r="M81" s="326"/>
      <c r="N81" s="326"/>
      <c r="O81" s="326"/>
      <c r="P81" s="414"/>
      <c r="Q81" s="385"/>
      <c r="R81" s="385"/>
      <c r="S81" s="385"/>
      <c r="T81" s="385"/>
      <c r="U81" s="385"/>
      <c r="V81" s="385"/>
      <c r="W81" s="385"/>
      <c r="X81" s="385"/>
      <c r="Y81" s="385"/>
      <c r="Z81" s="326"/>
      <c r="AA81" s="326"/>
    </row>
    <row r="82" spans="2:27" s="23" customFormat="1" ht="14.35" customHeight="1">
      <c r="B82" s="24"/>
      <c r="C82" s="45"/>
      <c r="D82" s="45"/>
      <c r="E82" s="45"/>
      <c r="F82" s="45"/>
      <c r="G82" s="445"/>
      <c r="H82" s="447"/>
      <c r="I82" s="414"/>
      <c r="J82" s="414"/>
      <c r="K82" s="414"/>
      <c r="L82" s="326"/>
      <c r="M82" s="326"/>
      <c r="N82" s="326"/>
      <c r="O82" s="326"/>
      <c r="P82" s="414"/>
      <c r="Q82" s="385"/>
      <c r="R82" s="385"/>
      <c r="S82" s="385"/>
      <c r="T82" s="385"/>
      <c r="U82" s="385"/>
      <c r="V82" s="385"/>
      <c r="W82" s="385"/>
      <c r="X82" s="385"/>
      <c r="Y82" s="385"/>
      <c r="Z82" s="326"/>
      <c r="AA82" s="326"/>
    </row>
    <row r="83" spans="2:27" s="23" customFormat="1" ht="14.35" customHeight="1">
      <c r="B83" s="24"/>
      <c r="C83" s="45"/>
      <c r="D83" s="45"/>
      <c r="E83" s="45"/>
      <c r="F83" s="45"/>
      <c r="G83" s="445"/>
      <c r="H83" s="447"/>
      <c r="I83" s="414"/>
      <c r="J83" s="414"/>
      <c r="K83" s="414"/>
      <c r="L83" s="326"/>
      <c r="M83" s="326"/>
      <c r="N83" s="326"/>
      <c r="O83" s="326"/>
      <c r="P83" s="414"/>
      <c r="Q83" s="385"/>
      <c r="R83" s="385"/>
      <c r="S83" s="385"/>
      <c r="T83" s="385"/>
      <c r="U83" s="385"/>
      <c r="V83" s="385"/>
      <c r="W83" s="385"/>
      <c r="X83" s="385"/>
      <c r="Y83" s="385"/>
      <c r="Z83" s="326"/>
      <c r="AA83" s="326"/>
    </row>
    <row r="84" spans="2:27" s="23" customFormat="1" ht="14.35" customHeight="1">
      <c r="B84" s="24"/>
      <c r="C84" s="45"/>
      <c r="D84" s="45"/>
      <c r="E84" s="45"/>
      <c r="F84" s="45"/>
      <c r="G84" s="168"/>
      <c r="H84" s="169"/>
      <c r="L84" s="43"/>
      <c r="M84" s="43"/>
      <c r="N84" s="43"/>
      <c r="O84" s="43"/>
      <c r="Q84" s="42"/>
      <c r="R84" s="42"/>
      <c r="S84" s="42"/>
      <c r="T84" s="42"/>
      <c r="U84" s="42"/>
      <c r="V84" s="42"/>
      <c r="W84" s="42"/>
      <c r="X84" s="42"/>
      <c r="Y84" s="42"/>
      <c r="Z84" s="43"/>
      <c r="AA84" s="43"/>
    </row>
    <row r="85" spans="2:27" s="23" customFormat="1" ht="14.35" customHeight="1">
      <c r="B85" s="24"/>
      <c r="C85" s="45"/>
      <c r="D85" s="45"/>
      <c r="E85" s="45"/>
      <c r="F85" s="45"/>
      <c r="G85" s="168"/>
      <c r="H85" s="169"/>
      <c r="L85" s="43"/>
      <c r="M85" s="43"/>
      <c r="N85" s="43"/>
      <c r="O85" s="43"/>
      <c r="Q85" s="42"/>
      <c r="R85" s="42"/>
      <c r="S85" s="42"/>
      <c r="T85" s="42"/>
      <c r="U85" s="42"/>
      <c r="V85" s="42"/>
      <c r="W85" s="42"/>
      <c r="X85" s="42"/>
      <c r="Y85" s="42"/>
      <c r="Z85" s="43"/>
      <c r="AA85" s="43"/>
    </row>
  </sheetData>
  <pageMargins left="0.7" right="0.7" top="0.75" bottom="0.75" header="0.3" footer="0.3"/>
  <pageSetup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D025-F029-41BF-B3A5-B966309D175D}">
  <dimension ref="B1:AH112"/>
  <sheetViews>
    <sheetView showGridLines="0" zoomScale="130" zoomScaleNormal="130" zoomScaleSheetLayoutView="13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ColWidth="9.1328125" defaultRowHeight="13.15"/>
  <cols>
    <col min="1" max="1" width="4.1328125" style="1" customWidth="1"/>
    <col min="2" max="2" width="28.796875" style="2" customWidth="1"/>
    <col min="3" max="13" width="7.796875" style="2" customWidth="1"/>
    <col min="14" max="14" width="7.796875" style="62" customWidth="1"/>
    <col min="15" max="15" width="8.86328125" style="70" customWidth="1"/>
    <col min="16" max="34" width="8.86328125" style="1" customWidth="1"/>
    <col min="35" max="16384" width="9.1328125" style="1"/>
  </cols>
  <sheetData>
    <row r="1" spans="2:34" s="2" customFormat="1">
      <c r="B1" s="7"/>
      <c r="N1" s="62"/>
      <c r="O1" s="70"/>
    </row>
    <row r="2" spans="2:34" s="148" customFormat="1">
      <c r="B2" s="3" t="s">
        <v>134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64"/>
      <c r="O2" s="65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88" t="s">
        <v>253</v>
      </c>
    </row>
    <row r="3" spans="2:34" s="2" customFormat="1">
      <c r="B3" s="4"/>
      <c r="C3" s="130">
        <f t="shared" ref="C3:N3" si="0">YEAR(C4)</f>
        <v>2020</v>
      </c>
      <c r="D3" s="130">
        <f t="shared" si="0"/>
        <v>2020</v>
      </c>
      <c r="E3" s="130">
        <f t="shared" si="0"/>
        <v>2020</v>
      </c>
      <c r="F3" s="130">
        <f t="shared" si="0"/>
        <v>2020</v>
      </c>
      <c r="G3" s="130">
        <f t="shared" si="0"/>
        <v>2021</v>
      </c>
      <c r="H3" s="130">
        <f t="shared" si="0"/>
        <v>2021</v>
      </c>
      <c r="I3" s="130">
        <f t="shared" si="0"/>
        <v>2021</v>
      </c>
      <c r="J3" s="130">
        <f t="shared" si="0"/>
        <v>2021</v>
      </c>
      <c r="K3" s="130">
        <f t="shared" si="0"/>
        <v>2022</v>
      </c>
      <c r="L3" s="130">
        <f t="shared" si="0"/>
        <v>2022</v>
      </c>
      <c r="M3" s="130">
        <f t="shared" si="0"/>
        <v>2022</v>
      </c>
      <c r="N3" s="270">
        <f t="shared" si="0"/>
        <v>2022</v>
      </c>
      <c r="O3" s="194">
        <f t="shared" ref="O3" si="1">YEAR(O4)</f>
        <v>2023</v>
      </c>
      <c r="P3" s="192">
        <f t="shared" ref="P3" si="2">YEAR(P4)</f>
        <v>2023</v>
      </c>
      <c r="Q3" s="192">
        <f t="shared" ref="Q3" si="3">YEAR(Q4)</f>
        <v>2023</v>
      </c>
      <c r="R3" s="192">
        <f t="shared" ref="R3" si="4">YEAR(R4)</f>
        <v>2023</v>
      </c>
      <c r="S3" s="192">
        <f t="shared" ref="S3" si="5">YEAR(S4)</f>
        <v>2024</v>
      </c>
      <c r="T3" s="192">
        <f t="shared" ref="T3" si="6">YEAR(T4)</f>
        <v>2024</v>
      </c>
      <c r="U3" s="192">
        <f t="shared" ref="U3" si="7">YEAR(U4)</f>
        <v>2024</v>
      </c>
      <c r="V3" s="192">
        <f t="shared" ref="V3" si="8">YEAR(V4)</f>
        <v>2024</v>
      </c>
      <c r="W3" s="192">
        <f t="shared" ref="W3" si="9">YEAR(W4)</f>
        <v>2025</v>
      </c>
      <c r="X3" s="192">
        <f t="shared" ref="X3" si="10">YEAR(X4)</f>
        <v>2025</v>
      </c>
      <c r="Y3" s="192">
        <f t="shared" ref="Y3" si="11">YEAR(Y4)</f>
        <v>2025</v>
      </c>
      <c r="Z3" s="192">
        <f t="shared" ref="Z3" si="12">YEAR(Z4)</f>
        <v>2025</v>
      </c>
      <c r="AA3" s="192">
        <f t="shared" ref="AA3" si="13">YEAR(AA4)</f>
        <v>2026</v>
      </c>
      <c r="AB3" s="192">
        <f t="shared" ref="AB3" si="14">YEAR(AB4)</f>
        <v>2026</v>
      </c>
      <c r="AC3" s="192">
        <f t="shared" ref="AC3" si="15">YEAR(AC4)</f>
        <v>2026</v>
      </c>
      <c r="AD3" s="192">
        <f t="shared" ref="AD3" si="16">YEAR(AD4)</f>
        <v>2026</v>
      </c>
      <c r="AE3" s="192">
        <f t="shared" ref="AE3" si="17">YEAR(AE4)</f>
        <v>2027</v>
      </c>
      <c r="AF3" s="192">
        <f t="shared" ref="AF3" si="18">YEAR(AF4)</f>
        <v>2027</v>
      </c>
      <c r="AG3" s="192">
        <f t="shared" ref="AG3" si="19">YEAR(AG4)</f>
        <v>2027</v>
      </c>
      <c r="AH3" s="192">
        <f t="shared" ref="AH3" si="20">YEAR(AH4)</f>
        <v>2027</v>
      </c>
    </row>
    <row r="4" spans="2:34" s="148" customFormat="1">
      <c r="B4" s="287"/>
      <c r="C4" s="53">
        <f>'ARR Waterfall'!C4</f>
        <v>43921</v>
      </c>
      <c r="D4" s="21">
        <f t="shared" ref="D4:N4" si="21">EOMONTH(C4, 3)</f>
        <v>44012</v>
      </c>
      <c r="E4" s="21">
        <f t="shared" si="21"/>
        <v>44104</v>
      </c>
      <c r="F4" s="21">
        <f t="shared" si="21"/>
        <v>44196</v>
      </c>
      <c r="G4" s="21">
        <f t="shared" si="21"/>
        <v>44286</v>
      </c>
      <c r="H4" s="21">
        <f t="shared" si="21"/>
        <v>44377</v>
      </c>
      <c r="I4" s="21">
        <f t="shared" si="21"/>
        <v>44469</v>
      </c>
      <c r="J4" s="21">
        <f t="shared" si="21"/>
        <v>44561</v>
      </c>
      <c r="K4" s="21">
        <f t="shared" si="21"/>
        <v>44651</v>
      </c>
      <c r="L4" s="21">
        <f t="shared" si="21"/>
        <v>44742</v>
      </c>
      <c r="M4" s="21">
        <f t="shared" si="21"/>
        <v>44834</v>
      </c>
      <c r="N4" s="66">
        <f t="shared" si="21"/>
        <v>44926</v>
      </c>
      <c r="O4" s="195">
        <f>EOMONTH(N4, 3)</f>
        <v>45016</v>
      </c>
      <c r="P4" s="193">
        <f t="shared" ref="P4" si="22">EOMONTH(O4, 3)</f>
        <v>45107</v>
      </c>
      <c r="Q4" s="193">
        <f t="shared" ref="Q4" si="23">EOMONTH(P4, 3)</f>
        <v>45199</v>
      </c>
      <c r="R4" s="193">
        <f t="shared" ref="R4" si="24">EOMONTH(Q4, 3)</f>
        <v>45291</v>
      </c>
      <c r="S4" s="193">
        <f t="shared" ref="S4" si="25">EOMONTH(R4, 3)</f>
        <v>45382</v>
      </c>
      <c r="T4" s="193">
        <f t="shared" ref="T4" si="26">EOMONTH(S4, 3)</f>
        <v>45473</v>
      </c>
      <c r="U4" s="193">
        <f t="shared" ref="U4" si="27">EOMONTH(T4, 3)</f>
        <v>45565</v>
      </c>
      <c r="V4" s="193">
        <f t="shared" ref="V4" si="28">EOMONTH(U4, 3)</f>
        <v>45657</v>
      </c>
      <c r="W4" s="193">
        <f t="shared" ref="W4" si="29">EOMONTH(V4, 3)</f>
        <v>45747</v>
      </c>
      <c r="X4" s="193">
        <f t="shared" ref="X4" si="30">EOMONTH(W4, 3)</f>
        <v>45838</v>
      </c>
      <c r="Y4" s="193">
        <f t="shared" ref="Y4" si="31">EOMONTH(X4, 3)</f>
        <v>45930</v>
      </c>
      <c r="Z4" s="193">
        <f t="shared" ref="Z4" si="32">EOMONTH(Y4, 3)</f>
        <v>46022</v>
      </c>
      <c r="AA4" s="193">
        <f t="shared" ref="AA4" si="33">EOMONTH(Z4, 3)</f>
        <v>46112</v>
      </c>
      <c r="AB4" s="193">
        <f t="shared" ref="AB4" si="34">EOMONTH(AA4, 3)</f>
        <v>46203</v>
      </c>
      <c r="AC4" s="193">
        <f t="shared" ref="AC4" si="35">EOMONTH(AB4, 3)</f>
        <v>46295</v>
      </c>
      <c r="AD4" s="193">
        <f t="shared" ref="AD4" si="36">EOMONTH(AC4, 3)</f>
        <v>46387</v>
      </c>
      <c r="AE4" s="193">
        <f t="shared" ref="AE4" si="37">EOMONTH(AD4, 3)</f>
        <v>46477</v>
      </c>
      <c r="AF4" s="193">
        <f t="shared" ref="AF4" si="38">EOMONTH(AE4, 3)</f>
        <v>46568</v>
      </c>
      <c r="AG4" s="193">
        <f t="shared" ref="AG4" si="39">EOMONTH(AF4, 3)</f>
        <v>46660</v>
      </c>
      <c r="AH4" s="193">
        <f t="shared" ref="AH4" si="40">EOMONTH(AG4, 3)</f>
        <v>46752</v>
      </c>
    </row>
    <row r="5" spans="2:34">
      <c r="B5" s="140" t="str">
        <f>+'ARR Waterfall'!B5</f>
        <v>ARR Build</v>
      </c>
      <c r="C5" s="15"/>
      <c r="D5" s="15"/>
      <c r="E5" s="15"/>
      <c r="F5" s="15"/>
      <c r="G5" s="15"/>
      <c r="H5" s="5"/>
      <c r="I5" s="5"/>
      <c r="J5" s="5"/>
      <c r="K5" s="5"/>
      <c r="L5" s="5"/>
      <c r="M5" s="5"/>
      <c r="N5" s="199"/>
      <c r="O5" s="289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>
      <c r="B6" s="138" t="str">
        <f>+'ARR Waterfall'!B6</f>
        <v>Beginning ARR</v>
      </c>
      <c r="C6" s="410">
        <f>+'ARR Waterfall'!C6</f>
        <v>289.19772</v>
      </c>
      <c r="D6" s="410">
        <f>+'ARR Waterfall'!D6</f>
        <v>301.18760800000001</v>
      </c>
      <c r="E6" s="410">
        <f>+'ARR Waterfall'!E6</f>
        <v>304.47510400000004</v>
      </c>
      <c r="F6" s="410">
        <f>+'ARR Waterfall'!F6</f>
        <v>308.342376</v>
      </c>
      <c r="G6" s="410">
        <f>+'ARR Waterfall'!G6</f>
        <v>313.78571199999993</v>
      </c>
      <c r="H6" s="410">
        <f>+'ARR Waterfall'!H6</f>
        <v>310.36867199999995</v>
      </c>
      <c r="I6" s="410">
        <f>+'ARR Waterfall'!I6</f>
        <v>309.60269599999998</v>
      </c>
      <c r="J6" s="410">
        <f>+'ARR Waterfall'!J6</f>
        <v>312.48882399999997</v>
      </c>
      <c r="K6" s="410">
        <f>+'ARR Waterfall'!K6</f>
        <v>315.91418399999998</v>
      </c>
      <c r="L6" s="410">
        <f>+'ARR Waterfall'!L6</f>
        <v>318.54402399999998</v>
      </c>
      <c r="M6" s="410">
        <f>+'ARR Waterfall'!M6</f>
        <v>321.88423200000005</v>
      </c>
      <c r="N6" s="432">
        <f>+'ARR Waterfall'!N6</f>
        <v>327.87812800000012</v>
      </c>
      <c r="O6" s="433">
        <f>+'ARR Waterfall'!O6</f>
        <v>337.9140000000001</v>
      </c>
      <c r="P6" s="410">
        <f>+'ARR Waterfall'!P6</f>
        <v>339.6035700000001</v>
      </c>
      <c r="Q6" s="410">
        <f>+'ARR Waterfall'!Q6</f>
        <v>341.30158785000009</v>
      </c>
      <c r="R6" s="410">
        <f>+'ARR Waterfall'!R6</f>
        <v>343.00809578925009</v>
      </c>
      <c r="S6" s="410">
        <f>+'ARR Waterfall'!S6</f>
        <v>344.7231362681963</v>
      </c>
      <c r="T6" s="410">
        <f>+'ARR Waterfall'!T6</f>
        <v>346.44675194953726</v>
      </c>
      <c r="U6" s="410">
        <f>+'ARR Waterfall'!U6</f>
        <v>348.17898570928497</v>
      </c>
      <c r="V6" s="410">
        <f>+'ARR Waterfall'!V6</f>
        <v>349.9198806378314</v>
      </c>
      <c r="W6" s="410">
        <f>+'ARR Waterfall'!W6</f>
        <v>351.66948004102056</v>
      </c>
      <c r="X6" s="410">
        <f>+'ARR Waterfall'!X6</f>
        <v>353.42782744122565</v>
      </c>
      <c r="Y6" s="410">
        <f>+'ARR Waterfall'!Y6</f>
        <v>355.19496657843177</v>
      </c>
      <c r="Z6" s="410">
        <f>+'ARR Waterfall'!Z6</f>
        <v>356.97094141132391</v>
      </c>
      <c r="AA6" s="410">
        <f>+'ARR Waterfall'!AA6</f>
        <v>358.75579611838054</v>
      </c>
      <c r="AB6" s="410">
        <f>+'ARR Waterfall'!AB6</f>
        <v>360.54957509897247</v>
      </c>
      <c r="AC6" s="410">
        <f>+'ARR Waterfall'!AC6</f>
        <v>362.35232297446726</v>
      </c>
      <c r="AD6" s="410">
        <f>+'ARR Waterfall'!AD6</f>
        <v>364.16408458933961</v>
      </c>
      <c r="AE6" s="410">
        <f>+'ARR Waterfall'!AE6</f>
        <v>365.98490501228633</v>
      </c>
      <c r="AF6" s="410">
        <f>+'ARR Waterfall'!AF6</f>
        <v>367.81482953734775</v>
      </c>
      <c r="AG6" s="410">
        <f>+'ARR Waterfall'!AG6</f>
        <v>369.65390368503449</v>
      </c>
      <c r="AH6" s="410">
        <f>+'ARR Waterfall'!AH6</f>
        <v>371.50217320345962</v>
      </c>
    </row>
    <row r="7" spans="2:34">
      <c r="B7" s="138" t="str">
        <f>+'ARR Waterfall'!B7</f>
        <v>New Logo ARR</v>
      </c>
      <c r="C7" s="410">
        <f>+'ARR Waterfall'!C7</f>
        <v>16.542719999999999</v>
      </c>
      <c r="D7" s="410">
        <f>+'ARR Waterfall'!D7</f>
        <v>12.672000000000001</v>
      </c>
      <c r="E7" s="410">
        <f>+'ARR Waterfall'!E7</f>
        <v>10.782719999999999</v>
      </c>
      <c r="F7" s="410">
        <f>+'ARR Waterfall'!F7</f>
        <v>12.034255999999999</v>
      </c>
      <c r="G7" s="410">
        <f>+'ARR Waterfall'!G7</f>
        <v>6.9119999999999999</v>
      </c>
      <c r="H7" s="410">
        <f>+'ARR Waterfall'!H7</f>
        <v>7.8796799999999996</v>
      </c>
      <c r="I7" s="410">
        <f>+'ARR Waterfall'!I7</f>
        <v>11.52</v>
      </c>
      <c r="J7" s="410">
        <f>+'ARR Waterfall'!J7</f>
        <v>12.487679999999999</v>
      </c>
      <c r="K7" s="410">
        <f>+'ARR Waterfall'!K7</f>
        <v>15.34464</v>
      </c>
      <c r="L7" s="410">
        <f>+'ARR Waterfall'!L7</f>
        <v>12.672000000000001</v>
      </c>
      <c r="M7" s="410">
        <f>+'ARR Waterfall'!M7</f>
        <v>18.431999999999999</v>
      </c>
      <c r="N7" s="432">
        <f>+'ARR Waterfall'!N7</f>
        <v>18.984960000000001</v>
      </c>
      <c r="O7" s="433">
        <f>+'ARR Waterfall'!O7</f>
        <v>13.516560000000004</v>
      </c>
      <c r="P7" s="410">
        <f>+'ARR Waterfall'!P7</f>
        <v>13.584142800000004</v>
      </c>
      <c r="Q7" s="410">
        <f>+'ARR Waterfall'!Q7</f>
        <v>13.652063514000004</v>
      </c>
      <c r="R7" s="410">
        <f>+'ARR Waterfall'!R7</f>
        <v>13.720323831570004</v>
      </c>
      <c r="S7" s="410">
        <f>+'ARR Waterfall'!S7</f>
        <v>13.788925450727852</v>
      </c>
      <c r="T7" s="410">
        <f>+'ARR Waterfall'!T7</f>
        <v>13.85787007798149</v>
      </c>
      <c r="U7" s="410">
        <f>+'ARR Waterfall'!U7</f>
        <v>13.927159428371398</v>
      </c>
      <c r="V7" s="410">
        <f>+'ARR Waterfall'!V7</f>
        <v>13.996795225513257</v>
      </c>
      <c r="W7" s="410">
        <f>+'ARR Waterfall'!W7</f>
        <v>14.066779201640824</v>
      </c>
      <c r="X7" s="410">
        <f>+'ARR Waterfall'!X7</f>
        <v>14.137113097649026</v>
      </c>
      <c r="Y7" s="410">
        <f>+'ARR Waterfall'!Y7</f>
        <v>14.207798663137272</v>
      </c>
      <c r="Z7" s="410">
        <f>+'ARR Waterfall'!Z7</f>
        <v>14.278837656452957</v>
      </c>
      <c r="AA7" s="410">
        <f>+'ARR Waterfall'!AA7</f>
        <v>14.350231844735221</v>
      </c>
      <c r="AB7" s="410">
        <f>+'ARR Waterfall'!AB7</f>
        <v>14.4219830039589</v>
      </c>
      <c r="AC7" s="410">
        <f>+'ARR Waterfall'!AC7</f>
        <v>14.494092918978691</v>
      </c>
      <c r="AD7" s="410">
        <f>+'ARR Waterfall'!AD7</f>
        <v>14.566563383573584</v>
      </c>
      <c r="AE7" s="410">
        <f>+'ARR Waterfall'!AE7</f>
        <v>14.639396200491454</v>
      </c>
      <c r="AF7" s="410">
        <f>+'ARR Waterfall'!AF7</f>
        <v>14.71259318149391</v>
      </c>
      <c r="AG7" s="410">
        <f>+'ARR Waterfall'!AG7</f>
        <v>14.78615614740138</v>
      </c>
      <c r="AH7" s="410">
        <f>+'ARR Waterfall'!AH7</f>
        <v>14.860086928138385</v>
      </c>
    </row>
    <row r="8" spans="2:34">
      <c r="B8" s="138" t="str">
        <f>+'ARR Waterfall'!B8</f>
        <v>Upsell ARR</v>
      </c>
      <c r="C8" s="410">
        <f>+'ARR Waterfall'!C8</f>
        <v>6.2770320000000002</v>
      </c>
      <c r="D8" s="410">
        <f>+'ARR Waterfall'!D8</f>
        <v>4.8578320000000001</v>
      </c>
      <c r="E8" s="410">
        <f>+'ARR Waterfall'!E8</f>
        <v>3.9875280000000002</v>
      </c>
      <c r="F8" s="410">
        <f>+'ARR Waterfall'!F8</f>
        <v>5.7308399999999997</v>
      </c>
      <c r="G8" s="410">
        <f>+'ARR Waterfall'!G8</f>
        <v>5.3942160000000001</v>
      </c>
      <c r="H8" s="410">
        <f>+'ARR Waterfall'!H8</f>
        <v>6.4860639999999998</v>
      </c>
      <c r="I8" s="410">
        <f>+'ARR Waterfall'!I8</f>
        <v>5.7595599999999996</v>
      </c>
      <c r="J8" s="410">
        <f>+'ARR Waterfall'!J8</f>
        <v>6.5535040000000002</v>
      </c>
      <c r="K8" s="410">
        <f>+'ARR Waterfall'!K8</f>
        <v>4.3742320000000001</v>
      </c>
      <c r="L8" s="410">
        <f>+'ARR Waterfall'!L8</f>
        <v>4.7944560000000003</v>
      </c>
      <c r="M8" s="410">
        <f>+'ARR Waterfall'!M8</f>
        <v>3.0911840000000002</v>
      </c>
      <c r="N8" s="432">
        <f>+'ARR Waterfall'!N8</f>
        <v>4.551768</v>
      </c>
      <c r="O8" s="433">
        <f>+'ARR Waterfall'!O8</f>
        <v>5.0687100000000012</v>
      </c>
      <c r="P8" s="410">
        <f>+'ARR Waterfall'!P8</f>
        <v>5.0940535500000017</v>
      </c>
      <c r="Q8" s="410">
        <f>+'ARR Waterfall'!Q8</f>
        <v>5.1195238177500011</v>
      </c>
      <c r="R8" s="410">
        <f>+'ARR Waterfall'!R8</f>
        <v>5.1451214368387514</v>
      </c>
      <c r="S8" s="410">
        <f>+'ARR Waterfall'!S8</f>
        <v>5.1708470440229446</v>
      </c>
      <c r="T8" s="410">
        <f>+'ARR Waterfall'!T8</f>
        <v>5.1967012792430589</v>
      </c>
      <c r="U8" s="410">
        <f>+'ARR Waterfall'!U8</f>
        <v>5.2226847856392746</v>
      </c>
      <c r="V8" s="410">
        <f>+'ARR Waterfall'!V8</f>
        <v>5.2487982095674708</v>
      </c>
      <c r="W8" s="410">
        <f>+'ARR Waterfall'!W8</f>
        <v>5.2750422006153084</v>
      </c>
      <c r="X8" s="410">
        <f>+'ARR Waterfall'!X8</f>
        <v>5.3014174116183845</v>
      </c>
      <c r="Y8" s="410">
        <f>+'ARR Waterfall'!Y8</f>
        <v>5.3279244986764764</v>
      </c>
      <c r="Z8" s="410">
        <f>+'ARR Waterfall'!Z8</f>
        <v>5.354564121169858</v>
      </c>
      <c r="AA8" s="410">
        <f>+'ARR Waterfall'!AA8</f>
        <v>5.3813369417757082</v>
      </c>
      <c r="AB8" s="410">
        <f>+'ARR Waterfall'!AB8</f>
        <v>5.4082436264845866</v>
      </c>
      <c r="AC8" s="410">
        <f>+'ARR Waterfall'!AC8</f>
        <v>5.4352848446170086</v>
      </c>
      <c r="AD8" s="410">
        <f>+'ARR Waterfall'!AD8</f>
        <v>5.4624612688400935</v>
      </c>
      <c r="AE8" s="410">
        <f>+'ARR Waterfall'!AE8</f>
        <v>5.4897735751842944</v>
      </c>
      <c r="AF8" s="410">
        <f>+'ARR Waterfall'!AF8</f>
        <v>5.5172224430602164</v>
      </c>
      <c r="AG8" s="410">
        <f>+'ARR Waterfall'!AG8</f>
        <v>5.5448085552755169</v>
      </c>
      <c r="AH8" s="410">
        <f>+'ARR Waterfall'!AH8</f>
        <v>5.572532598051894</v>
      </c>
    </row>
    <row r="9" spans="2:34">
      <c r="B9" s="138" t="str">
        <f>+'ARR Waterfall'!B9</f>
        <v>Downsell ARR</v>
      </c>
      <c r="C9" s="410">
        <f>+'ARR Waterfall'!C9</f>
        <v>-3.5502959999999999</v>
      </c>
      <c r="D9" s="410">
        <f>+'ARR Waterfall'!D9</f>
        <v>-4.0782879999999997</v>
      </c>
      <c r="E9" s="410">
        <f>+'ARR Waterfall'!E9</f>
        <v>-3.6139600000000001</v>
      </c>
      <c r="F9" s="410">
        <f>+'ARR Waterfall'!F9</f>
        <v>-4.1697519999999999</v>
      </c>
      <c r="G9" s="410">
        <f>+'ARR Waterfall'!G9</f>
        <v>-3.5214400000000001</v>
      </c>
      <c r="H9" s="410">
        <f>+'ARR Waterfall'!H9</f>
        <v>-4.3348800000000001</v>
      </c>
      <c r="I9" s="410">
        <f>+'ARR Waterfall'!I9</f>
        <v>-4.362616</v>
      </c>
      <c r="J9" s="410">
        <f>+'ARR Waterfall'!J9</f>
        <v>-3.7341600000000001</v>
      </c>
      <c r="K9" s="410">
        <f>+'ARR Waterfall'!K9</f>
        <v>-3.469624</v>
      </c>
      <c r="L9" s="410">
        <f>+'ARR Waterfall'!L9</f>
        <v>-1.843504</v>
      </c>
      <c r="M9" s="410">
        <f>+'ARR Waterfall'!M9</f>
        <v>-4.0987359999999997</v>
      </c>
      <c r="N9" s="432">
        <f>+'ARR Waterfall'!N9</f>
        <v>-1.989072</v>
      </c>
      <c r="O9" s="433">
        <f>+'ARR Waterfall'!O9</f>
        <v>-3.3791400000000009</v>
      </c>
      <c r="P9" s="410">
        <f>+'ARR Waterfall'!P9</f>
        <v>-3.396035700000001</v>
      </c>
      <c r="Q9" s="410">
        <f>+'ARR Waterfall'!Q9</f>
        <v>-3.4130158785000009</v>
      </c>
      <c r="R9" s="410">
        <f>+'ARR Waterfall'!R9</f>
        <v>-3.4300809578925011</v>
      </c>
      <c r="S9" s="410">
        <f>+'ARR Waterfall'!S9</f>
        <v>-3.4472313626819631</v>
      </c>
      <c r="T9" s="410">
        <f>+'ARR Waterfall'!T9</f>
        <v>-3.4644675194953725</v>
      </c>
      <c r="U9" s="410">
        <f>+'ARR Waterfall'!U9</f>
        <v>-3.4817898570928496</v>
      </c>
      <c r="V9" s="410">
        <f>+'ARR Waterfall'!V9</f>
        <v>-3.4991988063783142</v>
      </c>
      <c r="W9" s="410">
        <f>+'ARR Waterfall'!W9</f>
        <v>-3.5166948004102059</v>
      </c>
      <c r="X9" s="410">
        <f>+'ARR Waterfall'!X9</f>
        <v>-3.5342782744122565</v>
      </c>
      <c r="Y9" s="410">
        <f>+'ARR Waterfall'!Y9</f>
        <v>-3.5519496657843179</v>
      </c>
      <c r="Z9" s="410">
        <f>+'ARR Waterfall'!Z9</f>
        <v>-3.5697094141132393</v>
      </c>
      <c r="AA9" s="410">
        <f>+'ARR Waterfall'!AA9</f>
        <v>-3.5875579611838053</v>
      </c>
      <c r="AB9" s="410">
        <f>+'ARR Waterfall'!AB9</f>
        <v>-3.605495750989725</v>
      </c>
      <c r="AC9" s="410">
        <f>+'ARR Waterfall'!AC9</f>
        <v>-3.6235232297446727</v>
      </c>
      <c r="AD9" s="410">
        <f>+'ARR Waterfall'!AD9</f>
        <v>-3.641640845893396</v>
      </c>
      <c r="AE9" s="410">
        <f>+'ARR Waterfall'!AE9</f>
        <v>-3.6598490501228635</v>
      </c>
      <c r="AF9" s="410">
        <f>+'ARR Waterfall'!AF9</f>
        <v>-3.6781482953734774</v>
      </c>
      <c r="AG9" s="410">
        <f>+'ARR Waterfall'!AG9</f>
        <v>-3.696539036850345</v>
      </c>
      <c r="AH9" s="410">
        <f>+'ARR Waterfall'!AH9</f>
        <v>-3.7150217320345962</v>
      </c>
    </row>
    <row r="10" spans="2:34">
      <c r="B10" s="138" t="str">
        <f>+'ARR Waterfall'!B10</f>
        <v>Churn ARR</v>
      </c>
      <c r="C10" s="410">
        <f>+'ARR Waterfall'!C10</f>
        <v>-7.2795680000000003</v>
      </c>
      <c r="D10" s="410">
        <f>+'ARR Waterfall'!D10</f>
        <v>-10.164047999999999</v>
      </c>
      <c r="E10" s="410">
        <f>+'ARR Waterfall'!E10</f>
        <v>-7.2890160000000002</v>
      </c>
      <c r="F10" s="410">
        <f>+'ARR Waterfall'!F10</f>
        <v>-8.1520080000000004</v>
      </c>
      <c r="G10" s="410">
        <f>+'ARR Waterfall'!G10</f>
        <v>-12.201816000000001</v>
      </c>
      <c r="H10" s="410">
        <f>+'ARR Waterfall'!H10</f>
        <v>-10.79684</v>
      </c>
      <c r="I10" s="410">
        <f>+'ARR Waterfall'!I10</f>
        <v>-10.030816</v>
      </c>
      <c r="J10" s="410">
        <f>+'ARR Waterfall'!J10</f>
        <v>-11.881664000000001</v>
      </c>
      <c r="K10" s="410">
        <f>+'ARR Waterfall'!K10</f>
        <v>-13.619408</v>
      </c>
      <c r="L10" s="410">
        <f>+'ARR Waterfall'!L10</f>
        <v>-12.282743999999999</v>
      </c>
      <c r="M10" s="410">
        <f>+'ARR Waterfall'!M10</f>
        <v>-11.430552</v>
      </c>
      <c r="N10" s="432">
        <f>+'ARR Waterfall'!N10</f>
        <v>-11.511784</v>
      </c>
      <c r="O10" s="433">
        <f>+'ARR Waterfall'!O10</f>
        <v>-13.516560000000004</v>
      </c>
      <c r="P10" s="410">
        <f>+'ARR Waterfall'!P10</f>
        <v>-13.584142800000004</v>
      </c>
      <c r="Q10" s="410">
        <f>+'ARR Waterfall'!Q10</f>
        <v>-13.652063514000004</v>
      </c>
      <c r="R10" s="410">
        <f>+'ARR Waterfall'!R10</f>
        <v>-13.720323831570004</v>
      </c>
      <c r="S10" s="410">
        <f>+'ARR Waterfall'!S10</f>
        <v>-13.788925450727852</v>
      </c>
      <c r="T10" s="410">
        <f>+'ARR Waterfall'!T10</f>
        <v>-13.85787007798149</v>
      </c>
      <c r="U10" s="410">
        <f>+'ARR Waterfall'!U10</f>
        <v>-13.927159428371398</v>
      </c>
      <c r="V10" s="410">
        <f>+'ARR Waterfall'!V10</f>
        <v>-13.996795225513257</v>
      </c>
      <c r="W10" s="410">
        <f>+'ARR Waterfall'!W10</f>
        <v>-14.066779201640824</v>
      </c>
      <c r="X10" s="410">
        <f>+'ARR Waterfall'!X10</f>
        <v>-14.137113097649026</v>
      </c>
      <c r="Y10" s="410">
        <f>+'ARR Waterfall'!Y10</f>
        <v>-14.207798663137272</v>
      </c>
      <c r="Z10" s="410">
        <f>+'ARR Waterfall'!Z10</f>
        <v>-14.278837656452957</v>
      </c>
      <c r="AA10" s="410">
        <f>+'ARR Waterfall'!AA10</f>
        <v>-14.350231844735221</v>
      </c>
      <c r="AB10" s="410">
        <f>+'ARR Waterfall'!AB10</f>
        <v>-14.4219830039589</v>
      </c>
      <c r="AC10" s="410">
        <f>+'ARR Waterfall'!AC10</f>
        <v>-14.494092918978691</v>
      </c>
      <c r="AD10" s="410">
        <f>+'ARR Waterfall'!AD10</f>
        <v>-14.566563383573584</v>
      </c>
      <c r="AE10" s="410">
        <f>+'ARR Waterfall'!AE10</f>
        <v>-14.639396200491454</v>
      </c>
      <c r="AF10" s="410">
        <f>+'ARR Waterfall'!AF10</f>
        <v>-14.71259318149391</v>
      </c>
      <c r="AG10" s="410">
        <f>+'ARR Waterfall'!AG10</f>
        <v>-14.78615614740138</v>
      </c>
      <c r="AH10" s="410">
        <f>+'ARR Waterfall'!AH10</f>
        <v>-14.860086928138385</v>
      </c>
    </row>
    <row r="11" spans="2:34">
      <c r="B11" s="139" t="str">
        <f>+'ARR Waterfall'!B11</f>
        <v>Ending ARR</v>
      </c>
      <c r="C11" s="454">
        <f>+'ARR Waterfall'!C11</f>
        <v>301.18760800000001</v>
      </c>
      <c r="D11" s="454">
        <f>+'ARR Waterfall'!D11</f>
        <v>304.47510400000004</v>
      </c>
      <c r="E11" s="454">
        <f>+'ARR Waterfall'!E11</f>
        <v>308.342376</v>
      </c>
      <c r="F11" s="454">
        <f>+'ARR Waterfall'!F11</f>
        <v>313.78571199999993</v>
      </c>
      <c r="G11" s="454">
        <f>+'ARR Waterfall'!G11</f>
        <v>310.36867199999995</v>
      </c>
      <c r="H11" s="454">
        <f>+'ARR Waterfall'!H11</f>
        <v>309.60269599999998</v>
      </c>
      <c r="I11" s="454">
        <f>+'ARR Waterfall'!I11</f>
        <v>312.48882399999997</v>
      </c>
      <c r="J11" s="454">
        <f>+'ARR Waterfall'!J11</f>
        <v>315.91418399999998</v>
      </c>
      <c r="K11" s="454">
        <f>+'ARR Waterfall'!K11</f>
        <v>318.54402399999998</v>
      </c>
      <c r="L11" s="454">
        <f>+'ARR Waterfall'!L11</f>
        <v>321.88423200000005</v>
      </c>
      <c r="M11" s="454">
        <f>+'ARR Waterfall'!M11</f>
        <v>327.87812800000012</v>
      </c>
      <c r="N11" s="437">
        <f>+'ARR Waterfall'!N11</f>
        <v>337.9140000000001</v>
      </c>
      <c r="O11" s="455">
        <f>+'ARR Waterfall'!O11</f>
        <v>339.6035700000001</v>
      </c>
      <c r="P11" s="454">
        <f>+'ARR Waterfall'!P11</f>
        <v>341.30158785000009</v>
      </c>
      <c r="Q11" s="454">
        <f>+'ARR Waterfall'!Q11</f>
        <v>343.00809578925009</v>
      </c>
      <c r="R11" s="454">
        <f>+'ARR Waterfall'!R11</f>
        <v>344.7231362681963</v>
      </c>
      <c r="S11" s="454">
        <f>+'ARR Waterfall'!S11</f>
        <v>346.44675194953726</v>
      </c>
      <c r="T11" s="454">
        <f>+'ARR Waterfall'!T11</f>
        <v>348.17898570928497</v>
      </c>
      <c r="U11" s="454">
        <f>+'ARR Waterfall'!U11</f>
        <v>349.9198806378314</v>
      </c>
      <c r="V11" s="454">
        <f>+'ARR Waterfall'!V11</f>
        <v>351.66948004102056</v>
      </c>
      <c r="W11" s="454">
        <f>+'ARR Waterfall'!W11</f>
        <v>353.42782744122565</v>
      </c>
      <c r="X11" s="454">
        <f>+'ARR Waterfall'!X11</f>
        <v>355.19496657843177</v>
      </c>
      <c r="Y11" s="454">
        <f>+'ARR Waterfall'!Y11</f>
        <v>356.97094141132391</v>
      </c>
      <c r="Z11" s="454">
        <f>+'ARR Waterfall'!Z11</f>
        <v>358.75579611838054</v>
      </c>
      <c r="AA11" s="454">
        <f>+'ARR Waterfall'!AA11</f>
        <v>360.54957509897247</v>
      </c>
      <c r="AB11" s="454">
        <f>+'ARR Waterfall'!AB11</f>
        <v>362.35232297446726</v>
      </c>
      <c r="AC11" s="454">
        <f>+'ARR Waterfall'!AC11</f>
        <v>364.16408458933961</v>
      </c>
      <c r="AD11" s="454">
        <f>+'ARR Waterfall'!AD11</f>
        <v>365.98490501228633</v>
      </c>
      <c r="AE11" s="454">
        <f>+'ARR Waterfall'!AE11</f>
        <v>367.81482953734775</v>
      </c>
      <c r="AF11" s="454">
        <f>+'ARR Waterfall'!AF11</f>
        <v>369.65390368503449</v>
      </c>
      <c r="AG11" s="454">
        <f>+'ARR Waterfall'!AG11</f>
        <v>371.50217320345962</v>
      </c>
      <c r="AH11" s="454">
        <f>+'ARR Waterfall'!AH11</f>
        <v>373.35968406947694</v>
      </c>
    </row>
    <row r="12" spans="2:34">
      <c r="B12" s="140"/>
      <c r="C12" s="142"/>
      <c r="D12" s="142"/>
      <c r="E12" s="142"/>
      <c r="F12" s="142"/>
      <c r="G12" s="142"/>
      <c r="H12" s="141"/>
      <c r="I12" s="141"/>
      <c r="J12" s="141"/>
      <c r="K12" s="141"/>
      <c r="L12" s="141"/>
      <c r="M12" s="268"/>
      <c r="N12" s="290"/>
      <c r="O12" s="29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</row>
    <row r="13" spans="2:34">
      <c r="B13" s="180" t="str">
        <f>+'ARR Waterfall'!B20</f>
        <v>Customer Bridge</v>
      </c>
      <c r="C13" s="142"/>
      <c r="D13" s="142"/>
      <c r="E13" s="142"/>
      <c r="F13" s="142"/>
      <c r="G13" s="142"/>
      <c r="H13" s="141"/>
      <c r="I13" s="141"/>
      <c r="J13" s="141"/>
      <c r="K13" s="141"/>
      <c r="L13" s="141"/>
      <c r="M13" s="141"/>
      <c r="N13" s="290"/>
      <c r="O13" s="29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</row>
    <row r="14" spans="2:34">
      <c r="B14" s="138" t="str">
        <f>+'ARR Waterfall'!B21</f>
        <v>Beginning Customers</v>
      </c>
      <c r="C14" s="143">
        <f>+'ARR Waterfall'!C21</f>
        <v>124</v>
      </c>
      <c r="D14" s="143">
        <f>+'ARR Waterfall'!D21</f>
        <v>126</v>
      </c>
      <c r="E14" s="143">
        <f>+'ARR Waterfall'!E21</f>
        <v>127</v>
      </c>
      <c r="F14" s="143">
        <f>+'ARR Waterfall'!F21</f>
        <v>130</v>
      </c>
      <c r="G14" s="143">
        <f>+'ARR Waterfall'!G21</f>
        <v>132</v>
      </c>
      <c r="H14" s="143">
        <f>+'ARR Waterfall'!H21</f>
        <v>131</v>
      </c>
      <c r="I14" s="143">
        <f>+'ARR Waterfall'!I21</f>
        <v>131</v>
      </c>
      <c r="J14" s="143">
        <f>+'ARR Waterfall'!J21</f>
        <v>133</v>
      </c>
      <c r="K14" s="143">
        <f>+'ARR Waterfall'!K21</f>
        <v>132</v>
      </c>
      <c r="L14" s="143">
        <f>+'ARR Waterfall'!L21</f>
        <v>134</v>
      </c>
      <c r="M14" s="143">
        <f>+'ARR Waterfall'!M21</f>
        <v>134</v>
      </c>
      <c r="N14" s="161">
        <f>+'ARR Waterfall'!N21</f>
        <v>140</v>
      </c>
      <c r="O14" s="162">
        <f>+'ARR Waterfall'!O21</f>
        <v>143</v>
      </c>
      <c r="P14" s="143">
        <f>+'ARR Waterfall'!P21</f>
        <v>144.3835375166889</v>
      </c>
      <c r="Q14" s="143">
        <f>+'ARR Waterfall'!Q21</f>
        <v>145.77399272096127</v>
      </c>
      <c r="R14" s="143">
        <f>+'ARR Waterfall'!R21</f>
        <v>147.17140020125501</v>
      </c>
      <c r="S14" s="143">
        <f>+'ARR Waterfall'!S21</f>
        <v>148.57579471895019</v>
      </c>
      <c r="T14" s="143">
        <f>+'ARR Waterfall'!T21</f>
        <v>149.98721120923386</v>
      </c>
      <c r="U14" s="143">
        <f>+'ARR Waterfall'!U21</f>
        <v>151.40568478196894</v>
      </c>
      <c r="V14" s="143">
        <f>+'ARR Waterfall'!V21</f>
        <v>152.83125072256772</v>
      </c>
      <c r="W14" s="143">
        <f>+'ARR Waterfall'!W21</f>
        <v>154.26394449286948</v>
      </c>
      <c r="X14" s="143">
        <f>+'ARR Waterfall'!X21</f>
        <v>155.70380173202275</v>
      </c>
      <c r="Y14" s="143">
        <f>+'ARR Waterfall'!Y21</f>
        <v>157.15085825737179</v>
      </c>
      <c r="Z14" s="143">
        <f>+'ARR Waterfall'!Z21</f>
        <v>158.60515006534757</v>
      </c>
      <c r="AA14" s="143">
        <f>+'ARR Waterfall'!AA21</f>
        <v>160.06671333236324</v>
      </c>
      <c r="AB14" s="143">
        <f>+'ARR Waterfall'!AB21</f>
        <v>161.53558441571397</v>
      </c>
      <c r="AC14" s="143">
        <f>+'ARR Waterfall'!AC21</f>
        <v>163.01179985448147</v>
      </c>
      <c r="AD14" s="143">
        <f>+'ARR Waterfall'!AD21</f>
        <v>164.49539637044279</v>
      </c>
      <c r="AE14" s="143">
        <f>+'ARR Waterfall'!AE21</f>
        <v>165.98641086898391</v>
      </c>
      <c r="AF14" s="143">
        <f>+'ARR Waterfall'!AF21</f>
        <v>167.48488044001775</v>
      </c>
      <c r="AG14" s="143">
        <f>+'ARR Waterfall'!AG21</f>
        <v>168.99084235890678</v>
      </c>
      <c r="AH14" s="143">
        <f>+'ARR Waterfall'!AH21</f>
        <v>170.50433408739022</v>
      </c>
    </row>
    <row r="15" spans="2:34">
      <c r="B15" s="138" t="str">
        <f>+'ARR Waterfall'!B22</f>
        <v>New Customers</v>
      </c>
      <c r="C15" s="143">
        <f>+'ARR Waterfall'!C22</f>
        <v>6</v>
      </c>
      <c r="D15" s="143">
        <f>+'ARR Waterfall'!D22</f>
        <v>6</v>
      </c>
      <c r="E15" s="143">
        <f>+'ARR Waterfall'!E22</f>
        <v>6</v>
      </c>
      <c r="F15" s="143">
        <f>+'ARR Waterfall'!F22</f>
        <v>5</v>
      </c>
      <c r="G15" s="143">
        <f>+'ARR Waterfall'!G22</f>
        <v>4</v>
      </c>
      <c r="H15" s="143">
        <f>+'ARR Waterfall'!H22</f>
        <v>4</v>
      </c>
      <c r="I15" s="143">
        <f>+'ARR Waterfall'!I22</f>
        <v>5</v>
      </c>
      <c r="J15" s="143">
        <f>+'ARR Waterfall'!J22</f>
        <v>5</v>
      </c>
      <c r="K15" s="143">
        <f>+'ARR Waterfall'!K22</f>
        <v>7</v>
      </c>
      <c r="L15" s="143">
        <f>+'ARR Waterfall'!L22</f>
        <v>6</v>
      </c>
      <c r="M15" s="143">
        <f>+'ARR Waterfall'!M22</f>
        <v>10</v>
      </c>
      <c r="N15" s="161">
        <f>+'ARR Waterfall'!N22</f>
        <v>8</v>
      </c>
      <c r="O15" s="162">
        <f>+'ARR Waterfall'!O22</f>
        <v>6.4364571428571447</v>
      </c>
      <c r="P15" s="143">
        <f>+'ARR Waterfall'!P22</f>
        <v>6.4686394285714304</v>
      </c>
      <c r="Q15" s="143">
        <f>+'ARR Waterfall'!Q22</f>
        <v>6.5009826257142871</v>
      </c>
      <c r="R15" s="143">
        <f>+'ARR Waterfall'!R22</f>
        <v>6.5334875388428593</v>
      </c>
      <c r="S15" s="143">
        <f>+'ARR Waterfall'!S22</f>
        <v>6.5661549765370726</v>
      </c>
      <c r="T15" s="143">
        <f>+'ARR Waterfall'!T22</f>
        <v>6.5989857514197565</v>
      </c>
      <c r="U15" s="143">
        <f>+'ARR Waterfall'!U22</f>
        <v>6.6319806801768557</v>
      </c>
      <c r="V15" s="143">
        <f>+'ARR Waterfall'!V22</f>
        <v>6.6651405835777409</v>
      </c>
      <c r="W15" s="143">
        <f>+'ARR Waterfall'!W22</f>
        <v>6.6984662864956297</v>
      </c>
      <c r="X15" s="143">
        <f>+'ARR Waterfall'!X22</f>
        <v>6.7319586179281075</v>
      </c>
      <c r="Y15" s="143">
        <f>+'ARR Waterfall'!Y22</f>
        <v>6.7656184110177477</v>
      </c>
      <c r="Z15" s="143">
        <f>+'ARR Waterfall'!Z22</f>
        <v>6.7994465030728364</v>
      </c>
      <c r="AA15" s="143">
        <f>+'ARR Waterfall'!AA22</f>
        <v>6.8334437355882001</v>
      </c>
      <c r="AB15" s="143">
        <f>+'ARR Waterfall'!AB22</f>
        <v>6.8676109542661425</v>
      </c>
      <c r="AC15" s="143">
        <f>+'ARR Waterfall'!AC22</f>
        <v>6.9019490090374713</v>
      </c>
      <c r="AD15" s="143">
        <f>+'ARR Waterfall'!AD22</f>
        <v>6.9364587540826586</v>
      </c>
      <c r="AE15" s="143">
        <f>+'ARR Waterfall'!AE22</f>
        <v>6.9711410478530729</v>
      </c>
      <c r="AF15" s="143">
        <f>+'ARR Waterfall'!AF22</f>
        <v>7.0059967530923375</v>
      </c>
      <c r="AG15" s="143">
        <f>+'ARR Waterfall'!AG22</f>
        <v>7.0410267368578001</v>
      </c>
      <c r="AH15" s="143">
        <f>+'ARR Waterfall'!AH22</f>
        <v>7.0762318705420872</v>
      </c>
    </row>
    <row r="16" spans="2:34">
      <c r="B16" s="138" t="str">
        <f>+'ARR Waterfall'!B23</f>
        <v>Churn Customers</v>
      </c>
      <c r="C16" s="143">
        <f>+'ARR Waterfall'!C23</f>
        <v>-4</v>
      </c>
      <c r="D16" s="143">
        <f>+'ARR Waterfall'!D23</f>
        <v>-5</v>
      </c>
      <c r="E16" s="143">
        <f>+'ARR Waterfall'!E23</f>
        <v>-3</v>
      </c>
      <c r="F16" s="143">
        <f>+'ARR Waterfall'!F23</f>
        <v>-3</v>
      </c>
      <c r="G16" s="143">
        <f>+'ARR Waterfall'!G23</f>
        <v>-5</v>
      </c>
      <c r="H16" s="143">
        <f>+'ARR Waterfall'!H23</f>
        <v>-4</v>
      </c>
      <c r="I16" s="143">
        <f>+'ARR Waterfall'!I23</f>
        <v>-3</v>
      </c>
      <c r="J16" s="143">
        <f>+'ARR Waterfall'!J23</f>
        <v>-6</v>
      </c>
      <c r="K16" s="143">
        <f>+'ARR Waterfall'!K23</f>
        <v>-5</v>
      </c>
      <c r="L16" s="143">
        <f>+'ARR Waterfall'!L23</f>
        <v>-6</v>
      </c>
      <c r="M16" s="143">
        <f>+'ARR Waterfall'!M23</f>
        <v>-4</v>
      </c>
      <c r="N16" s="161">
        <f>+'ARR Waterfall'!N23</f>
        <v>-5</v>
      </c>
      <c r="O16" s="162">
        <f>+'ARR Waterfall'!O23</f>
        <v>-5.0529196261682259</v>
      </c>
      <c r="P16" s="143">
        <f>+'ARR Waterfall'!P23</f>
        <v>-5.0781842242990676</v>
      </c>
      <c r="Q16" s="143">
        <f>+'ARR Waterfall'!Q23</f>
        <v>-5.103575145420562</v>
      </c>
      <c r="R16" s="143">
        <f>+'ARR Waterfall'!R23</f>
        <v>-5.129093021147666</v>
      </c>
      <c r="S16" s="143">
        <f>+'ARR Waterfall'!S23</f>
        <v>-5.1547384862534029</v>
      </c>
      <c r="T16" s="143">
        <f>+'ARR Waterfall'!T23</f>
        <v>-5.1805121786846691</v>
      </c>
      <c r="U16" s="143">
        <f>+'ARR Waterfall'!U23</f>
        <v>-5.2064147395780935</v>
      </c>
      <c r="V16" s="143">
        <f>+'ARR Waterfall'!V23</f>
        <v>-5.2324468132759838</v>
      </c>
      <c r="W16" s="143">
        <f>+'ARR Waterfall'!W23</f>
        <v>-5.2586090473423646</v>
      </c>
      <c r="X16" s="143">
        <f>+'ARR Waterfall'!X23</f>
        <v>-5.2849020925790757</v>
      </c>
      <c r="Y16" s="143">
        <f>+'ARR Waterfall'!Y23</f>
        <v>-5.3113266030419712</v>
      </c>
      <c r="Z16" s="143">
        <f>+'ARR Waterfall'!Z23</f>
        <v>-5.3378832360571806</v>
      </c>
      <c r="AA16" s="143">
        <f>+'ARR Waterfall'!AA23</f>
        <v>-5.3645726522374666</v>
      </c>
      <c r="AB16" s="143">
        <f>+'ARR Waterfall'!AB23</f>
        <v>-5.3913955154986546</v>
      </c>
      <c r="AC16" s="143">
        <f>+'ARR Waterfall'!AC23</f>
        <v>-5.4183524930761466</v>
      </c>
      <c r="AD16" s="143">
        <f>+'ARR Waterfall'!AD23</f>
        <v>-5.4454442555415268</v>
      </c>
      <c r="AE16" s="143">
        <f>+'ARR Waterfall'!AE23</f>
        <v>-5.4726714768192357</v>
      </c>
      <c r="AF16" s="143">
        <f>+'ARR Waterfall'!AF23</f>
        <v>-5.5000348342033307</v>
      </c>
      <c r="AG16" s="143">
        <f>+'ARR Waterfall'!AG23</f>
        <v>-5.5275350083743477</v>
      </c>
      <c r="AH16" s="143">
        <f>+'ARR Waterfall'!AH23</f>
        <v>-5.5551726834162194</v>
      </c>
    </row>
    <row r="17" spans="2:34">
      <c r="B17" s="139" t="str">
        <f>+'ARR Waterfall'!B24</f>
        <v>Ending Customers</v>
      </c>
      <c r="C17" s="144">
        <f>+'ARR Waterfall'!C24</f>
        <v>126</v>
      </c>
      <c r="D17" s="144">
        <f>+'ARR Waterfall'!D24</f>
        <v>127</v>
      </c>
      <c r="E17" s="144">
        <f>+'ARR Waterfall'!E24</f>
        <v>130</v>
      </c>
      <c r="F17" s="144">
        <f>+'ARR Waterfall'!F24</f>
        <v>132</v>
      </c>
      <c r="G17" s="144">
        <f>+'ARR Waterfall'!G24</f>
        <v>131</v>
      </c>
      <c r="H17" s="144">
        <f>+'ARR Waterfall'!H24</f>
        <v>131</v>
      </c>
      <c r="I17" s="144">
        <f>+'ARR Waterfall'!I24</f>
        <v>133</v>
      </c>
      <c r="J17" s="144">
        <f>+'ARR Waterfall'!J24</f>
        <v>132</v>
      </c>
      <c r="K17" s="144">
        <f>+'ARR Waterfall'!K24</f>
        <v>134</v>
      </c>
      <c r="L17" s="144">
        <f>+'ARR Waterfall'!L24</f>
        <v>134</v>
      </c>
      <c r="M17" s="144">
        <f>+'ARR Waterfall'!M24</f>
        <v>140</v>
      </c>
      <c r="N17" s="111">
        <f>+'ARR Waterfall'!N24</f>
        <v>143</v>
      </c>
      <c r="O17" s="292">
        <f>+'ARR Waterfall'!O24</f>
        <v>144.3835375166889</v>
      </c>
      <c r="P17" s="144">
        <f>+'ARR Waterfall'!P24</f>
        <v>145.77399272096127</v>
      </c>
      <c r="Q17" s="144">
        <f>+'ARR Waterfall'!Q24</f>
        <v>147.17140020125501</v>
      </c>
      <c r="R17" s="144">
        <f>+'ARR Waterfall'!R24</f>
        <v>148.57579471895019</v>
      </c>
      <c r="S17" s="144">
        <f>+'ARR Waterfall'!S24</f>
        <v>149.98721120923386</v>
      </c>
      <c r="T17" s="144">
        <f>+'ARR Waterfall'!T24</f>
        <v>151.40568478196894</v>
      </c>
      <c r="U17" s="144">
        <f>+'ARR Waterfall'!U24</f>
        <v>152.83125072256772</v>
      </c>
      <c r="V17" s="144">
        <f>+'ARR Waterfall'!V24</f>
        <v>154.26394449286948</v>
      </c>
      <c r="W17" s="144">
        <f>+'ARR Waterfall'!W24</f>
        <v>155.70380173202275</v>
      </c>
      <c r="X17" s="144">
        <f>+'ARR Waterfall'!X24</f>
        <v>157.15085825737179</v>
      </c>
      <c r="Y17" s="144">
        <f>+'ARR Waterfall'!Y24</f>
        <v>158.60515006534757</v>
      </c>
      <c r="Z17" s="144">
        <f>+'ARR Waterfall'!Z24</f>
        <v>160.06671333236324</v>
      </c>
      <c r="AA17" s="144">
        <f>+'ARR Waterfall'!AA24</f>
        <v>161.53558441571397</v>
      </c>
      <c r="AB17" s="144">
        <f>+'ARR Waterfall'!AB24</f>
        <v>163.01179985448147</v>
      </c>
      <c r="AC17" s="144">
        <f>+'ARR Waterfall'!AC24</f>
        <v>164.49539637044279</v>
      </c>
      <c r="AD17" s="144">
        <f>+'ARR Waterfall'!AD24</f>
        <v>165.98641086898391</v>
      </c>
      <c r="AE17" s="144">
        <f>+'ARR Waterfall'!AE24</f>
        <v>167.48488044001775</v>
      </c>
      <c r="AF17" s="144">
        <f>+'ARR Waterfall'!AF24</f>
        <v>168.99084235890678</v>
      </c>
      <c r="AG17" s="144">
        <f>+'ARR Waterfall'!AG24</f>
        <v>170.50433408739022</v>
      </c>
      <c r="AH17" s="144">
        <f>+'ARR Waterfall'!AH24</f>
        <v>172.02539327451606</v>
      </c>
    </row>
    <row r="18" spans="2:34">
      <c r="B18" s="141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293"/>
      <c r="O18" s="294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</row>
    <row r="19" spans="2:34"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2:34" s="148" customFormat="1" ht="16.5" customHeight="1">
      <c r="B20" s="48" t="s">
        <v>170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295"/>
      <c r="O20" s="296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</row>
    <row r="21" spans="2:34" s="148" customFormat="1" ht="15.4" customHeight="1">
      <c r="B21" s="186" t="s">
        <v>135</v>
      </c>
      <c r="C21" s="15"/>
      <c r="D21" s="15"/>
      <c r="E21" s="15"/>
      <c r="F21" s="15"/>
      <c r="G21" s="15"/>
      <c r="H21" s="5"/>
      <c r="I21" s="5"/>
      <c r="J21" s="5"/>
      <c r="K21" s="5"/>
      <c r="L21" s="5"/>
      <c r="M21" s="5"/>
      <c r="N21" s="199"/>
      <c r="O21" s="28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2:34" ht="15.4" customHeight="1">
      <c r="B22" s="185" t="s">
        <v>10</v>
      </c>
      <c r="C22" s="410">
        <f>+'ARR Waterfall'!C11</f>
        <v>301.18760800000001</v>
      </c>
      <c r="D22" s="410">
        <f>+'ARR Waterfall'!D11</f>
        <v>304.47510400000004</v>
      </c>
      <c r="E22" s="410">
        <f>+'ARR Waterfall'!E11</f>
        <v>308.342376</v>
      </c>
      <c r="F22" s="410">
        <f>+'ARR Waterfall'!F11</f>
        <v>313.78571199999993</v>
      </c>
      <c r="G22" s="410">
        <f>+'ARR Waterfall'!G11</f>
        <v>310.36867199999995</v>
      </c>
      <c r="H22" s="410">
        <f>+'ARR Waterfall'!H11</f>
        <v>309.60269599999998</v>
      </c>
      <c r="I22" s="410">
        <f>+'ARR Waterfall'!I11</f>
        <v>312.48882399999997</v>
      </c>
      <c r="J22" s="410">
        <f>+'ARR Waterfall'!J11</f>
        <v>315.91418399999998</v>
      </c>
      <c r="K22" s="410">
        <f>+'ARR Waterfall'!K11</f>
        <v>318.54402399999998</v>
      </c>
      <c r="L22" s="410">
        <f>+'ARR Waterfall'!L11</f>
        <v>321.88423200000005</v>
      </c>
      <c r="M22" s="410">
        <f>+'ARR Waterfall'!M11</f>
        <v>327.87812800000012</v>
      </c>
      <c r="N22" s="432">
        <f>+'ARR Waterfall'!N11</f>
        <v>337.9140000000001</v>
      </c>
      <c r="O22" s="433">
        <f>+'ARR Waterfall'!O11</f>
        <v>339.6035700000001</v>
      </c>
      <c r="P22" s="410">
        <f>+'ARR Waterfall'!P11</f>
        <v>341.30158785000009</v>
      </c>
      <c r="Q22" s="410">
        <f>+'ARR Waterfall'!Q11</f>
        <v>343.00809578925009</v>
      </c>
      <c r="R22" s="410">
        <f>+'ARR Waterfall'!R11</f>
        <v>344.7231362681963</v>
      </c>
      <c r="S22" s="410">
        <f>+'ARR Waterfall'!S11</f>
        <v>346.44675194953726</v>
      </c>
      <c r="T22" s="410">
        <f>+'ARR Waterfall'!T11</f>
        <v>348.17898570928497</v>
      </c>
      <c r="U22" s="410">
        <f>+'ARR Waterfall'!U11</f>
        <v>349.9198806378314</v>
      </c>
      <c r="V22" s="410">
        <f>+'ARR Waterfall'!V11</f>
        <v>351.66948004102056</v>
      </c>
      <c r="W22" s="410">
        <f>+'ARR Waterfall'!W11</f>
        <v>353.42782744122565</v>
      </c>
      <c r="X22" s="410">
        <f>+'ARR Waterfall'!X11</f>
        <v>355.19496657843177</v>
      </c>
      <c r="Y22" s="410">
        <f>+'ARR Waterfall'!Y11</f>
        <v>356.97094141132391</v>
      </c>
      <c r="Z22" s="410">
        <f>+'ARR Waterfall'!Z11</f>
        <v>358.75579611838054</v>
      </c>
      <c r="AA22" s="410">
        <f>+'ARR Waterfall'!AA11</f>
        <v>360.54957509897247</v>
      </c>
      <c r="AB22" s="410">
        <f>+'ARR Waterfall'!AB11</f>
        <v>362.35232297446726</v>
      </c>
      <c r="AC22" s="410">
        <f>+'ARR Waterfall'!AC11</f>
        <v>364.16408458933961</v>
      </c>
      <c r="AD22" s="410">
        <f>+'ARR Waterfall'!AD11</f>
        <v>365.98490501228633</v>
      </c>
      <c r="AE22" s="410">
        <f>+'ARR Waterfall'!AE11</f>
        <v>367.81482953734775</v>
      </c>
      <c r="AF22" s="410">
        <f>+'ARR Waterfall'!AF11</f>
        <v>369.65390368503449</v>
      </c>
      <c r="AG22" s="410">
        <f>+'ARR Waterfall'!AG11</f>
        <v>371.50217320345962</v>
      </c>
      <c r="AH22" s="410">
        <f>+'ARR Waterfall'!AH11</f>
        <v>373.35968406947694</v>
      </c>
    </row>
    <row r="23" spans="2:34" ht="15.4" customHeight="1">
      <c r="B23" s="187" t="s">
        <v>135</v>
      </c>
      <c r="C23" s="236"/>
      <c r="D23" s="236"/>
      <c r="E23" s="236"/>
      <c r="F23" s="236"/>
      <c r="G23" s="264">
        <f t="shared" ref="G23:N23" si="41">+G22/C22-1</f>
        <v>3.0482874315333586E-2</v>
      </c>
      <c r="H23" s="264">
        <f t="shared" si="41"/>
        <v>1.6840759499338054E-2</v>
      </c>
      <c r="I23" s="264">
        <f t="shared" si="41"/>
        <v>1.3447545075672585E-2</v>
      </c>
      <c r="J23" s="264">
        <f t="shared" si="41"/>
        <v>6.7832024168137384E-3</v>
      </c>
      <c r="K23" s="264">
        <f t="shared" si="41"/>
        <v>2.6340777074304933E-2</v>
      </c>
      <c r="L23" s="264">
        <f t="shared" si="41"/>
        <v>3.9668698492212329E-2</v>
      </c>
      <c r="M23" s="264">
        <f t="shared" si="41"/>
        <v>4.9247534049410291E-2</v>
      </c>
      <c r="N23" s="311">
        <f t="shared" si="41"/>
        <v>6.9638582609510502E-2</v>
      </c>
      <c r="O23" s="312">
        <f t="shared" ref="O23" si="42">+O22/K22-1</f>
        <v>6.6111885370042645E-2</v>
      </c>
      <c r="P23" s="264">
        <f t="shared" ref="P23" si="43">+P22/L22-1</f>
        <v>6.0324035537099752E-2</v>
      </c>
      <c r="Q23" s="264">
        <f t="shared" ref="Q23" si="44">+Q22/M22-1</f>
        <v>4.6145096293980226E-2</v>
      </c>
      <c r="R23" s="264">
        <f t="shared" ref="R23" si="45">+R22/N22-1</f>
        <v>2.015050062499979E-2</v>
      </c>
      <c r="S23" s="264">
        <f t="shared" ref="S23" si="46">+S22/O22-1</f>
        <v>2.015050062499979E-2</v>
      </c>
      <c r="T23" s="264">
        <f t="shared" ref="T23" si="47">+T22/P22-1</f>
        <v>2.015050062499979E-2</v>
      </c>
      <c r="U23" s="264">
        <f t="shared" ref="U23" si="48">+U22/Q22-1</f>
        <v>2.015050062499979E-2</v>
      </c>
      <c r="V23" s="264">
        <f t="shared" ref="V23" si="49">+V22/R22-1</f>
        <v>2.0150500625000012E-2</v>
      </c>
      <c r="W23" s="264">
        <f t="shared" ref="W23" si="50">+W22/S22-1</f>
        <v>2.0150500625000012E-2</v>
      </c>
      <c r="X23" s="264">
        <f t="shared" ref="X23" si="51">+X22/T22-1</f>
        <v>2.0150500625000012E-2</v>
      </c>
      <c r="Y23" s="264">
        <f t="shared" ref="Y23" si="52">+Y22/U22-1</f>
        <v>2.015050062499979E-2</v>
      </c>
      <c r="Z23" s="264">
        <f t="shared" ref="Z23" si="53">+Z22/V22-1</f>
        <v>2.0150500625000012E-2</v>
      </c>
      <c r="AA23" s="264">
        <f t="shared" ref="AA23" si="54">+AA22/W22-1</f>
        <v>2.0150500625000012E-2</v>
      </c>
      <c r="AB23" s="264">
        <f t="shared" ref="AB23" si="55">+AB22/X22-1</f>
        <v>2.015050062499979E-2</v>
      </c>
      <c r="AC23" s="264">
        <f t="shared" ref="AC23" si="56">+AC22/Y22-1</f>
        <v>2.0150500625000012E-2</v>
      </c>
      <c r="AD23" s="264">
        <f t="shared" ref="AD23" si="57">+AD22/Z22-1</f>
        <v>2.0150500625000012E-2</v>
      </c>
      <c r="AE23" s="264">
        <f t="shared" ref="AE23" si="58">+AE22/AA22-1</f>
        <v>2.015050062499979E-2</v>
      </c>
      <c r="AF23" s="264">
        <f t="shared" ref="AF23" si="59">+AF22/AB22-1</f>
        <v>2.0150500625000012E-2</v>
      </c>
      <c r="AG23" s="264">
        <f t="shared" ref="AG23" si="60">+AG22/AC22-1</f>
        <v>2.0150500625000012E-2</v>
      </c>
      <c r="AH23" s="264">
        <f t="shared" ref="AH23" si="61">+AH22/AD22-1</f>
        <v>2.0150500625000012E-2</v>
      </c>
    </row>
    <row r="24" spans="2:34" ht="15.4" customHeight="1">
      <c r="B24" s="184"/>
      <c r="C24" s="25"/>
      <c r="D24" s="25"/>
      <c r="E24" s="25"/>
      <c r="F24" s="146"/>
      <c r="G24" s="331"/>
      <c r="H24" s="331"/>
      <c r="I24" s="331"/>
      <c r="J24" s="331"/>
      <c r="K24" s="331"/>
      <c r="L24" s="331"/>
      <c r="M24" s="331"/>
      <c r="N24" s="332"/>
      <c r="O24" s="333"/>
      <c r="P24" s="331"/>
      <c r="Q24" s="331"/>
      <c r="R24" s="331"/>
      <c r="S24" s="331"/>
      <c r="T24" s="331"/>
      <c r="U24" s="331"/>
      <c r="V24" s="331"/>
      <c r="W24" s="331"/>
      <c r="X24" s="331"/>
      <c r="Y24" s="331"/>
      <c r="Z24" s="331"/>
      <c r="AA24" s="331"/>
      <c r="AB24" s="331"/>
      <c r="AC24" s="331"/>
      <c r="AD24" s="331"/>
      <c r="AE24" s="331"/>
      <c r="AF24" s="331"/>
      <c r="AG24" s="331"/>
      <c r="AH24" s="331"/>
    </row>
    <row r="25" spans="2:34" ht="15.4" customHeight="1">
      <c r="B25" s="186" t="s">
        <v>136</v>
      </c>
      <c r="C25" s="15"/>
      <c r="D25" s="15"/>
      <c r="E25" s="15"/>
      <c r="F25" s="15"/>
      <c r="G25" s="334"/>
      <c r="H25" s="335"/>
      <c r="I25" s="335"/>
      <c r="J25" s="335"/>
      <c r="K25" s="335"/>
      <c r="L25" s="335"/>
      <c r="M25" s="335"/>
      <c r="N25" s="336"/>
      <c r="O25" s="337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</row>
    <row r="26" spans="2:34" ht="15.4" customHeight="1">
      <c r="B26" s="183" t="s">
        <v>128</v>
      </c>
      <c r="C26" s="35" cm="1">
        <f t="array" ref="C26">1+((SUM(C8:C10/C6)*4))</f>
        <v>0.93702810658396618</v>
      </c>
      <c r="D26" s="35" cm="1">
        <f t="array" ref="D26">1+((SUM(D8:D10/D6)*4))</f>
        <v>0.87536666515177475</v>
      </c>
      <c r="E26" s="35" cm="1">
        <f t="array" ref="E26">1+((SUM(E8:E10/E6)*4))</f>
        <v>0.90914924853757506</v>
      </c>
      <c r="F26" s="35" cm="1">
        <f t="array" ref="F26">1+((SUM(F8:F10/F6)*4))</f>
        <v>0.9144986805186972</v>
      </c>
      <c r="G26" s="338" cm="1">
        <f t="array" ref="G26">1+((SUM(G8:G10/G6)*4))</f>
        <v>0.86833001497531537</v>
      </c>
      <c r="H26" s="338" cm="1">
        <f t="array" ref="H26">1+((SUM(H8:H10/H6)*4))</f>
        <v>0.88857566139922783</v>
      </c>
      <c r="I26" s="338" cm="1">
        <f t="array" ref="I26">1+((SUM(I8:I10/I6)*4))</f>
        <v>0.88845223750893954</v>
      </c>
      <c r="J26" s="338" cm="1">
        <f t="array" ref="J26">1+((SUM(J8:J10/J6)*4))</f>
        <v>0.88399815540283133</v>
      </c>
      <c r="K26" s="338" cm="1">
        <f t="array" ref="K26">1+((SUM(K8:K10/K6)*4))</f>
        <v>0.8390094444129168</v>
      </c>
      <c r="L26" s="338" cm="1">
        <f t="array" ref="L26">1+((SUM(L8:L10/L6)*4))</f>
        <v>0.88281943722792933</v>
      </c>
      <c r="M26" s="338" cm="1">
        <f t="array" ref="M26">1+((SUM(M8:M10/M6)*4))</f>
        <v>0.84543382044262427</v>
      </c>
      <c r="N26" s="339" cm="1">
        <f t="array" ref="N26">1+((SUM(N8:N10/N6)*4))</f>
        <v>0.89082421502662723</v>
      </c>
      <c r="O26" s="340" cm="1">
        <f t="array" ref="O26">1+((SUM(O8:O10/O6)*4))</f>
        <v>0.86</v>
      </c>
      <c r="P26" s="338" cm="1">
        <f t="array" ref="P26">1+((SUM(P8:P10/P6)*4))</f>
        <v>0.86</v>
      </c>
      <c r="Q26" s="338" cm="1">
        <f t="array" ref="Q26">1+((SUM(Q8:Q10/Q6)*4))</f>
        <v>0.86</v>
      </c>
      <c r="R26" s="338" cm="1">
        <f t="array" ref="R26">1+((SUM(R8:R10/R6)*4))</f>
        <v>0.86</v>
      </c>
      <c r="S26" s="338" cm="1">
        <f t="array" ref="S26">1+((SUM(S8:S10/S6)*4))</f>
        <v>0.86</v>
      </c>
      <c r="T26" s="338" cm="1">
        <f t="array" ref="T26">1+((SUM(T8:T10/T6)*4))</f>
        <v>0.86</v>
      </c>
      <c r="U26" s="338" cm="1">
        <f t="array" ref="U26">1+((SUM(U8:U10/U6)*4))</f>
        <v>0.86</v>
      </c>
      <c r="V26" s="338" cm="1">
        <f t="array" ref="V26">1+((SUM(V8:V10/V6)*4))</f>
        <v>0.86</v>
      </c>
      <c r="W26" s="338" cm="1">
        <f t="array" ref="W26">1+((SUM(W8:W10/W6)*4))</f>
        <v>0.86</v>
      </c>
      <c r="X26" s="338" cm="1">
        <f t="array" ref="X26">1+((SUM(X8:X10/X6)*4))</f>
        <v>0.86</v>
      </c>
      <c r="Y26" s="338" cm="1">
        <f t="array" ref="Y26">1+((SUM(Y8:Y10/Y6)*4))</f>
        <v>0.86</v>
      </c>
      <c r="Z26" s="338" cm="1">
        <f t="array" ref="Z26">1+((SUM(Z8:Z10/Z6)*4))</f>
        <v>0.86</v>
      </c>
      <c r="AA26" s="338" cm="1">
        <f t="array" ref="AA26">1+((SUM(AA8:AA10/AA6)*4))</f>
        <v>0.86</v>
      </c>
      <c r="AB26" s="338" cm="1">
        <f t="array" ref="AB26">1+((SUM(AB8:AB10/AB6)*4))</f>
        <v>0.86</v>
      </c>
      <c r="AC26" s="338" cm="1">
        <f t="array" ref="AC26">1+((SUM(AC8:AC10/AC6)*4))</f>
        <v>0.86</v>
      </c>
      <c r="AD26" s="338" cm="1">
        <f t="array" ref="AD26">1+((SUM(AD8:AD10/AD6)*4))</f>
        <v>0.86</v>
      </c>
      <c r="AE26" s="338" cm="1">
        <f t="array" ref="AE26">1+((SUM(AE8:AE10/AE6)*4))</f>
        <v>0.86</v>
      </c>
      <c r="AF26" s="338" cm="1">
        <f t="array" ref="AF26">1+((SUM(AF8:AF10/AF6)*4))</f>
        <v>0.86</v>
      </c>
      <c r="AG26" s="338" cm="1">
        <f t="array" ref="AG26">1+((SUM(AG8:AG10/AG6)*4))</f>
        <v>0.86</v>
      </c>
      <c r="AH26" s="338" cm="1">
        <f t="array" ref="AH26">1+((SUM(AH8:AH10/AH6)*4))</f>
        <v>0.86</v>
      </c>
    </row>
    <row r="27" spans="2:34" ht="15.4" customHeight="1">
      <c r="B27" s="183" t="s">
        <v>137</v>
      </c>
      <c r="C27" s="35">
        <f t="shared" ref="C27:N27" si="62">1+((SUM(C9:C10)/C6)*4)</f>
        <v>0.850208168999396</v>
      </c>
      <c r="D27" s="35">
        <f t="shared" si="62"/>
        <v>0.81085096967203252</v>
      </c>
      <c r="E27" s="35">
        <f t="shared" si="62"/>
        <v>0.85676364527984528</v>
      </c>
      <c r="F27" s="35">
        <f t="shared" si="62"/>
        <v>0.84015482841061062</v>
      </c>
      <c r="G27" s="338">
        <f t="shared" si="62"/>
        <v>0.79956696052495846</v>
      </c>
      <c r="H27" s="338">
        <f t="shared" si="62"/>
        <v>0.80498392569724309</v>
      </c>
      <c r="I27" s="338">
        <f t="shared" si="62"/>
        <v>0.81403996559513159</v>
      </c>
      <c r="J27" s="338">
        <f t="shared" si="62"/>
        <v>0.80011030410482775</v>
      </c>
      <c r="K27" s="338">
        <f t="shared" si="62"/>
        <v>0.7836243781950607</v>
      </c>
      <c r="L27" s="338">
        <f t="shared" si="62"/>
        <v>0.82261481069254028</v>
      </c>
      <c r="M27" s="338">
        <f t="shared" si="62"/>
        <v>0.80702020843319844</v>
      </c>
      <c r="N27" s="339">
        <f t="shared" si="62"/>
        <v>0.83529421639250057</v>
      </c>
      <c r="O27" s="340">
        <f t="shared" ref="O27:AH27" si="63">1+((SUM(O9:O10)/O6)*4)</f>
        <v>0.8</v>
      </c>
      <c r="P27" s="338">
        <f t="shared" si="63"/>
        <v>0.8</v>
      </c>
      <c r="Q27" s="338">
        <f t="shared" si="63"/>
        <v>0.8</v>
      </c>
      <c r="R27" s="338">
        <f t="shared" si="63"/>
        <v>0.8</v>
      </c>
      <c r="S27" s="338">
        <f t="shared" si="63"/>
        <v>0.8</v>
      </c>
      <c r="T27" s="338">
        <f t="shared" si="63"/>
        <v>0.8</v>
      </c>
      <c r="U27" s="338">
        <f t="shared" si="63"/>
        <v>0.8</v>
      </c>
      <c r="V27" s="338">
        <f t="shared" si="63"/>
        <v>0.8</v>
      </c>
      <c r="W27" s="338">
        <f t="shared" si="63"/>
        <v>0.8</v>
      </c>
      <c r="X27" s="338">
        <f t="shared" si="63"/>
        <v>0.8</v>
      </c>
      <c r="Y27" s="338">
        <f t="shared" si="63"/>
        <v>0.8</v>
      </c>
      <c r="Z27" s="338">
        <f t="shared" si="63"/>
        <v>0.79999999999999993</v>
      </c>
      <c r="AA27" s="338">
        <f t="shared" si="63"/>
        <v>0.8</v>
      </c>
      <c r="AB27" s="338">
        <f t="shared" si="63"/>
        <v>0.8</v>
      </c>
      <c r="AC27" s="338">
        <f t="shared" si="63"/>
        <v>0.8</v>
      </c>
      <c r="AD27" s="338">
        <f t="shared" si="63"/>
        <v>0.8</v>
      </c>
      <c r="AE27" s="338">
        <f t="shared" si="63"/>
        <v>0.79999999999999993</v>
      </c>
      <c r="AF27" s="338">
        <f t="shared" si="63"/>
        <v>0.8</v>
      </c>
      <c r="AG27" s="338">
        <f t="shared" si="63"/>
        <v>0.8</v>
      </c>
      <c r="AH27" s="338">
        <f t="shared" si="63"/>
        <v>0.8</v>
      </c>
    </row>
    <row r="28" spans="2:34" ht="15.4" customHeight="1">
      <c r="B28" s="183" t="s">
        <v>127</v>
      </c>
      <c r="C28" s="35">
        <f t="shared" ref="C28:N28" si="64">1+((C16/C14)*4)</f>
        <v>0.87096774193548387</v>
      </c>
      <c r="D28" s="35">
        <f t="shared" si="64"/>
        <v>0.84126984126984128</v>
      </c>
      <c r="E28" s="35">
        <f t="shared" si="64"/>
        <v>0.90551181102362199</v>
      </c>
      <c r="F28" s="35">
        <f t="shared" si="64"/>
        <v>0.90769230769230769</v>
      </c>
      <c r="G28" s="338">
        <f t="shared" si="64"/>
        <v>0.84848484848484851</v>
      </c>
      <c r="H28" s="338">
        <f t="shared" si="64"/>
        <v>0.87786259541984735</v>
      </c>
      <c r="I28" s="338">
        <f t="shared" si="64"/>
        <v>0.90839694656488545</v>
      </c>
      <c r="J28" s="338">
        <f t="shared" si="64"/>
        <v>0.81954887218045114</v>
      </c>
      <c r="K28" s="338">
        <f t="shared" si="64"/>
        <v>0.84848484848484851</v>
      </c>
      <c r="L28" s="338">
        <f t="shared" si="64"/>
        <v>0.82089552238805974</v>
      </c>
      <c r="M28" s="338">
        <f t="shared" si="64"/>
        <v>0.88059701492537312</v>
      </c>
      <c r="N28" s="339">
        <f t="shared" si="64"/>
        <v>0.85714285714285721</v>
      </c>
      <c r="O28" s="340">
        <f t="shared" ref="O28:AH28" si="65">1+((O16/O14)*4)</f>
        <v>0.8586595908764133</v>
      </c>
      <c r="P28" s="338">
        <f t="shared" si="65"/>
        <v>0.85931403782894311</v>
      </c>
      <c r="Q28" s="338">
        <f t="shared" si="65"/>
        <v>0.85995924100975241</v>
      </c>
      <c r="R28" s="338">
        <f t="shared" si="65"/>
        <v>0.86059538703488048</v>
      </c>
      <c r="S28" s="338">
        <f t="shared" si="65"/>
        <v>0.86122265753976301</v>
      </c>
      <c r="T28" s="338">
        <f t="shared" si="65"/>
        <v>0.86184122934433938</v>
      </c>
      <c r="U28" s="338">
        <f t="shared" si="65"/>
        <v>0.86245127461163518</v>
      </c>
      <c r="V28" s="338">
        <f t="shared" si="65"/>
        <v>0.86305296100011986</v>
      </c>
      <c r="W28" s="338">
        <f t="shared" si="65"/>
        <v>0.8636464518101199</v>
      </c>
      <c r="X28" s="338">
        <f t="shared" si="65"/>
        <v>0.86423190612455913</v>
      </c>
      <c r="Y28" s="338">
        <f t="shared" si="65"/>
        <v>0.86480947894427873</v>
      </c>
      <c r="Z28" s="338">
        <f t="shared" si="65"/>
        <v>0.86537932131818174</v>
      </c>
      <c r="AA28" s="338">
        <f t="shared" si="65"/>
        <v>0.86594158046842773</v>
      </c>
      <c r="AB28" s="338">
        <f t="shared" si="65"/>
        <v>0.86649639991089944</v>
      </c>
      <c r="AC28" s="338">
        <f t="shared" si="65"/>
        <v>0.86704391957114657</v>
      </c>
      <c r="AD28" s="338">
        <f t="shared" si="65"/>
        <v>0.86758427589600351</v>
      </c>
      <c r="AE28" s="338">
        <f t="shared" si="65"/>
        <v>0.86811760196106857</v>
      </c>
      <c r="AF28" s="338">
        <f t="shared" si="65"/>
        <v>0.86864402757422421</v>
      </c>
      <c r="AG28" s="338">
        <f t="shared" si="65"/>
        <v>0.86916367937536321</v>
      </c>
      <c r="AH28" s="338">
        <f t="shared" si="65"/>
        <v>0.86967668093248651</v>
      </c>
    </row>
    <row r="29" spans="2:34" ht="15.4" customHeight="1">
      <c r="B29" s="184"/>
      <c r="C29" s="25"/>
      <c r="D29" s="25"/>
      <c r="E29" s="25"/>
      <c r="F29" s="146"/>
      <c r="G29" s="146"/>
      <c r="H29" s="146"/>
      <c r="I29" s="146"/>
      <c r="J29" s="146"/>
      <c r="K29" s="146"/>
      <c r="L29" s="146"/>
      <c r="M29" s="146"/>
      <c r="N29" s="297"/>
      <c r="O29" s="298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</row>
    <row r="30" spans="2:34" s="148" customFormat="1" ht="15.4" customHeight="1">
      <c r="B30" s="186" t="s">
        <v>171</v>
      </c>
      <c r="C30" s="15"/>
      <c r="D30" s="15"/>
      <c r="E30" s="15"/>
      <c r="F30" s="15"/>
      <c r="G30" s="15"/>
      <c r="H30" s="5"/>
      <c r="I30" s="5"/>
      <c r="J30" s="5"/>
      <c r="K30" s="5"/>
      <c r="L30" s="5"/>
      <c r="M30" s="5"/>
      <c r="N30" s="199"/>
      <c r="O30" s="28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2:34" ht="15.4" customHeight="1">
      <c r="B31" s="185" t="s">
        <v>5</v>
      </c>
      <c r="C31" s="410">
        <f t="shared" ref="C31:N31" si="66">+C7</f>
        <v>16.542719999999999</v>
      </c>
      <c r="D31" s="410">
        <f t="shared" si="66"/>
        <v>12.672000000000001</v>
      </c>
      <c r="E31" s="410">
        <f t="shared" si="66"/>
        <v>10.782719999999999</v>
      </c>
      <c r="F31" s="410">
        <f t="shared" si="66"/>
        <v>12.034255999999999</v>
      </c>
      <c r="G31" s="410">
        <f t="shared" si="66"/>
        <v>6.9119999999999999</v>
      </c>
      <c r="H31" s="410">
        <f t="shared" si="66"/>
        <v>7.8796799999999996</v>
      </c>
      <c r="I31" s="410">
        <f t="shared" si="66"/>
        <v>11.52</v>
      </c>
      <c r="J31" s="410">
        <f t="shared" si="66"/>
        <v>12.487679999999999</v>
      </c>
      <c r="K31" s="410">
        <f t="shared" si="66"/>
        <v>15.34464</v>
      </c>
      <c r="L31" s="410">
        <f t="shared" si="66"/>
        <v>12.672000000000001</v>
      </c>
      <c r="M31" s="410">
        <f t="shared" si="66"/>
        <v>18.431999999999999</v>
      </c>
      <c r="N31" s="432">
        <f t="shared" si="66"/>
        <v>18.984960000000001</v>
      </c>
      <c r="O31" s="433">
        <f t="shared" ref="O31:AH31" si="67">+O7</f>
        <v>13.516560000000004</v>
      </c>
      <c r="P31" s="410">
        <f t="shared" si="67"/>
        <v>13.584142800000004</v>
      </c>
      <c r="Q31" s="410">
        <f t="shared" si="67"/>
        <v>13.652063514000004</v>
      </c>
      <c r="R31" s="410">
        <f t="shared" si="67"/>
        <v>13.720323831570004</v>
      </c>
      <c r="S31" s="410">
        <f t="shared" si="67"/>
        <v>13.788925450727852</v>
      </c>
      <c r="T31" s="410">
        <f t="shared" si="67"/>
        <v>13.85787007798149</v>
      </c>
      <c r="U31" s="410">
        <f t="shared" si="67"/>
        <v>13.927159428371398</v>
      </c>
      <c r="V31" s="410">
        <f t="shared" si="67"/>
        <v>13.996795225513257</v>
      </c>
      <c r="W31" s="410">
        <f t="shared" si="67"/>
        <v>14.066779201640824</v>
      </c>
      <c r="X31" s="410">
        <f t="shared" si="67"/>
        <v>14.137113097649026</v>
      </c>
      <c r="Y31" s="410">
        <f t="shared" si="67"/>
        <v>14.207798663137272</v>
      </c>
      <c r="Z31" s="410">
        <f t="shared" si="67"/>
        <v>14.278837656452957</v>
      </c>
      <c r="AA31" s="410">
        <f t="shared" si="67"/>
        <v>14.350231844735221</v>
      </c>
      <c r="AB31" s="410">
        <f t="shared" si="67"/>
        <v>14.4219830039589</v>
      </c>
      <c r="AC31" s="410">
        <f t="shared" si="67"/>
        <v>14.494092918978691</v>
      </c>
      <c r="AD31" s="410">
        <f t="shared" si="67"/>
        <v>14.566563383573584</v>
      </c>
      <c r="AE31" s="410">
        <f t="shared" si="67"/>
        <v>14.639396200491454</v>
      </c>
      <c r="AF31" s="410">
        <f t="shared" si="67"/>
        <v>14.71259318149391</v>
      </c>
      <c r="AG31" s="410">
        <f t="shared" si="67"/>
        <v>14.78615614740138</v>
      </c>
      <c r="AH31" s="410">
        <f t="shared" si="67"/>
        <v>14.860086928138385</v>
      </c>
    </row>
    <row r="32" spans="2:34" ht="15.4" customHeight="1">
      <c r="B32" s="185" t="s">
        <v>6</v>
      </c>
      <c r="C32" s="410">
        <f t="shared" ref="C32:N34" si="68">+C8</f>
        <v>6.2770320000000002</v>
      </c>
      <c r="D32" s="410">
        <f t="shared" si="68"/>
        <v>4.8578320000000001</v>
      </c>
      <c r="E32" s="410">
        <f t="shared" si="68"/>
        <v>3.9875280000000002</v>
      </c>
      <c r="F32" s="410">
        <f t="shared" si="68"/>
        <v>5.7308399999999997</v>
      </c>
      <c r="G32" s="410">
        <f t="shared" si="68"/>
        <v>5.3942160000000001</v>
      </c>
      <c r="H32" s="410">
        <f t="shared" si="68"/>
        <v>6.4860639999999998</v>
      </c>
      <c r="I32" s="410">
        <f t="shared" si="68"/>
        <v>5.7595599999999996</v>
      </c>
      <c r="J32" s="410">
        <f t="shared" si="68"/>
        <v>6.5535040000000002</v>
      </c>
      <c r="K32" s="410">
        <f t="shared" si="68"/>
        <v>4.3742320000000001</v>
      </c>
      <c r="L32" s="410">
        <f t="shared" si="68"/>
        <v>4.7944560000000003</v>
      </c>
      <c r="M32" s="410">
        <f t="shared" si="68"/>
        <v>3.0911840000000002</v>
      </c>
      <c r="N32" s="432">
        <f t="shared" si="68"/>
        <v>4.551768</v>
      </c>
      <c r="O32" s="433">
        <f t="shared" ref="O32:AH32" si="69">+O8</f>
        <v>5.0687100000000012</v>
      </c>
      <c r="P32" s="410">
        <f t="shared" si="69"/>
        <v>5.0940535500000017</v>
      </c>
      <c r="Q32" s="410">
        <f t="shared" si="69"/>
        <v>5.1195238177500011</v>
      </c>
      <c r="R32" s="410">
        <f t="shared" si="69"/>
        <v>5.1451214368387514</v>
      </c>
      <c r="S32" s="410">
        <f t="shared" si="69"/>
        <v>5.1708470440229446</v>
      </c>
      <c r="T32" s="410">
        <f t="shared" si="69"/>
        <v>5.1967012792430589</v>
      </c>
      <c r="U32" s="410">
        <f t="shared" si="69"/>
        <v>5.2226847856392746</v>
      </c>
      <c r="V32" s="410">
        <f t="shared" si="69"/>
        <v>5.2487982095674708</v>
      </c>
      <c r="W32" s="410">
        <f t="shared" si="69"/>
        <v>5.2750422006153084</v>
      </c>
      <c r="X32" s="410">
        <f t="shared" si="69"/>
        <v>5.3014174116183845</v>
      </c>
      <c r="Y32" s="410">
        <f t="shared" si="69"/>
        <v>5.3279244986764764</v>
      </c>
      <c r="Z32" s="410">
        <f t="shared" si="69"/>
        <v>5.354564121169858</v>
      </c>
      <c r="AA32" s="410">
        <f t="shared" si="69"/>
        <v>5.3813369417757082</v>
      </c>
      <c r="AB32" s="410">
        <f t="shared" si="69"/>
        <v>5.4082436264845866</v>
      </c>
      <c r="AC32" s="410">
        <f t="shared" si="69"/>
        <v>5.4352848446170086</v>
      </c>
      <c r="AD32" s="410">
        <f t="shared" si="69"/>
        <v>5.4624612688400935</v>
      </c>
      <c r="AE32" s="410">
        <f t="shared" si="69"/>
        <v>5.4897735751842944</v>
      </c>
      <c r="AF32" s="410">
        <f t="shared" si="69"/>
        <v>5.5172224430602164</v>
      </c>
      <c r="AG32" s="410">
        <f t="shared" si="69"/>
        <v>5.5448085552755169</v>
      </c>
      <c r="AH32" s="410">
        <f t="shared" si="69"/>
        <v>5.572532598051894</v>
      </c>
    </row>
    <row r="33" spans="2:34" ht="15.4" customHeight="1">
      <c r="B33" s="185" t="s">
        <v>7</v>
      </c>
      <c r="C33" s="410">
        <f t="shared" si="68"/>
        <v>-3.5502959999999999</v>
      </c>
      <c r="D33" s="410">
        <f t="shared" si="68"/>
        <v>-4.0782879999999997</v>
      </c>
      <c r="E33" s="410">
        <f t="shared" si="68"/>
        <v>-3.6139600000000001</v>
      </c>
      <c r="F33" s="410">
        <f t="shared" si="68"/>
        <v>-4.1697519999999999</v>
      </c>
      <c r="G33" s="410">
        <f t="shared" si="68"/>
        <v>-3.5214400000000001</v>
      </c>
      <c r="H33" s="410">
        <f t="shared" si="68"/>
        <v>-4.3348800000000001</v>
      </c>
      <c r="I33" s="410">
        <f t="shared" si="68"/>
        <v>-4.362616</v>
      </c>
      <c r="J33" s="410">
        <f t="shared" si="68"/>
        <v>-3.7341600000000001</v>
      </c>
      <c r="K33" s="410">
        <f t="shared" si="68"/>
        <v>-3.469624</v>
      </c>
      <c r="L33" s="410">
        <f t="shared" si="68"/>
        <v>-1.843504</v>
      </c>
      <c r="M33" s="410">
        <f t="shared" si="68"/>
        <v>-4.0987359999999997</v>
      </c>
      <c r="N33" s="432">
        <f t="shared" si="68"/>
        <v>-1.989072</v>
      </c>
      <c r="O33" s="433">
        <f t="shared" ref="O33:AH33" si="70">+O9</f>
        <v>-3.3791400000000009</v>
      </c>
      <c r="P33" s="410">
        <f t="shared" si="70"/>
        <v>-3.396035700000001</v>
      </c>
      <c r="Q33" s="410">
        <f t="shared" si="70"/>
        <v>-3.4130158785000009</v>
      </c>
      <c r="R33" s="410">
        <f t="shared" si="70"/>
        <v>-3.4300809578925011</v>
      </c>
      <c r="S33" s="410">
        <f t="shared" si="70"/>
        <v>-3.4472313626819631</v>
      </c>
      <c r="T33" s="410">
        <f t="shared" si="70"/>
        <v>-3.4644675194953725</v>
      </c>
      <c r="U33" s="410">
        <f t="shared" si="70"/>
        <v>-3.4817898570928496</v>
      </c>
      <c r="V33" s="410">
        <f t="shared" si="70"/>
        <v>-3.4991988063783142</v>
      </c>
      <c r="W33" s="410">
        <f t="shared" si="70"/>
        <v>-3.5166948004102059</v>
      </c>
      <c r="X33" s="410">
        <f t="shared" si="70"/>
        <v>-3.5342782744122565</v>
      </c>
      <c r="Y33" s="410">
        <f t="shared" si="70"/>
        <v>-3.5519496657843179</v>
      </c>
      <c r="Z33" s="410">
        <f t="shared" si="70"/>
        <v>-3.5697094141132393</v>
      </c>
      <c r="AA33" s="410">
        <f t="shared" si="70"/>
        <v>-3.5875579611838053</v>
      </c>
      <c r="AB33" s="410">
        <f t="shared" si="70"/>
        <v>-3.605495750989725</v>
      </c>
      <c r="AC33" s="410">
        <f t="shared" si="70"/>
        <v>-3.6235232297446727</v>
      </c>
      <c r="AD33" s="410">
        <f t="shared" si="70"/>
        <v>-3.641640845893396</v>
      </c>
      <c r="AE33" s="410">
        <f t="shared" si="70"/>
        <v>-3.6598490501228635</v>
      </c>
      <c r="AF33" s="410">
        <f t="shared" si="70"/>
        <v>-3.6781482953734774</v>
      </c>
      <c r="AG33" s="410">
        <f t="shared" si="70"/>
        <v>-3.696539036850345</v>
      </c>
      <c r="AH33" s="410">
        <f t="shared" si="70"/>
        <v>-3.7150217320345962</v>
      </c>
    </row>
    <row r="34" spans="2:34" ht="15.4" customHeight="1">
      <c r="B34" s="185" t="s">
        <v>8</v>
      </c>
      <c r="C34" s="410">
        <f t="shared" si="68"/>
        <v>-7.2795680000000003</v>
      </c>
      <c r="D34" s="410">
        <f t="shared" si="68"/>
        <v>-10.164047999999999</v>
      </c>
      <c r="E34" s="410">
        <f t="shared" si="68"/>
        <v>-7.2890160000000002</v>
      </c>
      <c r="F34" s="410">
        <f t="shared" si="68"/>
        <v>-8.1520080000000004</v>
      </c>
      <c r="G34" s="410">
        <f t="shared" si="68"/>
        <v>-12.201816000000001</v>
      </c>
      <c r="H34" s="410">
        <f t="shared" si="68"/>
        <v>-10.79684</v>
      </c>
      <c r="I34" s="410">
        <f t="shared" si="68"/>
        <v>-10.030816</v>
      </c>
      <c r="J34" s="410">
        <f t="shared" si="68"/>
        <v>-11.881664000000001</v>
      </c>
      <c r="K34" s="410">
        <f t="shared" si="68"/>
        <v>-13.619408</v>
      </c>
      <c r="L34" s="410">
        <f t="shared" si="68"/>
        <v>-12.282743999999999</v>
      </c>
      <c r="M34" s="410">
        <f t="shared" si="68"/>
        <v>-11.430552</v>
      </c>
      <c r="N34" s="432">
        <f t="shared" si="68"/>
        <v>-11.511784</v>
      </c>
      <c r="O34" s="433">
        <f t="shared" ref="O34:AH34" si="71">+O10</f>
        <v>-13.516560000000004</v>
      </c>
      <c r="P34" s="410">
        <f t="shared" si="71"/>
        <v>-13.584142800000004</v>
      </c>
      <c r="Q34" s="410">
        <f t="shared" si="71"/>
        <v>-13.652063514000004</v>
      </c>
      <c r="R34" s="410">
        <f t="shared" si="71"/>
        <v>-13.720323831570004</v>
      </c>
      <c r="S34" s="410">
        <f t="shared" si="71"/>
        <v>-13.788925450727852</v>
      </c>
      <c r="T34" s="410">
        <f t="shared" si="71"/>
        <v>-13.85787007798149</v>
      </c>
      <c r="U34" s="410">
        <f t="shared" si="71"/>
        <v>-13.927159428371398</v>
      </c>
      <c r="V34" s="410">
        <f t="shared" si="71"/>
        <v>-13.996795225513257</v>
      </c>
      <c r="W34" s="410">
        <f t="shared" si="71"/>
        <v>-14.066779201640824</v>
      </c>
      <c r="X34" s="410">
        <f t="shared" si="71"/>
        <v>-14.137113097649026</v>
      </c>
      <c r="Y34" s="410">
        <f t="shared" si="71"/>
        <v>-14.207798663137272</v>
      </c>
      <c r="Z34" s="410">
        <f t="shared" si="71"/>
        <v>-14.278837656452957</v>
      </c>
      <c r="AA34" s="410">
        <f t="shared" si="71"/>
        <v>-14.350231844735221</v>
      </c>
      <c r="AB34" s="410">
        <f t="shared" si="71"/>
        <v>-14.4219830039589</v>
      </c>
      <c r="AC34" s="410">
        <f t="shared" si="71"/>
        <v>-14.494092918978691</v>
      </c>
      <c r="AD34" s="410">
        <f t="shared" si="71"/>
        <v>-14.566563383573584</v>
      </c>
      <c r="AE34" s="410">
        <f t="shared" si="71"/>
        <v>-14.639396200491454</v>
      </c>
      <c r="AF34" s="410">
        <f t="shared" si="71"/>
        <v>-14.71259318149391</v>
      </c>
      <c r="AG34" s="410">
        <f t="shared" si="71"/>
        <v>-14.78615614740138</v>
      </c>
      <c r="AH34" s="410">
        <f t="shared" si="71"/>
        <v>-14.860086928138385</v>
      </c>
    </row>
    <row r="35" spans="2:34" ht="15.4" customHeight="1">
      <c r="B35" s="187" t="s">
        <v>171</v>
      </c>
      <c r="C35" s="132">
        <f t="shared" ref="C35:N35" si="72">-SUM(C31:C32)/SUM(C33:C34)</f>
        <v>2.1071134411290853</v>
      </c>
      <c r="D35" s="132">
        <f t="shared" si="72"/>
        <v>1.2308256173706336</v>
      </c>
      <c r="E35" s="132">
        <f t="shared" si="72"/>
        <v>1.3546987538081343</v>
      </c>
      <c r="F35" s="132">
        <f t="shared" si="72"/>
        <v>1.4417661113347442</v>
      </c>
      <c r="G35" s="132">
        <f t="shared" si="72"/>
        <v>0.78267605640969007</v>
      </c>
      <c r="H35" s="132">
        <f t="shared" si="72"/>
        <v>0.94937944926287299</v>
      </c>
      <c r="I35" s="132">
        <f t="shared" si="72"/>
        <v>1.2005170135934222</v>
      </c>
      <c r="J35" s="132">
        <f t="shared" si="72"/>
        <v>1.219351857449213</v>
      </c>
      <c r="K35" s="132">
        <f t="shared" si="72"/>
        <v>1.1538905187842121</v>
      </c>
      <c r="L35" s="132">
        <f t="shared" si="72"/>
        <v>1.2364540110013644</v>
      </c>
      <c r="M35" s="132">
        <f t="shared" si="72"/>
        <v>1.3859736518506192</v>
      </c>
      <c r="N35" s="299">
        <f t="shared" si="72"/>
        <v>1.7433507919794122</v>
      </c>
      <c r="O35" s="300">
        <f t="shared" ref="O35:AH35" si="73">-SUM(O31:O32)/SUM(O33:O34)</f>
        <v>1.0999999999999999</v>
      </c>
      <c r="P35" s="132">
        <f t="shared" si="73"/>
        <v>1.1000000000000001</v>
      </c>
      <c r="Q35" s="132">
        <f t="shared" si="73"/>
        <v>1.1000000000000001</v>
      </c>
      <c r="R35" s="132">
        <f t="shared" si="73"/>
        <v>1.0999999999999999</v>
      </c>
      <c r="S35" s="132">
        <f t="shared" si="73"/>
        <v>1.1000000000000001</v>
      </c>
      <c r="T35" s="132">
        <f t="shared" si="73"/>
        <v>1.1000000000000001</v>
      </c>
      <c r="U35" s="132">
        <f t="shared" si="73"/>
        <v>1.1000000000000001</v>
      </c>
      <c r="V35" s="132">
        <f t="shared" si="73"/>
        <v>1.1000000000000001</v>
      </c>
      <c r="W35" s="132">
        <f t="shared" si="73"/>
        <v>1.0999999999999999</v>
      </c>
      <c r="X35" s="132">
        <f t="shared" si="73"/>
        <v>1.0999999999999999</v>
      </c>
      <c r="Y35" s="132">
        <f t="shared" si="73"/>
        <v>1.1000000000000001</v>
      </c>
      <c r="Z35" s="132">
        <f t="shared" si="73"/>
        <v>1.0999999999999999</v>
      </c>
      <c r="AA35" s="132">
        <f t="shared" si="73"/>
        <v>1.1000000000000001</v>
      </c>
      <c r="AB35" s="132">
        <f t="shared" si="73"/>
        <v>1.1000000000000001</v>
      </c>
      <c r="AC35" s="132">
        <f t="shared" si="73"/>
        <v>1.0999999999999999</v>
      </c>
      <c r="AD35" s="132">
        <f t="shared" si="73"/>
        <v>1.1000000000000001</v>
      </c>
      <c r="AE35" s="132">
        <f t="shared" si="73"/>
        <v>1.0999999999999999</v>
      </c>
      <c r="AF35" s="132">
        <f t="shared" si="73"/>
        <v>1.1000000000000001</v>
      </c>
      <c r="AG35" s="132">
        <f t="shared" si="73"/>
        <v>1.1000000000000001</v>
      </c>
      <c r="AH35" s="132">
        <f t="shared" si="73"/>
        <v>1.1000000000000001</v>
      </c>
    </row>
    <row r="36" spans="2:34" ht="15.4" customHeight="1">
      <c r="B36" s="184"/>
      <c r="C36" s="131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301"/>
      <c r="O36" s="302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</row>
    <row r="37" spans="2:34" s="2" customFormat="1" ht="16.5" customHeight="1">
      <c r="B37" s="48" t="s">
        <v>138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295"/>
      <c r="O37" s="296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</row>
    <row r="38" spans="2:34" ht="15.4" customHeight="1">
      <c r="B38" s="186" t="s">
        <v>0</v>
      </c>
      <c r="C38" s="15"/>
      <c r="D38" s="15"/>
      <c r="E38" s="15"/>
      <c r="F38" s="15"/>
      <c r="G38" s="15"/>
      <c r="H38" s="5"/>
      <c r="I38" s="5"/>
      <c r="J38" s="5"/>
      <c r="K38" s="5"/>
      <c r="L38" s="5"/>
      <c r="M38" s="5"/>
      <c r="N38" s="199"/>
      <c r="O38" s="28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2:34" ht="15.4" customHeight="1">
      <c r="B39" s="185" t="s">
        <v>122</v>
      </c>
      <c r="C39" s="410">
        <f>SUM(Model!C8:C8)</f>
        <v>73.455053844684898</v>
      </c>
      <c r="D39" s="410">
        <f>SUM(Model!C8:D8)</f>
        <v>147.3241947237014</v>
      </c>
      <c r="E39" s="410">
        <f>SUM(Model!C8:E8)</f>
        <v>224.46212082309685</v>
      </c>
      <c r="F39" s="410">
        <f>SUM(Model!C8:F8)</f>
        <v>302.61070131681595</v>
      </c>
      <c r="G39" s="410">
        <f>SUM(Model!D8:G8)</f>
        <v>306.14575735650772</v>
      </c>
      <c r="H39" s="410">
        <f>SUM(Model!E8:H8)</f>
        <v>309.22634586055818</v>
      </c>
      <c r="I39" s="410">
        <f>SUM(Model!F8:I8)</f>
        <v>310.08463186921011</v>
      </c>
      <c r="J39" s="410">
        <f>SUM(Model!G8:J8)</f>
        <v>309.95495544791845</v>
      </c>
      <c r="K39" s="410">
        <f>SUM(Model!H8:K8)</f>
        <v>312.16276796751254</v>
      </c>
      <c r="L39" s="410">
        <f>SUM(Model!I8:L8)</f>
        <v>315.35929322831646</v>
      </c>
      <c r="M39" s="410">
        <f>SUM(Model!J8:M8)</f>
        <v>319.13176724387688</v>
      </c>
      <c r="N39" s="432">
        <f>SUM(Model!K8:N8)</f>
        <v>323.51016585992795</v>
      </c>
      <c r="O39" s="433">
        <f>SUM(Model!L8:O8)</f>
        <v>325.81710025595731</v>
      </c>
      <c r="P39" s="410">
        <f>SUM(Model!M8:P8)</f>
        <v>327.5832266960864</v>
      </c>
      <c r="Q39" s="410">
        <f>SUM(Model!N8:Q8)</f>
        <v>328.13648356189856</v>
      </c>
      <c r="R39" s="410">
        <f>SUM(Model!O8:R8)</f>
        <v>328.47273357778715</v>
      </c>
      <c r="S39" s="410">
        <f>SUM(Model!P8:S8)</f>
        <v>330.11509724567611</v>
      </c>
      <c r="T39" s="410">
        <f>SUM(Model!Q8:T8)</f>
        <v>331.76567273190443</v>
      </c>
      <c r="U39" s="410">
        <f>SUM(Model!R8:U8)</f>
        <v>333.42450109556398</v>
      </c>
      <c r="V39" s="410">
        <f>SUM(Model!S8:V8)</f>
        <v>335.09162360104176</v>
      </c>
      <c r="W39" s="410">
        <f>SUM(Model!T8:W8)</f>
        <v>336.76708171904704</v>
      </c>
      <c r="X39" s="410">
        <f>SUM(Model!U8:X8)</f>
        <v>338.45091712764224</v>
      </c>
      <c r="Y39" s="410">
        <f>SUM(Model!V8:Y8)</f>
        <v>340.14317171328042</v>
      </c>
      <c r="Z39" s="410">
        <f>SUM(Model!W8:Z8)</f>
        <v>341.84388757184684</v>
      </c>
      <c r="AA39" s="410">
        <f>SUM(Model!X8:AA8)</f>
        <v>343.55310700970608</v>
      </c>
      <c r="AB39" s="410">
        <f>SUM(Model!Y8:AB8)</f>
        <v>345.27087254475458</v>
      </c>
      <c r="AC39" s="410">
        <f>SUM(Model!Z8:AC8)</f>
        <v>346.99722690747836</v>
      </c>
      <c r="AD39" s="410">
        <f>SUM(Model!AA8:AD8)</f>
        <v>348.73221304201576</v>
      </c>
      <c r="AE39" s="410">
        <f>SUM(Model!AB8:AE8)</f>
        <v>350.47587410722582</v>
      </c>
      <c r="AF39" s="410">
        <f>SUM(Model!AC8:AF8)</f>
        <v>352.22825347776194</v>
      </c>
      <c r="AG39" s="410">
        <f>SUM(Model!AD8:AG8)</f>
        <v>353.98939474515072</v>
      </c>
      <c r="AH39" s="410">
        <f>SUM(Model!AE8:AH8)</f>
        <v>355.7593417188765</v>
      </c>
    </row>
    <row r="40" spans="2:34" ht="15.4" customHeight="1">
      <c r="B40" s="185" t="s">
        <v>123</v>
      </c>
      <c r="C40" s="410">
        <f>SUM(Model!C33:C33)</f>
        <v>0</v>
      </c>
      <c r="D40" s="410">
        <f>SUM(Model!C33:D33)</f>
        <v>0</v>
      </c>
      <c r="E40" s="410">
        <f>SUM(Model!C33:E33)</f>
        <v>0</v>
      </c>
      <c r="F40" s="410">
        <f>SUM(Model!C33:F33)</f>
        <v>35.199161842963321</v>
      </c>
      <c r="G40" s="410">
        <f>SUM(Model!D33:G33)</f>
        <v>71.786923709972072</v>
      </c>
      <c r="H40" s="410">
        <f>SUM(Model!E33:H33)</f>
        <v>107.03109111123507</v>
      </c>
      <c r="I40" s="410">
        <f>SUM(Model!F33:I33)</f>
        <v>142.7536622435114</v>
      </c>
      <c r="J40" s="410">
        <f>SUM(Model!G33:J33)</f>
        <v>143.85535194384369</v>
      </c>
      <c r="K40" s="410">
        <f>SUM(Model!H33:K33)</f>
        <v>143.29852552772837</v>
      </c>
      <c r="L40" s="410">
        <f>SUM(Model!I33:L33)</f>
        <v>144.41191713256455</v>
      </c>
      <c r="M40" s="410">
        <f>SUM(Model!J33:M33)</f>
        <v>145.75263318996792</v>
      </c>
      <c r="N40" s="432">
        <f>SUM(Model!K33:N33)</f>
        <v>146.08859181810664</v>
      </c>
      <c r="O40" s="433">
        <f>SUM(Model!L33:O33)</f>
        <v>148.67989554477251</v>
      </c>
      <c r="P40" s="410">
        <f>SUM(Model!M33:P33)</f>
        <v>151.32493641153582</v>
      </c>
      <c r="Q40" s="410">
        <f>SUM(Model!N33:Q33)</f>
        <v>153.61596908833542</v>
      </c>
      <c r="R40" s="410">
        <f>SUM(Model!O33:R33)</f>
        <v>156.68146304860892</v>
      </c>
      <c r="S40" s="410">
        <f>SUM(Model!P33:S33)</f>
        <v>158.14386299936024</v>
      </c>
      <c r="T40" s="410">
        <f>SUM(Model!Q33:T33)</f>
        <v>159.61014892639412</v>
      </c>
      <c r="U40" s="410">
        <f>SUM(Model!R33:U33)</f>
        <v>161.11088276475485</v>
      </c>
      <c r="V40" s="410">
        <f>SUM(Model!S33:V33)</f>
        <v>162.65173108235541</v>
      </c>
      <c r="W40" s="410">
        <f>SUM(Model!T33:W33)</f>
        <v>164.20028364154399</v>
      </c>
      <c r="X40" s="410">
        <f>SUM(Model!U33:X33)</f>
        <v>165.75657896352851</v>
      </c>
      <c r="Y40" s="410">
        <f>SUM(Model!V33:Y33)</f>
        <v>167.32065576212295</v>
      </c>
      <c r="Z40" s="410">
        <f>SUM(Model!W33:Z33)</f>
        <v>168.89255294471033</v>
      </c>
      <c r="AA40" s="410">
        <f>SUM(Model!X33:AA33)</f>
        <v>170.47230961321068</v>
      </c>
      <c r="AB40" s="410">
        <f>SUM(Model!Y33:AB33)</f>
        <v>172.05996506505352</v>
      </c>
      <c r="AC40" s="410">
        <f>SUM(Model!Z33:AC33)</f>
        <v>173.65555879415558</v>
      </c>
      <c r="AD40" s="410">
        <f>SUM(Model!AA33:AD33)</f>
        <v>175.25913049190311</v>
      </c>
      <c r="AE40" s="410">
        <f>SUM(Model!AB33:AE33)</f>
        <v>175.73565682497912</v>
      </c>
      <c r="AF40" s="410">
        <f>SUM(Model!AC33:AF33)</f>
        <v>176.03074231377633</v>
      </c>
      <c r="AG40" s="410">
        <f>SUM(Model!AD33:AG33)</f>
        <v>176.14347975407327</v>
      </c>
      <c r="AH40" s="410">
        <f>SUM(Model!AE33:AH33)</f>
        <v>176.07295740562751</v>
      </c>
    </row>
    <row r="41" spans="2:34" ht="15.4" customHeight="1">
      <c r="B41" s="185" t="s">
        <v>125</v>
      </c>
      <c r="C41" s="133"/>
      <c r="D41" s="133"/>
      <c r="E41" s="133"/>
      <c r="F41" s="133"/>
      <c r="G41" s="338">
        <f t="shared" ref="G41:N41" si="74">G39/C39-1</f>
        <v>3.1677970586452711</v>
      </c>
      <c r="H41" s="338">
        <f t="shared" si="74"/>
        <v>1.0989515431629919</v>
      </c>
      <c r="I41" s="338">
        <f t="shared" si="74"/>
        <v>0.381456393319896</v>
      </c>
      <c r="J41" s="338">
        <f t="shared" si="74"/>
        <v>2.4269644461163642E-2</v>
      </c>
      <c r="K41" s="338">
        <f t="shared" si="74"/>
        <v>1.9654071521226335E-2</v>
      </c>
      <c r="L41" s="338">
        <f t="shared" si="74"/>
        <v>1.9833198075961622E-2</v>
      </c>
      <c r="M41" s="338">
        <f t="shared" si="74"/>
        <v>2.9176342342830841E-2</v>
      </c>
      <c r="N41" s="339">
        <f t="shared" si="74"/>
        <v>4.37328398006116E-2</v>
      </c>
      <c r="O41" s="340">
        <f t="shared" ref="O41" si="75">O39/K39-1</f>
        <v>4.3741066166692377E-2</v>
      </c>
      <c r="P41" s="338">
        <f t="shared" ref="P41" si="76">P39/L39-1</f>
        <v>3.8761925620247828E-2</v>
      </c>
      <c r="Q41" s="338">
        <f t="shared" ref="Q41" si="77">Q39/M39-1</f>
        <v>2.8216295719442952E-2</v>
      </c>
      <c r="R41" s="338">
        <f t="shared" ref="R41" si="78">R39/N39-1</f>
        <v>1.5339758194825581E-2</v>
      </c>
      <c r="S41" s="338">
        <f t="shared" ref="S41" si="79">S39/O39-1</f>
        <v>1.3191440800198517E-2</v>
      </c>
      <c r="T41" s="338">
        <f t="shared" ref="T41" si="80">T39/P39-1</f>
        <v>1.2767582998681082E-2</v>
      </c>
      <c r="U41" s="338">
        <f t="shared" ref="U41" si="81">U39/Q39-1</f>
        <v>1.6115298964212599E-2</v>
      </c>
      <c r="V41" s="338">
        <f t="shared" ref="V41" si="82">V39/R39-1</f>
        <v>2.015050062499979E-2</v>
      </c>
      <c r="W41" s="338">
        <f t="shared" ref="W41" si="83">W39/S39-1</f>
        <v>2.0150500625000012E-2</v>
      </c>
      <c r="X41" s="338">
        <f t="shared" ref="X41" si="84">X39/T39-1</f>
        <v>2.0150500625000012E-2</v>
      </c>
      <c r="Y41" s="338">
        <f t="shared" ref="Y41" si="85">Y39/U39-1</f>
        <v>2.015050062499979E-2</v>
      </c>
      <c r="Z41" s="338">
        <f t="shared" ref="Z41" si="86">Z39/V39-1</f>
        <v>2.0150500625000012E-2</v>
      </c>
      <c r="AA41" s="338">
        <f t="shared" ref="AA41" si="87">AA39/W39-1</f>
        <v>2.015050062499979E-2</v>
      </c>
      <c r="AB41" s="338">
        <f t="shared" ref="AB41" si="88">AB39/X39-1</f>
        <v>2.015050062499979E-2</v>
      </c>
      <c r="AC41" s="338">
        <f t="shared" ref="AC41" si="89">AC39/Y39-1</f>
        <v>2.0150500625000012E-2</v>
      </c>
      <c r="AD41" s="338">
        <f t="shared" ref="AD41" si="90">AD39/Z39-1</f>
        <v>2.0150500625000012E-2</v>
      </c>
      <c r="AE41" s="338">
        <f t="shared" ref="AE41" si="91">AE39/AA39-1</f>
        <v>2.015050062499979E-2</v>
      </c>
      <c r="AF41" s="338">
        <f t="shared" ref="AF41" si="92">AF39/AB39-1</f>
        <v>2.0150500625000012E-2</v>
      </c>
      <c r="AG41" s="338">
        <f t="shared" ref="AG41" si="93">AG39/AC39-1</f>
        <v>2.015050062499979E-2</v>
      </c>
      <c r="AH41" s="338">
        <f t="shared" ref="AH41" si="94">AH39/AD39-1</f>
        <v>2.0150500625000012E-2</v>
      </c>
    </row>
    <row r="42" spans="2:34" ht="15.4" customHeight="1">
      <c r="B42" s="185" t="s">
        <v>121</v>
      </c>
      <c r="C42" s="133"/>
      <c r="D42" s="133"/>
      <c r="E42" s="133"/>
      <c r="F42" s="133"/>
      <c r="G42" s="338">
        <f t="shared" ref="G42:N42" si="95">G40/G39</f>
        <v>0.23448609685084079</v>
      </c>
      <c r="H42" s="338">
        <f t="shared" si="95"/>
        <v>0.34612539501889478</v>
      </c>
      <c r="I42" s="338">
        <f t="shared" si="95"/>
        <v>0.46037000087035318</v>
      </c>
      <c r="J42" s="338">
        <f t="shared" si="95"/>
        <v>0.46411696091761828</v>
      </c>
      <c r="K42" s="338">
        <f t="shared" si="95"/>
        <v>0.4590506627703973</v>
      </c>
      <c r="L42" s="338">
        <f t="shared" si="95"/>
        <v>0.45792821151464214</v>
      </c>
      <c r="M42" s="338">
        <f t="shared" si="95"/>
        <v>0.45671615348335226</v>
      </c>
      <c r="N42" s="339">
        <f t="shared" si="95"/>
        <v>0.45157341943115153</v>
      </c>
      <c r="O42" s="340">
        <f t="shared" ref="O42:AH42" si="96">O40/O39</f>
        <v>0.45632931920384684</v>
      </c>
      <c r="P42" s="338">
        <f t="shared" si="96"/>
        <v>0.46194348208165958</v>
      </c>
      <c r="Q42" s="338">
        <f t="shared" si="96"/>
        <v>0.46814656944221755</v>
      </c>
      <c r="R42" s="338">
        <f t="shared" si="96"/>
        <v>0.47699990602569897</v>
      </c>
      <c r="S42" s="338">
        <f t="shared" si="96"/>
        <v>0.47905674208431442</v>
      </c>
      <c r="T42" s="338">
        <f t="shared" si="96"/>
        <v>0.48109301849131636</v>
      </c>
      <c r="U42" s="338">
        <f t="shared" si="96"/>
        <v>0.4832004913717432</v>
      </c>
      <c r="V42" s="338">
        <f t="shared" si="96"/>
        <v>0.48539479839701294</v>
      </c>
      <c r="W42" s="338">
        <f t="shared" si="96"/>
        <v>0.48757818847190809</v>
      </c>
      <c r="X42" s="338">
        <f t="shared" si="96"/>
        <v>0.48975071590961483</v>
      </c>
      <c r="Y42" s="338">
        <f t="shared" si="96"/>
        <v>0.49191243475310414</v>
      </c>
      <c r="Z42" s="338">
        <f t="shared" si="96"/>
        <v>0.49406339877647643</v>
      </c>
      <c r="AA42" s="338">
        <f t="shared" si="96"/>
        <v>0.49620366148629969</v>
      </c>
      <c r="AB42" s="338">
        <f t="shared" si="96"/>
        <v>0.49833327612293976</v>
      </c>
      <c r="AC42" s="338">
        <f t="shared" si="96"/>
        <v>0.50045229566188509</v>
      </c>
      <c r="AD42" s="338">
        <f t="shared" si="96"/>
        <v>0.50256077281506439</v>
      </c>
      <c r="AE42" s="338">
        <f t="shared" si="96"/>
        <v>0.50142012562957172</v>
      </c>
      <c r="AF42" s="338">
        <f t="shared" si="96"/>
        <v>0.49976326593826209</v>
      </c>
      <c r="AG42" s="338">
        <f t="shared" si="96"/>
        <v>0.49759535841712177</v>
      </c>
      <c r="AH42" s="338">
        <f t="shared" si="96"/>
        <v>0.49492152912954729</v>
      </c>
    </row>
    <row r="43" spans="2:34" ht="15.4" customHeight="1">
      <c r="B43" s="187" t="s">
        <v>0</v>
      </c>
      <c r="C43" s="269"/>
      <c r="D43" s="269"/>
      <c r="E43" s="269"/>
      <c r="F43" s="269"/>
      <c r="G43" s="456">
        <f t="shared" ref="G43:N43" si="97">G41+G42</f>
        <v>3.4022831554961117</v>
      </c>
      <c r="H43" s="456">
        <f t="shared" si="97"/>
        <v>1.4450769381818866</v>
      </c>
      <c r="I43" s="456">
        <f t="shared" si="97"/>
        <v>0.84182639419024918</v>
      </c>
      <c r="J43" s="456">
        <f t="shared" si="97"/>
        <v>0.48838660537878192</v>
      </c>
      <c r="K43" s="456">
        <f t="shared" si="97"/>
        <v>0.47870473429162363</v>
      </c>
      <c r="L43" s="456">
        <f t="shared" si="97"/>
        <v>0.47776140959060376</v>
      </c>
      <c r="M43" s="456">
        <f t="shared" si="97"/>
        <v>0.4858924958261831</v>
      </c>
      <c r="N43" s="457">
        <f t="shared" si="97"/>
        <v>0.49530625923176314</v>
      </c>
      <c r="O43" s="458">
        <f t="shared" ref="O43:AH43" si="98">O41+O42</f>
        <v>0.50007038537053927</v>
      </c>
      <c r="P43" s="456">
        <f t="shared" si="98"/>
        <v>0.50070540770190741</v>
      </c>
      <c r="Q43" s="456">
        <f t="shared" si="98"/>
        <v>0.4963628651616605</v>
      </c>
      <c r="R43" s="456">
        <f t="shared" si="98"/>
        <v>0.49233966422052455</v>
      </c>
      <c r="S43" s="456">
        <f t="shared" si="98"/>
        <v>0.49224818288451294</v>
      </c>
      <c r="T43" s="456">
        <f t="shared" si="98"/>
        <v>0.49386060148999744</v>
      </c>
      <c r="U43" s="456">
        <f t="shared" si="98"/>
        <v>0.4993157903359558</v>
      </c>
      <c r="V43" s="456">
        <f t="shared" si="98"/>
        <v>0.50554529902201273</v>
      </c>
      <c r="W43" s="456">
        <f t="shared" si="98"/>
        <v>0.50772868909690816</v>
      </c>
      <c r="X43" s="456">
        <f t="shared" si="98"/>
        <v>0.50990121653461484</v>
      </c>
      <c r="Y43" s="456">
        <f t="shared" si="98"/>
        <v>0.51206293537810388</v>
      </c>
      <c r="Z43" s="456">
        <f t="shared" si="98"/>
        <v>0.51421389940147644</v>
      </c>
      <c r="AA43" s="456">
        <f t="shared" si="98"/>
        <v>0.51635416211129948</v>
      </c>
      <c r="AB43" s="456">
        <f t="shared" si="98"/>
        <v>0.51848377674793955</v>
      </c>
      <c r="AC43" s="456">
        <f t="shared" si="98"/>
        <v>0.52060279628688511</v>
      </c>
      <c r="AD43" s="456">
        <f t="shared" si="98"/>
        <v>0.52271127344006441</v>
      </c>
      <c r="AE43" s="456">
        <f t="shared" si="98"/>
        <v>0.52157062625457151</v>
      </c>
      <c r="AF43" s="456">
        <f t="shared" si="98"/>
        <v>0.51991376656326205</v>
      </c>
      <c r="AG43" s="456">
        <f t="shared" si="98"/>
        <v>0.51774585904212156</v>
      </c>
      <c r="AH43" s="456">
        <f t="shared" si="98"/>
        <v>0.51507202975454724</v>
      </c>
    </row>
    <row r="44" spans="2:34" ht="15.4" customHeight="1">
      <c r="B44" s="184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303"/>
      <c r="O44" s="304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</row>
    <row r="45" spans="2:34" ht="15.4" customHeight="1">
      <c r="B45" s="186" t="s">
        <v>115</v>
      </c>
      <c r="C45" s="15"/>
      <c r="D45" s="15"/>
      <c r="E45" s="15"/>
      <c r="F45" s="15"/>
      <c r="G45" s="15"/>
      <c r="H45" s="5"/>
      <c r="I45" s="5"/>
      <c r="J45" s="5"/>
      <c r="K45" s="5"/>
      <c r="L45" s="5"/>
      <c r="M45" s="5"/>
      <c r="N45" s="199"/>
      <c r="O45" s="28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2:34" ht="15.4" customHeight="1">
      <c r="B46" s="185" t="s">
        <v>5</v>
      </c>
      <c r="C46" s="133"/>
      <c r="D46" s="459">
        <f t="shared" ref="D46:N46" si="99">+D7</f>
        <v>12.672000000000001</v>
      </c>
      <c r="E46" s="459">
        <f t="shared" si="99"/>
        <v>10.782719999999999</v>
      </c>
      <c r="F46" s="459">
        <f t="shared" si="99"/>
        <v>12.034255999999999</v>
      </c>
      <c r="G46" s="459">
        <f t="shared" si="99"/>
        <v>6.9119999999999999</v>
      </c>
      <c r="H46" s="459">
        <f t="shared" si="99"/>
        <v>7.8796799999999996</v>
      </c>
      <c r="I46" s="459">
        <f t="shared" si="99"/>
        <v>11.52</v>
      </c>
      <c r="J46" s="459">
        <f t="shared" si="99"/>
        <v>12.487679999999999</v>
      </c>
      <c r="K46" s="459">
        <f t="shared" si="99"/>
        <v>15.34464</v>
      </c>
      <c r="L46" s="459">
        <f t="shared" si="99"/>
        <v>12.672000000000001</v>
      </c>
      <c r="M46" s="459">
        <f t="shared" si="99"/>
        <v>18.431999999999999</v>
      </c>
      <c r="N46" s="460">
        <f t="shared" si="99"/>
        <v>18.984960000000001</v>
      </c>
      <c r="O46" s="461">
        <f t="shared" ref="O46:AH46" si="100">+O7</f>
        <v>13.516560000000004</v>
      </c>
      <c r="P46" s="459">
        <f t="shared" si="100"/>
        <v>13.584142800000004</v>
      </c>
      <c r="Q46" s="459">
        <f t="shared" si="100"/>
        <v>13.652063514000004</v>
      </c>
      <c r="R46" s="459">
        <f t="shared" si="100"/>
        <v>13.720323831570004</v>
      </c>
      <c r="S46" s="459">
        <f t="shared" si="100"/>
        <v>13.788925450727852</v>
      </c>
      <c r="T46" s="459">
        <f t="shared" si="100"/>
        <v>13.85787007798149</v>
      </c>
      <c r="U46" s="459">
        <f t="shared" si="100"/>
        <v>13.927159428371398</v>
      </c>
      <c r="V46" s="459">
        <f t="shared" si="100"/>
        <v>13.996795225513257</v>
      </c>
      <c r="W46" s="459">
        <f t="shared" si="100"/>
        <v>14.066779201640824</v>
      </c>
      <c r="X46" s="459">
        <f t="shared" si="100"/>
        <v>14.137113097649026</v>
      </c>
      <c r="Y46" s="459">
        <f t="shared" si="100"/>
        <v>14.207798663137272</v>
      </c>
      <c r="Z46" s="459">
        <f t="shared" si="100"/>
        <v>14.278837656452957</v>
      </c>
      <c r="AA46" s="459">
        <f t="shared" si="100"/>
        <v>14.350231844735221</v>
      </c>
      <c r="AB46" s="459">
        <f t="shared" si="100"/>
        <v>14.4219830039589</v>
      </c>
      <c r="AC46" s="459">
        <f t="shared" si="100"/>
        <v>14.494092918978691</v>
      </c>
      <c r="AD46" s="459">
        <f t="shared" si="100"/>
        <v>14.566563383573584</v>
      </c>
      <c r="AE46" s="459">
        <f t="shared" si="100"/>
        <v>14.639396200491454</v>
      </c>
      <c r="AF46" s="459">
        <f t="shared" si="100"/>
        <v>14.71259318149391</v>
      </c>
      <c r="AG46" s="459">
        <f t="shared" si="100"/>
        <v>14.78615614740138</v>
      </c>
      <c r="AH46" s="459">
        <f t="shared" si="100"/>
        <v>14.860086928138385</v>
      </c>
    </row>
    <row r="47" spans="2:34" ht="15.4" customHeight="1">
      <c r="B47" s="185" t="s">
        <v>6</v>
      </c>
      <c r="C47" s="133"/>
      <c r="D47" s="459">
        <f t="shared" ref="D47:N47" si="101">+D8</f>
        <v>4.8578320000000001</v>
      </c>
      <c r="E47" s="459">
        <f t="shared" si="101"/>
        <v>3.9875280000000002</v>
      </c>
      <c r="F47" s="459">
        <f t="shared" si="101"/>
        <v>5.7308399999999997</v>
      </c>
      <c r="G47" s="459">
        <f t="shared" si="101"/>
        <v>5.3942160000000001</v>
      </c>
      <c r="H47" s="459">
        <f t="shared" si="101"/>
        <v>6.4860639999999998</v>
      </c>
      <c r="I47" s="459">
        <f t="shared" si="101"/>
        <v>5.7595599999999996</v>
      </c>
      <c r="J47" s="459">
        <f t="shared" si="101"/>
        <v>6.5535040000000002</v>
      </c>
      <c r="K47" s="459">
        <f t="shared" si="101"/>
        <v>4.3742320000000001</v>
      </c>
      <c r="L47" s="459">
        <f t="shared" si="101"/>
        <v>4.7944560000000003</v>
      </c>
      <c r="M47" s="459">
        <f t="shared" si="101"/>
        <v>3.0911840000000002</v>
      </c>
      <c r="N47" s="460">
        <f t="shared" si="101"/>
        <v>4.551768</v>
      </c>
      <c r="O47" s="461">
        <f t="shared" ref="O47:AH47" si="102">+O8</f>
        <v>5.0687100000000012</v>
      </c>
      <c r="P47" s="459">
        <f t="shared" si="102"/>
        <v>5.0940535500000017</v>
      </c>
      <c r="Q47" s="459">
        <f t="shared" si="102"/>
        <v>5.1195238177500011</v>
      </c>
      <c r="R47" s="459">
        <f t="shared" si="102"/>
        <v>5.1451214368387514</v>
      </c>
      <c r="S47" s="459">
        <f t="shared" si="102"/>
        <v>5.1708470440229446</v>
      </c>
      <c r="T47" s="459">
        <f t="shared" si="102"/>
        <v>5.1967012792430589</v>
      </c>
      <c r="U47" s="459">
        <f t="shared" si="102"/>
        <v>5.2226847856392746</v>
      </c>
      <c r="V47" s="459">
        <f t="shared" si="102"/>
        <v>5.2487982095674708</v>
      </c>
      <c r="W47" s="459">
        <f t="shared" si="102"/>
        <v>5.2750422006153084</v>
      </c>
      <c r="X47" s="459">
        <f t="shared" si="102"/>
        <v>5.3014174116183845</v>
      </c>
      <c r="Y47" s="459">
        <f t="shared" si="102"/>
        <v>5.3279244986764764</v>
      </c>
      <c r="Z47" s="459">
        <f t="shared" si="102"/>
        <v>5.354564121169858</v>
      </c>
      <c r="AA47" s="459">
        <f t="shared" si="102"/>
        <v>5.3813369417757082</v>
      </c>
      <c r="AB47" s="459">
        <f t="shared" si="102"/>
        <v>5.4082436264845866</v>
      </c>
      <c r="AC47" s="459">
        <f t="shared" si="102"/>
        <v>5.4352848446170086</v>
      </c>
      <c r="AD47" s="459">
        <f t="shared" si="102"/>
        <v>5.4624612688400935</v>
      </c>
      <c r="AE47" s="459">
        <f t="shared" si="102"/>
        <v>5.4897735751842944</v>
      </c>
      <c r="AF47" s="459">
        <f t="shared" si="102"/>
        <v>5.5172224430602164</v>
      </c>
      <c r="AG47" s="459">
        <f t="shared" si="102"/>
        <v>5.5448085552755169</v>
      </c>
      <c r="AH47" s="459">
        <f t="shared" si="102"/>
        <v>5.572532598051894</v>
      </c>
    </row>
    <row r="48" spans="2:34" ht="15.4" customHeight="1">
      <c r="B48" s="185" t="s">
        <v>158</v>
      </c>
      <c r="C48" s="133"/>
      <c r="D48" s="410">
        <f>+Model!C20</f>
        <v>14.003969528003877</v>
      </c>
      <c r="E48" s="410">
        <f>+Model!D20</f>
        <v>14.083162297273198</v>
      </c>
      <c r="F48" s="410">
        <f>+Model!E20</f>
        <v>14.056085090656572</v>
      </c>
      <c r="G48" s="410">
        <f>+Model!F20</f>
        <v>14.845196324956168</v>
      </c>
      <c r="H48" s="410">
        <f>+Model!G20</f>
        <v>13.968858753550391</v>
      </c>
      <c r="I48" s="410">
        <f>+Model!H20</f>
        <v>14.048706080988852</v>
      </c>
      <c r="J48" s="410">
        <f>+Model!I20</f>
        <v>14.759203826691357</v>
      </c>
      <c r="K48" s="410">
        <f>+Model!J20</f>
        <v>14.257531617198369</v>
      </c>
      <c r="L48" s="410">
        <f>+Model!K20</f>
        <v>14.673867768404181</v>
      </c>
      <c r="M48" s="410">
        <f>+Model!L20</f>
        <v>15.107327385645698</v>
      </c>
      <c r="N48" s="432">
        <f>+Model!M20</f>
        <v>15.409771901603062</v>
      </c>
      <c r="O48" s="433">
        <f>+Model!N20</f>
        <v>15.384977667426883</v>
      </c>
      <c r="P48" s="410">
        <f>+Model!O20</f>
        <v>14.670874224000004</v>
      </c>
      <c r="Q48" s="410">
        <f>+Model!P20</f>
        <v>14.744228595120003</v>
      </c>
      <c r="R48" s="410">
        <f>+Model!Q20</f>
        <v>14.817949738095603</v>
      </c>
      <c r="S48" s="410">
        <f>+Model!R20</f>
        <v>14.89203948678608</v>
      </c>
      <c r="T48" s="410">
        <f>+Model!S20</f>
        <v>14.966499684220009</v>
      </c>
      <c r="U48" s="410">
        <f>+Model!T20</f>
        <v>15.04133218264111</v>
      </c>
      <c r="V48" s="410">
        <f>+Model!U20</f>
        <v>15.116538843554315</v>
      </c>
      <c r="W48" s="410">
        <f>+Model!V20</f>
        <v>15.192121537772088</v>
      </c>
      <c r="X48" s="410">
        <f>+Model!W20</f>
        <v>15.268082145460946</v>
      </c>
      <c r="Y48" s="410">
        <f>+Model!X20</f>
        <v>15.344422556188251</v>
      </c>
      <c r="Z48" s="410">
        <f>+Model!Y20</f>
        <v>15.421144668969191</v>
      </c>
      <c r="AA48" s="410">
        <f>+Model!Z20</f>
        <v>15.49825039231404</v>
      </c>
      <c r="AB48" s="410">
        <f>+Model!AA20</f>
        <v>15.57574164427561</v>
      </c>
      <c r="AC48" s="410">
        <f>+Model!AB20</f>
        <v>15.653620352496985</v>
      </c>
      <c r="AD48" s="410">
        <f>+Model!AC20</f>
        <v>15.731888454259469</v>
      </c>
      <c r="AE48" s="410">
        <f>+Model!AD20</f>
        <v>15.810547896530768</v>
      </c>
      <c r="AF48" s="410">
        <f>+Model!AE20</f>
        <v>15.889600636013423</v>
      </c>
      <c r="AG48" s="410">
        <f>+Model!AF20</f>
        <v>15.969048639193488</v>
      </c>
      <c r="AH48" s="410">
        <f>+Model!AG20</f>
        <v>16.048893882389454</v>
      </c>
    </row>
    <row r="49" spans="2:34" ht="15.4" customHeight="1">
      <c r="B49" s="187" t="s">
        <v>115</v>
      </c>
      <c r="C49" s="269"/>
      <c r="D49" s="132">
        <f t="shared" ref="D49:N49" si="103">+D46/D48</f>
        <v>0.90488628775288871</v>
      </c>
      <c r="E49" s="132">
        <f t="shared" si="103"/>
        <v>0.7656462215228298</v>
      </c>
      <c r="F49" s="132">
        <f t="shared" si="103"/>
        <v>0.85615987114359937</v>
      </c>
      <c r="G49" s="132">
        <f t="shared" si="103"/>
        <v>0.46560515931879454</v>
      </c>
      <c r="H49" s="132">
        <f t="shared" si="103"/>
        <v>0.5640890311098079</v>
      </c>
      <c r="I49" s="132">
        <f t="shared" si="103"/>
        <v>0.82000434300417346</v>
      </c>
      <c r="J49" s="132">
        <f t="shared" si="103"/>
        <v>0.84609441990472356</v>
      </c>
      <c r="K49" s="132">
        <f t="shared" si="103"/>
        <v>1.0762480078592489</v>
      </c>
      <c r="L49" s="132">
        <f t="shared" si="103"/>
        <v>0.86357599782147365</v>
      </c>
      <c r="M49" s="132">
        <f t="shared" si="103"/>
        <v>1.2200702036492077</v>
      </c>
      <c r="N49" s="299">
        <f t="shared" si="103"/>
        <v>1.2320078532781538</v>
      </c>
      <c r="O49" s="300">
        <f t="shared" ref="O49:AH49" si="104">+O46/O48</f>
        <v>0.87855571143384248</v>
      </c>
      <c r="P49" s="132">
        <f t="shared" si="104"/>
        <v>0.92592592592592593</v>
      </c>
      <c r="Q49" s="132">
        <f t="shared" si="104"/>
        <v>0.92592592592592604</v>
      </c>
      <c r="R49" s="132">
        <f t="shared" si="104"/>
        <v>0.92592592592592604</v>
      </c>
      <c r="S49" s="132">
        <f t="shared" si="104"/>
        <v>0.92592592592592593</v>
      </c>
      <c r="T49" s="132">
        <f t="shared" si="104"/>
        <v>0.92592592592592593</v>
      </c>
      <c r="U49" s="132">
        <f t="shared" si="104"/>
        <v>0.92592592592592593</v>
      </c>
      <c r="V49" s="132">
        <f t="shared" si="104"/>
        <v>0.92592592592592604</v>
      </c>
      <c r="W49" s="132">
        <f t="shared" si="104"/>
        <v>0.92592592592592604</v>
      </c>
      <c r="X49" s="132">
        <f t="shared" si="104"/>
        <v>0.92592592592592604</v>
      </c>
      <c r="Y49" s="132">
        <f t="shared" si="104"/>
        <v>0.92592592592592604</v>
      </c>
      <c r="Z49" s="132">
        <f t="shared" si="104"/>
        <v>0.92592592592592604</v>
      </c>
      <c r="AA49" s="132">
        <f t="shared" si="104"/>
        <v>0.92592592592592593</v>
      </c>
      <c r="AB49" s="132">
        <f t="shared" si="104"/>
        <v>0.92592592592592604</v>
      </c>
      <c r="AC49" s="132">
        <f t="shared" si="104"/>
        <v>0.92592592592592604</v>
      </c>
      <c r="AD49" s="132">
        <f t="shared" si="104"/>
        <v>0.92592592592592604</v>
      </c>
      <c r="AE49" s="132">
        <f t="shared" si="104"/>
        <v>0.92592592592592615</v>
      </c>
      <c r="AF49" s="132">
        <f t="shared" si="104"/>
        <v>0.92592592592592593</v>
      </c>
      <c r="AG49" s="132">
        <f t="shared" si="104"/>
        <v>0.92592592592592604</v>
      </c>
      <c r="AH49" s="132">
        <f t="shared" si="104"/>
        <v>0.92592592592592604</v>
      </c>
    </row>
    <row r="50" spans="2:34" ht="15.4" customHeight="1">
      <c r="B50" s="185"/>
      <c r="C50" s="15"/>
      <c r="D50" s="15"/>
      <c r="E50" s="15"/>
      <c r="F50" s="15"/>
      <c r="G50" s="15"/>
      <c r="H50" s="5"/>
      <c r="I50" s="5"/>
      <c r="J50" s="5"/>
      <c r="K50" s="5"/>
      <c r="L50" s="5"/>
      <c r="M50" s="5"/>
      <c r="N50" s="199"/>
      <c r="O50" s="28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spans="2:34" ht="15.4" customHeight="1">
      <c r="B51" s="186" t="s">
        <v>139</v>
      </c>
      <c r="C51" s="15"/>
      <c r="D51" s="15"/>
      <c r="E51" s="15"/>
      <c r="F51" s="15"/>
      <c r="G51" s="15"/>
      <c r="H51" s="5"/>
      <c r="I51" s="5"/>
      <c r="J51" s="5"/>
      <c r="K51" s="5"/>
      <c r="L51" s="5"/>
      <c r="M51" s="5"/>
      <c r="N51" s="199"/>
      <c r="O51" s="28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spans="2:34" ht="15.4" customHeight="1">
      <c r="B52" s="185" t="s">
        <v>237</v>
      </c>
      <c r="C52" s="133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305"/>
      <c r="O52" s="306"/>
      <c r="P52" s="410">
        <f ca="1">-Model!O156</f>
        <v>-3.6456779235564625</v>
      </c>
      <c r="Q52" s="410">
        <f ca="1">-Model!P156</f>
        <v>-3.9738685764717445</v>
      </c>
      <c r="R52" s="410">
        <f ca="1">-Model!Q156</f>
        <v>-6.1907626095978827</v>
      </c>
      <c r="S52" s="410">
        <f ca="1">-Model!R156</f>
        <v>-9.522692161355371</v>
      </c>
      <c r="T52" s="410">
        <f ca="1">-Model!S156</f>
        <v>-5.3167896872207994</v>
      </c>
      <c r="U52" s="410">
        <f ca="1">-Model!T156</f>
        <v>-5.6735200653007194</v>
      </c>
      <c r="V52" s="410">
        <f ca="1">-Model!U156</f>
        <v>-7.8707408772059715</v>
      </c>
      <c r="W52" s="410">
        <f ca="1">-Model!V156</f>
        <v>-11.222299423878271</v>
      </c>
      <c r="X52" s="410">
        <f ca="1">-Model!W156</f>
        <v>-7.1010084614269271</v>
      </c>
      <c r="Y52" s="410">
        <f ca="1">-Model!X156</f>
        <v>-7.4913521554021578</v>
      </c>
      <c r="Z52" s="410">
        <f ca="1">-Model!Y156</f>
        <v>-9.7227275319790163</v>
      </c>
      <c r="AA52" s="410">
        <f ca="1">-Model!Z156</f>
        <v>-13.108990238376313</v>
      </c>
      <c r="AB52" s="410">
        <f ca="1">-Model!AA156</f>
        <v>-9.0229615039516506</v>
      </c>
      <c r="AC52" s="410">
        <f ca="1">-Model!AB156</f>
        <v>-9.4491340963977652</v>
      </c>
      <c r="AD52" s="410">
        <f ca="1">-Model!AC156</f>
        <v>-11.716913774878805</v>
      </c>
      <c r="AE52" s="410">
        <f ca="1">-Model!AD156</f>
        <v>-15.140165052430842</v>
      </c>
      <c r="AF52" s="410">
        <f ca="1">-Model!AE156</f>
        <v>-9.9480776319550284</v>
      </c>
      <c r="AG52" s="410">
        <f ca="1">-Model!AF156</f>
        <v>-10.20421946034978</v>
      </c>
      <c r="AH52" s="410">
        <f ca="1">-Model!AG156</f>
        <v>-12.298478578465676</v>
      </c>
    </row>
    <row r="53" spans="2:34" ht="15.4" customHeight="1">
      <c r="B53" s="185" t="s">
        <v>141</v>
      </c>
      <c r="C53" s="133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305"/>
      <c r="O53" s="306"/>
      <c r="P53" s="410">
        <f>P11-O11</f>
        <v>1.6980178499999852</v>
      </c>
      <c r="Q53" s="410">
        <f t="shared" ref="Q53:AH53" si="105">Q11-P11</f>
        <v>1.7065079392500024</v>
      </c>
      <c r="R53" s="410">
        <f t="shared" si="105"/>
        <v>1.7150404789462073</v>
      </c>
      <c r="S53" s="410">
        <f t="shared" si="105"/>
        <v>1.7236156813409593</v>
      </c>
      <c r="T53" s="410">
        <f t="shared" si="105"/>
        <v>1.7322337597477144</v>
      </c>
      <c r="U53" s="410">
        <f t="shared" si="105"/>
        <v>1.7408949285464246</v>
      </c>
      <c r="V53" s="410">
        <f t="shared" si="105"/>
        <v>1.7495994031891655</v>
      </c>
      <c r="W53" s="410">
        <f t="shared" si="105"/>
        <v>1.7583474002050821</v>
      </c>
      <c r="X53" s="410">
        <f t="shared" si="105"/>
        <v>1.7671391372061294</v>
      </c>
      <c r="Y53" s="410">
        <f t="shared" si="105"/>
        <v>1.7759748328921319</v>
      </c>
      <c r="Z53" s="410">
        <f t="shared" si="105"/>
        <v>1.7848547070566383</v>
      </c>
      <c r="AA53" s="410">
        <f t="shared" si="105"/>
        <v>1.7937789805919238</v>
      </c>
      <c r="AB53" s="410">
        <f t="shared" si="105"/>
        <v>1.8027478754947879</v>
      </c>
      <c r="AC53" s="410">
        <f t="shared" si="105"/>
        <v>1.8117616148723528</v>
      </c>
      <c r="AD53" s="410">
        <f t="shared" si="105"/>
        <v>1.8208204229467242</v>
      </c>
      <c r="AE53" s="410">
        <f t="shared" si="105"/>
        <v>1.8299245250614149</v>
      </c>
      <c r="AF53" s="410">
        <f t="shared" si="105"/>
        <v>1.8390741476867447</v>
      </c>
      <c r="AG53" s="410">
        <f t="shared" si="105"/>
        <v>1.848269518425127</v>
      </c>
      <c r="AH53" s="410">
        <f t="shared" si="105"/>
        <v>1.8575108660173214</v>
      </c>
    </row>
    <row r="54" spans="2:34" ht="15.4" customHeight="1">
      <c r="B54" s="187" t="s">
        <v>139</v>
      </c>
      <c r="C54" s="135"/>
      <c r="D54" s="266"/>
      <c r="E54" s="266"/>
      <c r="F54" s="266"/>
      <c r="G54" s="266"/>
      <c r="H54" s="266"/>
      <c r="I54" s="266"/>
      <c r="J54" s="266"/>
      <c r="K54" s="266"/>
      <c r="L54" s="266"/>
      <c r="M54" s="266"/>
      <c r="N54" s="307"/>
      <c r="O54" s="308"/>
      <c r="P54" s="132">
        <f t="shared" ref="P54:AH54" ca="1" si="106">+P52/P53</f>
        <v>-2.147019787546105</v>
      </c>
      <c r="Q54" s="132">
        <f t="shared" ca="1" si="106"/>
        <v>-2.3286551940791029</v>
      </c>
      <c r="R54" s="132">
        <f t="shared" ca="1" si="106"/>
        <v>-3.6096889173145037</v>
      </c>
      <c r="S54" s="132">
        <f t="shared" ca="1" si="106"/>
        <v>-5.5248349527353984</v>
      </c>
      <c r="T54" s="132">
        <f t="shared" ca="1" si="106"/>
        <v>-3.0693257519673014</v>
      </c>
      <c r="U54" s="132">
        <f t="shared" ca="1" si="106"/>
        <v>-3.2589675415034236</v>
      </c>
      <c r="V54" s="132">
        <f t="shared" ca="1" si="106"/>
        <v>-4.4985960002382281</v>
      </c>
      <c r="W54" s="132">
        <f t="shared" ca="1" si="106"/>
        <v>-6.3822993241093178</v>
      </c>
      <c r="X54" s="132">
        <f t="shared" ca="1" si="106"/>
        <v>-4.0183640959102496</v>
      </c>
      <c r="Y54" s="132">
        <f t="shared" ca="1" si="106"/>
        <v>-4.2181634653024185</v>
      </c>
      <c r="Z54" s="132">
        <f t="shared" ca="1" si="106"/>
        <v>-5.4473495761526358</v>
      </c>
      <c r="AA54" s="132">
        <f t="shared" ca="1" si="106"/>
        <v>-7.3080297964303922</v>
      </c>
      <c r="AB54" s="132">
        <f t="shared" ca="1" si="106"/>
        <v>-5.0051155941455097</v>
      </c>
      <c r="AC54" s="132">
        <f t="shared" ca="1" si="106"/>
        <v>-5.2154400550447146</v>
      </c>
      <c r="AD54" s="132">
        <f t="shared" ca="1" si="106"/>
        <v>-6.434963946591032</v>
      </c>
      <c r="AE54" s="132">
        <f t="shared" ca="1" si="106"/>
        <v>-8.2736554677973491</v>
      </c>
      <c r="AF54" s="132">
        <f t="shared" ca="1" si="106"/>
        <v>-5.4092857781009469</v>
      </c>
      <c r="AG54" s="132">
        <f t="shared" ca="1" si="106"/>
        <v>-5.5209585824066334</v>
      </c>
      <c r="AH54" s="132">
        <f t="shared" ca="1" si="106"/>
        <v>-6.620945698602978</v>
      </c>
    </row>
    <row r="55" spans="2:34" ht="15.4" customHeight="1">
      <c r="B55" s="185"/>
      <c r="C55" s="15"/>
      <c r="D55" s="15"/>
      <c r="E55" s="15"/>
      <c r="F55" s="15"/>
      <c r="G55" s="15"/>
      <c r="H55" s="5"/>
      <c r="I55" s="5"/>
      <c r="J55" s="5"/>
      <c r="K55" s="5"/>
      <c r="L55" s="5"/>
      <c r="M55" s="5"/>
      <c r="N55" s="199"/>
      <c r="O55" s="28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2:34" ht="15.4" customHeight="1">
      <c r="B56" s="185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309"/>
      <c r="O56" s="310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</row>
    <row r="57" spans="2:34" s="2" customFormat="1" ht="16.5" customHeight="1">
      <c r="B57" s="48" t="s">
        <v>140</v>
      </c>
      <c r="C57" s="147"/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295"/>
      <c r="O57" s="296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</row>
    <row r="58" spans="2:34" ht="15.4" customHeight="1">
      <c r="B58" s="188" t="s">
        <v>116</v>
      </c>
      <c r="C58" s="15"/>
      <c r="D58" s="15"/>
      <c r="E58" s="15"/>
      <c r="F58" s="15"/>
      <c r="G58" s="15"/>
      <c r="H58" s="5"/>
      <c r="I58" s="5"/>
      <c r="J58" s="5"/>
      <c r="K58" s="5"/>
      <c r="L58" s="5"/>
      <c r="M58" s="5"/>
      <c r="N58" s="199"/>
      <c r="O58" s="28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spans="2:34" ht="15.4" customHeight="1">
      <c r="B59" s="183" t="s">
        <v>173</v>
      </c>
      <c r="C59" s="410">
        <f>Model!C16</f>
        <v>56.640869834340798</v>
      </c>
      <c r="D59" s="410">
        <f>Model!D16</f>
        <v>57.429357126119456</v>
      </c>
      <c r="E59" s="410">
        <f>Model!E16</f>
        <v>59.894767197613554</v>
      </c>
      <c r="F59" s="410">
        <f>Model!F16</f>
        <v>60.767378235439793</v>
      </c>
      <c r="G59" s="410">
        <f>Model!G16</f>
        <v>59.808461052293154</v>
      </c>
      <c r="H59" s="410">
        <f>Model!H16</f>
        <v>59.908512851814777</v>
      </c>
      <c r="I59" s="410">
        <f>Model!I16</f>
        <v>60.235215949541633</v>
      </c>
      <c r="J59" s="410">
        <f>Model!J16</f>
        <v>60.758517181196098</v>
      </c>
      <c r="K59" s="410">
        <f>Model!K16</f>
        <v>61.003290449331047</v>
      </c>
      <c r="L59" s="410">
        <f>Model!L16</f>
        <v>61.986371238697444</v>
      </c>
      <c r="M59" s="410">
        <f>Model!M16</f>
        <v>63.338609535864478</v>
      </c>
      <c r="N59" s="432">
        <f>Model!N16</f>
        <v>63.47173194629994</v>
      </c>
      <c r="O59" s="433">
        <f>Model!O16</f>
        <v>62.758739736000024</v>
      </c>
      <c r="P59" s="410">
        <f>Model!P16</f>
        <v>63.072533434680011</v>
      </c>
      <c r="Q59" s="410">
        <f>Model!Q16</f>
        <v>63.387896101853414</v>
      </c>
      <c r="R59" s="410">
        <f>Model!R16</f>
        <v>63.704835582362676</v>
      </c>
      <c r="S59" s="410">
        <f>Model!S16</f>
        <v>64.023359760274488</v>
      </c>
      <c r="T59" s="410">
        <f>Model!T16</f>
        <v>64.343476559075867</v>
      </c>
      <c r="U59" s="410">
        <f>Model!U16</f>
        <v>64.665193941871237</v>
      </c>
      <c r="V59" s="410">
        <f>Model!V16</f>
        <v>64.988519911580596</v>
      </c>
      <c r="W59" s="410">
        <f>Model!W16</f>
        <v>65.313462511138496</v>
      </c>
      <c r="X59" s="410">
        <f>Model!X16</f>
        <v>65.640029823694192</v>
      </c>
      <c r="Y59" s="410">
        <f>Model!Y16</f>
        <v>65.968229972812651</v>
      </c>
      <c r="Z59" s="410">
        <f>Model!Z16</f>
        <v>66.298071122676731</v>
      </c>
      <c r="AA59" s="410">
        <f>Model!AA16</f>
        <v>66.6295614782901</v>
      </c>
      <c r="AB59" s="410">
        <f>Model!AB16</f>
        <v>66.962709285681541</v>
      </c>
      <c r="AC59" s="410">
        <f>Model!AC16</f>
        <v>67.297522832109962</v>
      </c>
      <c r="AD59" s="410">
        <f>Model!AD16</f>
        <v>67.634010446270509</v>
      </c>
      <c r="AE59" s="410">
        <f>Model!AE16</f>
        <v>67.972180498501871</v>
      </c>
      <c r="AF59" s="410">
        <f>Model!AF16</f>
        <v>68.312041400994374</v>
      </c>
      <c r="AG59" s="410">
        <f>Model!AG16</f>
        <v>68.653601607999335</v>
      </c>
      <c r="AH59" s="410">
        <f>Model!AH16</f>
        <v>68.996869616039334</v>
      </c>
    </row>
    <row r="60" spans="2:34" ht="15.4" customHeight="1">
      <c r="B60" s="183" t="s">
        <v>178</v>
      </c>
      <c r="C60" s="410">
        <f>+Model!C8</f>
        <v>73.455053844684898</v>
      </c>
      <c r="D60" s="410">
        <f>+Model!D8</f>
        <v>73.869140879016499</v>
      </c>
      <c r="E60" s="410">
        <f>+Model!E8</f>
        <v>77.137926099395457</v>
      </c>
      <c r="F60" s="410">
        <f>+Model!F8</f>
        <v>78.148580493719123</v>
      </c>
      <c r="G60" s="410">
        <f>+Model!G8</f>
        <v>76.990109884376636</v>
      </c>
      <c r="H60" s="410">
        <f>+Model!H8</f>
        <v>76.949729383066966</v>
      </c>
      <c r="I60" s="410">
        <f>+Model!I8</f>
        <v>77.996212108047388</v>
      </c>
      <c r="J60" s="410">
        <f>+Model!J8</f>
        <v>78.018904072427461</v>
      </c>
      <c r="K60" s="410">
        <f>+Model!K8</f>
        <v>79.197922403970693</v>
      </c>
      <c r="L60" s="410">
        <f>+Model!L8</f>
        <v>80.146254643870947</v>
      </c>
      <c r="M60" s="410">
        <f>+Model!M8</f>
        <v>81.768686123607793</v>
      </c>
      <c r="N60" s="432">
        <f>+Model!N8</f>
        <v>82.397302688478547</v>
      </c>
      <c r="O60" s="433">
        <f>+Model!O8</f>
        <v>81.504856800000027</v>
      </c>
      <c r="P60" s="410">
        <f>+Model!P8</f>
        <v>81.912381084000017</v>
      </c>
      <c r="Q60" s="410">
        <f>+Model!Q8</f>
        <v>82.321942989420023</v>
      </c>
      <c r="R60" s="410">
        <f>+Model!R8</f>
        <v>82.733552704367114</v>
      </c>
      <c r="S60" s="410">
        <f>+Model!S8</f>
        <v>83.147220467888943</v>
      </c>
      <c r="T60" s="410">
        <f>+Model!T8</f>
        <v>83.562956570228394</v>
      </c>
      <c r="U60" s="410">
        <f>+Model!U8</f>
        <v>83.980771353079533</v>
      </c>
      <c r="V60" s="410">
        <f>+Model!V8</f>
        <v>84.400675209844934</v>
      </c>
      <c r="W60" s="410">
        <f>+Model!W8</f>
        <v>84.822678585894153</v>
      </c>
      <c r="X60" s="410">
        <f>+Model!X8</f>
        <v>85.246791978823623</v>
      </c>
      <c r="Y60" s="410">
        <f>+Model!Y8</f>
        <v>85.673025938717728</v>
      </c>
      <c r="Z60" s="410">
        <f>+Model!Z8</f>
        <v>86.101391068411331</v>
      </c>
      <c r="AA60" s="410">
        <f>+Model!AA8</f>
        <v>86.531898023753385</v>
      </c>
      <c r="AB60" s="410">
        <f>+Model!AB8</f>
        <v>86.964557513872137</v>
      </c>
      <c r="AC60" s="410">
        <f>+Model!AC8</f>
        <v>87.399380301441496</v>
      </c>
      <c r="AD60" s="410">
        <f>+Model!AD8</f>
        <v>87.836377202948711</v>
      </c>
      <c r="AE60" s="410">
        <f>+Model!AE8</f>
        <v>88.275559088963462</v>
      </c>
      <c r="AF60" s="410">
        <f>+Model!AF8</f>
        <v>88.71693688440827</v>
      </c>
      <c r="AG60" s="410">
        <f>+Model!AG8</f>
        <v>89.160521568830305</v>
      </c>
      <c r="AH60" s="410">
        <f>+Model!AH8</f>
        <v>89.606324176674462</v>
      </c>
    </row>
    <row r="61" spans="2:34" ht="15.4" customHeight="1">
      <c r="B61" s="187" t="s">
        <v>174</v>
      </c>
      <c r="C61" s="264">
        <f>SUM(C59:C59)/SUM(C60:C60)</f>
        <v>0.77109561384440062</v>
      </c>
      <c r="D61" s="264">
        <f>SUM(C59:D59)/SUM(C60:D60)</f>
        <v>0.77428033578865185</v>
      </c>
      <c r="E61" s="264">
        <f>SUM(C59:E59)/SUM(C60:E60)</f>
        <v>0.77503051971597092</v>
      </c>
      <c r="F61" s="264">
        <f t="shared" ref="F61:N61" si="107">SUM(C59:F59)/SUM(C60:F60)</f>
        <v>0.77569091698367387</v>
      </c>
      <c r="G61" s="264">
        <f t="shared" si="107"/>
        <v>0.77708071366290621</v>
      </c>
      <c r="H61" s="264">
        <f t="shared" si="107"/>
        <v>0.777356530434691</v>
      </c>
      <c r="I61" s="264">
        <f t="shared" si="107"/>
        <v>0.77630280042585897</v>
      </c>
      <c r="J61" s="264">
        <f t="shared" si="107"/>
        <v>0.77659899544755673</v>
      </c>
      <c r="K61" s="264">
        <f t="shared" si="107"/>
        <v>0.77493398077844833</v>
      </c>
      <c r="L61" s="264">
        <f t="shared" si="107"/>
        <v>0.77366800363205113</v>
      </c>
      <c r="M61" s="264">
        <f t="shared" si="107"/>
        <v>0.77424692169948772</v>
      </c>
      <c r="N61" s="311">
        <f t="shared" si="107"/>
        <v>0.77215503415849451</v>
      </c>
      <c r="O61" s="312">
        <f t="shared" ref="O61" si="108">SUM(L59:O59)/SUM(L60:O60)</f>
        <v>0.77207565919420273</v>
      </c>
      <c r="P61" s="264">
        <f t="shared" ref="P61" si="109">SUM(M59:P59)/SUM(M60:P60)</f>
        <v>0.77122878726398092</v>
      </c>
      <c r="Q61" s="264">
        <f t="shared" ref="Q61" si="110">SUM(N59:Q59)/SUM(N60:Q60)</f>
        <v>0.77007865286996235</v>
      </c>
      <c r="R61" s="264">
        <f t="shared" ref="R61" si="111">SUM(O59:R59)/SUM(O60:R60)</f>
        <v>0.77000000000000013</v>
      </c>
      <c r="S61" s="264">
        <f t="shared" ref="S61" si="112">SUM(P59:S59)/SUM(P60:S60)</f>
        <v>0.77</v>
      </c>
      <c r="T61" s="264">
        <f t="shared" ref="T61" si="113">SUM(Q59:T59)/SUM(Q60:T60)</f>
        <v>0.77</v>
      </c>
      <c r="U61" s="264">
        <f t="shared" ref="U61" si="114">SUM(R59:U59)/SUM(R60:U60)</f>
        <v>0.77</v>
      </c>
      <c r="V61" s="264">
        <f t="shared" ref="V61" si="115">SUM(S59:V59)/SUM(S60:V60)</f>
        <v>0.76999999999999991</v>
      </c>
      <c r="W61" s="264">
        <f t="shared" ref="W61" si="116">SUM(T59:W59)/SUM(T60:W60)</f>
        <v>0.77</v>
      </c>
      <c r="X61" s="264">
        <f t="shared" ref="X61" si="117">SUM(U59:X59)/SUM(U60:X60)</f>
        <v>0.77</v>
      </c>
      <c r="Y61" s="264">
        <f t="shared" ref="Y61" si="118">SUM(V59:Y59)/SUM(V60:Y60)</f>
        <v>0.77</v>
      </c>
      <c r="Z61" s="264">
        <f t="shared" ref="Z61" si="119">SUM(W59:Z59)/SUM(W60:Z60)</f>
        <v>0.77</v>
      </c>
      <c r="AA61" s="264">
        <f t="shared" ref="AA61" si="120">SUM(X59:AA59)/SUM(X60:AA60)</f>
        <v>0.77</v>
      </c>
      <c r="AB61" s="264">
        <f t="shared" ref="AB61" si="121">SUM(Y59:AB59)/SUM(Y60:AB60)</f>
        <v>0.76999999999999991</v>
      </c>
      <c r="AC61" s="264">
        <f t="shared" ref="AC61" si="122">SUM(Z59:AC59)/SUM(Z60:AC60)</f>
        <v>0.76999999999999991</v>
      </c>
      <c r="AD61" s="264">
        <f t="shared" ref="AD61" si="123">SUM(AA59:AD59)/SUM(AA60:AD60)</f>
        <v>0.77</v>
      </c>
      <c r="AE61" s="264">
        <f t="shared" ref="AE61" si="124">SUM(AB59:AE59)/SUM(AB60:AE60)</f>
        <v>0.76999999999999991</v>
      </c>
      <c r="AF61" s="264">
        <f t="shared" ref="AF61" si="125">SUM(AC59:AF59)/SUM(AC60:AF60)</f>
        <v>0.77</v>
      </c>
      <c r="AG61" s="264">
        <f t="shared" ref="AG61" si="126">SUM(AD59:AG59)/SUM(AD60:AG60)</f>
        <v>0.77000000000000013</v>
      </c>
      <c r="AH61" s="264">
        <f t="shared" ref="AH61" si="127">SUM(AE59:AH59)/SUM(AE60:AH60)</f>
        <v>0.76999999999999991</v>
      </c>
    </row>
    <row r="62" spans="2:34" s="2" customFormat="1" ht="16.5" customHeight="1">
      <c r="B62" s="5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313"/>
      <c r="O62" s="314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76"/>
      <c r="AH62" s="176"/>
    </row>
    <row r="63" spans="2:34" ht="15.4" customHeight="1">
      <c r="B63" s="188" t="s">
        <v>114</v>
      </c>
      <c r="C63" s="15"/>
      <c r="D63" s="15"/>
      <c r="E63" s="15"/>
      <c r="F63" s="15"/>
      <c r="G63" s="15"/>
      <c r="H63" s="5"/>
      <c r="I63" s="5"/>
      <c r="J63" s="5"/>
      <c r="K63" s="5"/>
      <c r="L63" s="5"/>
      <c r="M63" s="5"/>
      <c r="N63" s="199"/>
      <c r="O63" s="28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spans="2:34" ht="15.4" customHeight="1">
      <c r="B64" s="183" t="s">
        <v>13</v>
      </c>
      <c r="C64" s="133"/>
      <c r="D64" s="137">
        <f t="shared" ref="D64:AH64" si="128">D15</f>
        <v>6</v>
      </c>
      <c r="E64" s="137">
        <f t="shared" si="128"/>
        <v>6</v>
      </c>
      <c r="F64" s="137">
        <f t="shared" si="128"/>
        <v>5</v>
      </c>
      <c r="G64" s="137">
        <f t="shared" si="128"/>
        <v>4</v>
      </c>
      <c r="H64" s="137">
        <f t="shared" si="128"/>
        <v>4</v>
      </c>
      <c r="I64" s="137">
        <f t="shared" si="128"/>
        <v>5</v>
      </c>
      <c r="J64" s="137">
        <f t="shared" si="128"/>
        <v>5</v>
      </c>
      <c r="K64" s="137">
        <f t="shared" si="128"/>
        <v>7</v>
      </c>
      <c r="L64" s="137">
        <f t="shared" si="128"/>
        <v>6</v>
      </c>
      <c r="M64" s="137">
        <f t="shared" si="128"/>
        <v>10</v>
      </c>
      <c r="N64" s="315">
        <f t="shared" si="128"/>
        <v>8</v>
      </c>
      <c r="O64" s="316">
        <f t="shared" si="128"/>
        <v>6.4364571428571447</v>
      </c>
      <c r="P64" s="137">
        <f t="shared" si="128"/>
        <v>6.4686394285714304</v>
      </c>
      <c r="Q64" s="137">
        <f t="shared" si="128"/>
        <v>6.5009826257142871</v>
      </c>
      <c r="R64" s="137">
        <f t="shared" si="128"/>
        <v>6.5334875388428593</v>
      </c>
      <c r="S64" s="137">
        <f t="shared" si="128"/>
        <v>6.5661549765370726</v>
      </c>
      <c r="T64" s="137">
        <f t="shared" si="128"/>
        <v>6.5989857514197565</v>
      </c>
      <c r="U64" s="137">
        <f t="shared" si="128"/>
        <v>6.6319806801768557</v>
      </c>
      <c r="V64" s="137">
        <f t="shared" si="128"/>
        <v>6.6651405835777409</v>
      </c>
      <c r="W64" s="137">
        <f t="shared" si="128"/>
        <v>6.6984662864956297</v>
      </c>
      <c r="X64" s="137">
        <f t="shared" si="128"/>
        <v>6.7319586179281075</v>
      </c>
      <c r="Y64" s="137">
        <f t="shared" si="128"/>
        <v>6.7656184110177477</v>
      </c>
      <c r="Z64" s="137">
        <f t="shared" si="128"/>
        <v>6.7994465030728364</v>
      </c>
      <c r="AA64" s="137">
        <f t="shared" si="128"/>
        <v>6.8334437355882001</v>
      </c>
      <c r="AB64" s="137">
        <f t="shared" si="128"/>
        <v>6.8676109542661425</v>
      </c>
      <c r="AC64" s="137">
        <f t="shared" si="128"/>
        <v>6.9019490090374713</v>
      </c>
      <c r="AD64" s="137">
        <f t="shared" si="128"/>
        <v>6.9364587540826586</v>
      </c>
      <c r="AE64" s="137">
        <f t="shared" si="128"/>
        <v>6.9711410478530729</v>
      </c>
      <c r="AF64" s="137">
        <f t="shared" si="128"/>
        <v>7.0059967530923375</v>
      </c>
      <c r="AG64" s="137">
        <f t="shared" si="128"/>
        <v>7.0410267368578001</v>
      </c>
      <c r="AH64" s="137">
        <f t="shared" si="128"/>
        <v>7.0762318705420872</v>
      </c>
    </row>
    <row r="65" spans="2:34" ht="15.4" customHeight="1">
      <c r="B65" s="183" t="s">
        <v>180</v>
      </c>
      <c r="C65" s="133"/>
      <c r="D65" s="410">
        <f>+Model!C20</f>
        <v>14.003969528003877</v>
      </c>
      <c r="E65" s="410">
        <f>+Model!D20</f>
        <v>14.083162297273198</v>
      </c>
      <c r="F65" s="410">
        <f>+Model!E20</f>
        <v>14.056085090656572</v>
      </c>
      <c r="G65" s="410">
        <f>+Model!F20</f>
        <v>14.845196324956168</v>
      </c>
      <c r="H65" s="410">
        <f>+Model!G20</f>
        <v>13.968858753550391</v>
      </c>
      <c r="I65" s="410">
        <f>+Model!H20</f>
        <v>14.048706080988852</v>
      </c>
      <c r="J65" s="410">
        <f>+Model!I20</f>
        <v>14.759203826691357</v>
      </c>
      <c r="K65" s="410">
        <f>+Model!J20</f>
        <v>14.257531617198369</v>
      </c>
      <c r="L65" s="410">
        <f>+Model!K20</f>
        <v>14.673867768404181</v>
      </c>
      <c r="M65" s="410">
        <f>+Model!L20</f>
        <v>15.107327385645698</v>
      </c>
      <c r="N65" s="432">
        <f>+Model!M20</f>
        <v>15.409771901603062</v>
      </c>
      <c r="O65" s="433">
        <f>+Model!N20</f>
        <v>15.384977667426883</v>
      </c>
      <c r="P65" s="410">
        <f>+Model!O20</f>
        <v>14.670874224000004</v>
      </c>
      <c r="Q65" s="410">
        <f>+Model!P20</f>
        <v>14.744228595120003</v>
      </c>
      <c r="R65" s="410">
        <f>+Model!Q20</f>
        <v>14.817949738095603</v>
      </c>
      <c r="S65" s="410">
        <f>+Model!R20</f>
        <v>14.89203948678608</v>
      </c>
      <c r="T65" s="410">
        <f>+Model!S20</f>
        <v>14.966499684220009</v>
      </c>
      <c r="U65" s="410">
        <f>+Model!T20</f>
        <v>15.04133218264111</v>
      </c>
      <c r="V65" s="410">
        <f>+Model!U20</f>
        <v>15.116538843554315</v>
      </c>
      <c r="W65" s="410">
        <f>+Model!V20</f>
        <v>15.192121537772088</v>
      </c>
      <c r="X65" s="410">
        <f>+Model!W20</f>
        <v>15.268082145460946</v>
      </c>
      <c r="Y65" s="410">
        <f>+Model!X20</f>
        <v>15.344422556188251</v>
      </c>
      <c r="Z65" s="410">
        <f>+Model!Y20</f>
        <v>15.421144668969191</v>
      </c>
      <c r="AA65" s="410">
        <f>+Model!Z20</f>
        <v>15.49825039231404</v>
      </c>
      <c r="AB65" s="410">
        <f>+Model!AA20</f>
        <v>15.57574164427561</v>
      </c>
      <c r="AC65" s="410">
        <f>+Model!AB20</f>
        <v>15.653620352496985</v>
      </c>
      <c r="AD65" s="410">
        <f>+Model!AC20</f>
        <v>15.731888454259469</v>
      </c>
      <c r="AE65" s="410">
        <f>+Model!AD20</f>
        <v>15.810547896530768</v>
      </c>
      <c r="AF65" s="410">
        <f>+Model!AE20</f>
        <v>15.889600636013423</v>
      </c>
      <c r="AG65" s="410">
        <f>+Model!AF20</f>
        <v>15.969048639193488</v>
      </c>
      <c r="AH65" s="410">
        <f>+Model!AG20</f>
        <v>16.048893882389454</v>
      </c>
    </row>
    <row r="66" spans="2:34" ht="15.4" customHeight="1">
      <c r="B66" s="187" t="s">
        <v>148</v>
      </c>
      <c r="C66" s="135"/>
      <c r="D66" s="462">
        <f t="shared" ref="D66:N66" si="129">+D65/D64</f>
        <v>2.3339949213339795</v>
      </c>
      <c r="E66" s="462">
        <f t="shared" si="129"/>
        <v>2.3471937162121996</v>
      </c>
      <c r="F66" s="462">
        <f t="shared" si="129"/>
        <v>2.8112170181313143</v>
      </c>
      <c r="G66" s="462">
        <f t="shared" si="129"/>
        <v>3.7112990812390421</v>
      </c>
      <c r="H66" s="462">
        <f t="shared" si="129"/>
        <v>3.4922146883875977</v>
      </c>
      <c r="I66" s="462">
        <f t="shared" si="129"/>
        <v>2.8097412161977706</v>
      </c>
      <c r="J66" s="462">
        <f t="shared" si="129"/>
        <v>2.9518407653382712</v>
      </c>
      <c r="K66" s="462">
        <f t="shared" si="129"/>
        <v>2.0367902310283386</v>
      </c>
      <c r="L66" s="462">
        <f t="shared" si="129"/>
        <v>2.4456446280673636</v>
      </c>
      <c r="M66" s="462">
        <f t="shared" si="129"/>
        <v>1.5107327385645699</v>
      </c>
      <c r="N66" s="463">
        <f t="shared" si="129"/>
        <v>1.9262214877003827</v>
      </c>
      <c r="O66" s="464">
        <f t="shared" ref="O66:AH66" si="130">+O65/O64</f>
        <v>2.3902866632927644</v>
      </c>
      <c r="P66" s="462">
        <f t="shared" si="130"/>
        <v>2.2679999999999998</v>
      </c>
      <c r="Q66" s="462">
        <f t="shared" si="130"/>
        <v>2.2679999999999998</v>
      </c>
      <c r="R66" s="462">
        <f t="shared" si="130"/>
        <v>2.2679999999999998</v>
      </c>
      <c r="S66" s="462">
        <f t="shared" si="130"/>
        <v>2.2679999999999998</v>
      </c>
      <c r="T66" s="462">
        <f t="shared" si="130"/>
        <v>2.2680000000000002</v>
      </c>
      <c r="U66" s="462">
        <f t="shared" si="130"/>
        <v>2.2680000000000002</v>
      </c>
      <c r="V66" s="462">
        <f t="shared" si="130"/>
        <v>2.2679999999999998</v>
      </c>
      <c r="W66" s="462">
        <f t="shared" si="130"/>
        <v>2.2680000000000002</v>
      </c>
      <c r="X66" s="462">
        <f t="shared" si="130"/>
        <v>2.2679999999999998</v>
      </c>
      <c r="Y66" s="462">
        <f t="shared" si="130"/>
        <v>2.2679999999999998</v>
      </c>
      <c r="Z66" s="462">
        <f t="shared" si="130"/>
        <v>2.2679999999999998</v>
      </c>
      <c r="AA66" s="462">
        <f t="shared" si="130"/>
        <v>2.2680000000000002</v>
      </c>
      <c r="AB66" s="462">
        <f t="shared" si="130"/>
        <v>2.2679999999999998</v>
      </c>
      <c r="AC66" s="462">
        <f t="shared" si="130"/>
        <v>2.2679999999999998</v>
      </c>
      <c r="AD66" s="462">
        <f t="shared" si="130"/>
        <v>2.2679999999999998</v>
      </c>
      <c r="AE66" s="462">
        <f t="shared" si="130"/>
        <v>2.2679999999999998</v>
      </c>
      <c r="AF66" s="462">
        <f t="shared" si="130"/>
        <v>2.2680000000000002</v>
      </c>
      <c r="AG66" s="462">
        <f t="shared" si="130"/>
        <v>2.2679999999999998</v>
      </c>
      <c r="AH66" s="462">
        <f t="shared" si="130"/>
        <v>2.2679999999999998</v>
      </c>
    </row>
    <row r="67" spans="2:34" ht="15.4" customHeight="1">
      <c r="B67" s="182"/>
      <c r="C67" s="15"/>
      <c r="D67" s="15"/>
      <c r="E67" s="15"/>
      <c r="F67" s="15"/>
      <c r="G67" s="15"/>
      <c r="H67" s="5"/>
      <c r="I67" s="5"/>
      <c r="J67" s="5"/>
      <c r="K67" s="5"/>
      <c r="L67" s="5"/>
      <c r="M67" s="5"/>
      <c r="N67" s="199"/>
      <c r="O67" s="28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2:34" ht="15.4" customHeight="1">
      <c r="B68" s="188" t="s">
        <v>126</v>
      </c>
      <c r="C68" s="15"/>
      <c r="D68" s="15"/>
      <c r="E68" s="15"/>
      <c r="F68" s="15"/>
      <c r="G68" s="15"/>
      <c r="H68" s="5"/>
      <c r="I68" s="5"/>
      <c r="J68" s="5"/>
      <c r="K68" s="5"/>
      <c r="L68" s="5"/>
      <c r="M68" s="5"/>
      <c r="N68" s="199"/>
      <c r="O68" s="28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spans="2:34" ht="15.4" customHeight="1">
      <c r="B69" s="183" t="s">
        <v>5</v>
      </c>
      <c r="C69" s="459">
        <f t="shared" ref="C69:AH69" si="131">+C7</f>
        <v>16.542719999999999</v>
      </c>
      <c r="D69" s="459">
        <f t="shared" si="131"/>
        <v>12.672000000000001</v>
      </c>
      <c r="E69" s="459">
        <f t="shared" si="131"/>
        <v>10.782719999999999</v>
      </c>
      <c r="F69" s="459">
        <f t="shared" si="131"/>
        <v>12.034255999999999</v>
      </c>
      <c r="G69" s="459">
        <f t="shared" si="131"/>
        <v>6.9119999999999999</v>
      </c>
      <c r="H69" s="459">
        <f t="shared" si="131"/>
        <v>7.8796799999999996</v>
      </c>
      <c r="I69" s="459">
        <f t="shared" si="131"/>
        <v>11.52</v>
      </c>
      <c r="J69" s="459">
        <f t="shared" si="131"/>
        <v>12.487679999999999</v>
      </c>
      <c r="K69" s="459">
        <f t="shared" si="131"/>
        <v>15.34464</v>
      </c>
      <c r="L69" s="459">
        <f t="shared" si="131"/>
        <v>12.672000000000001</v>
      </c>
      <c r="M69" s="459">
        <f t="shared" si="131"/>
        <v>18.431999999999999</v>
      </c>
      <c r="N69" s="460">
        <f t="shared" si="131"/>
        <v>18.984960000000001</v>
      </c>
      <c r="O69" s="461">
        <f t="shared" si="131"/>
        <v>13.516560000000004</v>
      </c>
      <c r="P69" s="459">
        <f t="shared" si="131"/>
        <v>13.584142800000004</v>
      </c>
      <c r="Q69" s="459">
        <f t="shared" si="131"/>
        <v>13.652063514000004</v>
      </c>
      <c r="R69" s="459">
        <f t="shared" si="131"/>
        <v>13.720323831570004</v>
      </c>
      <c r="S69" s="459">
        <f t="shared" si="131"/>
        <v>13.788925450727852</v>
      </c>
      <c r="T69" s="459">
        <f t="shared" si="131"/>
        <v>13.85787007798149</v>
      </c>
      <c r="U69" s="459">
        <f t="shared" si="131"/>
        <v>13.927159428371398</v>
      </c>
      <c r="V69" s="459">
        <f t="shared" si="131"/>
        <v>13.996795225513257</v>
      </c>
      <c r="W69" s="459">
        <f t="shared" si="131"/>
        <v>14.066779201640824</v>
      </c>
      <c r="X69" s="459">
        <f t="shared" si="131"/>
        <v>14.137113097649026</v>
      </c>
      <c r="Y69" s="459">
        <f t="shared" si="131"/>
        <v>14.207798663137272</v>
      </c>
      <c r="Z69" s="459">
        <f t="shared" si="131"/>
        <v>14.278837656452957</v>
      </c>
      <c r="AA69" s="459">
        <f t="shared" si="131"/>
        <v>14.350231844735221</v>
      </c>
      <c r="AB69" s="459">
        <f t="shared" si="131"/>
        <v>14.4219830039589</v>
      </c>
      <c r="AC69" s="459">
        <f t="shared" si="131"/>
        <v>14.494092918978691</v>
      </c>
      <c r="AD69" s="459">
        <f t="shared" si="131"/>
        <v>14.566563383573584</v>
      </c>
      <c r="AE69" s="459">
        <f t="shared" si="131"/>
        <v>14.639396200491454</v>
      </c>
      <c r="AF69" s="459">
        <f t="shared" si="131"/>
        <v>14.71259318149391</v>
      </c>
      <c r="AG69" s="459">
        <f t="shared" si="131"/>
        <v>14.78615614740138</v>
      </c>
      <c r="AH69" s="459">
        <f t="shared" si="131"/>
        <v>14.860086928138385</v>
      </c>
    </row>
    <row r="70" spans="2:34" ht="15.4" customHeight="1">
      <c r="B70" s="183" t="s">
        <v>168</v>
      </c>
      <c r="C70" s="465">
        <f>+Model!C17</f>
        <v>0.77109561384440062</v>
      </c>
      <c r="D70" s="465">
        <f>+Model!D17</f>
        <v>0.77744720518921073</v>
      </c>
      <c r="E70" s="465">
        <f>+Model!E17</f>
        <v>0.77646328111591478</v>
      </c>
      <c r="F70" s="465">
        <f>+Model!F17</f>
        <v>0.77758774185698387</v>
      </c>
      <c r="G70" s="465">
        <f>+Model!G17</f>
        <v>0.77683303923209357</v>
      </c>
      <c r="H70" s="465">
        <f>+Model!H17</f>
        <v>0.77854091667537217</v>
      </c>
      <c r="I70" s="465">
        <f>+Model!I17</f>
        <v>0.77228386253038006</v>
      </c>
      <c r="J70" s="465">
        <f>+Model!J17</f>
        <v>0.77876660667768427</v>
      </c>
      <c r="K70" s="465">
        <f>+Model!K17</f>
        <v>0.77026377204905772</v>
      </c>
      <c r="L70" s="465">
        <f>+Model!L17</f>
        <v>0.77341569502072482</v>
      </c>
      <c r="M70" s="465">
        <f>+Model!M17</f>
        <v>0.77460715756294529</v>
      </c>
      <c r="N70" s="466">
        <f>+Model!N17</f>
        <v>0.77031322476985731</v>
      </c>
      <c r="O70" s="467">
        <f>+Model!O17</f>
        <v>0.77</v>
      </c>
      <c r="P70" s="465">
        <f>+Model!P17</f>
        <v>0.77</v>
      </c>
      <c r="Q70" s="465">
        <f>+Model!Q17</f>
        <v>0.77</v>
      </c>
      <c r="R70" s="465">
        <f>+Model!R17</f>
        <v>0.77</v>
      </c>
      <c r="S70" s="465">
        <f>+Model!S17</f>
        <v>0.77</v>
      </c>
      <c r="T70" s="465">
        <f>+Model!T17</f>
        <v>0.77</v>
      </c>
      <c r="U70" s="465">
        <f>+Model!U17</f>
        <v>0.77</v>
      </c>
      <c r="V70" s="465">
        <f>+Model!V17</f>
        <v>0.77</v>
      </c>
      <c r="W70" s="465">
        <f>+Model!W17</f>
        <v>0.77</v>
      </c>
      <c r="X70" s="465">
        <f>+Model!X17</f>
        <v>0.77</v>
      </c>
      <c r="Y70" s="465">
        <f>+Model!Y17</f>
        <v>0.77</v>
      </c>
      <c r="Z70" s="465">
        <f>+Model!Z17</f>
        <v>0.77</v>
      </c>
      <c r="AA70" s="465">
        <f>+Model!AA17</f>
        <v>0.77</v>
      </c>
      <c r="AB70" s="465">
        <f>+Model!AB17</f>
        <v>0.77</v>
      </c>
      <c r="AC70" s="465">
        <f>+Model!AC17</f>
        <v>0.77</v>
      </c>
      <c r="AD70" s="465">
        <f>+Model!AD17</f>
        <v>0.77</v>
      </c>
      <c r="AE70" s="465">
        <f>+Model!AE17</f>
        <v>0.77</v>
      </c>
      <c r="AF70" s="465">
        <f>+Model!AF17</f>
        <v>0.77</v>
      </c>
      <c r="AG70" s="465">
        <f>+Model!AG17</f>
        <v>0.77</v>
      </c>
      <c r="AH70" s="465">
        <f>+Model!AH17</f>
        <v>0.77</v>
      </c>
    </row>
    <row r="71" spans="2:34" ht="15.4" customHeight="1">
      <c r="B71" s="183" t="s">
        <v>117</v>
      </c>
      <c r="C71" s="459">
        <f t="shared" ref="C71:N71" si="132">+C70*C69</f>
        <v>12.756018833056043</v>
      </c>
      <c r="D71" s="459">
        <f t="shared" si="132"/>
        <v>9.8518109841576784</v>
      </c>
      <c r="E71" s="459">
        <f t="shared" si="132"/>
        <v>8.3723861505541954</v>
      </c>
      <c r="F71" s="459">
        <f t="shared" si="132"/>
        <v>9.3576899479688578</v>
      </c>
      <c r="G71" s="459">
        <f t="shared" si="132"/>
        <v>5.3694699671722308</v>
      </c>
      <c r="H71" s="459">
        <f t="shared" si="132"/>
        <v>6.134653290308596</v>
      </c>
      <c r="I71" s="459">
        <f t="shared" si="132"/>
        <v>8.8967100963499774</v>
      </c>
      <c r="J71" s="459">
        <f t="shared" si="132"/>
        <v>9.7249881788767834</v>
      </c>
      <c r="K71" s="459">
        <f t="shared" si="132"/>
        <v>11.819420287134854</v>
      </c>
      <c r="L71" s="459">
        <f t="shared" si="132"/>
        <v>9.8007236873026251</v>
      </c>
      <c r="M71" s="459">
        <f t="shared" si="132"/>
        <v>14.277559128200206</v>
      </c>
      <c r="N71" s="460">
        <f t="shared" si="132"/>
        <v>14.624365759726752</v>
      </c>
      <c r="O71" s="461">
        <f t="shared" ref="O71:AH71" si="133">+O70*O69</f>
        <v>10.407751200000003</v>
      </c>
      <c r="P71" s="459">
        <f t="shared" si="133"/>
        <v>10.459789956000003</v>
      </c>
      <c r="Q71" s="459">
        <f t="shared" si="133"/>
        <v>10.512088905780002</v>
      </c>
      <c r="R71" s="459">
        <f t="shared" si="133"/>
        <v>10.564649350308903</v>
      </c>
      <c r="S71" s="459">
        <f t="shared" si="133"/>
        <v>10.617472597060447</v>
      </c>
      <c r="T71" s="459">
        <f t="shared" si="133"/>
        <v>10.670559960045747</v>
      </c>
      <c r="U71" s="459">
        <f t="shared" si="133"/>
        <v>10.723912759845977</v>
      </c>
      <c r="V71" s="459">
        <f t="shared" si="133"/>
        <v>10.777532323645207</v>
      </c>
      <c r="W71" s="459">
        <f t="shared" si="133"/>
        <v>10.831419985263434</v>
      </c>
      <c r="X71" s="459">
        <f t="shared" si="133"/>
        <v>10.88557708518975</v>
      </c>
      <c r="Y71" s="459">
        <f t="shared" si="133"/>
        <v>10.9400049706157</v>
      </c>
      <c r="Z71" s="459">
        <f t="shared" si="133"/>
        <v>10.994704995468778</v>
      </c>
      <c r="AA71" s="459">
        <f t="shared" si="133"/>
        <v>11.04967852044612</v>
      </c>
      <c r="AB71" s="459">
        <f t="shared" si="133"/>
        <v>11.104926913048352</v>
      </c>
      <c r="AC71" s="459">
        <f t="shared" si="133"/>
        <v>11.160451547613592</v>
      </c>
      <c r="AD71" s="459">
        <f t="shared" si="133"/>
        <v>11.216253805351659</v>
      </c>
      <c r="AE71" s="459">
        <f t="shared" si="133"/>
        <v>11.27233507437842</v>
      </c>
      <c r="AF71" s="459">
        <f t="shared" si="133"/>
        <v>11.328696749750311</v>
      </c>
      <c r="AG71" s="459">
        <f t="shared" si="133"/>
        <v>11.385340233499063</v>
      </c>
      <c r="AH71" s="459">
        <f t="shared" si="133"/>
        <v>11.442266934666556</v>
      </c>
    </row>
    <row r="72" spans="2:34" ht="15.4" customHeight="1">
      <c r="B72" s="183" t="s">
        <v>180</v>
      </c>
      <c r="C72" s="459">
        <f t="shared" ref="C72:N72" si="134">+C65</f>
        <v>0</v>
      </c>
      <c r="D72" s="459">
        <f t="shared" si="134"/>
        <v>14.003969528003877</v>
      </c>
      <c r="E72" s="459">
        <f t="shared" si="134"/>
        <v>14.083162297273198</v>
      </c>
      <c r="F72" s="459">
        <f t="shared" si="134"/>
        <v>14.056085090656572</v>
      </c>
      <c r="G72" s="459">
        <f t="shared" si="134"/>
        <v>14.845196324956168</v>
      </c>
      <c r="H72" s="459">
        <f t="shared" si="134"/>
        <v>13.968858753550391</v>
      </c>
      <c r="I72" s="459">
        <f t="shared" si="134"/>
        <v>14.048706080988852</v>
      </c>
      <c r="J72" s="459">
        <f t="shared" si="134"/>
        <v>14.759203826691357</v>
      </c>
      <c r="K72" s="459">
        <f t="shared" si="134"/>
        <v>14.257531617198369</v>
      </c>
      <c r="L72" s="459">
        <f t="shared" si="134"/>
        <v>14.673867768404181</v>
      </c>
      <c r="M72" s="459">
        <f t="shared" si="134"/>
        <v>15.107327385645698</v>
      </c>
      <c r="N72" s="460">
        <f t="shared" si="134"/>
        <v>15.409771901603062</v>
      </c>
      <c r="O72" s="461">
        <f t="shared" ref="O72:AH72" si="135">+O65</f>
        <v>15.384977667426883</v>
      </c>
      <c r="P72" s="459">
        <f t="shared" si="135"/>
        <v>14.670874224000004</v>
      </c>
      <c r="Q72" s="459">
        <f t="shared" si="135"/>
        <v>14.744228595120003</v>
      </c>
      <c r="R72" s="459">
        <f t="shared" si="135"/>
        <v>14.817949738095603</v>
      </c>
      <c r="S72" s="459">
        <f t="shared" si="135"/>
        <v>14.89203948678608</v>
      </c>
      <c r="T72" s="459">
        <f t="shared" si="135"/>
        <v>14.966499684220009</v>
      </c>
      <c r="U72" s="459">
        <f t="shared" si="135"/>
        <v>15.04133218264111</v>
      </c>
      <c r="V72" s="459">
        <f t="shared" si="135"/>
        <v>15.116538843554315</v>
      </c>
      <c r="W72" s="459">
        <f t="shared" si="135"/>
        <v>15.192121537772088</v>
      </c>
      <c r="X72" s="459">
        <f t="shared" si="135"/>
        <v>15.268082145460946</v>
      </c>
      <c r="Y72" s="459">
        <f t="shared" si="135"/>
        <v>15.344422556188251</v>
      </c>
      <c r="Z72" s="459">
        <f t="shared" si="135"/>
        <v>15.421144668969191</v>
      </c>
      <c r="AA72" s="459">
        <f t="shared" si="135"/>
        <v>15.49825039231404</v>
      </c>
      <c r="AB72" s="459">
        <f t="shared" si="135"/>
        <v>15.57574164427561</v>
      </c>
      <c r="AC72" s="459">
        <f t="shared" si="135"/>
        <v>15.653620352496985</v>
      </c>
      <c r="AD72" s="459">
        <f t="shared" si="135"/>
        <v>15.731888454259469</v>
      </c>
      <c r="AE72" s="459">
        <f t="shared" si="135"/>
        <v>15.810547896530768</v>
      </c>
      <c r="AF72" s="459">
        <f t="shared" si="135"/>
        <v>15.889600636013423</v>
      </c>
      <c r="AG72" s="459">
        <f t="shared" si="135"/>
        <v>15.969048639193488</v>
      </c>
      <c r="AH72" s="459">
        <f t="shared" si="135"/>
        <v>16.048893882389454</v>
      </c>
    </row>
    <row r="73" spans="2:34" ht="15.4" customHeight="1">
      <c r="B73" s="187" t="s">
        <v>146</v>
      </c>
      <c r="C73" s="151">
        <f t="shared" ref="C73:N73" si="136">(C72/C71)*12</f>
        <v>0</v>
      </c>
      <c r="D73" s="151">
        <f t="shared" si="136"/>
        <v>17.05753740162875</v>
      </c>
      <c r="E73" s="151">
        <f t="shared" si="136"/>
        <v>20.185159228004775</v>
      </c>
      <c r="F73" s="151">
        <f t="shared" si="136"/>
        <v>18.025070506262107</v>
      </c>
      <c r="G73" s="151">
        <f t="shared" si="136"/>
        <v>33.176897717763126</v>
      </c>
      <c r="H73" s="151">
        <f t="shared" si="136"/>
        <v>27.324495307243755</v>
      </c>
      <c r="I73" s="151">
        <f t="shared" si="136"/>
        <v>18.949080182013663</v>
      </c>
      <c r="J73" s="151">
        <f t="shared" si="136"/>
        <v>18.211893183067311</v>
      </c>
      <c r="K73" s="151">
        <f t="shared" si="136"/>
        <v>14.475361333297206</v>
      </c>
      <c r="L73" s="151">
        <f t="shared" si="136"/>
        <v>17.966674588426542</v>
      </c>
      <c r="M73" s="151">
        <f t="shared" si="136"/>
        <v>12.697403456707034</v>
      </c>
      <c r="N73" s="317">
        <f t="shared" si="136"/>
        <v>12.644463757086161</v>
      </c>
      <c r="O73" s="318">
        <f t="shared" ref="O73:AH73" si="137">(O72/O71)*12</f>
        <v>17.738676536495468</v>
      </c>
      <c r="P73" s="151">
        <f t="shared" si="137"/>
        <v>16.831168831168831</v>
      </c>
      <c r="Q73" s="151">
        <f t="shared" si="137"/>
        <v>16.831168831168831</v>
      </c>
      <c r="R73" s="151">
        <f t="shared" si="137"/>
        <v>16.831168831168828</v>
      </c>
      <c r="S73" s="151">
        <f t="shared" si="137"/>
        <v>16.831168831168831</v>
      </c>
      <c r="T73" s="151">
        <f t="shared" si="137"/>
        <v>16.831168831168831</v>
      </c>
      <c r="U73" s="151">
        <f t="shared" si="137"/>
        <v>16.831168831168831</v>
      </c>
      <c r="V73" s="151">
        <f t="shared" si="137"/>
        <v>16.831168831168828</v>
      </c>
      <c r="W73" s="151">
        <f t="shared" si="137"/>
        <v>16.831168831168831</v>
      </c>
      <c r="X73" s="151">
        <f t="shared" si="137"/>
        <v>16.831168831168828</v>
      </c>
      <c r="Y73" s="151">
        <f t="shared" si="137"/>
        <v>16.831168831168824</v>
      </c>
      <c r="Z73" s="151">
        <f t="shared" si="137"/>
        <v>16.831168831168824</v>
      </c>
      <c r="AA73" s="151">
        <f t="shared" si="137"/>
        <v>16.831168831168831</v>
      </c>
      <c r="AB73" s="151">
        <f t="shared" si="137"/>
        <v>16.831168831168828</v>
      </c>
      <c r="AC73" s="151">
        <f t="shared" si="137"/>
        <v>16.831168831168828</v>
      </c>
      <c r="AD73" s="151">
        <f t="shared" si="137"/>
        <v>16.831168831168828</v>
      </c>
      <c r="AE73" s="151">
        <f t="shared" si="137"/>
        <v>16.831168831168828</v>
      </c>
      <c r="AF73" s="151">
        <f t="shared" si="137"/>
        <v>16.831168831168831</v>
      </c>
      <c r="AG73" s="151">
        <f t="shared" si="137"/>
        <v>16.831168831168828</v>
      </c>
      <c r="AH73" s="151">
        <f t="shared" si="137"/>
        <v>16.831168831168828</v>
      </c>
    </row>
    <row r="74" spans="2:34" ht="15.4" customHeight="1">
      <c r="B74" s="184" t="s">
        <v>147</v>
      </c>
      <c r="C74" s="136">
        <f t="shared" ref="C74:AH74" si="138">(C72/(SUM(C7:C8)*C70))*12</f>
        <v>0</v>
      </c>
      <c r="D74" s="136">
        <f t="shared" si="138"/>
        <v>12.330586736566527</v>
      </c>
      <c r="E74" s="136">
        <f t="shared" si="138"/>
        <v>14.735766123289983</v>
      </c>
      <c r="F74" s="136">
        <f t="shared" si="138"/>
        <v>12.210365364218001</v>
      </c>
      <c r="G74" s="136">
        <f t="shared" si="138"/>
        <v>18.634380952290996</v>
      </c>
      <c r="H74" s="136">
        <f t="shared" si="138"/>
        <v>14.9876177093635</v>
      </c>
      <c r="I74" s="136">
        <f t="shared" si="138"/>
        <v>12.633041796017803</v>
      </c>
      <c r="J74" s="136">
        <f t="shared" si="138"/>
        <v>11.943810545831917</v>
      </c>
      <c r="K74" s="136">
        <f t="shared" si="138"/>
        <v>11.264295875005713</v>
      </c>
      <c r="L74" s="136">
        <f t="shared" si="138"/>
        <v>13.034911053767356</v>
      </c>
      <c r="M74" s="136">
        <f t="shared" si="138"/>
        <v>10.873788028482405</v>
      </c>
      <c r="N74" s="319">
        <f t="shared" si="138"/>
        <v>10.199150818657994</v>
      </c>
      <c r="O74" s="320">
        <f t="shared" si="138"/>
        <v>12.900855662905794</v>
      </c>
      <c r="P74" s="136">
        <f t="shared" si="138"/>
        <v>12.240850059031875</v>
      </c>
      <c r="Q74" s="136">
        <f t="shared" si="138"/>
        <v>12.240850059031878</v>
      </c>
      <c r="R74" s="136">
        <f t="shared" si="138"/>
        <v>12.240850059031875</v>
      </c>
      <c r="S74" s="136">
        <f t="shared" si="138"/>
        <v>12.240850059031878</v>
      </c>
      <c r="T74" s="136">
        <f t="shared" si="138"/>
        <v>12.240850059031878</v>
      </c>
      <c r="U74" s="136">
        <f t="shared" si="138"/>
        <v>12.240850059031878</v>
      </c>
      <c r="V74" s="136">
        <f t="shared" si="138"/>
        <v>12.240850059031875</v>
      </c>
      <c r="W74" s="136">
        <f t="shared" si="138"/>
        <v>12.240850059031878</v>
      </c>
      <c r="X74" s="136">
        <f t="shared" si="138"/>
        <v>12.240850059031878</v>
      </c>
      <c r="Y74" s="136">
        <f t="shared" si="138"/>
        <v>12.240850059031875</v>
      </c>
      <c r="Z74" s="136">
        <f t="shared" si="138"/>
        <v>12.240850059031875</v>
      </c>
      <c r="AA74" s="136">
        <f t="shared" si="138"/>
        <v>12.240850059031878</v>
      </c>
      <c r="AB74" s="136">
        <f t="shared" si="138"/>
        <v>12.240850059031875</v>
      </c>
      <c r="AC74" s="136">
        <f t="shared" si="138"/>
        <v>12.240850059031878</v>
      </c>
      <c r="AD74" s="136">
        <f t="shared" si="138"/>
        <v>12.240850059031875</v>
      </c>
      <c r="AE74" s="136">
        <f t="shared" si="138"/>
        <v>12.240850059031875</v>
      </c>
      <c r="AF74" s="136">
        <f t="shared" si="138"/>
        <v>12.240850059031875</v>
      </c>
      <c r="AG74" s="136">
        <f t="shared" si="138"/>
        <v>12.240850059031875</v>
      </c>
      <c r="AH74" s="136">
        <f t="shared" si="138"/>
        <v>12.240850059031875</v>
      </c>
    </row>
    <row r="75" spans="2:34" ht="15.4" customHeight="1">
      <c r="B75" s="184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319"/>
      <c r="O75" s="320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</row>
    <row r="76" spans="2:34" ht="15.4" customHeight="1">
      <c r="B76" s="188" t="s">
        <v>118</v>
      </c>
      <c r="C76" s="15"/>
      <c r="D76" s="15"/>
      <c r="E76" s="15"/>
      <c r="F76" s="15"/>
      <c r="G76" s="15"/>
      <c r="H76" s="5"/>
      <c r="I76" s="5"/>
      <c r="J76" s="5"/>
      <c r="K76" s="5"/>
      <c r="L76" s="5"/>
      <c r="M76" s="5"/>
      <c r="N76" s="199"/>
      <c r="O76" s="28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spans="2:34" ht="15.4" customHeight="1">
      <c r="B77" s="183" t="s">
        <v>129</v>
      </c>
      <c r="C77" s="267"/>
      <c r="D77" s="145">
        <f>IFERROR(1/(1-D28),0)</f>
        <v>6.3000000000000007</v>
      </c>
      <c r="E77" s="145">
        <f t="shared" ref="E77:AH77" si="139">IFERROR(1/(1-E28),0)</f>
        <v>10.583333333333327</v>
      </c>
      <c r="F77" s="145">
        <f t="shared" si="139"/>
        <v>10.833333333333332</v>
      </c>
      <c r="G77" s="145">
        <f t="shared" si="139"/>
        <v>6.6000000000000014</v>
      </c>
      <c r="H77" s="145">
        <f t="shared" si="139"/>
        <v>8.1875000000000018</v>
      </c>
      <c r="I77" s="145">
        <f t="shared" si="139"/>
        <v>10.916666666666663</v>
      </c>
      <c r="J77" s="145">
        <f t="shared" si="139"/>
        <v>5.541666666666667</v>
      </c>
      <c r="K77" s="145">
        <f t="shared" si="139"/>
        <v>6.6000000000000014</v>
      </c>
      <c r="L77" s="145">
        <f t="shared" si="139"/>
        <v>5.5833333333333348</v>
      </c>
      <c r="M77" s="145">
        <f t="shared" si="139"/>
        <v>8.375</v>
      </c>
      <c r="N77" s="321">
        <f t="shared" si="139"/>
        <v>7.0000000000000036</v>
      </c>
      <c r="O77" s="322">
        <f t="shared" si="139"/>
        <v>7.0751174855140659</v>
      </c>
      <c r="P77" s="145">
        <f t="shared" si="139"/>
        <v>7.1080297178770584</v>
      </c>
      <c r="Q77" s="145">
        <f t="shared" si="139"/>
        <v>7.1407782077904889</v>
      </c>
      <c r="R77" s="145">
        <f t="shared" si="139"/>
        <v>7.173363769893399</v>
      </c>
      <c r="S77" s="145">
        <f t="shared" si="139"/>
        <v>7.2057872147719202</v>
      </c>
      <c r="T77" s="145">
        <f t="shared" si="139"/>
        <v>7.23804934897941</v>
      </c>
      <c r="U77" s="145">
        <f t="shared" si="139"/>
        <v>7.270150975056505</v>
      </c>
      <c r="V77" s="145">
        <f t="shared" si="139"/>
        <v>7.302092891551129</v>
      </c>
      <c r="W77" s="145">
        <f t="shared" si="139"/>
        <v>7.3338758930383161</v>
      </c>
      <c r="X77" s="145">
        <f t="shared" si="139"/>
        <v>7.3655007701400033</v>
      </c>
      <c r="Y77" s="145">
        <f t="shared" si="139"/>
        <v>7.3969683095446577</v>
      </c>
      <c r="Z77" s="145">
        <f t="shared" si="139"/>
        <v>7.4282792940269067</v>
      </c>
      <c r="AA77" s="145">
        <f t="shared" si="139"/>
        <v>7.4594345024669542</v>
      </c>
      <c r="AB77" s="145">
        <f t="shared" si="139"/>
        <v>7.4904347098699819</v>
      </c>
      <c r="AC77" s="145">
        <f t="shared" si="139"/>
        <v>7.5212806873854356</v>
      </c>
      <c r="AD77" s="145">
        <f t="shared" si="139"/>
        <v>7.5519732023261925</v>
      </c>
      <c r="AE77" s="145">
        <f t="shared" si="139"/>
        <v>7.5825130181876279</v>
      </c>
      <c r="AF77" s="145">
        <f t="shared" si="139"/>
        <v>7.6129008946666783</v>
      </c>
      <c r="AG77" s="145">
        <f t="shared" si="139"/>
        <v>7.6431375876806609</v>
      </c>
      <c r="AH77" s="145">
        <f t="shared" si="139"/>
        <v>7.6732238493861091</v>
      </c>
    </row>
    <row r="78" spans="2:34" ht="15.4" customHeight="1">
      <c r="B78" s="183" t="s">
        <v>181</v>
      </c>
      <c r="C78" s="133"/>
      <c r="D78" s="459">
        <f t="shared" ref="D78:AH78" si="140">D7*D70</f>
        <v>9.8518109841576784</v>
      </c>
      <c r="E78" s="459">
        <f t="shared" si="140"/>
        <v>8.3723861505541954</v>
      </c>
      <c r="F78" s="459">
        <f t="shared" si="140"/>
        <v>9.3576899479688578</v>
      </c>
      <c r="G78" s="459">
        <f t="shared" si="140"/>
        <v>5.3694699671722308</v>
      </c>
      <c r="H78" s="459">
        <f t="shared" si="140"/>
        <v>6.134653290308596</v>
      </c>
      <c r="I78" s="459">
        <f t="shared" si="140"/>
        <v>8.8967100963499774</v>
      </c>
      <c r="J78" s="459">
        <f t="shared" si="140"/>
        <v>9.7249881788767834</v>
      </c>
      <c r="K78" s="459">
        <f t="shared" si="140"/>
        <v>11.819420287134854</v>
      </c>
      <c r="L78" s="459">
        <f t="shared" si="140"/>
        <v>9.8007236873026251</v>
      </c>
      <c r="M78" s="459">
        <f t="shared" si="140"/>
        <v>14.277559128200206</v>
      </c>
      <c r="N78" s="460">
        <f t="shared" si="140"/>
        <v>14.624365759726752</v>
      </c>
      <c r="O78" s="461">
        <f t="shared" si="140"/>
        <v>10.407751200000003</v>
      </c>
      <c r="P78" s="459">
        <f t="shared" si="140"/>
        <v>10.459789956000003</v>
      </c>
      <c r="Q78" s="459">
        <f t="shared" si="140"/>
        <v>10.512088905780002</v>
      </c>
      <c r="R78" s="459">
        <f t="shared" si="140"/>
        <v>10.564649350308903</v>
      </c>
      <c r="S78" s="459">
        <f t="shared" si="140"/>
        <v>10.617472597060447</v>
      </c>
      <c r="T78" s="459">
        <f t="shared" si="140"/>
        <v>10.670559960045747</v>
      </c>
      <c r="U78" s="459">
        <f t="shared" si="140"/>
        <v>10.723912759845977</v>
      </c>
      <c r="V78" s="459">
        <f t="shared" si="140"/>
        <v>10.777532323645207</v>
      </c>
      <c r="W78" s="459">
        <f t="shared" si="140"/>
        <v>10.831419985263434</v>
      </c>
      <c r="X78" s="459">
        <f t="shared" si="140"/>
        <v>10.88557708518975</v>
      </c>
      <c r="Y78" s="459">
        <f t="shared" si="140"/>
        <v>10.9400049706157</v>
      </c>
      <c r="Z78" s="459">
        <f t="shared" si="140"/>
        <v>10.994704995468778</v>
      </c>
      <c r="AA78" s="459">
        <f t="shared" si="140"/>
        <v>11.04967852044612</v>
      </c>
      <c r="AB78" s="459">
        <f t="shared" si="140"/>
        <v>11.104926913048352</v>
      </c>
      <c r="AC78" s="459">
        <f t="shared" si="140"/>
        <v>11.160451547613592</v>
      </c>
      <c r="AD78" s="459">
        <f t="shared" si="140"/>
        <v>11.216253805351659</v>
      </c>
      <c r="AE78" s="459">
        <f t="shared" si="140"/>
        <v>11.27233507437842</v>
      </c>
      <c r="AF78" s="459">
        <f t="shared" si="140"/>
        <v>11.328696749750311</v>
      </c>
      <c r="AG78" s="459">
        <f t="shared" si="140"/>
        <v>11.385340233499063</v>
      </c>
      <c r="AH78" s="459">
        <f t="shared" si="140"/>
        <v>11.442266934666556</v>
      </c>
    </row>
    <row r="79" spans="2:34" ht="15.4" customHeight="1">
      <c r="B79" s="183" t="s">
        <v>182</v>
      </c>
      <c r="C79" s="133"/>
      <c r="D79" s="459">
        <f t="shared" ref="D79:N82" si="141">+D78*D$26</f>
        <v>8.6239469269077311</v>
      </c>
      <c r="E79" s="459">
        <f t="shared" si="141"/>
        <v>7.6117485772427473</v>
      </c>
      <c r="F79" s="459">
        <f t="shared" si="141"/>
        <v>8.5575951101205963</v>
      </c>
      <c r="G79" s="459">
        <f t="shared" si="141"/>
        <v>4.6624719370041694</v>
      </c>
      <c r="H79" s="459">
        <f t="shared" si="141"/>
        <v>5.4511036048909096</v>
      </c>
      <c r="I79" s="459">
        <f t="shared" si="141"/>
        <v>7.9043019915705104</v>
      </c>
      <c r="J79" s="459">
        <f t="shared" si="141"/>
        <v>8.5968716114414168</v>
      </c>
      <c r="K79" s="459">
        <f t="shared" si="141"/>
        <v>9.9166052483917717</v>
      </c>
      <c r="L79" s="459">
        <f t="shared" si="141"/>
        <v>8.6522693700509397</v>
      </c>
      <c r="M79" s="459">
        <f t="shared" si="141"/>
        <v>12.070731360349765</v>
      </c>
      <c r="N79" s="460">
        <f t="shared" si="141"/>
        <v>13.027739148170868</v>
      </c>
      <c r="O79" s="461">
        <f t="shared" ref="O79:AH79" si="142">+O78*O$26</f>
        <v>8.9506660320000027</v>
      </c>
      <c r="P79" s="459">
        <f t="shared" si="142"/>
        <v>8.9954193621600034</v>
      </c>
      <c r="Q79" s="459">
        <f t="shared" si="142"/>
        <v>9.0403964589708021</v>
      </c>
      <c r="R79" s="459">
        <f t="shared" si="142"/>
        <v>9.0855984412656561</v>
      </c>
      <c r="S79" s="459">
        <f t="shared" si="142"/>
        <v>9.1310264334719839</v>
      </c>
      <c r="T79" s="459">
        <f t="shared" si="142"/>
        <v>9.1766815656393419</v>
      </c>
      <c r="U79" s="459">
        <f t="shared" si="142"/>
        <v>9.2225649734675397</v>
      </c>
      <c r="V79" s="459">
        <f t="shared" si="142"/>
        <v>9.2686777983348776</v>
      </c>
      <c r="W79" s="459">
        <f t="shared" si="142"/>
        <v>9.3150211873265523</v>
      </c>
      <c r="X79" s="459">
        <f t="shared" si="142"/>
        <v>9.3615962932631849</v>
      </c>
      <c r="Y79" s="459">
        <f t="shared" si="142"/>
        <v>9.4084042747295022</v>
      </c>
      <c r="Z79" s="459">
        <f t="shared" si="142"/>
        <v>9.4554462961031494</v>
      </c>
      <c r="AA79" s="459">
        <f t="shared" si="142"/>
        <v>9.5027235275836635</v>
      </c>
      <c r="AB79" s="459">
        <f t="shared" si="142"/>
        <v>9.5502371452215833</v>
      </c>
      <c r="AC79" s="459">
        <f t="shared" si="142"/>
        <v>9.5979883309476897</v>
      </c>
      <c r="AD79" s="459">
        <f t="shared" si="142"/>
        <v>9.6459782726024272</v>
      </c>
      <c r="AE79" s="459">
        <f t="shared" si="142"/>
        <v>9.6942081639654401</v>
      </c>
      <c r="AF79" s="459">
        <f t="shared" si="142"/>
        <v>9.7426792047852668</v>
      </c>
      <c r="AG79" s="459">
        <f t="shared" si="142"/>
        <v>9.7913926008091945</v>
      </c>
      <c r="AH79" s="459">
        <f t="shared" si="142"/>
        <v>9.8403495638132377</v>
      </c>
    </row>
    <row r="80" spans="2:34" ht="15.4" customHeight="1">
      <c r="B80" s="183" t="s">
        <v>183</v>
      </c>
      <c r="C80" s="133"/>
      <c r="D80" s="459">
        <f t="shared" si="141"/>
        <v>7.5491156618531168</v>
      </c>
      <c r="E80" s="459">
        <f t="shared" si="141"/>
        <v>6.9202154990571998</v>
      </c>
      <c r="F80" s="459">
        <f t="shared" si="141"/>
        <v>7.8259094366185407</v>
      </c>
      <c r="G80" s="459">
        <f t="shared" si="141"/>
        <v>4.0485643268808182</v>
      </c>
      <c r="H80" s="459">
        <f t="shared" si="141"/>
        <v>4.8437179910716548</v>
      </c>
      <c r="I80" s="459">
        <f t="shared" si="141"/>
        <v>7.0225947903571866</v>
      </c>
      <c r="J80" s="459">
        <f t="shared" si="141"/>
        <v>7.5996186467491782</v>
      </c>
      <c r="K80" s="459">
        <f t="shared" si="141"/>
        <v>8.3201254599153955</v>
      </c>
      <c r="L80" s="459">
        <f t="shared" si="141"/>
        <v>7.6383915760128209</v>
      </c>
      <c r="M80" s="459">
        <f t="shared" si="141"/>
        <v>10.205004529517097</v>
      </c>
      <c r="N80" s="460">
        <f t="shared" si="141"/>
        <v>11.605425500240974</v>
      </c>
      <c r="O80" s="461">
        <f t="shared" ref="O80:AH80" si="143">+O79*O$26</f>
        <v>7.6975727875200022</v>
      </c>
      <c r="P80" s="459">
        <f t="shared" si="143"/>
        <v>7.7360606514576027</v>
      </c>
      <c r="Q80" s="459">
        <f t="shared" si="143"/>
        <v>7.7747409547148898</v>
      </c>
      <c r="R80" s="459">
        <f t="shared" si="143"/>
        <v>7.8136146594884641</v>
      </c>
      <c r="S80" s="459">
        <f t="shared" si="143"/>
        <v>7.8526827327859063</v>
      </c>
      <c r="T80" s="459">
        <f t="shared" si="143"/>
        <v>7.8919461464498335</v>
      </c>
      <c r="U80" s="459">
        <f t="shared" si="143"/>
        <v>7.9314058771820841</v>
      </c>
      <c r="V80" s="459">
        <f t="shared" si="143"/>
        <v>7.9710629065679948</v>
      </c>
      <c r="W80" s="459">
        <f t="shared" si="143"/>
        <v>8.0109182211008356</v>
      </c>
      <c r="X80" s="459">
        <f t="shared" si="143"/>
        <v>8.0509728122063393</v>
      </c>
      <c r="Y80" s="459">
        <f t="shared" si="143"/>
        <v>8.0912276762673709</v>
      </c>
      <c r="Z80" s="459">
        <f t="shared" si="143"/>
        <v>8.1316838146487083</v>
      </c>
      <c r="AA80" s="459">
        <f t="shared" si="143"/>
        <v>8.1723422337219507</v>
      </c>
      <c r="AB80" s="459">
        <f t="shared" si="143"/>
        <v>8.2132039448905623</v>
      </c>
      <c r="AC80" s="459">
        <f t="shared" si="143"/>
        <v>8.2542699646150126</v>
      </c>
      <c r="AD80" s="459">
        <f t="shared" si="143"/>
        <v>8.2955413144380881</v>
      </c>
      <c r="AE80" s="459">
        <f t="shared" si="143"/>
        <v>8.3370190210102777</v>
      </c>
      <c r="AF80" s="459">
        <f t="shared" si="143"/>
        <v>8.3787041161153297</v>
      </c>
      <c r="AG80" s="459">
        <f t="shared" si="143"/>
        <v>8.4205976366959074</v>
      </c>
      <c r="AH80" s="459">
        <f t="shared" si="143"/>
        <v>8.4627006248793837</v>
      </c>
    </row>
    <row r="81" spans="2:34" ht="15.4" customHeight="1">
      <c r="B81" s="183" t="s">
        <v>184</v>
      </c>
      <c r="C81" s="133"/>
      <c r="D81" s="459">
        <f t="shared" si="141"/>
        <v>6.608244201761396</v>
      </c>
      <c r="E81" s="459">
        <f t="shared" si="141"/>
        <v>6.2915087206859335</v>
      </c>
      <c r="F81" s="459">
        <f t="shared" si="141"/>
        <v>7.1567838536464761</v>
      </c>
      <c r="G81" s="459">
        <f t="shared" si="141"/>
        <v>3.5154899225889484</v>
      </c>
      <c r="H81" s="459">
        <f t="shared" si="141"/>
        <v>4.3040099175478348</v>
      </c>
      <c r="I81" s="459">
        <f t="shared" si="141"/>
        <v>6.2392400546114644</v>
      </c>
      <c r="J81" s="459">
        <f t="shared" si="141"/>
        <v>6.7180488654912347</v>
      </c>
      <c r="K81" s="459">
        <f t="shared" si="141"/>
        <v>6.9806638395693801</v>
      </c>
      <c r="L81" s="459">
        <f t="shared" si="141"/>
        <v>6.7433205524621949</v>
      </c>
      <c r="M81" s="459">
        <f t="shared" si="141"/>
        <v>8.6276559670239248</v>
      </c>
      <c r="N81" s="460">
        <f t="shared" si="141"/>
        <v>10.338394061302168</v>
      </c>
      <c r="O81" s="461">
        <f t="shared" ref="O81:AH81" si="144">+O80*O$26</f>
        <v>6.6199125972672022</v>
      </c>
      <c r="P81" s="459">
        <f t="shared" si="144"/>
        <v>6.6530121602535379</v>
      </c>
      <c r="Q81" s="459">
        <f t="shared" si="144"/>
        <v>6.6862772210548052</v>
      </c>
      <c r="R81" s="459">
        <f t="shared" si="144"/>
        <v>6.7197086071600793</v>
      </c>
      <c r="S81" s="459">
        <f t="shared" si="144"/>
        <v>6.7533071501958792</v>
      </c>
      <c r="T81" s="459">
        <f t="shared" si="144"/>
        <v>6.787073685946857</v>
      </c>
      <c r="U81" s="459">
        <f t="shared" si="144"/>
        <v>6.8210090543765922</v>
      </c>
      <c r="V81" s="459">
        <f t="shared" si="144"/>
        <v>6.8551140996484756</v>
      </c>
      <c r="W81" s="459">
        <f t="shared" si="144"/>
        <v>6.8893896701467181</v>
      </c>
      <c r="X81" s="459">
        <f t="shared" si="144"/>
        <v>6.923836618497452</v>
      </c>
      <c r="Y81" s="459">
        <f t="shared" si="144"/>
        <v>6.9584558015899391</v>
      </c>
      <c r="Z81" s="459">
        <f t="shared" si="144"/>
        <v>6.9932480805978887</v>
      </c>
      <c r="AA81" s="459">
        <f t="shared" si="144"/>
        <v>7.0282143210008776</v>
      </c>
      <c r="AB81" s="459">
        <f t="shared" si="144"/>
        <v>7.0633553926058834</v>
      </c>
      <c r="AC81" s="459">
        <f t="shared" si="144"/>
        <v>7.0986721695689106</v>
      </c>
      <c r="AD81" s="459">
        <f t="shared" si="144"/>
        <v>7.1341655304167553</v>
      </c>
      <c r="AE81" s="459">
        <f t="shared" si="144"/>
        <v>7.1698363580688387</v>
      </c>
      <c r="AF81" s="459">
        <f t="shared" si="144"/>
        <v>7.205685539859183</v>
      </c>
      <c r="AG81" s="459">
        <f t="shared" si="144"/>
        <v>7.2417139675584803</v>
      </c>
      <c r="AH81" s="459">
        <f t="shared" si="144"/>
        <v>7.2779225373962699</v>
      </c>
    </row>
    <row r="82" spans="2:34" ht="15.4" customHeight="1">
      <c r="B82" s="183" t="s">
        <v>185</v>
      </c>
      <c r="C82" s="133"/>
      <c r="D82" s="459">
        <f t="shared" si="141"/>
        <v>5.784636689404425</v>
      </c>
      <c r="E82" s="459">
        <f t="shared" si="141"/>
        <v>5.7199204255792164</v>
      </c>
      <c r="F82" s="459">
        <f t="shared" si="141"/>
        <v>6.5448693909172198</v>
      </c>
      <c r="G82" s="459">
        <f t="shared" si="141"/>
        <v>3.0526054171272317</v>
      </c>
      <c r="H82" s="459">
        <f t="shared" si="141"/>
        <v>3.8244384591539036</v>
      </c>
      <c r="I82" s="459">
        <f t="shared" si="141"/>
        <v>5.5432667868749537</v>
      </c>
      <c r="J82" s="459">
        <f t="shared" si="141"/>
        <v>5.9387428050003352</v>
      </c>
      <c r="K82" s="459">
        <f t="shared" si="141"/>
        <v>5.8568428896704443</v>
      </c>
      <c r="L82" s="459">
        <f t="shared" si="141"/>
        <v>5.9531344551722043</v>
      </c>
      <c r="M82" s="459">
        <f t="shared" si="141"/>
        <v>7.2941121456656406</v>
      </c>
      <c r="N82" s="460">
        <f t="shared" si="141"/>
        <v>9.2096917742954485</v>
      </c>
      <c r="O82" s="461">
        <f t="shared" ref="O82:AH82" si="145">+O81*O$26</f>
        <v>5.6931248336497937</v>
      </c>
      <c r="P82" s="459">
        <f t="shared" si="145"/>
        <v>5.7215904578180421</v>
      </c>
      <c r="Q82" s="459">
        <f t="shared" si="145"/>
        <v>5.7501984101071324</v>
      </c>
      <c r="R82" s="459">
        <f t="shared" si="145"/>
        <v>5.7789494021576679</v>
      </c>
      <c r="S82" s="459">
        <f t="shared" si="145"/>
        <v>5.8078441491684565</v>
      </c>
      <c r="T82" s="459">
        <f t="shared" si="145"/>
        <v>5.8368833699142968</v>
      </c>
      <c r="U82" s="459">
        <f t="shared" si="145"/>
        <v>5.8660677867638693</v>
      </c>
      <c r="V82" s="459">
        <f t="shared" si="145"/>
        <v>5.8953981256976888</v>
      </c>
      <c r="W82" s="459">
        <f t="shared" si="145"/>
        <v>5.9248751163261772</v>
      </c>
      <c r="X82" s="459">
        <f t="shared" si="145"/>
        <v>5.9544994919078089</v>
      </c>
      <c r="Y82" s="459">
        <f t="shared" si="145"/>
        <v>5.9842719893673477</v>
      </c>
      <c r="Z82" s="459">
        <f t="shared" si="145"/>
        <v>6.0141933493141844</v>
      </c>
      <c r="AA82" s="459">
        <f t="shared" si="145"/>
        <v>6.0442643160607545</v>
      </c>
      <c r="AB82" s="459">
        <f t="shared" si="145"/>
        <v>6.0744856376410592</v>
      </c>
      <c r="AC82" s="459">
        <f t="shared" si="145"/>
        <v>6.104858065829263</v>
      </c>
      <c r="AD82" s="459">
        <f t="shared" si="145"/>
        <v>6.1353823561584093</v>
      </c>
      <c r="AE82" s="459">
        <f t="shared" si="145"/>
        <v>6.1660592679392012</v>
      </c>
      <c r="AF82" s="459">
        <f t="shared" si="145"/>
        <v>6.196889564278897</v>
      </c>
      <c r="AG82" s="459">
        <f t="shared" si="145"/>
        <v>6.2278740121002931</v>
      </c>
      <c r="AH82" s="459">
        <f t="shared" si="145"/>
        <v>6.2590133821607923</v>
      </c>
    </row>
    <row r="83" spans="2:34" ht="15.4" customHeight="1">
      <c r="B83" s="183" t="s">
        <v>133</v>
      </c>
      <c r="C83" s="133"/>
      <c r="D83" s="459">
        <f t="shared" ref="D83:N83" si="146">+D77*D78</f>
        <v>62.066409200193384</v>
      </c>
      <c r="E83" s="459">
        <f t="shared" si="146"/>
        <v>88.607753426698508</v>
      </c>
      <c r="F83" s="459">
        <f t="shared" si="146"/>
        <v>101.37497443632928</v>
      </c>
      <c r="G83" s="459">
        <f t="shared" si="146"/>
        <v>35.438501783336733</v>
      </c>
      <c r="H83" s="459">
        <f t="shared" si="146"/>
        <v>50.227473814401641</v>
      </c>
      <c r="I83" s="459">
        <f t="shared" si="146"/>
        <v>97.122418551820545</v>
      </c>
      <c r="J83" s="459">
        <f t="shared" si="146"/>
        <v>53.892642824608842</v>
      </c>
      <c r="K83" s="459">
        <f t="shared" si="146"/>
        <v>78.008173895090053</v>
      </c>
      <c r="L83" s="459">
        <f t="shared" si="146"/>
        <v>54.720707254106337</v>
      </c>
      <c r="M83" s="459">
        <f t="shared" si="146"/>
        <v>119.57455769867673</v>
      </c>
      <c r="N83" s="460">
        <f t="shared" si="146"/>
        <v>102.37056031808731</v>
      </c>
      <c r="O83" s="461">
        <f t="shared" ref="O83:AH83" si="147">+O77*O78</f>
        <v>73.636062500000023</v>
      </c>
      <c r="P83" s="459">
        <f t="shared" si="147"/>
        <v>74.348497849999987</v>
      </c>
      <c r="Q83" s="459">
        <f t="shared" si="147"/>
        <v>75.064495376750003</v>
      </c>
      <c r="R83" s="459">
        <f t="shared" si="147"/>
        <v>75.784072891133718</v>
      </c>
      <c r="S83" s="459">
        <f t="shared" si="147"/>
        <v>76.507248293089376</v>
      </c>
      <c r="T83" s="459">
        <f t="shared" si="147"/>
        <v>77.234039572054883</v>
      </c>
      <c r="U83" s="459">
        <f t="shared" si="147"/>
        <v>77.964464807415126</v>
      </c>
      <c r="V83" s="459">
        <f t="shared" si="147"/>
        <v>78.698542168952187</v>
      </c>
      <c r="W83" s="459">
        <f t="shared" si="147"/>
        <v>79.436289917296932</v>
      </c>
      <c r="X83" s="459">
        <f t="shared" si="147"/>
        <v>80.177726404383478</v>
      </c>
      <c r="Y83" s="459">
        <f t="shared" si="147"/>
        <v>80.922870073905372</v>
      </c>
      <c r="Z83" s="459">
        <f t="shared" si="147"/>
        <v>81.671739461774919</v>
      </c>
      <c r="AA83" s="459">
        <f t="shared" si="147"/>
        <v>82.424353196583795</v>
      </c>
      <c r="AB83" s="459">
        <f t="shared" si="147"/>
        <v>83.180730000066688</v>
      </c>
      <c r="AC83" s="459">
        <f t="shared" si="147"/>
        <v>83.940888687567011</v>
      </c>
      <c r="AD83" s="459">
        <f t="shared" si="147"/>
        <v>84.70484816850491</v>
      </c>
      <c r="AE83" s="459">
        <f t="shared" si="147"/>
        <v>85.472627446847369</v>
      </c>
      <c r="AF83" s="459">
        <f t="shared" si="147"/>
        <v>86.244245621581626</v>
      </c>
      <c r="AG83" s="459">
        <f t="shared" si="147"/>
        <v>87.019721887189604</v>
      </c>
      <c r="AH83" s="459">
        <f t="shared" si="147"/>
        <v>87.799075534125507</v>
      </c>
    </row>
    <row r="84" spans="2:34" ht="15.4" customHeight="1">
      <c r="B84" s="183" t="s">
        <v>131</v>
      </c>
      <c r="C84" s="133"/>
      <c r="D84" s="459">
        <f t="shared" ref="D84:N84" si="148">SUM(D78:D80)</f>
        <v>26.024873572918523</v>
      </c>
      <c r="E84" s="459">
        <f t="shared" si="148"/>
        <v>22.904350226854142</v>
      </c>
      <c r="F84" s="459">
        <f t="shared" si="148"/>
        <v>25.741194494707994</v>
      </c>
      <c r="G84" s="459">
        <f t="shared" si="148"/>
        <v>14.080506231057218</v>
      </c>
      <c r="H84" s="459">
        <f t="shared" si="148"/>
        <v>16.429474886271159</v>
      </c>
      <c r="I84" s="459">
        <f t="shared" si="148"/>
        <v>23.823606878277673</v>
      </c>
      <c r="J84" s="459">
        <f t="shared" si="148"/>
        <v>25.921478437067378</v>
      </c>
      <c r="K84" s="459">
        <f t="shared" si="148"/>
        <v>30.056150995442021</v>
      </c>
      <c r="L84" s="459">
        <f t="shared" si="148"/>
        <v>26.091384633366388</v>
      </c>
      <c r="M84" s="459">
        <f t="shared" si="148"/>
        <v>36.553295018067068</v>
      </c>
      <c r="N84" s="460">
        <f t="shared" si="148"/>
        <v>39.257530408138592</v>
      </c>
      <c r="O84" s="461">
        <f t="shared" ref="O84:AH84" si="149">SUM(O78:O80)</f>
        <v>27.05599001952001</v>
      </c>
      <c r="P84" s="459">
        <f t="shared" si="149"/>
        <v>27.191269969617611</v>
      </c>
      <c r="Q84" s="459">
        <f t="shared" si="149"/>
        <v>27.327226319465694</v>
      </c>
      <c r="R84" s="459">
        <f t="shared" si="149"/>
        <v>27.463862451063022</v>
      </c>
      <c r="S84" s="459">
        <f t="shared" si="149"/>
        <v>27.601181763318337</v>
      </c>
      <c r="T84" s="459">
        <f t="shared" si="149"/>
        <v>27.739187672134921</v>
      </c>
      <c r="U84" s="459">
        <f t="shared" si="149"/>
        <v>27.877883610495598</v>
      </c>
      <c r="V84" s="459">
        <f t="shared" si="149"/>
        <v>28.017273028548079</v>
      </c>
      <c r="W84" s="459">
        <f t="shared" si="149"/>
        <v>28.157359393690825</v>
      </c>
      <c r="X84" s="459">
        <f t="shared" si="149"/>
        <v>28.298146190659274</v>
      </c>
      <c r="Y84" s="459">
        <f t="shared" si="149"/>
        <v>28.439636921612575</v>
      </c>
      <c r="Z84" s="459">
        <f t="shared" si="149"/>
        <v>28.581835106220637</v>
      </c>
      <c r="AA84" s="459">
        <f t="shared" si="149"/>
        <v>28.724744281751732</v>
      </c>
      <c r="AB84" s="459">
        <f t="shared" si="149"/>
        <v>28.868368003160498</v>
      </c>
      <c r="AC84" s="459">
        <f t="shared" si="149"/>
        <v>29.012709843176296</v>
      </c>
      <c r="AD84" s="459">
        <f t="shared" si="149"/>
        <v>29.157773392392173</v>
      </c>
      <c r="AE84" s="459">
        <f t="shared" si="149"/>
        <v>29.303562259354138</v>
      </c>
      <c r="AF84" s="459">
        <f t="shared" si="149"/>
        <v>29.450080070650905</v>
      </c>
      <c r="AG84" s="459">
        <f t="shared" si="149"/>
        <v>29.597330471004163</v>
      </c>
      <c r="AH84" s="459">
        <f t="shared" si="149"/>
        <v>29.745317123359179</v>
      </c>
    </row>
    <row r="85" spans="2:34" ht="15.4" customHeight="1">
      <c r="B85" s="183" t="s">
        <v>132</v>
      </c>
      <c r="C85" s="133"/>
      <c r="D85" s="459">
        <f t="shared" ref="D85:N85" si="150">SUM(D78:D82)</f>
        <v>38.417754464084339</v>
      </c>
      <c r="E85" s="459">
        <f t="shared" si="150"/>
        <v>34.915779373119292</v>
      </c>
      <c r="F85" s="459">
        <f t="shared" si="150"/>
        <v>39.442847739271691</v>
      </c>
      <c r="G85" s="459">
        <f t="shared" si="150"/>
        <v>20.648601570773398</v>
      </c>
      <c r="H85" s="459">
        <f t="shared" si="150"/>
        <v>24.557923262972896</v>
      </c>
      <c r="I85" s="459">
        <f t="shared" si="150"/>
        <v>35.606113719764089</v>
      </c>
      <c r="J85" s="459">
        <f t="shared" si="150"/>
        <v>38.57827010755895</v>
      </c>
      <c r="K85" s="459">
        <f t="shared" si="150"/>
        <v>42.893657724681844</v>
      </c>
      <c r="L85" s="459">
        <f t="shared" si="150"/>
        <v>38.787839641000787</v>
      </c>
      <c r="M85" s="459">
        <f t="shared" si="150"/>
        <v>52.475063130756638</v>
      </c>
      <c r="N85" s="460">
        <f t="shared" si="150"/>
        <v>58.80561624373621</v>
      </c>
      <c r="O85" s="461">
        <f t="shared" ref="O85:AH85" si="151">SUM(O78:O82)</f>
        <v>39.369027450437002</v>
      </c>
      <c r="P85" s="459">
        <f t="shared" si="151"/>
        <v>39.565872587689185</v>
      </c>
      <c r="Q85" s="459">
        <f t="shared" si="151"/>
        <v>39.763701950627635</v>
      </c>
      <c r="R85" s="459">
        <f t="shared" si="151"/>
        <v>39.962520460380773</v>
      </c>
      <c r="S85" s="459">
        <f t="shared" si="151"/>
        <v>40.162333062682677</v>
      </c>
      <c r="T85" s="459">
        <f t="shared" si="151"/>
        <v>40.363144727996072</v>
      </c>
      <c r="U85" s="459">
        <f t="shared" si="151"/>
        <v>40.564960451636061</v>
      </c>
      <c r="V85" s="459">
        <f t="shared" si="151"/>
        <v>40.767785253894246</v>
      </c>
      <c r="W85" s="459">
        <f t="shared" si="151"/>
        <v>40.971624180163722</v>
      </c>
      <c r="X85" s="459">
        <f t="shared" si="151"/>
        <v>41.176482301064539</v>
      </c>
      <c r="Y85" s="459">
        <f t="shared" si="151"/>
        <v>41.382364712569867</v>
      </c>
      <c r="Z85" s="459">
        <f t="shared" si="151"/>
        <v>41.589276536132708</v>
      </c>
      <c r="AA85" s="459">
        <f t="shared" si="151"/>
        <v>41.797222918813368</v>
      </c>
      <c r="AB85" s="459">
        <f t="shared" si="151"/>
        <v>42.006209033407444</v>
      </c>
      <c r="AC85" s="459">
        <f t="shared" si="151"/>
        <v>42.216240078574472</v>
      </c>
      <c r="AD85" s="459">
        <f t="shared" si="151"/>
        <v>42.427321278967334</v>
      </c>
      <c r="AE85" s="459">
        <f t="shared" si="151"/>
        <v>42.639457885362177</v>
      </c>
      <c r="AF85" s="459">
        <f t="shared" si="151"/>
        <v>42.852655174788985</v>
      </c>
      <c r="AG85" s="459">
        <f t="shared" si="151"/>
        <v>43.066918450662939</v>
      </c>
      <c r="AH85" s="459">
        <f t="shared" si="151"/>
        <v>43.282253042916246</v>
      </c>
    </row>
    <row r="86" spans="2:34" ht="15.4" customHeight="1">
      <c r="B86" s="183" t="s">
        <v>180</v>
      </c>
      <c r="C86" s="133"/>
      <c r="D86" s="459">
        <f t="shared" ref="D86:N86" si="152">D72</f>
        <v>14.003969528003877</v>
      </c>
      <c r="E86" s="459">
        <f t="shared" si="152"/>
        <v>14.083162297273198</v>
      </c>
      <c r="F86" s="459">
        <f t="shared" si="152"/>
        <v>14.056085090656572</v>
      </c>
      <c r="G86" s="459">
        <f t="shared" si="152"/>
        <v>14.845196324956168</v>
      </c>
      <c r="H86" s="459">
        <f t="shared" si="152"/>
        <v>13.968858753550391</v>
      </c>
      <c r="I86" s="459">
        <f t="shared" si="152"/>
        <v>14.048706080988852</v>
      </c>
      <c r="J86" s="459">
        <f t="shared" si="152"/>
        <v>14.759203826691357</v>
      </c>
      <c r="K86" s="459">
        <f t="shared" si="152"/>
        <v>14.257531617198369</v>
      </c>
      <c r="L86" s="459">
        <f t="shared" si="152"/>
        <v>14.673867768404181</v>
      </c>
      <c r="M86" s="459">
        <f t="shared" si="152"/>
        <v>15.107327385645698</v>
      </c>
      <c r="N86" s="460">
        <f t="shared" si="152"/>
        <v>15.409771901603062</v>
      </c>
      <c r="O86" s="461">
        <f t="shared" ref="O86:AH86" si="153">O72</f>
        <v>15.384977667426883</v>
      </c>
      <c r="P86" s="459">
        <f t="shared" si="153"/>
        <v>14.670874224000004</v>
      </c>
      <c r="Q86" s="459">
        <f t="shared" si="153"/>
        <v>14.744228595120003</v>
      </c>
      <c r="R86" s="459">
        <f t="shared" si="153"/>
        <v>14.817949738095603</v>
      </c>
      <c r="S86" s="459">
        <f t="shared" si="153"/>
        <v>14.89203948678608</v>
      </c>
      <c r="T86" s="459">
        <f t="shared" si="153"/>
        <v>14.966499684220009</v>
      </c>
      <c r="U86" s="459">
        <f t="shared" si="153"/>
        <v>15.04133218264111</v>
      </c>
      <c r="V86" s="459">
        <f t="shared" si="153"/>
        <v>15.116538843554315</v>
      </c>
      <c r="W86" s="459">
        <f t="shared" si="153"/>
        <v>15.192121537772088</v>
      </c>
      <c r="X86" s="459">
        <f t="shared" si="153"/>
        <v>15.268082145460946</v>
      </c>
      <c r="Y86" s="459">
        <f t="shared" si="153"/>
        <v>15.344422556188251</v>
      </c>
      <c r="Z86" s="459">
        <f t="shared" si="153"/>
        <v>15.421144668969191</v>
      </c>
      <c r="AA86" s="459">
        <f t="shared" si="153"/>
        <v>15.49825039231404</v>
      </c>
      <c r="AB86" s="459">
        <f t="shared" si="153"/>
        <v>15.57574164427561</v>
      </c>
      <c r="AC86" s="459">
        <f t="shared" si="153"/>
        <v>15.653620352496985</v>
      </c>
      <c r="AD86" s="459">
        <f t="shared" si="153"/>
        <v>15.731888454259469</v>
      </c>
      <c r="AE86" s="459">
        <f t="shared" si="153"/>
        <v>15.810547896530768</v>
      </c>
      <c r="AF86" s="459">
        <f t="shared" si="153"/>
        <v>15.889600636013423</v>
      </c>
      <c r="AG86" s="459">
        <f t="shared" si="153"/>
        <v>15.969048639193488</v>
      </c>
      <c r="AH86" s="459">
        <f t="shared" si="153"/>
        <v>16.048893882389454</v>
      </c>
    </row>
    <row r="87" spans="2:34" ht="15.4" customHeight="1">
      <c r="B87" s="187" t="s">
        <v>130</v>
      </c>
      <c r="C87" s="177"/>
      <c r="D87" s="132">
        <f t="shared" ref="D87:N87" si="154">D83/D86</f>
        <v>4.4320582871933967</v>
      </c>
      <c r="E87" s="132">
        <f t="shared" si="154"/>
        <v>6.2917512101564625</v>
      </c>
      <c r="F87" s="132">
        <f t="shared" si="154"/>
        <v>7.2121770594371073</v>
      </c>
      <c r="G87" s="132">
        <f t="shared" si="154"/>
        <v>2.3872033085720319</v>
      </c>
      <c r="H87" s="132">
        <f t="shared" si="154"/>
        <v>3.595674829315286</v>
      </c>
      <c r="I87" s="132">
        <f t="shared" si="154"/>
        <v>6.9132643242675309</v>
      </c>
      <c r="J87" s="132">
        <f t="shared" si="154"/>
        <v>3.6514600284296108</v>
      </c>
      <c r="K87" s="132">
        <f t="shared" si="154"/>
        <v>5.4713660112800646</v>
      </c>
      <c r="L87" s="132">
        <f t="shared" si="154"/>
        <v>3.7291263706172368</v>
      </c>
      <c r="M87" s="132">
        <f t="shared" si="154"/>
        <v>7.9150040669861355</v>
      </c>
      <c r="N87" s="299">
        <f t="shared" si="154"/>
        <v>6.6432235968033906</v>
      </c>
      <c r="O87" s="300">
        <f t="shared" ref="O87:AH87" si="155">O83/O86</f>
        <v>4.7862313544921484</v>
      </c>
      <c r="P87" s="132">
        <f t="shared" si="155"/>
        <v>5.067761928486421</v>
      </c>
      <c r="Q87" s="132">
        <f t="shared" si="155"/>
        <v>5.091110388887663</v>
      </c>
      <c r="R87" s="132">
        <f t="shared" si="155"/>
        <v>5.1143426877943678</v>
      </c>
      <c r="S87" s="132">
        <f t="shared" si="155"/>
        <v>5.1374594031244243</v>
      </c>
      <c r="T87" s="132">
        <f t="shared" si="155"/>
        <v>5.1604611099205053</v>
      </c>
      <c r="U87" s="132">
        <f t="shared" si="155"/>
        <v>5.1833483803643601</v>
      </c>
      <c r="V87" s="132">
        <f t="shared" si="155"/>
        <v>5.2061217837910831</v>
      </c>
      <c r="W87" s="132">
        <f t="shared" si="155"/>
        <v>5.2287818867032438</v>
      </c>
      <c r="X87" s="132">
        <f t="shared" si="155"/>
        <v>5.2513292527850028</v>
      </c>
      <c r="Y87" s="132">
        <f t="shared" si="155"/>
        <v>5.2737644429161001</v>
      </c>
      <c r="Z87" s="132">
        <f t="shared" si="155"/>
        <v>5.2960880151858518</v>
      </c>
      <c r="AA87" s="132">
        <f t="shared" si="155"/>
        <v>5.318300524906995</v>
      </c>
      <c r="AB87" s="132">
        <f t="shared" si="155"/>
        <v>5.3404025246295248</v>
      </c>
      <c r="AC87" s="132">
        <f t="shared" si="155"/>
        <v>5.3623945641544317</v>
      </c>
      <c r="AD87" s="132">
        <f t="shared" si="155"/>
        <v>5.3842771905473779</v>
      </c>
      <c r="AE87" s="132">
        <f t="shared" si="155"/>
        <v>5.4060509481522914</v>
      </c>
      <c r="AF87" s="132">
        <f t="shared" si="155"/>
        <v>5.4277163786049458</v>
      </c>
      <c r="AG87" s="132">
        <f t="shared" si="155"/>
        <v>5.4492740208463983</v>
      </c>
      <c r="AH87" s="132">
        <f t="shared" si="155"/>
        <v>5.4707244111363931</v>
      </c>
    </row>
    <row r="88" spans="2:34" ht="15.4" customHeight="1">
      <c r="B88" s="184" t="s">
        <v>119</v>
      </c>
      <c r="C88" s="178"/>
      <c r="D88" s="131">
        <f t="shared" ref="D88:N88" si="156">+D84/D86</f>
        <v>1.8583926165275013</v>
      </c>
      <c r="E88" s="131">
        <f t="shared" si="156"/>
        <v>1.6263641463032004</v>
      </c>
      <c r="F88" s="131">
        <f t="shared" si="156"/>
        <v>1.8313203376819911</v>
      </c>
      <c r="G88" s="131">
        <f t="shared" si="156"/>
        <v>0.94848905483227364</v>
      </c>
      <c r="H88" s="131">
        <f t="shared" si="156"/>
        <v>1.176150119070777</v>
      </c>
      <c r="I88" s="131">
        <f t="shared" si="156"/>
        <v>1.6957865543586623</v>
      </c>
      <c r="J88" s="131">
        <f t="shared" si="156"/>
        <v>1.7562924627539562</v>
      </c>
      <c r="K88" s="131">
        <f t="shared" si="156"/>
        <v>2.1080893805759704</v>
      </c>
      <c r="L88" s="131">
        <f t="shared" si="156"/>
        <v>1.7780850315106724</v>
      </c>
      <c r="M88" s="131">
        <f t="shared" si="156"/>
        <v>2.4195738984777919</v>
      </c>
      <c r="N88" s="303">
        <f t="shared" si="156"/>
        <v>2.5475737511763348</v>
      </c>
      <c r="O88" s="304">
        <f t="shared" ref="O88:AH88" si="157">+O84/O86</f>
        <v>1.7585979391314313</v>
      </c>
      <c r="P88" s="131">
        <f t="shared" si="157"/>
        <v>1.8534185185185188</v>
      </c>
      <c r="Q88" s="131">
        <f t="shared" si="157"/>
        <v>1.8534185185185186</v>
      </c>
      <c r="R88" s="131">
        <f t="shared" si="157"/>
        <v>1.8534185185185186</v>
      </c>
      <c r="S88" s="131">
        <f t="shared" si="157"/>
        <v>1.8534185185185186</v>
      </c>
      <c r="T88" s="131">
        <f t="shared" si="157"/>
        <v>1.8534185185185184</v>
      </c>
      <c r="U88" s="131">
        <f t="shared" si="157"/>
        <v>1.8534185185185184</v>
      </c>
      <c r="V88" s="131">
        <f t="shared" si="157"/>
        <v>1.8534185185185186</v>
      </c>
      <c r="W88" s="131">
        <f t="shared" si="157"/>
        <v>1.8534185185185188</v>
      </c>
      <c r="X88" s="131">
        <f t="shared" si="157"/>
        <v>1.8534185185185188</v>
      </c>
      <c r="Y88" s="131">
        <f t="shared" si="157"/>
        <v>1.853418518518519</v>
      </c>
      <c r="Z88" s="131">
        <f t="shared" si="157"/>
        <v>1.8534185185185192</v>
      </c>
      <c r="AA88" s="131">
        <f t="shared" si="157"/>
        <v>1.8534185185185184</v>
      </c>
      <c r="AB88" s="131">
        <f t="shared" si="157"/>
        <v>1.8534185185185188</v>
      </c>
      <c r="AC88" s="131">
        <f t="shared" si="157"/>
        <v>1.8534185185185188</v>
      </c>
      <c r="AD88" s="131">
        <f t="shared" si="157"/>
        <v>1.8534185185185186</v>
      </c>
      <c r="AE88" s="131">
        <f t="shared" si="157"/>
        <v>1.8534185185185188</v>
      </c>
      <c r="AF88" s="131">
        <f t="shared" si="157"/>
        <v>1.8534185185185184</v>
      </c>
      <c r="AG88" s="131">
        <f t="shared" si="157"/>
        <v>1.8534185185185188</v>
      </c>
      <c r="AH88" s="131">
        <f t="shared" si="157"/>
        <v>1.8534185185185188</v>
      </c>
    </row>
    <row r="89" spans="2:34" ht="15.4" customHeight="1">
      <c r="B89" s="184" t="s">
        <v>120</v>
      </c>
      <c r="C89" s="178"/>
      <c r="D89" s="131">
        <f t="shared" ref="D89:N89" si="158">+D85/D86</f>
        <v>2.7433474763894603</v>
      </c>
      <c r="E89" s="131">
        <f t="shared" si="158"/>
        <v>2.4792570472527848</v>
      </c>
      <c r="F89" s="131">
        <f t="shared" si="158"/>
        <v>2.8061047926844389</v>
      </c>
      <c r="G89" s="131">
        <f t="shared" si="158"/>
        <v>1.3909281574175723</v>
      </c>
      <c r="H89" s="131">
        <f t="shared" si="158"/>
        <v>1.7580479333525467</v>
      </c>
      <c r="I89" s="131">
        <f t="shared" si="158"/>
        <v>2.5344763791412359</v>
      </c>
      <c r="J89" s="131">
        <f t="shared" si="158"/>
        <v>2.6138449309705911</v>
      </c>
      <c r="K89" s="131">
        <f t="shared" si="158"/>
        <v>3.0084911523493103</v>
      </c>
      <c r="L89" s="131">
        <f t="shared" si="158"/>
        <v>2.6433275979574309</v>
      </c>
      <c r="M89" s="131">
        <f t="shared" si="158"/>
        <v>3.4734842100937113</v>
      </c>
      <c r="N89" s="303">
        <f t="shared" si="158"/>
        <v>3.816125028925232</v>
      </c>
      <c r="O89" s="304">
        <f t="shared" ref="O89:AH89" si="159">+O85/O86</f>
        <v>2.5589265256971556</v>
      </c>
      <c r="P89" s="131">
        <f t="shared" si="159"/>
        <v>2.6968994474074073</v>
      </c>
      <c r="Q89" s="131">
        <f t="shared" si="159"/>
        <v>2.6968994474074077</v>
      </c>
      <c r="R89" s="131">
        <f t="shared" si="159"/>
        <v>2.6968994474074077</v>
      </c>
      <c r="S89" s="131">
        <f t="shared" si="159"/>
        <v>2.6968994474074077</v>
      </c>
      <c r="T89" s="131">
        <f t="shared" si="159"/>
        <v>2.6968994474074068</v>
      </c>
      <c r="U89" s="131">
        <f t="shared" si="159"/>
        <v>2.6968994474074073</v>
      </c>
      <c r="V89" s="131">
        <f t="shared" si="159"/>
        <v>2.6968994474074077</v>
      </c>
      <c r="W89" s="131">
        <f t="shared" si="159"/>
        <v>2.6968994474074077</v>
      </c>
      <c r="X89" s="131">
        <f t="shared" si="159"/>
        <v>2.6968994474074082</v>
      </c>
      <c r="Y89" s="131">
        <f t="shared" si="159"/>
        <v>2.6968994474074086</v>
      </c>
      <c r="Z89" s="131">
        <f t="shared" si="159"/>
        <v>2.6968994474074082</v>
      </c>
      <c r="AA89" s="131">
        <f t="shared" si="159"/>
        <v>2.6968994474074073</v>
      </c>
      <c r="AB89" s="131">
        <f t="shared" si="159"/>
        <v>2.6968994474074082</v>
      </c>
      <c r="AC89" s="131">
        <f t="shared" si="159"/>
        <v>2.6968994474074082</v>
      </c>
      <c r="AD89" s="131">
        <f t="shared" si="159"/>
        <v>2.6968994474074073</v>
      </c>
      <c r="AE89" s="131">
        <f t="shared" si="159"/>
        <v>2.6968994474074077</v>
      </c>
      <c r="AF89" s="131">
        <f t="shared" si="159"/>
        <v>2.6968994474074073</v>
      </c>
      <c r="AG89" s="131">
        <f t="shared" si="159"/>
        <v>2.6968994474074082</v>
      </c>
      <c r="AH89" s="131">
        <f t="shared" si="159"/>
        <v>2.6968994474074077</v>
      </c>
    </row>
    <row r="90" spans="2:34" ht="15.4" customHeight="1">
      <c r="B90" s="184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303"/>
      <c r="O90" s="304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131"/>
      <c r="AB90" s="131"/>
      <c r="AC90" s="131"/>
      <c r="AD90" s="131"/>
      <c r="AE90" s="131"/>
      <c r="AF90" s="131"/>
      <c r="AG90" s="131"/>
      <c r="AH90" s="131"/>
    </row>
    <row r="91" spans="2:34" ht="15.4" customHeight="1">
      <c r="B91" s="188" t="s">
        <v>172</v>
      </c>
      <c r="C91" s="15"/>
      <c r="D91" s="15"/>
      <c r="E91" s="15"/>
      <c r="F91" s="15"/>
      <c r="G91" s="15"/>
      <c r="H91" s="5"/>
      <c r="I91" s="5"/>
      <c r="J91" s="5"/>
      <c r="K91" s="5"/>
      <c r="L91" s="5"/>
      <c r="M91" s="5"/>
      <c r="N91" s="199"/>
      <c r="O91" s="28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spans="2:34" ht="15.4" customHeight="1">
      <c r="B92" s="183" t="s">
        <v>44</v>
      </c>
      <c r="C92" s="410">
        <f>Model!C8</f>
        <v>73.455053844684898</v>
      </c>
      <c r="D92" s="410">
        <f>Model!D8</f>
        <v>73.869140879016499</v>
      </c>
      <c r="E92" s="410">
        <f>Model!E8</f>
        <v>77.137926099395457</v>
      </c>
      <c r="F92" s="410">
        <f>Model!F8</f>
        <v>78.148580493719123</v>
      </c>
      <c r="G92" s="410">
        <f>Model!G8</f>
        <v>76.990109884376636</v>
      </c>
      <c r="H92" s="410">
        <f>Model!H8</f>
        <v>76.949729383066966</v>
      </c>
      <c r="I92" s="410">
        <f>Model!I8</f>
        <v>77.996212108047388</v>
      </c>
      <c r="J92" s="410">
        <f>Model!J8</f>
        <v>78.018904072427461</v>
      </c>
      <c r="K92" s="410">
        <f>Model!K8</f>
        <v>79.197922403970693</v>
      </c>
      <c r="L92" s="410">
        <f>Model!L8</f>
        <v>80.146254643870947</v>
      </c>
      <c r="M92" s="410">
        <f>Model!M8</f>
        <v>81.768686123607793</v>
      </c>
      <c r="N92" s="432">
        <f>Model!N8</f>
        <v>82.397302688478547</v>
      </c>
      <c r="O92" s="433">
        <f>Model!O8</f>
        <v>81.504856800000027</v>
      </c>
      <c r="P92" s="410">
        <f>Model!P8</f>
        <v>81.912381084000017</v>
      </c>
      <c r="Q92" s="410">
        <f>Model!Q8</f>
        <v>82.321942989420023</v>
      </c>
      <c r="R92" s="410">
        <f>Model!R8</f>
        <v>82.733552704367114</v>
      </c>
      <c r="S92" s="410">
        <f>Model!S8</f>
        <v>83.147220467888943</v>
      </c>
      <c r="T92" s="410">
        <f>Model!T8</f>
        <v>83.562956570228394</v>
      </c>
      <c r="U92" s="410">
        <f>Model!U8</f>
        <v>83.980771353079533</v>
      </c>
      <c r="V92" s="410">
        <f>Model!V8</f>
        <v>84.400675209844934</v>
      </c>
      <c r="W92" s="410">
        <f>Model!W8</f>
        <v>84.822678585894153</v>
      </c>
      <c r="X92" s="410">
        <f>Model!X8</f>
        <v>85.246791978823623</v>
      </c>
      <c r="Y92" s="410">
        <f>Model!Y8</f>
        <v>85.673025938717728</v>
      </c>
      <c r="Z92" s="410">
        <f>Model!Z8</f>
        <v>86.101391068411331</v>
      </c>
      <c r="AA92" s="410">
        <f>Model!AA8</f>
        <v>86.531898023753385</v>
      </c>
      <c r="AB92" s="410">
        <f>Model!AB8</f>
        <v>86.964557513872137</v>
      </c>
      <c r="AC92" s="410">
        <f>Model!AC8</f>
        <v>87.399380301441496</v>
      </c>
      <c r="AD92" s="410">
        <f>Model!AD8</f>
        <v>87.836377202948711</v>
      </c>
      <c r="AE92" s="410">
        <f>Model!AE8</f>
        <v>88.275559088963462</v>
      </c>
      <c r="AF92" s="410">
        <f>Model!AF8</f>
        <v>88.71693688440827</v>
      </c>
      <c r="AG92" s="410">
        <f>Model!AG8</f>
        <v>89.160521568830305</v>
      </c>
      <c r="AH92" s="410">
        <f>Model!AH8</f>
        <v>89.606324176674462</v>
      </c>
    </row>
    <row r="93" spans="2:34" ht="15.4" customHeight="1">
      <c r="B93" s="183" t="s">
        <v>21</v>
      </c>
      <c r="C93" s="410">
        <f>Model!C20</f>
        <v>14.003969528003877</v>
      </c>
      <c r="D93" s="410">
        <f>Model!D20</f>
        <v>14.083162297273198</v>
      </c>
      <c r="E93" s="410">
        <f>Model!E20</f>
        <v>14.056085090656572</v>
      </c>
      <c r="F93" s="410">
        <f>Model!F20</f>
        <v>14.845196324956168</v>
      </c>
      <c r="G93" s="410">
        <f>Model!G20</f>
        <v>13.968858753550391</v>
      </c>
      <c r="H93" s="410">
        <f>Model!H20</f>
        <v>14.048706080988852</v>
      </c>
      <c r="I93" s="410">
        <f>Model!I20</f>
        <v>14.759203826691357</v>
      </c>
      <c r="J93" s="410">
        <f>Model!J20</f>
        <v>14.257531617198369</v>
      </c>
      <c r="K93" s="410">
        <f>Model!K20</f>
        <v>14.673867768404181</v>
      </c>
      <c r="L93" s="410">
        <f>Model!L20</f>
        <v>15.107327385645698</v>
      </c>
      <c r="M93" s="410">
        <f>Model!M20</f>
        <v>15.409771901603062</v>
      </c>
      <c r="N93" s="432">
        <f>Model!N20</f>
        <v>15.384977667426883</v>
      </c>
      <c r="O93" s="433">
        <f>Model!O20</f>
        <v>14.670874224000004</v>
      </c>
      <c r="P93" s="410">
        <f>Model!P20</f>
        <v>14.744228595120003</v>
      </c>
      <c r="Q93" s="410">
        <f>Model!Q20</f>
        <v>14.817949738095603</v>
      </c>
      <c r="R93" s="410">
        <f>Model!R20</f>
        <v>14.89203948678608</v>
      </c>
      <c r="S93" s="410">
        <f>Model!S20</f>
        <v>14.966499684220009</v>
      </c>
      <c r="T93" s="410">
        <f>Model!T20</f>
        <v>15.04133218264111</v>
      </c>
      <c r="U93" s="410">
        <f>Model!U20</f>
        <v>15.116538843554315</v>
      </c>
      <c r="V93" s="410">
        <f>Model!V20</f>
        <v>15.192121537772088</v>
      </c>
      <c r="W93" s="410">
        <f>Model!W20</f>
        <v>15.268082145460946</v>
      </c>
      <c r="X93" s="410">
        <f>Model!X20</f>
        <v>15.344422556188251</v>
      </c>
      <c r="Y93" s="410">
        <f>Model!Y20</f>
        <v>15.421144668969191</v>
      </c>
      <c r="Z93" s="410">
        <f>Model!Z20</f>
        <v>15.49825039231404</v>
      </c>
      <c r="AA93" s="410">
        <f>Model!AA20</f>
        <v>15.57574164427561</v>
      </c>
      <c r="AB93" s="410">
        <f>Model!AB20</f>
        <v>15.653620352496985</v>
      </c>
      <c r="AC93" s="410">
        <f>Model!AC20</f>
        <v>15.731888454259469</v>
      </c>
      <c r="AD93" s="410">
        <f>Model!AD20</f>
        <v>15.810547896530768</v>
      </c>
      <c r="AE93" s="410">
        <f>Model!AE20</f>
        <v>15.889600636013423</v>
      </c>
      <c r="AF93" s="410">
        <f>Model!AF20</f>
        <v>15.969048639193488</v>
      </c>
      <c r="AG93" s="410">
        <f>Model!AG20</f>
        <v>16.048893882389454</v>
      </c>
      <c r="AH93" s="410">
        <f>Model!AH20</f>
        <v>16.129138351801402</v>
      </c>
    </row>
    <row r="94" spans="2:34" ht="15.4" customHeight="1">
      <c r="B94" s="183" t="s">
        <v>45</v>
      </c>
      <c r="C94" s="410">
        <f>Model!C21</f>
        <v>9.2062253932624767</v>
      </c>
      <c r="D94" s="410">
        <f>Model!D21</f>
        <v>9.6841711421192791</v>
      </c>
      <c r="E94" s="410">
        <f>Model!E21</f>
        <v>9.7135544029484571</v>
      </c>
      <c r="F94" s="410">
        <f>Model!F21</f>
        <v>10.072549596790582</v>
      </c>
      <c r="G94" s="410">
        <f>Model!G21</f>
        <v>9.3605583227883624</v>
      </c>
      <c r="H94" s="410">
        <f>Model!H21</f>
        <v>9.9635406480411888</v>
      </c>
      <c r="I94" s="410">
        <f>Model!I21</f>
        <v>9.5611794225788422</v>
      </c>
      <c r="J94" s="410">
        <f>Model!J21</f>
        <v>9.4684992289746042</v>
      </c>
      <c r="K94" s="410">
        <f>Model!K21</f>
        <v>10.008531316998704</v>
      </c>
      <c r="L94" s="410">
        <f>Model!L21</f>
        <v>9.9327403469094335</v>
      </c>
      <c r="M94" s="410">
        <f>Model!M21</f>
        <v>10.530411783815669</v>
      </c>
      <c r="N94" s="432">
        <f>Model!N21</f>
        <v>10.727016837040445</v>
      </c>
      <c r="O94" s="433">
        <f>Model!O21</f>
        <v>9.7805828160000026</v>
      </c>
      <c r="P94" s="410">
        <f>Model!P21</f>
        <v>9.8294857300800018</v>
      </c>
      <c r="Q94" s="410">
        <f>Model!Q21</f>
        <v>9.8786331587304019</v>
      </c>
      <c r="R94" s="410">
        <f>Model!R21</f>
        <v>9.928026324524053</v>
      </c>
      <c r="S94" s="410">
        <f>Model!S21</f>
        <v>9.9776664561466735</v>
      </c>
      <c r="T94" s="410">
        <f>Model!T21</f>
        <v>10.027554788427407</v>
      </c>
      <c r="U94" s="410">
        <f>Model!U21</f>
        <v>10.077692562369544</v>
      </c>
      <c r="V94" s="410">
        <f>Model!V21</f>
        <v>10.128081025181391</v>
      </c>
      <c r="W94" s="410">
        <f>Model!W21</f>
        <v>10.178721430307299</v>
      </c>
      <c r="X94" s="410">
        <f>Model!X21</f>
        <v>10.229615037458835</v>
      </c>
      <c r="Y94" s="410">
        <f>Model!Y21</f>
        <v>10.280763112646127</v>
      </c>
      <c r="Z94" s="410">
        <f>Model!Z21</f>
        <v>10.332166928209359</v>
      </c>
      <c r="AA94" s="410">
        <f>Model!AA21</f>
        <v>10.383827762850405</v>
      </c>
      <c r="AB94" s="410">
        <f>Model!AB21</f>
        <v>10.435746901664656</v>
      </c>
      <c r="AC94" s="410">
        <f>Model!AC21</f>
        <v>10.48792563617298</v>
      </c>
      <c r="AD94" s="410">
        <f>Model!AD21</f>
        <v>10.540365264353845</v>
      </c>
      <c r="AE94" s="410">
        <f>Model!AE21</f>
        <v>10.593067090675614</v>
      </c>
      <c r="AF94" s="410">
        <f>Model!AF21</f>
        <v>10.646032426128992</v>
      </c>
      <c r="AG94" s="410">
        <f>Model!AG21</f>
        <v>10.699262588259636</v>
      </c>
      <c r="AH94" s="410">
        <f>Model!AH21</f>
        <v>10.752758901200934</v>
      </c>
    </row>
    <row r="95" spans="2:34" ht="15.4" customHeight="1">
      <c r="B95" s="183" t="s">
        <v>46</v>
      </c>
      <c r="C95" s="410">
        <f>Model!C22</f>
        <v>7.8364503170334032</v>
      </c>
      <c r="D95" s="410">
        <f>Model!D22</f>
        <v>7.740883543589856</v>
      </c>
      <c r="E95" s="410">
        <f>Model!E22</f>
        <v>8.5227341422157235</v>
      </c>
      <c r="F95" s="410">
        <f>Model!F22</f>
        <v>8.2979269582350899</v>
      </c>
      <c r="G95" s="410">
        <f>Model!G22</f>
        <v>7.7674467455211564</v>
      </c>
      <c r="H95" s="410">
        <f>Model!H22</f>
        <v>8.4813745806414111</v>
      </c>
      <c r="I95" s="410">
        <f>Model!I22</f>
        <v>8.1831799063775481</v>
      </c>
      <c r="J95" s="410">
        <f>Model!J22</f>
        <v>8.5208100679706842</v>
      </c>
      <c r="K95" s="410">
        <f>Model!K22</f>
        <v>8.1719339181247133</v>
      </c>
      <c r="L95" s="410">
        <f>Model!L22</f>
        <v>8.6967456456881784</v>
      </c>
      <c r="M95" s="410">
        <f>Model!M22</f>
        <v>8.4261176355644203</v>
      </c>
      <c r="N95" s="432">
        <f>Model!N22</f>
        <v>9.0984911667239086</v>
      </c>
      <c r="O95" s="433">
        <f>Model!O22</f>
        <v>8.9655342480000026</v>
      </c>
      <c r="P95" s="410">
        <f>Model!P22</f>
        <v>9.0103619192400028</v>
      </c>
      <c r="Q95" s="410">
        <f>Model!Q22</f>
        <v>9.0554137288362018</v>
      </c>
      <c r="R95" s="410">
        <f>Model!R22</f>
        <v>9.1006907974803823</v>
      </c>
      <c r="S95" s="410">
        <f>Model!S22</f>
        <v>9.146194251467783</v>
      </c>
      <c r="T95" s="410">
        <f>Model!T22</f>
        <v>9.1919252227251231</v>
      </c>
      <c r="U95" s="410">
        <f>Model!U22</f>
        <v>9.2378848488387479</v>
      </c>
      <c r="V95" s="410">
        <f>Model!V22</f>
        <v>9.2840742730829433</v>
      </c>
      <c r="W95" s="410">
        <f>Model!W22</f>
        <v>9.3304946444483576</v>
      </c>
      <c r="X95" s="410">
        <f>Model!X22</f>
        <v>9.3771471176705994</v>
      </c>
      <c r="Y95" s="410">
        <f>Model!Y22</f>
        <v>9.4240328532589501</v>
      </c>
      <c r="Z95" s="410">
        <f>Model!Z22</f>
        <v>9.4711530175252463</v>
      </c>
      <c r="AA95" s="410">
        <f>Model!AA22</f>
        <v>9.5185087826128729</v>
      </c>
      <c r="AB95" s="410">
        <f>Model!AB22</f>
        <v>9.5661013265259349</v>
      </c>
      <c r="AC95" s="410">
        <f>Model!AC22</f>
        <v>9.6139318331585653</v>
      </c>
      <c r="AD95" s="410">
        <f>Model!AD22</f>
        <v>9.6620014923243591</v>
      </c>
      <c r="AE95" s="410">
        <f>Model!AE22</f>
        <v>9.7103114997859805</v>
      </c>
      <c r="AF95" s="410">
        <f>Model!AF22</f>
        <v>9.7588630572849091</v>
      </c>
      <c r="AG95" s="410">
        <f>Model!AG22</f>
        <v>9.8076573725713327</v>
      </c>
      <c r="AH95" s="410">
        <f>Model!AH22</f>
        <v>9.856695659434191</v>
      </c>
    </row>
    <row r="96" spans="2:34" ht="15.4" customHeight="1">
      <c r="B96" s="183" t="s">
        <v>186</v>
      </c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305"/>
      <c r="O96" s="433">
        <f ca="1">Model!O156</f>
        <v>3.6456779235564625</v>
      </c>
      <c r="P96" s="410">
        <f ca="1">Model!P156</f>
        <v>3.9738685764717445</v>
      </c>
      <c r="Q96" s="410">
        <f ca="1">Model!Q156</f>
        <v>6.1907626095978827</v>
      </c>
      <c r="R96" s="410">
        <f ca="1">Model!R156</f>
        <v>9.522692161355371</v>
      </c>
      <c r="S96" s="410">
        <f ca="1">Model!S156</f>
        <v>5.3167896872207994</v>
      </c>
      <c r="T96" s="410">
        <f ca="1">Model!T156</f>
        <v>5.6735200653007194</v>
      </c>
      <c r="U96" s="410">
        <f ca="1">Model!U156</f>
        <v>7.8707408772059715</v>
      </c>
      <c r="V96" s="410">
        <f ca="1">Model!V156</f>
        <v>11.222299423878271</v>
      </c>
      <c r="W96" s="410">
        <f ca="1">Model!W156</f>
        <v>7.1010084614269271</v>
      </c>
      <c r="X96" s="410">
        <f ca="1">Model!X156</f>
        <v>7.4913521554021578</v>
      </c>
      <c r="Y96" s="410">
        <f ca="1">Model!Y156</f>
        <v>9.7227275319790163</v>
      </c>
      <c r="Z96" s="410">
        <f ca="1">Model!Z156</f>
        <v>13.108990238376313</v>
      </c>
      <c r="AA96" s="410">
        <f ca="1">Model!AA156</f>
        <v>9.0229615039516506</v>
      </c>
      <c r="AB96" s="410">
        <f ca="1">Model!AB156</f>
        <v>9.4491340963977652</v>
      </c>
      <c r="AC96" s="410">
        <f ca="1">Model!AC156</f>
        <v>11.716913774878805</v>
      </c>
      <c r="AD96" s="410">
        <f ca="1">Model!AD156</f>
        <v>15.140165052430842</v>
      </c>
      <c r="AE96" s="410">
        <f ca="1">Model!AE156</f>
        <v>9.9480776319550284</v>
      </c>
      <c r="AF96" s="410">
        <f ca="1">Model!AF156</f>
        <v>10.20421946034978</v>
      </c>
      <c r="AG96" s="410">
        <f ca="1">Model!AG156</f>
        <v>12.298478578465676</v>
      </c>
      <c r="AH96" s="410">
        <f ca="1">Model!AH156</f>
        <v>15.544662156854391</v>
      </c>
    </row>
    <row r="97" spans="2:34" ht="15.4" customHeight="1">
      <c r="B97" s="187" t="s">
        <v>175</v>
      </c>
      <c r="C97" s="264">
        <f>+SUM(C93:C93)/SUM(C$92:C$92)</f>
        <v>0.19064678051443815</v>
      </c>
      <c r="D97" s="264">
        <f>+SUM(C93:D93)/SUM(C$92:D$92)</f>
        <v>0.19064846665514093</v>
      </c>
      <c r="E97" s="264">
        <f>+SUM(C93:E93)/SUM(C$92:E$92)</f>
        <v>0.18775202141633318</v>
      </c>
      <c r="F97" s="264">
        <f t="shared" ref="F97:N99" si="160">+SUM(C93:F93)/SUM(C$92:F$92)</f>
        <v>0.18832253120231277</v>
      </c>
      <c r="G97" s="264">
        <f t="shared" si="160"/>
        <v>0.18603329001915264</v>
      </c>
      <c r="H97" s="264">
        <f t="shared" si="160"/>
        <v>0.18406855370537811</v>
      </c>
      <c r="I97" s="264">
        <f t="shared" si="160"/>
        <v>0.18582657463169927</v>
      </c>
      <c r="J97" s="264">
        <f t="shared" si="160"/>
        <v>0.18400835113608113</v>
      </c>
      <c r="K97" s="264">
        <f t="shared" si="160"/>
        <v>0.18496539375666932</v>
      </c>
      <c r="L97" s="264">
        <f t="shared" si="160"/>
        <v>0.18644743269186168</v>
      </c>
      <c r="M97" s="264">
        <f t="shared" si="160"/>
        <v>0.18628198372812396</v>
      </c>
      <c r="N97" s="311">
        <f t="shared" si="160"/>
        <v>0.18724587699450451</v>
      </c>
      <c r="O97" s="312">
        <f t="shared" ref="O97:O99" si="161">+SUM(L93:O93)/SUM(L$92:O$92)</f>
        <v>0.18591090256186796</v>
      </c>
      <c r="P97" s="264">
        <f t="shared" ref="P97:P99" si="162">+SUM(M93:P93)/SUM(M$92:P$92)</f>
        <v>0.18380016887741729</v>
      </c>
      <c r="Q97" s="264">
        <f t="shared" ref="Q97:Q99" si="163">+SUM(N93:Q93)/SUM(N$92:Q$92)</f>
        <v>0.18168668591036558</v>
      </c>
      <c r="R97" s="264">
        <f t="shared" ref="R97:R100" si="164">+SUM(O93:R93)/SUM(O$92:R$92)</f>
        <v>0.18000000000000002</v>
      </c>
      <c r="S97" s="264">
        <f t="shared" ref="S97:S100" si="165">+SUM(P93:S93)/SUM(P$92:S$92)</f>
        <v>0.18</v>
      </c>
      <c r="T97" s="264">
        <f t="shared" ref="T97:T100" si="166">+SUM(Q93:T93)/SUM(Q$92:T$92)</f>
        <v>0.18000000000000002</v>
      </c>
      <c r="U97" s="264">
        <f t="shared" ref="U97:U100" si="167">+SUM(R93:U93)/SUM(R$92:U$92)</f>
        <v>0.18</v>
      </c>
      <c r="V97" s="264">
        <f t="shared" ref="V97:V100" si="168">+SUM(S93:V93)/SUM(S$92:V$92)</f>
        <v>0.18000000000000002</v>
      </c>
      <c r="W97" s="264">
        <f t="shared" ref="W97:W100" si="169">+SUM(T93:W93)/SUM(T$92:W$92)</f>
        <v>0.17999999999999997</v>
      </c>
      <c r="X97" s="264">
        <f t="shared" ref="X97:X100" si="170">+SUM(U93:X93)/SUM(U$92:X$92)</f>
        <v>0.18</v>
      </c>
      <c r="Y97" s="264">
        <f t="shared" ref="Y97:Y100" si="171">+SUM(V93:Y93)/SUM(V$92:Y$92)</f>
        <v>0.18</v>
      </c>
      <c r="Z97" s="264">
        <f t="shared" ref="Z97:Z100" si="172">+SUM(W93:Z93)/SUM(W$92:Z$92)</f>
        <v>0.18000000000000002</v>
      </c>
      <c r="AA97" s="264">
        <f t="shared" ref="AA97:AA100" si="173">+SUM(X93:AA93)/SUM(X$92:AA$92)</f>
        <v>0.18</v>
      </c>
      <c r="AB97" s="264">
        <f t="shared" ref="AB97:AB100" si="174">+SUM(Y93:AB93)/SUM(Y$92:AB$92)</f>
        <v>0.18000000000000002</v>
      </c>
      <c r="AC97" s="264">
        <f t="shared" ref="AC97:AC100" si="175">+SUM(Z93:AC93)/SUM(Z$92:AC$92)</f>
        <v>0.18</v>
      </c>
      <c r="AD97" s="264">
        <f t="shared" ref="AD97:AD100" si="176">+SUM(AA93:AD93)/SUM(AA$92:AD$92)</f>
        <v>0.18</v>
      </c>
      <c r="AE97" s="264">
        <f t="shared" ref="AE97:AE100" si="177">+SUM(AB93:AE93)/SUM(AB$92:AE$92)</f>
        <v>0.18000000000000002</v>
      </c>
      <c r="AF97" s="264">
        <f t="shared" ref="AF97:AF100" si="178">+SUM(AC93:AF93)/SUM(AC$92:AF$92)</f>
        <v>0.18</v>
      </c>
      <c r="AG97" s="264">
        <f t="shared" ref="AG97:AG100" si="179">+SUM(AD93:AG93)/SUM(AD$92:AG$92)</f>
        <v>0.18</v>
      </c>
      <c r="AH97" s="264">
        <f t="shared" ref="AH97:AH100" si="180">+SUM(AE93:AH93)/SUM(AE$92:AH$92)</f>
        <v>0.18</v>
      </c>
    </row>
    <row r="98" spans="2:34" ht="15.4" customHeight="1">
      <c r="B98" s="184" t="s">
        <v>176</v>
      </c>
      <c r="C98" s="468">
        <f>+SUM(C94:C94)/SUM(C$92:C$92)</f>
        <v>0.1253314089555817</v>
      </c>
      <c r="D98" s="468">
        <f>+SUM(C94:D94)/SUM(C$92:D$92)</f>
        <v>0.12822331437690651</v>
      </c>
      <c r="E98" s="468">
        <f>+SUM(C94:E94)/SUM(C$92:E$92)</f>
        <v>0.12743330960894539</v>
      </c>
      <c r="F98" s="468">
        <f t="shared" si="160"/>
        <v>0.12780942764687203</v>
      </c>
      <c r="G98" s="468">
        <f t="shared" si="160"/>
        <v>0.12683773180442298</v>
      </c>
      <c r="H98" s="468">
        <f t="shared" si="160"/>
        <v>0.12647758994055719</v>
      </c>
      <c r="I98" s="468">
        <f t="shared" si="160"/>
        <v>0.12563611345508705</v>
      </c>
      <c r="J98" s="468">
        <f t="shared" si="160"/>
        <v>0.12373984331677369</v>
      </c>
      <c r="K98" s="468">
        <f t="shared" si="160"/>
        <v>0.12494043050211658</v>
      </c>
      <c r="L98" s="468">
        <f t="shared" si="160"/>
        <v>0.1235763497454539</v>
      </c>
      <c r="M98" s="468">
        <f t="shared" si="160"/>
        <v>0.12515263842780208</v>
      </c>
      <c r="N98" s="469">
        <f t="shared" si="160"/>
        <v>0.12734901289810563</v>
      </c>
      <c r="O98" s="470">
        <f t="shared" si="161"/>
        <v>0.12574770247350278</v>
      </c>
      <c r="P98" s="468">
        <f t="shared" si="162"/>
        <v>0.12475454735309363</v>
      </c>
      <c r="Q98" s="468">
        <f t="shared" si="163"/>
        <v>0.12255790061901084</v>
      </c>
      <c r="R98" s="468">
        <f t="shared" si="164"/>
        <v>0.12</v>
      </c>
      <c r="S98" s="468">
        <f t="shared" si="165"/>
        <v>0.12</v>
      </c>
      <c r="T98" s="468">
        <f t="shared" si="166"/>
        <v>0.12000000000000002</v>
      </c>
      <c r="U98" s="468">
        <f t="shared" si="167"/>
        <v>0.12</v>
      </c>
      <c r="V98" s="468">
        <f t="shared" si="168"/>
        <v>0.12</v>
      </c>
      <c r="W98" s="468">
        <f t="shared" si="169"/>
        <v>0.11999999999999998</v>
      </c>
      <c r="X98" s="468">
        <f t="shared" si="170"/>
        <v>0.12000000000000001</v>
      </c>
      <c r="Y98" s="468">
        <f t="shared" si="171"/>
        <v>0.12</v>
      </c>
      <c r="Z98" s="468">
        <f t="shared" si="172"/>
        <v>0.12000000000000001</v>
      </c>
      <c r="AA98" s="468">
        <f t="shared" si="173"/>
        <v>0.12000000000000001</v>
      </c>
      <c r="AB98" s="468">
        <f t="shared" si="174"/>
        <v>0.12</v>
      </c>
      <c r="AC98" s="468">
        <f t="shared" si="175"/>
        <v>0.12</v>
      </c>
      <c r="AD98" s="468">
        <f t="shared" si="176"/>
        <v>0.11999999999999998</v>
      </c>
      <c r="AE98" s="468">
        <f t="shared" si="177"/>
        <v>0.12</v>
      </c>
      <c r="AF98" s="468">
        <f t="shared" si="178"/>
        <v>0.12000000000000001</v>
      </c>
      <c r="AG98" s="468">
        <f t="shared" si="179"/>
        <v>0.12000000000000001</v>
      </c>
      <c r="AH98" s="468">
        <f t="shared" si="180"/>
        <v>0.12</v>
      </c>
    </row>
    <row r="99" spans="2:34" ht="15.4" customHeight="1">
      <c r="B99" s="184" t="s">
        <v>177</v>
      </c>
      <c r="C99" s="468">
        <f>+SUM(C95:C95)/SUM(C$92:C$92)</f>
        <v>0.10668361000187923</v>
      </c>
      <c r="D99" s="468">
        <f>+SUM(C95:D95)/SUM(C$92:D$92)</f>
        <v>0.10573506877018884</v>
      </c>
      <c r="E99" s="468">
        <f>+SUM(C95:E95)/SUM(C$92:E$92)</f>
        <v>0.10736808471052776</v>
      </c>
      <c r="F99" s="468">
        <f t="shared" si="160"/>
        <v>0.10706163007485726</v>
      </c>
      <c r="G99" s="468">
        <f t="shared" si="160"/>
        <v>0.10559999808168044</v>
      </c>
      <c r="H99" s="468">
        <f t="shared" si="160"/>
        <v>0.10694264207851699</v>
      </c>
      <c r="I99" s="468">
        <f t="shared" si="160"/>
        <v>0.10555159729612232</v>
      </c>
      <c r="J99" s="468">
        <f t="shared" si="160"/>
        <v>0.10631483937041893</v>
      </c>
      <c r="K99" s="468">
        <f t="shared" si="160"/>
        <v>0.10685867084759426</v>
      </c>
      <c r="L99" s="468">
        <f t="shared" si="160"/>
        <v>0.10645847532977219</v>
      </c>
      <c r="M99" s="468">
        <f t="shared" si="160"/>
        <v>0.10596126972689152</v>
      </c>
      <c r="N99" s="469">
        <f t="shared" si="160"/>
        <v>0.10631285194602717</v>
      </c>
      <c r="O99" s="470">
        <f t="shared" si="161"/>
        <v>0.10799583161330142</v>
      </c>
      <c r="P99" s="468">
        <f t="shared" si="162"/>
        <v>0.10837094843828418</v>
      </c>
      <c r="Q99" s="468">
        <f t="shared" si="163"/>
        <v>0.11010601646794545</v>
      </c>
      <c r="R99" s="468">
        <f t="shared" si="164"/>
        <v>0.11000000000000001</v>
      </c>
      <c r="S99" s="468">
        <f t="shared" si="165"/>
        <v>0.10999999999999999</v>
      </c>
      <c r="T99" s="468">
        <f t="shared" si="166"/>
        <v>0.11000000000000001</v>
      </c>
      <c r="U99" s="468">
        <f t="shared" si="167"/>
        <v>0.11</v>
      </c>
      <c r="V99" s="468">
        <f t="shared" si="168"/>
        <v>0.11000000000000001</v>
      </c>
      <c r="W99" s="468">
        <f t="shared" si="169"/>
        <v>0.10999999999999999</v>
      </c>
      <c r="X99" s="468">
        <f t="shared" si="170"/>
        <v>0.11000000000000001</v>
      </c>
      <c r="Y99" s="468">
        <f t="shared" si="171"/>
        <v>0.11000000000000003</v>
      </c>
      <c r="Z99" s="468">
        <f t="shared" si="172"/>
        <v>0.11000000000000001</v>
      </c>
      <c r="AA99" s="468">
        <f t="shared" si="173"/>
        <v>0.11</v>
      </c>
      <c r="AB99" s="468">
        <f t="shared" si="174"/>
        <v>0.11</v>
      </c>
      <c r="AC99" s="468">
        <f t="shared" si="175"/>
        <v>0.11</v>
      </c>
      <c r="AD99" s="468">
        <f t="shared" si="176"/>
        <v>0.11</v>
      </c>
      <c r="AE99" s="468">
        <f t="shared" si="177"/>
        <v>0.10999999999999999</v>
      </c>
      <c r="AF99" s="468">
        <f t="shared" si="178"/>
        <v>0.10999999999999999</v>
      </c>
      <c r="AG99" s="468">
        <f t="shared" si="179"/>
        <v>0.11</v>
      </c>
      <c r="AH99" s="468">
        <f t="shared" si="180"/>
        <v>0.10999999999999999</v>
      </c>
    </row>
    <row r="100" spans="2:34" ht="15.4" customHeight="1">
      <c r="B100" s="184" t="s">
        <v>179</v>
      </c>
      <c r="C100" s="471"/>
      <c r="D100" s="471"/>
      <c r="E100" s="471"/>
      <c r="F100" s="471"/>
      <c r="G100" s="471"/>
      <c r="H100" s="471"/>
      <c r="I100" s="471"/>
      <c r="J100" s="471"/>
      <c r="K100" s="471"/>
      <c r="L100" s="471"/>
      <c r="M100" s="471"/>
      <c r="N100" s="472"/>
      <c r="O100" s="473"/>
      <c r="P100" s="471"/>
      <c r="Q100" s="471"/>
      <c r="R100" s="468">
        <f t="shared" ca="1" si="164"/>
        <v>7.103481928875495E-2</v>
      </c>
      <c r="S100" s="468">
        <f t="shared" ca="1" si="165"/>
        <v>7.5743621673980577E-2</v>
      </c>
      <c r="T100" s="468">
        <f t="shared" ca="1" si="166"/>
        <v>8.0489835803638859E-2</v>
      </c>
      <c r="U100" s="468">
        <f t="shared" ca="1" si="167"/>
        <v>8.5127945600337568E-2</v>
      </c>
      <c r="V100" s="468">
        <f t="shared" ca="1" si="168"/>
        <v>8.9776490770843126E-2</v>
      </c>
      <c r="W100" s="468">
        <f t="shared" ca="1" si="169"/>
        <v>9.4627921069785209E-2</v>
      </c>
      <c r="X100" s="468">
        <f t="shared" ca="1" si="170"/>
        <v>9.9528171481388913E-2</v>
      </c>
      <c r="Y100" s="468">
        <f t="shared" ca="1" si="171"/>
        <v>0.10447773328415419</v>
      </c>
      <c r="Z100" s="468">
        <f t="shared" ca="1" si="172"/>
        <v>0.10947710270033374</v>
      </c>
      <c r="AA100" s="468">
        <f t="shared" ca="1" si="173"/>
        <v>0.11452678094568224</v>
      </c>
      <c r="AB100" s="468">
        <f t="shared" ca="1" si="174"/>
        <v>0.11962727427970593</v>
      </c>
      <c r="AC100" s="468">
        <f t="shared" ca="1" si="175"/>
        <v>0.1247790940564182</v>
      </c>
      <c r="AD100" s="468">
        <f t="shared" ca="1" si="176"/>
        <v>0.12998275677560575</v>
      </c>
      <c r="AE100" s="468">
        <f t="shared" ca="1" si="177"/>
        <v>0.13197567642419586</v>
      </c>
      <c r="AF100" s="468">
        <f t="shared" ca="1" si="178"/>
        <v>0.13346281979217323</v>
      </c>
      <c r="AG100" s="468">
        <f t="shared" ca="1" si="179"/>
        <v>0.13444171331026372</v>
      </c>
      <c r="AH100" s="468">
        <f t="shared" ca="1" si="180"/>
        <v>0.13490984550323123</v>
      </c>
    </row>
    <row r="101" spans="2:34" ht="15.4" customHeight="1">
      <c r="B101" s="184"/>
      <c r="C101" s="146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297"/>
      <c r="O101" s="298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</row>
    <row r="102" spans="2:34" ht="15.4" customHeight="1">
      <c r="B102" s="184"/>
      <c r="C102" s="146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297"/>
      <c r="O102" s="298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  <c r="AF102" s="146"/>
      <c r="AG102" s="146"/>
      <c r="AH102" s="146"/>
    </row>
    <row r="103" spans="2:34" ht="15.4" customHeight="1">
      <c r="B103" s="184"/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297"/>
      <c r="O103" s="298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</row>
    <row r="104" spans="2:34" ht="15.4" customHeight="1">
      <c r="B104" s="184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297"/>
      <c r="O104" s="298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  <c r="AF104" s="146"/>
      <c r="AG104" s="146"/>
      <c r="AH104" s="146"/>
    </row>
    <row r="105" spans="2:34" ht="15.4" customHeight="1">
      <c r="B105" s="184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297"/>
      <c r="O105" s="298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</row>
    <row r="106" spans="2:34" ht="15.4" customHeight="1">
      <c r="B106" s="184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297"/>
      <c r="O106" s="298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  <c r="AF106" s="146"/>
      <c r="AG106" s="146"/>
      <c r="AH106" s="146"/>
    </row>
    <row r="107" spans="2:34" ht="15.4" customHeight="1">
      <c r="B107" s="184"/>
      <c r="C107" s="146"/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297"/>
      <c r="O107" s="298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</row>
    <row r="108" spans="2:34" ht="15.4" customHeight="1">
      <c r="B108" s="184"/>
      <c r="C108" s="146"/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297"/>
      <c r="O108" s="298"/>
      <c r="P108" s="146"/>
      <c r="Q108" s="146"/>
      <c r="R108" s="146"/>
      <c r="S108" s="146"/>
      <c r="T108" s="146"/>
      <c r="U108" s="146"/>
      <c r="V108" s="146"/>
      <c r="X108" s="146"/>
      <c r="Y108" s="146"/>
      <c r="Z108" s="146"/>
      <c r="AA108" s="146"/>
    </row>
    <row r="109" spans="2:34" ht="15.4" customHeight="1">
      <c r="B109" s="184"/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297"/>
      <c r="O109" s="298"/>
      <c r="P109" s="146"/>
      <c r="Q109" s="146"/>
      <c r="R109" s="146"/>
      <c r="S109" s="146"/>
      <c r="T109" s="146"/>
      <c r="U109" s="146"/>
      <c r="V109" s="146"/>
      <c r="X109" s="146"/>
      <c r="Y109" s="146"/>
      <c r="Z109" s="146"/>
      <c r="AA109" s="146"/>
    </row>
    <row r="110" spans="2:34" ht="15.4" customHeight="1">
      <c r="B110" s="184"/>
      <c r="C110" s="146"/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297"/>
      <c r="O110" s="298"/>
      <c r="P110" s="146"/>
      <c r="Q110" s="146"/>
      <c r="R110" s="146"/>
      <c r="S110" s="146"/>
      <c r="T110" s="146"/>
      <c r="U110" s="146"/>
      <c r="V110" s="146"/>
      <c r="X110" s="146"/>
      <c r="Y110" s="146"/>
      <c r="Z110" s="146"/>
      <c r="AA110" s="146"/>
    </row>
    <row r="111" spans="2:34" ht="15.4" customHeight="1">
      <c r="B111" s="184"/>
      <c r="C111" s="146"/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297"/>
      <c r="O111" s="298"/>
      <c r="P111" s="146"/>
      <c r="Q111" s="146"/>
      <c r="R111" s="146"/>
      <c r="S111" s="146"/>
      <c r="T111" s="146"/>
      <c r="U111" s="146"/>
      <c r="V111" s="146"/>
      <c r="X111" s="146"/>
      <c r="Y111" s="146"/>
      <c r="Z111" s="146"/>
      <c r="AA111" s="146"/>
    </row>
    <row r="112" spans="2:34" ht="15.4" customHeight="1">
      <c r="B112" s="184"/>
      <c r="C112" s="146"/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297"/>
      <c r="O112" s="298"/>
      <c r="P112" s="146"/>
      <c r="Q112" s="146"/>
      <c r="R112" s="146"/>
      <c r="S112" s="146"/>
      <c r="T112" s="146"/>
      <c r="U112" s="146"/>
      <c r="V112" s="146"/>
      <c r="X112" s="146"/>
      <c r="Y112" s="146"/>
      <c r="Z112" s="146"/>
      <c r="AA112" s="146"/>
    </row>
  </sheetData>
  <pageMargins left="0.7" right="0.7" top="0.75" bottom="0.75" header="0.3" footer="0.3"/>
  <pageSetup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B64CB-A25E-47BC-988D-9F9392AA6EF7}">
  <dimension ref="A1:AN106"/>
  <sheetViews>
    <sheetView showGridLines="0" zoomScale="120" zoomScaleNormal="120" zoomScaleSheetLayoutView="13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ColWidth="9.1328125" defaultRowHeight="13.15" outlineLevelRow="1"/>
  <cols>
    <col min="1" max="1" width="5.53125" style="2" customWidth="1"/>
    <col min="2" max="2" width="22" style="2" customWidth="1"/>
    <col min="3" max="3" width="10.86328125" style="2" customWidth="1"/>
    <col min="4" max="9" width="9.1328125" style="2"/>
    <col min="10" max="15" width="9.1328125" style="1"/>
    <col min="16" max="16" width="9.86328125" style="2" customWidth="1"/>
    <col min="17" max="16384" width="9.1328125" style="1"/>
  </cols>
  <sheetData>
    <row r="1" spans="1:40" s="2" customFormat="1">
      <c r="A1" s="2">
        <v>1000000</v>
      </c>
      <c r="B1" s="7"/>
      <c r="C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s="2" customFormat="1">
      <c r="B2" s="3" t="s">
        <v>23</v>
      </c>
      <c r="C2" s="3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88" t="s">
        <v>253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s="2" customFormat="1" hidden="1" outlineLevel="1">
      <c r="B3" s="30"/>
      <c r="C3" s="30"/>
      <c r="D3" s="31" t="e">
        <f>EOMONTH(#REF!, 3)</f>
        <v>#REF!</v>
      </c>
      <c r="E3" s="31" t="e">
        <f t="shared" ref="E3:O3" si="0">EOMONTH(D3, 3)</f>
        <v>#REF!</v>
      </c>
      <c r="F3" s="31" t="e">
        <f t="shared" si="0"/>
        <v>#REF!</v>
      </c>
      <c r="G3" s="31" t="e">
        <f t="shared" si="0"/>
        <v>#REF!</v>
      </c>
      <c r="H3" s="31" t="e">
        <f t="shared" si="0"/>
        <v>#REF!</v>
      </c>
      <c r="I3" s="31" t="e">
        <f t="shared" si="0"/>
        <v>#REF!</v>
      </c>
      <c r="J3" s="31" t="e">
        <f t="shared" si="0"/>
        <v>#REF!</v>
      </c>
      <c r="K3" s="31" t="e">
        <f t="shared" si="0"/>
        <v>#REF!</v>
      </c>
      <c r="L3" s="31" t="e">
        <f t="shared" si="0"/>
        <v>#REF!</v>
      </c>
      <c r="M3" s="31" t="e">
        <f t="shared" si="0"/>
        <v>#REF!</v>
      </c>
      <c r="N3" s="31" t="e">
        <f t="shared" si="0"/>
        <v>#REF!</v>
      </c>
      <c r="O3" s="31" t="e">
        <f t="shared" si="0"/>
        <v>#REF!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s="2" customFormat="1" hidden="1" outlineLevel="1">
      <c r="B4" s="30"/>
      <c r="C4" s="30"/>
      <c r="D4" s="31" t="e">
        <f>EOMONTH(#REF!, 2)+1</f>
        <v>#REF!</v>
      </c>
      <c r="E4" s="31" t="e">
        <f t="shared" ref="E4:O4" si="1">EOMONTH(D4, 2)+1</f>
        <v>#REF!</v>
      </c>
      <c r="F4" s="31" t="e">
        <f t="shared" si="1"/>
        <v>#REF!</v>
      </c>
      <c r="G4" s="31" t="e">
        <f t="shared" si="1"/>
        <v>#REF!</v>
      </c>
      <c r="H4" s="31" t="e">
        <f t="shared" si="1"/>
        <v>#REF!</v>
      </c>
      <c r="I4" s="31" t="e">
        <f t="shared" si="1"/>
        <v>#REF!</v>
      </c>
      <c r="J4" s="31" t="e">
        <f t="shared" si="1"/>
        <v>#REF!</v>
      </c>
      <c r="K4" s="31" t="e">
        <f t="shared" si="1"/>
        <v>#REF!</v>
      </c>
      <c r="L4" s="31" t="e">
        <f t="shared" si="1"/>
        <v>#REF!</v>
      </c>
      <c r="M4" s="31" t="e">
        <f t="shared" si="1"/>
        <v>#REF!</v>
      </c>
      <c r="N4" s="31" t="e">
        <f t="shared" si="1"/>
        <v>#REF!</v>
      </c>
      <c r="O4" s="31" t="e">
        <f t="shared" si="1"/>
        <v>#REF!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s="2" customFormat="1" collapsed="1">
      <c r="B5" s="4"/>
      <c r="C5" s="4"/>
      <c r="D5" s="21">
        <f>'Raw Customer ARR'!D1</f>
        <v>43921</v>
      </c>
      <c r="E5" s="21">
        <f t="shared" ref="E5:O5" si="2">EOMONTH(D5, 3)</f>
        <v>44012</v>
      </c>
      <c r="F5" s="21">
        <f t="shared" si="2"/>
        <v>44104</v>
      </c>
      <c r="G5" s="21">
        <f t="shared" si="2"/>
        <v>44196</v>
      </c>
      <c r="H5" s="21">
        <f t="shared" si="2"/>
        <v>44286</v>
      </c>
      <c r="I5" s="21">
        <f t="shared" si="2"/>
        <v>44377</v>
      </c>
      <c r="J5" s="21">
        <f t="shared" si="2"/>
        <v>44469</v>
      </c>
      <c r="K5" s="21">
        <f t="shared" si="2"/>
        <v>44561</v>
      </c>
      <c r="L5" s="21">
        <f t="shared" si="2"/>
        <v>44651</v>
      </c>
      <c r="M5" s="21">
        <f t="shared" si="2"/>
        <v>44742</v>
      </c>
      <c r="N5" s="21">
        <f t="shared" si="2"/>
        <v>44834</v>
      </c>
      <c r="O5" s="21">
        <f t="shared" si="2"/>
        <v>44926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s="10" customFormat="1">
      <c r="A6" s="5"/>
      <c r="B6" s="16" t="s">
        <v>20</v>
      </c>
      <c r="C6" s="16"/>
      <c r="D6" s="15"/>
      <c r="E6" s="15"/>
      <c r="F6" s="15"/>
      <c r="G6" s="15"/>
      <c r="H6" s="15"/>
      <c r="I6" s="5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s="10" customFormat="1">
      <c r="A7" s="5"/>
      <c r="B7" s="24">
        <f>EOMONTH(B8, -3)</f>
        <v>43830</v>
      </c>
      <c r="C7" s="16"/>
      <c r="D7" s="410">
        <f>SUMIFS('Raw Customer ARR'!D$2:D$197, 'Raw Customer ARR'!$B$2:$B$197, Cohorts!$B7)/unit</f>
        <v>284.64488799999998</v>
      </c>
      <c r="E7" s="410">
        <f>SUMIFS('Raw Customer ARR'!E$2:E$197, 'Raw Customer ARR'!$B$2:$B$197, Cohorts!$B7)/unit</f>
        <v>275.26038399999999</v>
      </c>
      <c r="F7" s="410">
        <f>SUMIFS('Raw Customer ARR'!F$2:F$197, 'Raw Customer ARR'!$B$2:$B$197, Cohorts!$B7)/unit</f>
        <v>268.06845600000003</v>
      </c>
      <c r="G7" s="410">
        <f>SUMIFS('Raw Customer ARR'!G$2:G$197, 'Raw Customer ARR'!$B$2:$B$197, Cohorts!$B7)/unit</f>
        <v>261.81396000000001</v>
      </c>
      <c r="H7" s="410">
        <f>SUMIFS('Raw Customer ARR'!H$2:H$197, 'Raw Customer ARR'!$B$2:$B$197, Cohorts!$B7)/unit</f>
        <v>251.87383199999999</v>
      </c>
      <c r="I7" s="410">
        <f>SUMIFS('Raw Customer ARR'!I$2:I$197, 'Raw Customer ARR'!$B$2:$B$197, Cohorts!$B7)/unit</f>
        <v>243.39044799999999</v>
      </c>
      <c r="J7" s="410">
        <f>SUMIFS('Raw Customer ARR'!J$2:J$197, 'Raw Customer ARR'!$B$2:$B$197, Cohorts!$B7)/unit</f>
        <v>234.13416799999999</v>
      </c>
      <c r="K7" s="410">
        <f>SUMIFS('Raw Customer ARR'!K$2:K$197, 'Raw Customer ARR'!$B$2:$B$197, Cohorts!$B7)/unit</f>
        <v>224.92660799999999</v>
      </c>
      <c r="L7" s="410">
        <f>SUMIFS('Raw Customer ARR'!L$2:L$197, 'Raw Customer ARR'!$B$2:$B$197, Cohorts!$B7)/unit</f>
        <v>211.98088000000001</v>
      </c>
      <c r="M7" s="410">
        <f>SUMIFS('Raw Customer ARR'!M$2:M$197, 'Raw Customer ARR'!$B$2:$B$197, Cohorts!$B7)/unit</f>
        <v>203.44592800000001</v>
      </c>
      <c r="N7" s="410">
        <f>SUMIFS('Raw Customer ARR'!N$2:N$197, 'Raw Customer ARR'!$B$2:$B$197, Cohorts!$B7)/unit</f>
        <v>191.67904799999999</v>
      </c>
      <c r="O7" s="410">
        <f>SUMIFS('Raw Customer ARR'!O$2:O$197, 'Raw Customer ARR'!$B$2:$B$197, Cohorts!$B7)/unit</f>
        <v>186.91562400000001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>
      <c r="B8" s="24" cm="1">
        <f t="array" ref="B8:B19">TRANSPOSE(D5:O5)</f>
        <v>43921</v>
      </c>
      <c r="C8" s="24"/>
      <c r="D8" s="410">
        <f>SUMIFS('Raw Customer ARR'!D$2:D$197, 'Raw Customer ARR'!$B$2:$B$197, Cohorts!$B8)/unit</f>
        <v>16.542719999999999</v>
      </c>
      <c r="E8" s="410">
        <f>SUMIFS('Raw Customer ARR'!E$2:E$197, 'Raw Customer ARR'!$B$2:$B$197, Cohorts!$B8)/unit</f>
        <v>16.542719999999999</v>
      </c>
      <c r="F8" s="410">
        <f>SUMIFS('Raw Customer ARR'!F$2:F$197, 'Raw Customer ARR'!$B$2:$B$197, Cohorts!$B8)/unit</f>
        <v>16.957439999999998</v>
      </c>
      <c r="G8" s="410">
        <f>SUMIFS('Raw Customer ARR'!G$2:G$197, 'Raw Customer ARR'!$B$2:$B$197, Cohorts!$B8)/unit</f>
        <v>16.773119999999999</v>
      </c>
      <c r="H8" s="410">
        <f>SUMIFS('Raw Customer ARR'!H$2:H$197, 'Raw Customer ARR'!$B$2:$B$197, Cohorts!$B8)/unit</f>
        <v>16.588799999999999</v>
      </c>
      <c r="I8" s="410">
        <f>SUMIFS('Raw Customer ARR'!I$2:I$197, 'Raw Customer ARR'!$B$2:$B$197, Cohorts!$B8)/unit</f>
        <v>16.9132</v>
      </c>
      <c r="J8" s="410">
        <f>SUMIFS('Raw Customer ARR'!J$2:J$197, 'Raw Customer ARR'!$B$2:$B$197, Cohorts!$B8)/unit</f>
        <v>17.198087999999998</v>
      </c>
      <c r="K8" s="410">
        <f>SUMIFS('Raw Customer ARR'!K$2:K$197, 'Raw Customer ARR'!$B$2:$B$197, Cohorts!$B8)/unit</f>
        <v>16.718855999999999</v>
      </c>
      <c r="L8" s="410">
        <f>SUMIFS('Raw Customer ARR'!L$2:L$197, 'Raw Customer ARR'!$B$2:$B$197, Cohorts!$B8)/unit</f>
        <v>17.546512</v>
      </c>
      <c r="M8" s="410">
        <f>SUMIFS('Raw Customer ARR'!M$2:M$197, 'Raw Customer ARR'!$B$2:$B$197, Cohorts!$B8)/unit</f>
        <v>17.799112000000001</v>
      </c>
      <c r="N8" s="410">
        <f>SUMIFS('Raw Customer ARR'!N$2:N$197, 'Raw Customer ARR'!$B$2:$B$197, Cohorts!$B8)/unit</f>
        <v>17.376552</v>
      </c>
      <c r="O8" s="410">
        <f>SUMIFS('Raw Customer ARR'!O$2:O$197, 'Raw Customer ARR'!$B$2:$B$197, Cohorts!$B8)/unit</f>
        <v>16.882752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>
      <c r="B9" s="24">
        <v>44012</v>
      </c>
      <c r="C9" s="24"/>
      <c r="D9" s="410">
        <f>SUMIFS('Raw Customer ARR'!D$2:D$197, 'Raw Customer ARR'!$B$2:$B$197, Cohorts!$B9)/unit</f>
        <v>0</v>
      </c>
      <c r="E9" s="410">
        <f>SUMIFS('Raw Customer ARR'!E$2:E$197, 'Raw Customer ARR'!$B$2:$B$197, Cohorts!$B9)/unit</f>
        <v>12.672000000000001</v>
      </c>
      <c r="F9" s="410">
        <f>SUMIFS('Raw Customer ARR'!F$2:F$197, 'Raw Customer ARR'!$B$2:$B$197, Cohorts!$B9)/unit</f>
        <v>12.533759999999999</v>
      </c>
      <c r="G9" s="410">
        <f>SUMIFS('Raw Customer ARR'!G$2:G$197, 'Raw Customer ARR'!$B$2:$B$197, Cohorts!$B9)/unit</f>
        <v>12.243416</v>
      </c>
      <c r="H9" s="410">
        <f>SUMIFS('Raw Customer ARR'!H$2:H$197, 'Raw Customer ARR'!$B$2:$B$197, Cohorts!$B9)/unit</f>
        <v>12.18628</v>
      </c>
      <c r="I9" s="410">
        <f>SUMIFS('Raw Customer ARR'!I$2:I$197, 'Raw Customer ARR'!$B$2:$B$197, Cohorts!$B9)/unit</f>
        <v>11.574272000000001</v>
      </c>
      <c r="J9" s="410">
        <f>SUMIFS('Raw Customer ARR'!J$2:J$197, 'Raw Customer ARR'!$B$2:$B$197, Cohorts!$B9)/unit</f>
        <v>11.119808000000001</v>
      </c>
      <c r="K9" s="410">
        <f>SUMIFS('Raw Customer ARR'!K$2:K$197, 'Raw Customer ARR'!$B$2:$B$197, Cohorts!$B9)/unit</f>
        <v>10.885792</v>
      </c>
      <c r="L9" s="410">
        <f>SUMIFS('Raw Customer ARR'!L$2:L$197, 'Raw Customer ARR'!$B$2:$B$197, Cohorts!$B9)/unit</f>
        <v>10.742264</v>
      </c>
      <c r="M9" s="410">
        <f>SUMIFS('Raw Customer ARR'!M$2:M$197, 'Raw Customer ARR'!$B$2:$B$197, Cohorts!$B9)/unit</f>
        <v>9.0199359999999995</v>
      </c>
      <c r="N9" s="410">
        <f>SUMIFS('Raw Customer ARR'!N$2:N$197, 'Raw Customer ARR'!$B$2:$B$197, Cohorts!$B9)/unit</f>
        <v>8.7578399999999998</v>
      </c>
      <c r="O9" s="410">
        <f>SUMIFS('Raw Customer ARR'!O$2:O$197, 'Raw Customer ARR'!$B$2:$B$197, Cohorts!$B9)/unit</f>
        <v>8.5482879999999994</v>
      </c>
      <c r="P9" s="7"/>
    </row>
    <row r="10" spans="1:40">
      <c r="B10" s="24">
        <v>44104</v>
      </c>
      <c r="C10" s="24"/>
      <c r="D10" s="410">
        <f>SUMIFS('Raw Customer ARR'!D$2:D$197, 'Raw Customer ARR'!$B$2:$B$197, Cohorts!$B10)/unit</f>
        <v>0</v>
      </c>
      <c r="E10" s="410">
        <f>SUMIFS('Raw Customer ARR'!E$2:E$197, 'Raw Customer ARR'!$B$2:$B$197, Cohorts!$B10)/unit</f>
        <v>0</v>
      </c>
      <c r="F10" s="410">
        <f>SUMIFS('Raw Customer ARR'!F$2:F$197, 'Raw Customer ARR'!$B$2:$B$197, Cohorts!$B10)/unit</f>
        <v>10.782719999999999</v>
      </c>
      <c r="G10" s="410">
        <f>SUMIFS('Raw Customer ARR'!G$2:G$197, 'Raw Customer ARR'!$B$2:$B$197, Cohorts!$B10)/unit</f>
        <v>10.920959999999999</v>
      </c>
      <c r="H10" s="410">
        <f>SUMIFS('Raw Customer ARR'!H$2:H$197, 'Raw Customer ARR'!$B$2:$B$197, Cohorts!$B10)/unit</f>
        <v>10.920959999999999</v>
      </c>
      <c r="I10" s="410">
        <f>SUMIFS('Raw Customer ARR'!I$2:I$197, 'Raw Customer ARR'!$B$2:$B$197, Cohorts!$B10)/unit</f>
        <v>10.73664</v>
      </c>
      <c r="J10" s="410">
        <f>SUMIFS('Raw Customer ARR'!J$2:J$197, 'Raw Customer ARR'!$B$2:$B$197, Cohorts!$B10)/unit</f>
        <v>10.891472</v>
      </c>
      <c r="K10" s="410">
        <f>SUMIFS('Raw Customer ARR'!K$2:K$197, 'Raw Customer ARR'!$B$2:$B$197, Cohorts!$B10)/unit</f>
        <v>10.343007999999999</v>
      </c>
      <c r="L10" s="410">
        <f>SUMIFS('Raw Customer ARR'!L$2:L$197, 'Raw Customer ARR'!$B$2:$B$197, Cohorts!$B10)/unit</f>
        <v>10.343007999999999</v>
      </c>
      <c r="M10" s="410">
        <f>SUMIFS('Raw Customer ARR'!M$2:M$197, 'Raw Customer ARR'!$B$2:$B$197, Cohorts!$B10)/unit</f>
        <v>10.378031999999999</v>
      </c>
      <c r="N10" s="410">
        <f>SUMIFS('Raw Customer ARR'!N$2:N$197, 'Raw Customer ARR'!$B$2:$B$197, Cohorts!$B10)/unit</f>
        <v>10.452640000000001</v>
      </c>
      <c r="O10" s="410">
        <f>SUMIFS('Raw Customer ARR'!O$2:O$197, 'Raw Customer ARR'!$B$2:$B$197, Cohorts!$B10)/unit</f>
        <v>8.252008</v>
      </c>
      <c r="P10" s="7"/>
    </row>
    <row r="11" spans="1:40">
      <c r="B11" s="24">
        <v>44196</v>
      </c>
      <c r="C11" s="24"/>
      <c r="D11" s="410">
        <f>SUMIFS('Raw Customer ARR'!D$2:D$197, 'Raw Customer ARR'!$B$2:$B$197, Cohorts!$B11)/unit</f>
        <v>0</v>
      </c>
      <c r="E11" s="410">
        <f>SUMIFS('Raw Customer ARR'!E$2:E$197, 'Raw Customer ARR'!$B$2:$B$197, Cohorts!$B11)/unit</f>
        <v>0</v>
      </c>
      <c r="F11" s="410">
        <f>SUMIFS('Raw Customer ARR'!F$2:F$197, 'Raw Customer ARR'!$B$2:$B$197, Cohorts!$B11)/unit</f>
        <v>0</v>
      </c>
      <c r="G11" s="410">
        <f>SUMIFS('Raw Customer ARR'!G$2:G$197, 'Raw Customer ARR'!$B$2:$B$197, Cohorts!$B11)/unit</f>
        <v>12.034255999999999</v>
      </c>
      <c r="H11" s="410">
        <f>SUMIFS('Raw Customer ARR'!H$2:H$197, 'Raw Customer ARR'!$B$2:$B$197, Cohorts!$B11)/unit</f>
        <v>11.886799999999999</v>
      </c>
      <c r="I11" s="410">
        <f>SUMIFS('Raw Customer ARR'!I$2:I$197, 'Raw Customer ARR'!$B$2:$B$197, Cohorts!$B11)/unit</f>
        <v>12.196456</v>
      </c>
      <c r="J11" s="410">
        <f>SUMIFS('Raw Customer ARR'!J$2:J$197, 'Raw Customer ARR'!$B$2:$B$197, Cohorts!$B11)/unit</f>
        <v>12.533168</v>
      </c>
      <c r="K11" s="410">
        <f>SUMIFS('Raw Customer ARR'!K$2:K$197, 'Raw Customer ARR'!$B$2:$B$197, Cohorts!$B11)/unit</f>
        <v>12.723976</v>
      </c>
      <c r="L11" s="410">
        <f>SUMIFS('Raw Customer ARR'!L$2:L$197, 'Raw Customer ARR'!$B$2:$B$197, Cohorts!$B11)/unit</f>
        <v>12.180304</v>
      </c>
      <c r="M11" s="410">
        <f>SUMIFS('Raw Customer ARR'!M$2:M$197, 'Raw Customer ARR'!$B$2:$B$197, Cohorts!$B11)/unit</f>
        <v>12.108544</v>
      </c>
      <c r="N11" s="410">
        <f>SUMIFS('Raw Customer ARR'!N$2:N$197, 'Raw Customer ARR'!$B$2:$B$197, Cohorts!$B11)/unit</f>
        <v>12.163088</v>
      </c>
      <c r="O11" s="410">
        <f>SUMIFS('Raw Customer ARR'!O$2:O$197, 'Raw Customer ARR'!$B$2:$B$197, Cohorts!$B11)/unit</f>
        <v>12.244904</v>
      </c>
      <c r="P11" s="7"/>
    </row>
    <row r="12" spans="1:40">
      <c r="B12" s="24">
        <v>44286</v>
      </c>
      <c r="C12" s="24"/>
      <c r="D12" s="410">
        <f>SUMIFS('Raw Customer ARR'!D$2:D$197, 'Raw Customer ARR'!$B$2:$B$197, Cohorts!$B12)/unit</f>
        <v>0</v>
      </c>
      <c r="E12" s="410">
        <f>SUMIFS('Raw Customer ARR'!E$2:E$197, 'Raw Customer ARR'!$B$2:$B$197, Cohorts!$B12)/unit</f>
        <v>0</v>
      </c>
      <c r="F12" s="410">
        <f>SUMIFS('Raw Customer ARR'!F$2:F$197, 'Raw Customer ARR'!$B$2:$B$197, Cohorts!$B12)/unit</f>
        <v>0</v>
      </c>
      <c r="G12" s="410">
        <f>SUMIFS('Raw Customer ARR'!G$2:G$197, 'Raw Customer ARR'!$B$2:$B$197, Cohorts!$B12)/unit</f>
        <v>0</v>
      </c>
      <c r="H12" s="410">
        <f>SUMIFS('Raw Customer ARR'!H$2:H$197, 'Raw Customer ARR'!$B$2:$B$197, Cohorts!$B12)/unit</f>
        <v>6.9119999999999999</v>
      </c>
      <c r="I12" s="410">
        <f>SUMIFS('Raw Customer ARR'!I$2:I$197, 'Raw Customer ARR'!$B$2:$B$197, Cohorts!$B12)/unit</f>
        <v>6.9119999999999999</v>
      </c>
      <c r="J12" s="410">
        <f>SUMIFS('Raw Customer ARR'!J$2:J$197, 'Raw Customer ARR'!$B$2:$B$197, Cohorts!$B12)/unit</f>
        <v>7.3267199999999999</v>
      </c>
      <c r="K12" s="410">
        <f>SUMIFS('Raw Customer ARR'!K$2:K$197, 'Raw Customer ARR'!$B$2:$B$197, Cohorts!$B12)/unit</f>
        <v>8.2192720000000001</v>
      </c>
      <c r="L12" s="410">
        <f>SUMIFS('Raw Customer ARR'!L$2:L$197, 'Raw Customer ARR'!$B$2:$B$197, Cohorts!$B12)/unit</f>
        <v>8.4940639999999998</v>
      </c>
      <c r="M12" s="410">
        <f>SUMIFS('Raw Customer ARR'!M$2:M$197, 'Raw Customer ARR'!$B$2:$B$197, Cohorts!$B12)/unit</f>
        <v>9.6718639999999994</v>
      </c>
      <c r="N12" s="410">
        <f>SUMIFS('Raw Customer ARR'!N$2:N$197, 'Raw Customer ARR'!$B$2:$B$197, Cohorts!$B12)/unit</f>
        <v>9.7107519999999994</v>
      </c>
      <c r="O12" s="410">
        <f>SUMIFS('Raw Customer ARR'!O$2:O$197, 'Raw Customer ARR'!$B$2:$B$197, Cohorts!$B12)/unit</f>
        <v>8.6509119999999999</v>
      </c>
      <c r="P12" s="7"/>
    </row>
    <row r="13" spans="1:40">
      <c r="B13" s="24">
        <v>44377</v>
      </c>
      <c r="C13" s="24"/>
      <c r="D13" s="410">
        <f>SUMIFS('Raw Customer ARR'!D$2:D$197, 'Raw Customer ARR'!$B$2:$B$197, Cohorts!$B13)/unit</f>
        <v>0</v>
      </c>
      <c r="E13" s="410">
        <f>SUMIFS('Raw Customer ARR'!E$2:E$197, 'Raw Customer ARR'!$B$2:$B$197, Cohorts!$B13)/unit</f>
        <v>0</v>
      </c>
      <c r="F13" s="410">
        <f>SUMIFS('Raw Customer ARR'!F$2:F$197, 'Raw Customer ARR'!$B$2:$B$197, Cohorts!$B13)/unit</f>
        <v>0</v>
      </c>
      <c r="G13" s="410">
        <f>SUMIFS('Raw Customer ARR'!G$2:G$197, 'Raw Customer ARR'!$B$2:$B$197, Cohorts!$B13)/unit</f>
        <v>0</v>
      </c>
      <c r="H13" s="410">
        <f>SUMIFS('Raw Customer ARR'!H$2:H$197, 'Raw Customer ARR'!$B$2:$B$197, Cohorts!$B13)/unit</f>
        <v>0</v>
      </c>
      <c r="I13" s="410">
        <f>SUMIFS('Raw Customer ARR'!I$2:I$197, 'Raw Customer ARR'!$B$2:$B$197, Cohorts!$B13)/unit</f>
        <v>7.8796799999999996</v>
      </c>
      <c r="J13" s="410">
        <f>SUMIFS('Raw Customer ARR'!J$2:J$197, 'Raw Customer ARR'!$B$2:$B$197, Cohorts!$B13)/unit</f>
        <v>7.7653999999999996</v>
      </c>
      <c r="K13" s="410">
        <f>SUMIFS('Raw Customer ARR'!K$2:K$197, 'Raw Customer ARR'!$B$2:$B$197, Cohorts!$B13)/unit</f>
        <v>8.4428879999999999</v>
      </c>
      <c r="L13" s="410">
        <f>SUMIFS('Raw Customer ARR'!L$2:L$197, 'Raw Customer ARR'!$B$2:$B$197, Cohorts!$B13)/unit</f>
        <v>8.4428879999999999</v>
      </c>
      <c r="M13" s="410">
        <f>SUMIFS('Raw Customer ARR'!M$2:M$197, 'Raw Customer ARR'!$B$2:$B$197, Cohorts!$B13)/unit</f>
        <v>8.2733120000000007</v>
      </c>
      <c r="N13" s="410">
        <f>SUMIFS('Raw Customer ARR'!N$2:N$197, 'Raw Customer ARR'!$B$2:$B$197, Cohorts!$B13)/unit</f>
        <v>7.8706800000000001</v>
      </c>
      <c r="O13" s="410">
        <f>SUMIFS('Raw Customer ARR'!O$2:O$197, 'Raw Customer ARR'!$B$2:$B$197, Cohorts!$B13)/unit</f>
        <v>8.1642240000000008</v>
      </c>
      <c r="P13" s="7"/>
    </row>
    <row r="14" spans="1:40">
      <c r="B14" s="24">
        <v>44469</v>
      </c>
      <c r="C14" s="24"/>
      <c r="D14" s="410">
        <f>SUMIFS('Raw Customer ARR'!D$2:D$197, 'Raw Customer ARR'!$B$2:$B$197, Cohorts!$B14)/unit</f>
        <v>0</v>
      </c>
      <c r="E14" s="410">
        <f>SUMIFS('Raw Customer ARR'!E$2:E$197, 'Raw Customer ARR'!$B$2:$B$197, Cohorts!$B14)/unit</f>
        <v>0</v>
      </c>
      <c r="F14" s="410">
        <f>SUMIFS('Raw Customer ARR'!F$2:F$197, 'Raw Customer ARR'!$B$2:$B$197, Cohorts!$B14)/unit</f>
        <v>0</v>
      </c>
      <c r="G14" s="410">
        <f>SUMIFS('Raw Customer ARR'!G$2:G$197, 'Raw Customer ARR'!$B$2:$B$197, Cohorts!$B14)/unit</f>
        <v>0</v>
      </c>
      <c r="H14" s="410">
        <f>SUMIFS('Raw Customer ARR'!H$2:H$197, 'Raw Customer ARR'!$B$2:$B$197, Cohorts!$B14)/unit</f>
        <v>0</v>
      </c>
      <c r="I14" s="410">
        <f>SUMIFS('Raw Customer ARR'!I$2:I$197, 'Raw Customer ARR'!$B$2:$B$197, Cohorts!$B14)/unit</f>
        <v>0</v>
      </c>
      <c r="J14" s="410">
        <f>SUMIFS('Raw Customer ARR'!J$2:J$197, 'Raw Customer ARR'!$B$2:$B$197, Cohorts!$B14)/unit</f>
        <v>11.52</v>
      </c>
      <c r="K14" s="410">
        <f>SUMIFS('Raw Customer ARR'!K$2:K$197, 'Raw Customer ARR'!$B$2:$B$197, Cohorts!$B14)/unit</f>
        <v>11.166104000000001</v>
      </c>
      <c r="L14" s="410">
        <f>SUMIFS('Raw Customer ARR'!L$2:L$197, 'Raw Customer ARR'!$B$2:$B$197, Cohorts!$B14)/unit</f>
        <v>10.981783999999999</v>
      </c>
      <c r="M14" s="410">
        <f>SUMIFS('Raw Customer ARR'!M$2:M$197, 'Raw Customer ARR'!$B$2:$B$197, Cohorts!$B14)/unit</f>
        <v>10.981783999999999</v>
      </c>
      <c r="N14" s="410">
        <f>SUMIFS('Raw Customer ARR'!N$2:N$197, 'Raw Customer ARR'!$B$2:$B$197, Cohorts!$B14)/unit</f>
        <v>10.80484</v>
      </c>
      <c r="O14" s="410">
        <f>SUMIFS('Raw Customer ARR'!O$2:O$197, 'Raw Customer ARR'!$B$2:$B$197, Cohorts!$B14)/unit</f>
        <v>10.80484</v>
      </c>
      <c r="P14" s="7"/>
    </row>
    <row r="15" spans="1:40">
      <c r="B15" s="24">
        <v>44561</v>
      </c>
      <c r="C15" s="24"/>
      <c r="D15" s="410">
        <f>SUMIFS('Raw Customer ARR'!D$2:D$197, 'Raw Customer ARR'!$B$2:$B$197, Cohorts!$B15)/unit</f>
        <v>0</v>
      </c>
      <c r="E15" s="410">
        <f>SUMIFS('Raw Customer ARR'!E$2:E$197, 'Raw Customer ARR'!$B$2:$B$197, Cohorts!$B15)/unit</f>
        <v>0</v>
      </c>
      <c r="F15" s="410">
        <f>SUMIFS('Raw Customer ARR'!F$2:F$197, 'Raw Customer ARR'!$B$2:$B$197, Cohorts!$B15)/unit</f>
        <v>0</v>
      </c>
      <c r="G15" s="410">
        <f>SUMIFS('Raw Customer ARR'!G$2:G$197, 'Raw Customer ARR'!$B$2:$B$197, Cohorts!$B15)/unit</f>
        <v>0</v>
      </c>
      <c r="H15" s="410">
        <f>SUMIFS('Raw Customer ARR'!H$2:H$197, 'Raw Customer ARR'!$B$2:$B$197, Cohorts!$B15)/unit</f>
        <v>0</v>
      </c>
      <c r="I15" s="410">
        <f>SUMIFS('Raw Customer ARR'!I$2:I$197, 'Raw Customer ARR'!$B$2:$B$197, Cohorts!$B15)/unit</f>
        <v>0</v>
      </c>
      <c r="J15" s="410">
        <f>SUMIFS('Raw Customer ARR'!J$2:J$197, 'Raw Customer ARR'!$B$2:$B$197, Cohorts!$B15)/unit</f>
        <v>0</v>
      </c>
      <c r="K15" s="410">
        <f>SUMIFS('Raw Customer ARR'!K$2:K$197, 'Raw Customer ARR'!$B$2:$B$197, Cohorts!$B15)/unit</f>
        <v>12.487679999999999</v>
      </c>
      <c r="L15" s="410">
        <f>SUMIFS('Raw Customer ARR'!L$2:L$197, 'Raw Customer ARR'!$B$2:$B$197, Cohorts!$B15)/unit</f>
        <v>12.487679999999999</v>
      </c>
      <c r="M15" s="410">
        <f>SUMIFS('Raw Customer ARR'!M$2:M$197, 'Raw Customer ARR'!$B$2:$B$197, Cohorts!$B15)/unit</f>
        <v>12.487679999999999</v>
      </c>
      <c r="N15" s="410">
        <f>SUMIFS('Raw Customer ARR'!N$2:N$197, 'Raw Customer ARR'!$B$2:$B$197, Cohorts!$B15)/unit</f>
        <v>12.579840000000001</v>
      </c>
      <c r="O15" s="410">
        <f>SUMIFS('Raw Customer ARR'!O$2:O$197, 'Raw Customer ARR'!$B$2:$B$197, Cohorts!$B15)/unit</f>
        <v>12.834199999999999</v>
      </c>
      <c r="P15" s="7"/>
    </row>
    <row r="16" spans="1:40">
      <c r="B16" s="24">
        <v>44651</v>
      </c>
      <c r="C16" s="24"/>
      <c r="D16" s="410">
        <f>SUMIFS('Raw Customer ARR'!D$2:D$197, 'Raw Customer ARR'!$B$2:$B$197, Cohorts!$B16)/unit</f>
        <v>0</v>
      </c>
      <c r="E16" s="410">
        <f>SUMIFS('Raw Customer ARR'!E$2:E$197, 'Raw Customer ARR'!$B$2:$B$197, Cohorts!$B16)/unit</f>
        <v>0</v>
      </c>
      <c r="F16" s="410">
        <f>SUMIFS('Raw Customer ARR'!F$2:F$197, 'Raw Customer ARR'!$B$2:$B$197, Cohorts!$B16)/unit</f>
        <v>0</v>
      </c>
      <c r="G16" s="410">
        <f>SUMIFS('Raw Customer ARR'!G$2:G$197, 'Raw Customer ARR'!$B$2:$B$197, Cohorts!$B16)/unit</f>
        <v>0</v>
      </c>
      <c r="H16" s="410">
        <f>SUMIFS('Raw Customer ARR'!H$2:H$197, 'Raw Customer ARR'!$B$2:$B$197, Cohorts!$B16)/unit</f>
        <v>0</v>
      </c>
      <c r="I16" s="410">
        <f>SUMIFS('Raw Customer ARR'!I$2:I$197, 'Raw Customer ARR'!$B$2:$B$197, Cohorts!$B16)/unit</f>
        <v>0</v>
      </c>
      <c r="J16" s="410">
        <f>SUMIFS('Raw Customer ARR'!J$2:J$197, 'Raw Customer ARR'!$B$2:$B$197, Cohorts!$B16)/unit</f>
        <v>0</v>
      </c>
      <c r="K16" s="410">
        <f>SUMIFS('Raw Customer ARR'!K$2:K$197, 'Raw Customer ARR'!$B$2:$B$197, Cohorts!$B16)/unit</f>
        <v>0</v>
      </c>
      <c r="L16" s="410">
        <f>SUMIFS('Raw Customer ARR'!L$2:L$197, 'Raw Customer ARR'!$B$2:$B$197, Cohorts!$B16)/unit</f>
        <v>15.34464</v>
      </c>
      <c r="M16" s="410">
        <f>SUMIFS('Raw Customer ARR'!M$2:M$197, 'Raw Customer ARR'!$B$2:$B$197, Cohorts!$B16)/unit</f>
        <v>15.04604</v>
      </c>
      <c r="N16" s="410">
        <f>SUMIFS('Raw Customer ARR'!N$2:N$197, 'Raw Customer ARR'!$B$2:$B$197, Cohorts!$B16)/unit</f>
        <v>15.378848</v>
      </c>
      <c r="O16" s="410">
        <f>SUMIFS('Raw Customer ARR'!O$2:O$197, 'Raw Customer ARR'!$B$2:$B$197, Cohorts!$B16)/unit</f>
        <v>15.194528</v>
      </c>
      <c r="P16" s="7"/>
    </row>
    <row r="17" spans="1:16">
      <c r="B17" s="24">
        <v>44742</v>
      </c>
      <c r="C17" s="24"/>
      <c r="D17" s="410">
        <f>SUMIFS('Raw Customer ARR'!D$2:D$197, 'Raw Customer ARR'!$B$2:$B$197, Cohorts!$B17)/unit</f>
        <v>0</v>
      </c>
      <c r="E17" s="410">
        <f>SUMIFS('Raw Customer ARR'!E$2:E$197, 'Raw Customer ARR'!$B$2:$B$197, Cohorts!$B17)/unit</f>
        <v>0</v>
      </c>
      <c r="F17" s="410">
        <f>SUMIFS('Raw Customer ARR'!F$2:F$197, 'Raw Customer ARR'!$B$2:$B$197, Cohorts!$B17)/unit</f>
        <v>0</v>
      </c>
      <c r="G17" s="410">
        <f>SUMIFS('Raw Customer ARR'!G$2:G$197, 'Raw Customer ARR'!$B$2:$B$197, Cohorts!$B17)/unit</f>
        <v>0</v>
      </c>
      <c r="H17" s="410">
        <f>SUMIFS('Raw Customer ARR'!H$2:H$197, 'Raw Customer ARR'!$B$2:$B$197, Cohorts!$B17)/unit</f>
        <v>0</v>
      </c>
      <c r="I17" s="410">
        <f>SUMIFS('Raw Customer ARR'!I$2:I$197, 'Raw Customer ARR'!$B$2:$B$197, Cohorts!$B17)/unit</f>
        <v>0</v>
      </c>
      <c r="J17" s="410">
        <f>SUMIFS('Raw Customer ARR'!J$2:J$197, 'Raw Customer ARR'!$B$2:$B$197, Cohorts!$B17)/unit</f>
        <v>0</v>
      </c>
      <c r="K17" s="410">
        <f>SUMIFS('Raw Customer ARR'!K$2:K$197, 'Raw Customer ARR'!$B$2:$B$197, Cohorts!$B17)/unit</f>
        <v>0</v>
      </c>
      <c r="L17" s="410">
        <f>SUMIFS('Raw Customer ARR'!L$2:L$197, 'Raw Customer ARR'!$B$2:$B$197, Cohorts!$B17)/unit</f>
        <v>0</v>
      </c>
      <c r="M17" s="410">
        <f>SUMIFS('Raw Customer ARR'!M$2:M$197, 'Raw Customer ARR'!$B$2:$B$197, Cohorts!$B17)/unit</f>
        <v>12.672000000000001</v>
      </c>
      <c r="N17" s="410">
        <f>SUMIFS('Raw Customer ARR'!N$2:N$197, 'Raw Customer ARR'!$B$2:$B$197, Cohorts!$B17)/unit</f>
        <v>12.672000000000001</v>
      </c>
      <c r="O17" s="410">
        <f>SUMIFS('Raw Customer ARR'!O$2:O$197, 'Raw Customer ARR'!$B$2:$B$197, Cohorts!$B17)/unit</f>
        <v>12.672000000000001</v>
      </c>
      <c r="P17" s="7"/>
    </row>
    <row r="18" spans="1:16">
      <c r="B18" s="24">
        <v>44834</v>
      </c>
      <c r="C18" s="24"/>
      <c r="D18" s="410">
        <f>SUMIFS('Raw Customer ARR'!D$2:D$197, 'Raw Customer ARR'!$B$2:$B$197, Cohorts!$B18)/unit</f>
        <v>0</v>
      </c>
      <c r="E18" s="410">
        <f>SUMIFS('Raw Customer ARR'!E$2:E$197, 'Raw Customer ARR'!$B$2:$B$197, Cohorts!$B18)/unit</f>
        <v>0</v>
      </c>
      <c r="F18" s="410">
        <f>SUMIFS('Raw Customer ARR'!F$2:F$197, 'Raw Customer ARR'!$B$2:$B$197, Cohorts!$B18)/unit</f>
        <v>0</v>
      </c>
      <c r="G18" s="410">
        <f>SUMIFS('Raw Customer ARR'!G$2:G$197, 'Raw Customer ARR'!$B$2:$B$197, Cohorts!$B18)/unit</f>
        <v>0</v>
      </c>
      <c r="H18" s="410">
        <f>SUMIFS('Raw Customer ARR'!H$2:H$197, 'Raw Customer ARR'!$B$2:$B$197, Cohorts!$B18)/unit</f>
        <v>0</v>
      </c>
      <c r="I18" s="410">
        <f>SUMIFS('Raw Customer ARR'!I$2:I$197, 'Raw Customer ARR'!$B$2:$B$197, Cohorts!$B18)/unit</f>
        <v>0</v>
      </c>
      <c r="J18" s="410">
        <f>SUMIFS('Raw Customer ARR'!J$2:J$197, 'Raw Customer ARR'!$B$2:$B$197, Cohorts!$B18)/unit</f>
        <v>0</v>
      </c>
      <c r="K18" s="410">
        <f>SUMIFS('Raw Customer ARR'!K$2:K$197, 'Raw Customer ARR'!$B$2:$B$197, Cohorts!$B18)/unit</f>
        <v>0</v>
      </c>
      <c r="L18" s="410">
        <f>SUMIFS('Raw Customer ARR'!L$2:L$197, 'Raw Customer ARR'!$B$2:$B$197, Cohorts!$B18)/unit</f>
        <v>0</v>
      </c>
      <c r="M18" s="410">
        <f>SUMIFS('Raw Customer ARR'!M$2:M$197, 'Raw Customer ARR'!$B$2:$B$197, Cohorts!$B18)/unit</f>
        <v>0</v>
      </c>
      <c r="N18" s="410">
        <f>SUMIFS('Raw Customer ARR'!N$2:N$197, 'Raw Customer ARR'!$B$2:$B$197, Cohorts!$B18)/unit</f>
        <v>18.431999999999999</v>
      </c>
      <c r="O18" s="410">
        <f>SUMIFS('Raw Customer ARR'!O$2:O$197, 'Raw Customer ARR'!$B$2:$B$197, Cohorts!$B18)/unit</f>
        <v>17.764759999999999</v>
      </c>
      <c r="P18" s="7"/>
    </row>
    <row r="19" spans="1:16">
      <c r="B19" s="24">
        <v>44926</v>
      </c>
      <c r="C19" s="24"/>
      <c r="D19" s="410">
        <f>SUMIFS('Raw Customer ARR'!D$2:D$197, 'Raw Customer ARR'!$B$2:$B$197, Cohorts!$B19)/unit</f>
        <v>0</v>
      </c>
      <c r="E19" s="410">
        <f>SUMIFS('Raw Customer ARR'!E$2:E$197, 'Raw Customer ARR'!$B$2:$B$197, Cohorts!$B19)/unit</f>
        <v>0</v>
      </c>
      <c r="F19" s="410">
        <f>SUMIFS('Raw Customer ARR'!F$2:F$197, 'Raw Customer ARR'!$B$2:$B$197, Cohorts!$B19)/unit</f>
        <v>0</v>
      </c>
      <c r="G19" s="410">
        <f>SUMIFS('Raw Customer ARR'!G$2:G$197, 'Raw Customer ARR'!$B$2:$B$197, Cohorts!$B19)/unit</f>
        <v>0</v>
      </c>
      <c r="H19" s="410">
        <f>SUMIFS('Raw Customer ARR'!H$2:H$197, 'Raw Customer ARR'!$B$2:$B$197, Cohorts!$B19)/unit</f>
        <v>0</v>
      </c>
      <c r="I19" s="410">
        <f>SUMIFS('Raw Customer ARR'!I$2:I$197, 'Raw Customer ARR'!$B$2:$B$197, Cohorts!$B19)/unit</f>
        <v>0</v>
      </c>
      <c r="J19" s="410">
        <f>SUMIFS('Raw Customer ARR'!J$2:J$197, 'Raw Customer ARR'!$B$2:$B$197, Cohorts!$B19)/unit</f>
        <v>0</v>
      </c>
      <c r="K19" s="410">
        <f>SUMIFS('Raw Customer ARR'!K$2:K$197, 'Raw Customer ARR'!$B$2:$B$197, Cohorts!$B19)/unit</f>
        <v>0</v>
      </c>
      <c r="L19" s="410">
        <f>SUMIFS('Raw Customer ARR'!L$2:L$197, 'Raw Customer ARR'!$B$2:$B$197, Cohorts!$B19)/unit</f>
        <v>0</v>
      </c>
      <c r="M19" s="410">
        <f>SUMIFS('Raw Customer ARR'!M$2:M$197, 'Raw Customer ARR'!$B$2:$B$197, Cohorts!$B19)/unit</f>
        <v>0</v>
      </c>
      <c r="N19" s="410">
        <f>SUMIFS('Raw Customer ARR'!N$2:N$197, 'Raw Customer ARR'!$B$2:$B$197, Cohorts!$B19)/unit</f>
        <v>0</v>
      </c>
      <c r="O19" s="410">
        <f>SUMIFS('Raw Customer ARR'!O$2:O$197, 'Raw Customer ARR'!$B$2:$B$197, Cohorts!$B19)/unit</f>
        <v>18.984960000000001</v>
      </c>
      <c r="P19" s="7"/>
    </row>
    <row r="20" spans="1:16">
      <c r="B20" s="9" t="s">
        <v>10</v>
      </c>
      <c r="C20" s="9"/>
      <c r="D20" s="358">
        <f>SUM(D7:D19)</f>
        <v>301.18760799999995</v>
      </c>
      <c r="E20" s="358">
        <f t="shared" ref="E20:O20" si="3">SUM(E7:E19)</f>
        <v>304.47510399999999</v>
      </c>
      <c r="F20" s="358">
        <f t="shared" si="3"/>
        <v>308.342376</v>
      </c>
      <c r="G20" s="358">
        <f t="shared" si="3"/>
        <v>313.78571199999999</v>
      </c>
      <c r="H20" s="358">
        <f t="shared" si="3"/>
        <v>310.36867199999995</v>
      </c>
      <c r="I20" s="358">
        <f t="shared" si="3"/>
        <v>309.60269600000004</v>
      </c>
      <c r="J20" s="358">
        <f t="shared" si="3"/>
        <v>312.48882399999997</v>
      </c>
      <c r="K20" s="358">
        <f t="shared" si="3"/>
        <v>315.91418399999998</v>
      </c>
      <c r="L20" s="358">
        <f t="shared" si="3"/>
        <v>318.54402400000004</v>
      </c>
      <c r="M20" s="358">
        <f t="shared" si="3"/>
        <v>321.884232</v>
      </c>
      <c r="N20" s="358">
        <f t="shared" si="3"/>
        <v>327.878128</v>
      </c>
      <c r="O20" s="358">
        <f t="shared" si="3"/>
        <v>337.91400000000004</v>
      </c>
      <c r="P20" s="7"/>
    </row>
    <row r="21" spans="1:16" s="20" customFormat="1">
      <c r="A21" s="7"/>
      <c r="B21" s="7" t="s">
        <v>11</v>
      </c>
      <c r="C21" s="7"/>
      <c r="D21" s="198">
        <f>'ARR Waterfall'!C11-D20</f>
        <v>0</v>
      </c>
      <c r="E21" s="198">
        <f>'ARR Waterfall'!D11-E20</f>
        <v>0</v>
      </c>
      <c r="F21" s="198">
        <f>'ARR Waterfall'!E11-F20</f>
        <v>0</v>
      </c>
      <c r="G21" s="198">
        <f>'ARR Waterfall'!F11-G20</f>
        <v>0</v>
      </c>
      <c r="H21" s="198">
        <f>'ARR Waterfall'!G11-H20</f>
        <v>0</v>
      </c>
      <c r="I21" s="198">
        <f>'ARR Waterfall'!H11-I20</f>
        <v>0</v>
      </c>
      <c r="J21" s="198">
        <f>'ARR Waterfall'!I11-J20</f>
        <v>0</v>
      </c>
      <c r="K21" s="198">
        <f>'ARR Waterfall'!J11-K20</f>
        <v>0</v>
      </c>
      <c r="L21" s="198">
        <f>'ARR Waterfall'!K11-L20</f>
        <v>0</v>
      </c>
      <c r="M21" s="198">
        <f>'ARR Waterfall'!L11-M20</f>
        <v>0</v>
      </c>
      <c r="N21" s="198">
        <f>'ARR Waterfall'!M11-N20</f>
        <v>0</v>
      </c>
      <c r="O21" s="198">
        <f>'ARR Waterfall'!N11-O20</f>
        <v>0</v>
      </c>
      <c r="P21" s="7"/>
    </row>
    <row r="22" spans="1:16" s="20" customFormat="1">
      <c r="A22" s="7"/>
      <c r="B22" s="7"/>
      <c r="C22" s="7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7"/>
    </row>
    <row r="23" spans="1:16">
      <c r="D23" s="8"/>
      <c r="E23" s="8"/>
      <c r="F23" s="8"/>
      <c r="G23" s="8"/>
      <c r="H23" s="8"/>
      <c r="P23" s="7"/>
    </row>
    <row r="24" spans="1:16" s="2" customFormat="1">
      <c r="B24" s="4"/>
      <c r="C24" s="4"/>
      <c r="D24" s="26">
        <v>1</v>
      </c>
      <c r="E24" s="26">
        <f t="shared" ref="E24:O24" si="4">+D24+1</f>
        <v>2</v>
      </c>
      <c r="F24" s="26">
        <f t="shared" si="4"/>
        <v>3</v>
      </c>
      <c r="G24" s="26">
        <f t="shared" si="4"/>
        <v>4</v>
      </c>
      <c r="H24" s="26">
        <f t="shared" si="4"/>
        <v>5</v>
      </c>
      <c r="I24" s="26">
        <f t="shared" si="4"/>
        <v>6</v>
      </c>
      <c r="J24" s="26">
        <f t="shared" si="4"/>
        <v>7</v>
      </c>
      <c r="K24" s="26">
        <f t="shared" si="4"/>
        <v>8</v>
      </c>
      <c r="L24" s="26">
        <f t="shared" si="4"/>
        <v>9</v>
      </c>
      <c r="M24" s="26">
        <f t="shared" si="4"/>
        <v>10</v>
      </c>
      <c r="N24" s="26">
        <f t="shared" si="4"/>
        <v>11</v>
      </c>
      <c r="O24" s="26">
        <f t="shared" si="4"/>
        <v>12</v>
      </c>
      <c r="P24" s="7"/>
    </row>
    <row r="25" spans="1:16" s="10" customFormat="1">
      <c r="A25" s="5"/>
      <c r="B25" s="16" t="s">
        <v>188</v>
      </c>
      <c r="C25" s="16"/>
      <c r="D25" s="15"/>
      <c r="E25" s="15"/>
      <c r="F25" s="15"/>
      <c r="G25" s="15"/>
      <c r="H25" s="15"/>
      <c r="I25" s="5"/>
      <c r="P25" s="7"/>
    </row>
    <row r="26" spans="1:16">
      <c r="B26" s="24">
        <f t="shared" ref="B26:B38" si="5">+B7</f>
        <v>43830</v>
      </c>
      <c r="C26" s="24"/>
      <c r="D26" s="459">
        <f t="shared" ref="D26:O27" si="6">D7</f>
        <v>284.64488799999998</v>
      </c>
      <c r="E26" s="459">
        <f t="shared" si="6"/>
        <v>275.26038399999999</v>
      </c>
      <c r="F26" s="459">
        <f t="shared" si="6"/>
        <v>268.06845600000003</v>
      </c>
      <c r="G26" s="459">
        <f t="shared" si="6"/>
        <v>261.81396000000001</v>
      </c>
      <c r="H26" s="459">
        <f t="shared" si="6"/>
        <v>251.87383199999999</v>
      </c>
      <c r="I26" s="459">
        <f t="shared" si="6"/>
        <v>243.39044799999999</v>
      </c>
      <c r="J26" s="459">
        <f t="shared" si="6"/>
        <v>234.13416799999999</v>
      </c>
      <c r="K26" s="459">
        <f t="shared" si="6"/>
        <v>224.92660799999999</v>
      </c>
      <c r="L26" s="459">
        <f t="shared" si="6"/>
        <v>211.98088000000001</v>
      </c>
      <c r="M26" s="459">
        <f t="shared" si="6"/>
        <v>203.44592800000001</v>
      </c>
      <c r="N26" s="459">
        <f t="shared" si="6"/>
        <v>191.67904799999999</v>
      </c>
      <c r="O26" s="459">
        <f t="shared" si="6"/>
        <v>186.91562400000001</v>
      </c>
      <c r="P26" s="7"/>
    </row>
    <row r="27" spans="1:16">
      <c r="B27" s="24">
        <f t="shared" si="5"/>
        <v>43921</v>
      </c>
      <c r="C27" s="24"/>
      <c r="D27" s="459">
        <f t="shared" si="6"/>
        <v>16.542719999999999</v>
      </c>
      <c r="E27" s="459">
        <f t="shared" si="6"/>
        <v>16.542719999999999</v>
      </c>
      <c r="F27" s="459">
        <f t="shared" si="6"/>
        <v>16.957439999999998</v>
      </c>
      <c r="G27" s="459">
        <f t="shared" si="6"/>
        <v>16.773119999999999</v>
      </c>
      <c r="H27" s="459">
        <f t="shared" si="6"/>
        <v>16.588799999999999</v>
      </c>
      <c r="I27" s="459">
        <f t="shared" si="6"/>
        <v>16.9132</v>
      </c>
      <c r="J27" s="459">
        <f t="shared" si="6"/>
        <v>17.198087999999998</v>
      </c>
      <c r="K27" s="459">
        <f t="shared" si="6"/>
        <v>16.718855999999999</v>
      </c>
      <c r="L27" s="459">
        <f t="shared" si="6"/>
        <v>17.546512</v>
      </c>
      <c r="M27" s="459">
        <f t="shared" si="6"/>
        <v>17.799112000000001</v>
      </c>
      <c r="N27" s="459">
        <f t="shared" si="6"/>
        <v>17.376552</v>
      </c>
      <c r="O27" s="459">
        <f t="shared" si="6"/>
        <v>16.882752</v>
      </c>
      <c r="P27" s="7"/>
    </row>
    <row r="28" spans="1:16">
      <c r="B28" s="24">
        <f t="shared" si="5"/>
        <v>44012</v>
      </c>
      <c r="C28" s="24"/>
      <c r="D28" s="459">
        <f t="shared" ref="D28:O28" si="7">+E9</f>
        <v>12.672000000000001</v>
      </c>
      <c r="E28" s="459">
        <f t="shared" si="7"/>
        <v>12.533759999999999</v>
      </c>
      <c r="F28" s="459">
        <f t="shared" si="7"/>
        <v>12.243416</v>
      </c>
      <c r="G28" s="459">
        <f t="shared" si="7"/>
        <v>12.18628</v>
      </c>
      <c r="H28" s="459">
        <f t="shared" si="7"/>
        <v>11.574272000000001</v>
      </c>
      <c r="I28" s="459">
        <f t="shared" si="7"/>
        <v>11.119808000000001</v>
      </c>
      <c r="J28" s="459">
        <f t="shared" si="7"/>
        <v>10.885792</v>
      </c>
      <c r="K28" s="459">
        <f t="shared" si="7"/>
        <v>10.742264</v>
      </c>
      <c r="L28" s="459">
        <f t="shared" si="7"/>
        <v>9.0199359999999995</v>
      </c>
      <c r="M28" s="459">
        <f t="shared" si="7"/>
        <v>8.7578399999999998</v>
      </c>
      <c r="N28" s="459">
        <f t="shared" si="7"/>
        <v>8.5482879999999994</v>
      </c>
      <c r="O28" s="459">
        <f t="shared" si="7"/>
        <v>0</v>
      </c>
      <c r="P28" s="7"/>
    </row>
    <row r="29" spans="1:16">
      <c r="B29" s="24">
        <f t="shared" si="5"/>
        <v>44104</v>
      </c>
      <c r="C29" s="24"/>
      <c r="D29" s="459">
        <f t="shared" ref="D29:O29" si="8">+F10</f>
        <v>10.782719999999999</v>
      </c>
      <c r="E29" s="459">
        <f t="shared" si="8"/>
        <v>10.920959999999999</v>
      </c>
      <c r="F29" s="459">
        <f t="shared" si="8"/>
        <v>10.920959999999999</v>
      </c>
      <c r="G29" s="459">
        <f t="shared" si="8"/>
        <v>10.73664</v>
      </c>
      <c r="H29" s="459">
        <f t="shared" si="8"/>
        <v>10.891472</v>
      </c>
      <c r="I29" s="459">
        <f t="shared" si="8"/>
        <v>10.343007999999999</v>
      </c>
      <c r="J29" s="459">
        <f t="shared" si="8"/>
        <v>10.343007999999999</v>
      </c>
      <c r="K29" s="459">
        <f t="shared" si="8"/>
        <v>10.378031999999999</v>
      </c>
      <c r="L29" s="459">
        <f t="shared" si="8"/>
        <v>10.452640000000001</v>
      </c>
      <c r="M29" s="459">
        <f t="shared" si="8"/>
        <v>8.252008</v>
      </c>
      <c r="N29" s="459">
        <f t="shared" si="8"/>
        <v>0</v>
      </c>
      <c r="O29" s="459">
        <f t="shared" si="8"/>
        <v>0</v>
      </c>
      <c r="P29" s="7"/>
    </row>
    <row r="30" spans="1:16">
      <c r="B30" s="24">
        <f t="shared" si="5"/>
        <v>44196</v>
      </c>
      <c r="C30" s="24"/>
      <c r="D30" s="459">
        <f t="shared" ref="D30:O30" si="9">+G11</f>
        <v>12.034255999999999</v>
      </c>
      <c r="E30" s="459">
        <f t="shared" si="9"/>
        <v>11.886799999999999</v>
      </c>
      <c r="F30" s="459">
        <f t="shared" si="9"/>
        <v>12.196456</v>
      </c>
      <c r="G30" s="459">
        <f t="shared" si="9"/>
        <v>12.533168</v>
      </c>
      <c r="H30" s="459">
        <f t="shared" si="9"/>
        <v>12.723976</v>
      </c>
      <c r="I30" s="459">
        <f t="shared" si="9"/>
        <v>12.180304</v>
      </c>
      <c r="J30" s="459">
        <f t="shared" si="9"/>
        <v>12.108544</v>
      </c>
      <c r="K30" s="459">
        <f t="shared" si="9"/>
        <v>12.163088</v>
      </c>
      <c r="L30" s="459">
        <f t="shared" si="9"/>
        <v>12.244904</v>
      </c>
      <c r="M30" s="459">
        <f t="shared" si="9"/>
        <v>0</v>
      </c>
      <c r="N30" s="459">
        <f t="shared" si="9"/>
        <v>0</v>
      </c>
      <c r="O30" s="459">
        <f t="shared" si="9"/>
        <v>0</v>
      </c>
      <c r="P30" s="7"/>
    </row>
    <row r="31" spans="1:16">
      <c r="B31" s="24">
        <f t="shared" si="5"/>
        <v>44286</v>
      </c>
      <c r="C31" s="24"/>
      <c r="D31" s="459">
        <f t="shared" ref="D31:O31" si="10">+H12</f>
        <v>6.9119999999999999</v>
      </c>
      <c r="E31" s="459">
        <f t="shared" si="10"/>
        <v>6.9119999999999999</v>
      </c>
      <c r="F31" s="459">
        <f t="shared" si="10"/>
        <v>7.3267199999999999</v>
      </c>
      <c r="G31" s="459">
        <f t="shared" si="10"/>
        <v>8.2192720000000001</v>
      </c>
      <c r="H31" s="459">
        <f t="shared" si="10"/>
        <v>8.4940639999999998</v>
      </c>
      <c r="I31" s="459">
        <f t="shared" si="10"/>
        <v>9.6718639999999994</v>
      </c>
      <c r="J31" s="459">
        <f t="shared" si="10"/>
        <v>9.7107519999999994</v>
      </c>
      <c r="K31" s="459">
        <f t="shared" si="10"/>
        <v>8.6509119999999999</v>
      </c>
      <c r="L31" s="459">
        <f t="shared" si="10"/>
        <v>0</v>
      </c>
      <c r="M31" s="459">
        <f t="shared" si="10"/>
        <v>0</v>
      </c>
      <c r="N31" s="459">
        <f t="shared" si="10"/>
        <v>0</v>
      </c>
      <c r="O31" s="459">
        <f t="shared" si="10"/>
        <v>0</v>
      </c>
      <c r="P31" s="24"/>
    </row>
    <row r="32" spans="1:16">
      <c r="B32" s="24">
        <f t="shared" si="5"/>
        <v>44377</v>
      </c>
      <c r="C32" s="24"/>
      <c r="D32" s="459">
        <f t="shared" ref="D32:O32" si="11">+I13</f>
        <v>7.8796799999999996</v>
      </c>
      <c r="E32" s="459">
        <f t="shared" si="11"/>
        <v>7.7653999999999996</v>
      </c>
      <c r="F32" s="459">
        <f t="shared" si="11"/>
        <v>8.4428879999999999</v>
      </c>
      <c r="G32" s="459">
        <f t="shared" si="11"/>
        <v>8.4428879999999999</v>
      </c>
      <c r="H32" s="459">
        <f t="shared" si="11"/>
        <v>8.2733120000000007</v>
      </c>
      <c r="I32" s="459">
        <f t="shared" si="11"/>
        <v>7.8706800000000001</v>
      </c>
      <c r="J32" s="459">
        <f t="shared" si="11"/>
        <v>8.1642240000000008</v>
      </c>
      <c r="K32" s="459">
        <f t="shared" si="11"/>
        <v>0</v>
      </c>
      <c r="L32" s="459">
        <f t="shared" si="11"/>
        <v>0</v>
      </c>
      <c r="M32" s="459">
        <f t="shared" si="11"/>
        <v>0</v>
      </c>
      <c r="N32" s="459">
        <f t="shared" si="11"/>
        <v>0</v>
      </c>
      <c r="O32" s="459">
        <f t="shared" si="11"/>
        <v>0</v>
      </c>
      <c r="P32" s="24"/>
    </row>
    <row r="33" spans="1:16">
      <c r="B33" s="24">
        <f t="shared" si="5"/>
        <v>44469</v>
      </c>
      <c r="C33" s="24"/>
      <c r="D33" s="459">
        <f t="shared" ref="D33:O33" si="12">+J14</f>
        <v>11.52</v>
      </c>
      <c r="E33" s="459">
        <f t="shared" si="12"/>
        <v>11.166104000000001</v>
      </c>
      <c r="F33" s="459">
        <f t="shared" si="12"/>
        <v>10.981783999999999</v>
      </c>
      <c r="G33" s="459">
        <f t="shared" si="12"/>
        <v>10.981783999999999</v>
      </c>
      <c r="H33" s="459">
        <f t="shared" si="12"/>
        <v>10.80484</v>
      </c>
      <c r="I33" s="459">
        <f t="shared" si="12"/>
        <v>10.80484</v>
      </c>
      <c r="J33" s="459">
        <f t="shared" si="12"/>
        <v>0</v>
      </c>
      <c r="K33" s="459">
        <f t="shared" si="12"/>
        <v>0</v>
      </c>
      <c r="L33" s="459">
        <f t="shared" si="12"/>
        <v>0</v>
      </c>
      <c r="M33" s="459">
        <f t="shared" si="12"/>
        <v>0</v>
      </c>
      <c r="N33" s="459">
        <f t="shared" si="12"/>
        <v>0</v>
      </c>
      <c r="O33" s="459">
        <f t="shared" si="12"/>
        <v>0</v>
      </c>
      <c r="P33" s="24"/>
    </row>
    <row r="34" spans="1:16">
      <c r="B34" s="24">
        <f t="shared" si="5"/>
        <v>44561</v>
      </c>
      <c r="C34" s="24"/>
      <c r="D34" s="459">
        <f t="shared" ref="D34:O34" si="13">+K15</f>
        <v>12.487679999999999</v>
      </c>
      <c r="E34" s="459">
        <f t="shared" si="13"/>
        <v>12.487679999999999</v>
      </c>
      <c r="F34" s="459">
        <f t="shared" si="13"/>
        <v>12.487679999999999</v>
      </c>
      <c r="G34" s="459">
        <f t="shared" si="13"/>
        <v>12.579840000000001</v>
      </c>
      <c r="H34" s="459">
        <f t="shared" si="13"/>
        <v>12.834199999999999</v>
      </c>
      <c r="I34" s="459">
        <f t="shared" si="13"/>
        <v>0</v>
      </c>
      <c r="J34" s="459">
        <f t="shared" si="13"/>
        <v>0</v>
      </c>
      <c r="K34" s="459">
        <f t="shared" si="13"/>
        <v>0</v>
      </c>
      <c r="L34" s="459">
        <f t="shared" si="13"/>
        <v>0</v>
      </c>
      <c r="M34" s="459">
        <f t="shared" si="13"/>
        <v>0</v>
      </c>
      <c r="N34" s="459">
        <f t="shared" si="13"/>
        <v>0</v>
      </c>
      <c r="O34" s="459">
        <f t="shared" si="13"/>
        <v>0</v>
      </c>
      <c r="P34" s="24"/>
    </row>
    <row r="35" spans="1:16">
      <c r="B35" s="24">
        <f t="shared" si="5"/>
        <v>44651</v>
      </c>
      <c r="C35" s="24"/>
      <c r="D35" s="459">
        <f t="shared" ref="D35:O35" si="14">+L16</f>
        <v>15.34464</v>
      </c>
      <c r="E35" s="459">
        <f t="shared" si="14"/>
        <v>15.04604</v>
      </c>
      <c r="F35" s="459">
        <f t="shared" si="14"/>
        <v>15.378848</v>
      </c>
      <c r="G35" s="459">
        <f t="shared" si="14"/>
        <v>15.194528</v>
      </c>
      <c r="H35" s="459">
        <f t="shared" si="14"/>
        <v>0</v>
      </c>
      <c r="I35" s="459">
        <f t="shared" si="14"/>
        <v>0</v>
      </c>
      <c r="J35" s="459">
        <f t="shared" si="14"/>
        <v>0</v>
      </c>
      <c r="K35" s="459">
        <f t="shared" si="14"/>
        <v>0</v>
      </c>
      <c r="L35" s="459">
        <f t="shared" si="14"/>
        <v>0</v>
      </c>
      <c r="M35" s="459">
        <f t="shared" si="14"/>
        <v>0</v>
      </c>
      <c r="N35" s="459">
        <f t="shared" si="14"/>
        <v>0</v>
      </c>
      <c r="O35" s="459">
        <f t="shared" si="14"/>
        <v>0</v>
      </c>
      <c r="P35" s="24"/>
    </row>
    <row r="36" spans="1:16">
      <c r="B36" s="24">
        <f t="shared" si="5"/>
        <v>44742</v>
      </c>
      <c r="C36" s="24"/>
      <c r="D36" s="459">
        <f t="shared" ref="D36:O36" si="15">+M17</f>
        <v>12.672000000000001</v>
      </c>
      <c r="E36" s="459">
        <f t="shared" si="15"/>
        <v>12.672000000000001</v>
      </c>
      <c r="F36" s="459">
        <f t="shared" si="15"/>
        <v>12.672000000000001</v>
      </c>
      <c r="G36" s="459">
        <f t="shared" si="15"/>
        <v>0</v>
      </c>
      <c r="H36" s="459">
        <f t="shared" si="15"/>
        <v>0</v>
      </c>
      <c r="I36" s="459">
        <f t="shared" si="15"/>
        <v>0</v>
      </c>
      <c r="J36" s="459">
        <f t="shared" si="15"/>
        <v>0</v>
      </c>
      <c r="K36" s="459">
        <f t="shared" si="15"/>
        <v>0</v>
      </c>
      <c r="L36" s="459">
        <f t="shared" si="15"/>
        <v>0</v>
      </c>
      <c r="M36" s="459">
        <f t="shared" si="15"/>
        <v>0</v>
      </c>
      <c r="N36" s="459">
        <f t="shared" si="15"/>
        <v>0</v>
      </c>
      <c r="O36" s="459">
        <f t="shared" si="15"/>
        <v>0</v>
      </c>
      <c r="P36" s="24"/>
    </row>
    <row r="37" spans="1:16">
      <c r="B37" s="24">
        <f t="shared" si="5"/>
        <v>44834</v>
      </c>
      <c r="C37" s="24"/>
      <c r="D37" s="459">
        <f t="shared" ref="D37:O37" si="16">+N18</f>
        <v>18.431999999999999</v>
      </c>
      <c r="E37" s="459">
        <f t="shared" si="16"/>
        <v>17.764759999999999</v>
      </c>
      <c r="F37" s="459">
        <f t="shared" si="16"/>
        <v>0</v>
      </c>
      <c r="G37" s="459">
        <f t="shared" si="16"/>
        <v>0</v>
      </c>
      <c r="H37" s="459">
        <f t="shared" si="16"/>
        <v>0</v>
      </c>
      <c r="I37" s="459">
        <f t="shared" si="16"/>
        <v>0</v>
      </c>
      <c r="J37" s="459">
        <f t="shared" si="16"/>
        <v>0</v>
      </c>
      <c r="K37" s="459">
        <f t="shared" si="16"/>
        <v>0</v>
      </c>
      <c r="L37" s="459">
        <f t="shared" si="16"/>
        <v>0</v>
      </c>
      <c r="M37" s="459">
        <f t="shared" si="16"/>
        <v>0</v>
      </c>
      <c r="N37" s="459">
        <f t="shared" si="16"/>
        <v>0</v>
      </c>
      <c r="O37" s="459">
        <f t="shared" si="16"/>
        <v>0</v>
      </c>
      <c r="P37" s="24"/>
    </row>
    <row r="38" spans="1:16">
      <c r="B38" s="24">
        <f t="shared" si="5"/>
        <v>44926</v>
      </c>
      <c r="C38" s="24"/>
      <c r="D38" s="459">
        <f t="shared" ref="D38:O38" si="17">+O19</f>
        <v>18.984960000000001</v>
      </c>
      <c r="E38" s="459">
        <f t="shared" si="17"/>
        <v>0</v>
      </c>
      <c r="F38" s="459">
        <f t="shared" si="17"/>
        <v>0</v>
      </c>
      <c r="G38" s="459">
        <f t="shared" si="17"/>
        <v>0</v>
      </c>
      <c r="H38" s="459">
        <f t="shared" si="17"/>
        <v>0</v>
      </c>
      <c r="I38" s="459">
        <f t="shared" si="17"/>
        <v>0</v>
      </c>
      <c r="J38" s="459">
        <f t="shared" si="17"/>
        <v>0</v>
      </c>
      <c r="K38" s="459">
        <f t="shared" si="17"/>
        <v>0</v>
      </c>
      <c r="L38" s="459">
        <f t="shared" si="17"/>
        <v>0</v>
      </c>
      <c r="M38" s="459">
        <f t="shared" si="17"/>
        <v>0</v>
      </c>
      <c r="N38" s="459">
        <f t="shared" si="17"/>
        <v>0</v>
      </c>
      <c r="O38" s="459">
        <f t="shared" si="17"/>
        <v>0</v>
      </c>
      <c r="P38" s="24"/>
    </row>
    <row r="39" spans="1:16">
      <c r="B39" s="24"/>
      <c r="C39" s="24"/>
      <c r="D39" s="25"/>
      <c r="E39" s="25"/>
      <c r="F39" s="25"/>
      <c r="G39" s="25"/>
      <c r="H39" s="25"/>
      <c r="I39" s="25"/>
      <c r="J39" s="25"/>
      <c r="K39" s="25"/>
      <c r="P39" s="24"/>
    </row>
    <row r="40" spans="1:16">
      <c r="B40" s="24"/>
      <c r="C40" s="24"/>
      <c r="D40" s="25"/>
      <c r="E40" s="25"/>
      <c r="F40" s="25"/>
      <c r="G40" s="25"/>
      <c r="H40" s="25"/>
      <c r="I40" s="25"/>
      <c r="J40" s="25"/>
      <c r="K40" s="25"/>
      <c r="P40" s="24"/>
    </row>
    <row r="41" spans="1:16">
      <c r="B41" s="4"/>
      <c r="C41" s="4"/>
      <c r="D41" s="26">
        <f t="shared" ref="D41:O41" si="18">+D$24</f>
        <v>1</v>
      </c>
      <c r="E41" s="26">
        <f t="shared" si="18"/>
        <v>2</v>
      </c>
      <c r="F41" s="26">
        <f t="shared" si="18"/>
        <v>3</v>
      </c>
      <c r="G41" s="26">
        <f t="shared" si="18"/>
        <v>4</v>
      </c>
      <c r="H41" s="26">
        <f t="shared" si="18"/>
        <v>5</v>
      </c>
      <c r="I41" s="26">
        <f t="shared" si="18"/>
        <v>6</v>
      </c>
      <c r="J41" s="26">
        <f t="shared" si="18"/>
        <v>7</v>
      </c>
      <c r="K41" s="26">
        <f t="shared" si="18"/>
        <v>8</v>
      </c>
      <c r="L41" s="26">
        <f t="shared" si="18"/>
        <v>9</v>
      </c>
      <c r="M41" s="26">
        <f t="shared" si="18"/>
        <v>10</v>
      </c>
      <c r="N41" s="26">
        <f t="shared" si="18"/>
        <v>11</v>
      </c>
      <c r="O41" s="26">
        <f t="shared" si="18"/>
        <v>12</v>
      </c>
      <c r="P41" s="24"/>
    </row>
    <row r="42" spans="1:16" s="10" customFormat="1">
      <c r="A42" s="5"/>
      <c r="B42" s="16" t="s">
        <v>187</v>
      </c>
      <c r="C42" s="16"/>
      <c r="D42" s="15"/>
      <c r="E42" s="15"/>
      <c r="F42" s="15"/>
      <c r="G42" s="15"/>
      <c r="H42" s="15"/>
      <c r="I42" s="5"/>
      <c r="P42" s="16"/>
    </row>
    <row r="43" spans="1:16">
      <c r="B43" s="24">
        <f t="shared" ref="B43:B55" si="19">+B26</f>
        <v>43830</v>
      </c>
      <c r="C43" s="24"/>
      <c r="D43" s="474">
        <f>D26/$D26</f>
        <v>1</v>
      </c>
      <c r="E43" s="474">
        <f t="shared" ref="E43:O44" si="20">E26/$D26</f>
        <v>0.96703083597974193</v>
      </c>
      <c r="F43" s="474">
        <f t="shared" si="20"/>
        <v>0.94176451888361346</v>
      </c>
      <c r="G43" s="474">
        <f t="shared" si="20"/>
        <v>0.91979154039822431</v>
      </c>
      <c r="H43" s="474">
        <f t="shared" si="20"/>
        <v>0.88487038628988135</v>
      </c>
      <c r="I43" s="474">
        <f t="shared" si="20"/>
        <v>0.85506699140158104</v>
      </c>
      <c r="J43" s="474">
        <f t="shared" si="20"/>
        <v>0.82254829744210967</v>
      </c>
      <c r="K43" s="474">
        <f t="shared" si="20"/>
        <v>0.79020076411841267</v>
      </c>
      <c r="L43" s="474">
        <f t="shared" si="20"/>
        <v>0.74472048835811178</v>
      </c>
      <c r="M43" s="474">
        <f t="shared" si="20"/>
        <v>0.71473592738472091</v>
      </c>
      <c r="N43" s="474">
        <f t="shared" si="20"/>
        <v>0.67339712069587565</v>
      </c>
      <c r="O43" s="474">
        <f t="shared" si="20"/>
        <v>0.65666250082102307</v>
      </c>
      <c r="P43" s="1"/>
    </row>
    <row r="44" spans="1:16">
      <c r="B44" s="24">
        <f t="shared" si="19"/>
        <v>43921</v>
      </c>
      <c r="C44" s="24"/>
      <c r="D44" s="474">
        <f>D27/$D27</f>
        <v>1</v>
      </c>
      <c r="E44" s="474">
        <f t="shared" si="20"/>
        <v>1</v>
      </c>
      <c r="F44" s="474">
        <f t="shared" si="20"/>
        <v>1.0250696378830082</v>
      </c>
      <c r="G44" s="474">
        <f t="shared" si="20"/>
        <v>1.0139275766016713</v>
      </c>
      <c r="H44" s="474">
        <f t="shared" si="20"/>
        <v>1.0027855153203342</v>
      </c>
      <c r="I44" s="474">
        <f t="shared" si="20"/>
        <v>1.0223953497369236</v>
      </c>
      <c r="J44" s="474">
        <f t="shared" si="20"/>
        <v>1.0396167014856081</v>
      </c>
      <c r="K44" s="474">
        <f t="shared" si="20"/>
        <v>1.0106473421541318</v>
      </c>
      <c r="L44" s="474">
        <f t="shared" si="20"/>
        <v>1.0606787759207676</v>
      </c>
      <c r="M44" s="474">
        <f t="shared" si="20"/>
        <v>1.0759483325595791</v>
      </c>
      <c r="N44" s="474">
        <f t="shared" si="20"/>
        <v>1.0504047701949861</v>
      </c>
      <c r="O44" s="474">
        <f t="shared" si="20"/>
        <v>1.0205547818012999</v>
      </c>
      <c r="P44" s="1"/>
    </row>
    <row r="45" spans="1:16">
      <c r="B45" s="24">
        <f t="shared" si="19"/>
        <v>44012</v>
      </c>
      <c r="C45" s="24"/>
      <c r="D45" s="474">
        <f t="shared" ref="D45:O45" si="21">D28/$D28</f>
        <v>1</v>
      </c>
      <c r="E45" s="474">
        <f t="shared" si="21"/>
        <v>0.98909090909090902</v>
      </c>
      <c r="F45" s="474">
        <f t="shared" si="21"/>
        <v>0.9661786616161615</v>
      </c>
      <c r="G45" s="474">
        <f t="shared" si="21"/>
        <v>0.9616698232323232</v>
      </c>
      <c r="H45" s="474">
        <f t="shared" si="21"/>
        <v>0.91337373737373739</v>
      </c>
      <c r="I45" s="474">
        <f t="shared" si="21"/>
        <v>0.87751010101010107</v>
      </c>
      <c r="J45" s="474">
        <f t="shared" si="21"/>
        <v>0.85904292929292925</v>
      </c>
      <c r="K45" s="474">
        <f t="shared" si="21"/>
        <v>0.84771654040404043</v>
      </c>
      <c r="L45" s="474">
        <f t="shared" si="21"/>
        <v>0.71180050505050496</v>
      </c>
      <c r="M45" s="474">
        <f t="shared" si="21"/>
        <v>0.69111742424242417</v>
      </c>
      <c r="N45" s="474">
        <f t="shared" si="21"/>
        <v>0.674580808080808</v>
      </c>
      <c r="O45" s="474">
        <f t="shared" si="21"/>
        <v>0</v>
      </c>
      <c r="P45" s="1"/>
    </row>
    <row r="46" spans="1:16">
      <c r="B46" s="24">
        <f t="shared" si="19"/>
        <v>44104</v>
      </c>
      <c r="C46" s="24"/>
      <c r="D46" s="474">
        <f t="shared" ref="D46:O46" si="22">D29/$D29</f>
        <v>1</v>
      </c>
      <c r="E46" s="474">
        <f t="shared" si="22"/>
        <v>1.0128205128205128</v>
      </c>
      <c r="F46" s="474">
        <f t="shared" si="22"/>
        <v>1.0128205128205128</v>
      </c>
      <c r="G46" s="474">
        <f t="shared" si="22"/>
        <v>0.99572649572649574</v>
      </c>
      <c r="H46" s="474">
        <f t="shared" si="22"/>
        <v>1.0100857668566003</v>
      </c>
      <c r="I46" s="474">
        <f t="shared" si="22"/>
        <v>0.95922067901234565</v>
      </c>
      <c r="J46" s="474">
        <f t="shared" si="22"/>
        <v>0.95922067901234565</v>
      </c>
      <c r="K46" s="474">
        <f t="shared" si="22"/>
        <v>0.96246883903133906</v>
      </c>
      <c r="L46" s="474">
        <f t="shared" si="22"/>
        <v>0.96938805792972471</v>
      </c>
      <c r="M46" s="474">
        <f t="shared" si="22"/>
        <v>0.76529929368471039</v>
      </c>
      <c r="N46" s="474">
        <f t="shared" si="22"/>
        <v>0</v>
      </c>
      <c r="O46" s="474">
        <f t="shared" si="22"/>
        <v>0</v>
      </c>
      <c r="P46" s="1"/>
    </row>
    <row r="47" spans="1:16">
      <c r="B47" s="24">
        <f t="shared" si="19"/>
        <v>44196</v>
      </c>
      <c r="C47" s="24"/>
      <c r="D47" s="474">
        <f t="shared" ref="D47:O47" si="23">D30/$D30</f>
        <v>1</v>
      </c>
      <c r="E47" s="474">
        <f t="shared" si="23"/>
        <v>0.98774697829263391</v>
      </c>
      <c r="F47" s="474">
        <f t="shared" si="23"/>
        <v>1.013478190924308</v>
      </c>
      <c r="G47" s="474">
        <f t="shared" si="23"/>
        <v>1.0414576522221233</v>
      </c>
      <c r="H47" s="474">
        <f t="shared" si="23"/>
        <v>1.0573130569933031</v>
      </c>
      <c r="I47" s="474">
        <f t="shared" si="23"/>
        <v>1.0121360223681464</v>
      </c>
      <c r="J47" s="474">
        <f t="shared" si="23"/>
        <v>1.0061730446817818</v>
      </c>
      <c r="K47" s="474">
        <f t="shared" si="23"/>
        <v>1.0107054395385973</v>
      </c>
      <c r="L47" s="474">
        <f t="shared" si="23"/>
        <v>1.0175040318238204</v>
      </c>
      <c r="M47" s="474">
        <f t="shared" si="23"/>
        <v>0</v>
      </c>
      <c r="N47" s="474">
        <f t="shared" si="23"/>
        <v>0</v>
      </c>
      <c r="O47" s="474">
        <f t="shared" si="23"/>
        <v>0</v>
      </c>
      <c r="P47" s="1"/>
    </row>
    <row r="48" spans="1:16">
      <c r="B48" s="24">
        <f t="shared" si="19"/>
        <v>44286</v>
      </c>
      <c r="C48" s="24"/>
      <c r="D48" s="474">
        <f t="shared" ref="D48:O48" si="24">D31/$D31</f>
        <v>1</v>
      </c>
      <c r="E48" s="474">
        <f t="shared" si="24"/>
        <v>1</v>
      </c>
      <c r="F48" s="474">
        <f t="shared" si="24"/>
        <v>1.06</v>
      </c>
      <c r="G48" s="474">
        <f t="shared" si="24"/>
        <v>1.1891307870370371</v>
      </c>
      <c r="H48" s="474">
        <f t="shared" si="24"/>
        <v>1.228886574074074</v>
      </c>
      <c r="I48" s="474">
        <f t="shared" si="24"/>
        <v>1.3992858796296295</v>
      </c>
      <c r="J48" s="474">
        <f t="shared" si="24"/>
        <v>1.4049120370370369</v>
      </c>
      <c r="K48" s="474">
        <f t="shared" si="24"/>
        <v>1.2515787037037036</v>
      </c>
      <c r="L48" s="474">
        <f t="shared" si="24"/>
        <v>0</v>
      </c>
      <c r="M48" s="474">
        <f t="shared" si="24"/>
        <v>0</v>
      </c>
      <c r="N48" s="474">
        <f t="shared" si="24"/>
        <v>0</v>
      </c>
      <c r="O48" s="474">
        <f t="shared" si="24"/>
        <v>0</v>
      </c>
      <c r="P48" s="1"/>
    </row>
    <row r="49" spans="1:16">
      <c r="B49" s="24">
        <f t="shared" si="19"/>
        <v>44377</v>
      </c>
      <c r="C49" s="24"/>
      <c r="D49" s="474">
        <f t="shared" ref="D49:O49" si="25">D32/$D32</f>
        <v>1</v>
      </c>
      <c r="E49" s="474">
        <f t="shared" si="25"/>
        <v>0.98549687296946065</v>
      </c>
      <c r="F49" s="474">
        <f t="shared" si="25"/>
        <v>1.0714759990253411</v>
      </c>
      <c r="G49" s="474">
        <f t="shared" si="25"/>
        <v>1.0714759990253411</v>
      </c>
      <c r="H49" s="474">
        <f t="shared" si="25"/>
        <v>1.0499553281351528</v>
      </c>
      <c r="I49" s="474">
        <f t="shared" si="25"/>
        <v>0.99885782163742698</v>
      </c>
      <c r="J49" s="474">
        <f t="shared" si="25"/>
        <v>1.0361111111111112</v>
      </c>
      <c r="K49" s="474">
        <f t="shared" si="25"/>
        <v>0</v>
      </c>
      <c r="L49" s="474">
        <f t="shared" si="25"/>
        <v>0</v>
      </c>
      <c r="M49" s="474">
        <f t="shared" si="25"/>
        <v>0</v>
      </c>
      <c r="N49" s="474">
        <f t="shared" si="25"/>
        <v>0</v>
      </c>
      <c r="O49" s="474">
        <f t="shared" si="25"/>
        <v>0</v>
      </c>
      <c r="P49" s="1"/>
    </row>
    <row r="50" spans="1:16">
      <c r="B50" s="24">
        <f t="shared" si="19"/>
        <v>44469</v>
      </c>
      <c r="C50" s="24"/>
      <c r="D50" s="474">
        <f t="shared" ref="D50:O50" si="26">D33/$D33</f>
        <v>1</v>
      </c>
      <c r="E50" s="474">
        <f t="shared" si="26"/>
        <v>0.9692798611111112</v>
      </c>
      <c r="F50" s="474">
        <f t="shared" si="26"/>
        <v>0.95327986111111107</v>
      </c>
      <c r="G50" s="474">
        <f t="shared" si="26"/>
        <v>0.95327986111111107</v>
      </c>
      <c r="H50" s="474">
        <f t="shared" si="26"/>
        <v>0.93792013888888892</v>
      </c>
      <c r="I50" s="474">
        <f t="shared" si="26"/>
        <v>0.93792013888888892</v>
      </c>
      <c r="J50" s="474">
        <f t="shared" si="26"/>
        <v>0</v>
      </c>
      <c r="K50" s="474">
        <f t="shared" si="26"/>
        <v>0</v>
      </c>
      <c r="L50" s="474">
        <f t="shared" si="26"/>
        <v>0</v>
      </c>
      <c r="M50" s="474">
        <f t="shared" si="26"/>
        <v>0</v>
      </c>
      <c r="N50" s="474">
        <f t="shared" si="26"/>
        <v>0</v>
      </c>
      <c r="O50" s="474">
        <f t="shared" si="26"/>
        <v>0</v>
      </c>
      <c r="P50" s="1"/>
    </row>
    <row r="51" spans="1:16">
      <c r="B51" s="24">
        <f t="shared" si="19"/>
        <v>44561</v>
      </c>
      <c r="C51" s="24"/>
      <c r="D51" s="474">
        <f t="shared" ref="D51:O51" si="27">D34/$D34</f>
        <v>1</v>
      </c>
      <c r="E51" s="474">
        <f t="shared" si="27"/>
        <v>1</v>
      </c>
      <c r="F51" s="474">
        <f t="shared" si="27"/>
        <v>1</v>
      </c>
      <c r="G51" s="474">
        <f t="shared" si="27"/>
        <v>1.0073800738007381</v>
      </c>
      <c r="H51" s="474">
        <f t="shared" si="27"/>
        <v>1.0277489493644936</v>
      </c>
      <c r="I51" s="474">
        <f t="shared" si="27"/>
        <v>0</v>
      </c>
      <c r="J51" s="474">
        <f t="shared" si="27"/>
        <v>0</v>
      </c>
      <c r="K51" s="474">
        <f t="shared" si="27"/>
        <v>0</v>
      </c>
      <c r="L51" s="474">
        <f t="shared" si="27"/>
        <v>0</v>
      </c>
      <c r="M51" s="474">
        <f t="shared" si="27"/>
        <v>0</v>
      </c>
      <c r="N51" s="474">
        <f t="shared" si="27"/>
        <v>0</v>
      </c>
      <c r="O51" s="474">
        <f t="shared" si="27"/>
        <v>0</v>
      </c>
      <c r="P51" s="1"/>
    </row>
    <row r="52" spans="1:16">
      <c r="B52" s="24">
        <f t="shared" si="19"/>
        <v>44651</v>
      </c>
      <c r="C52" s="24"/>
      <c r="D52" s="474">
        <f t="shared" ref="D52:O52" si="28">D35/$D35</f>
        <v>1</v>
      </c>
      <c r="E52" s="474">
        <f t="shared" si="28"/>
        <v>0.98054043626960286</v>
      </c>
      <c r="F52" s="474">
        <f t="shared" si="28"/>
        <v>1.0022293126459794</v>
      </c>
      <c r="G52" s="474">
        <f t="shared" si="28"/>
        <v>0.99021730063396729</v>
      </c>
      <c r="H52" s="474">
        <f t="shared" si="28"/>
        <v>0</v>
      </c>
      <c r="I52" s="474">
        <f t="shared" si="28"/>
        <v>0</v>
      </c>
      <c r="J52" s="474">
        <f t="shared" si="28"/>
        <v>0</v>
      </c>
      <c r="K52" s="474">
        <f t="shared" si="28"/>
        <v>0</v>
      </c>
      <c r="L52" s="474">
        <f t="shared" si="28"/>
        <v>0</v>
      </c>
      <c r="M52" s="474">
        <f t="shared" si="28"/>
        <v>0</v>
      </c>
      <c r="N52" s="474">
        <f t="shared" si="28"/>
        <v>0</v>
      </c>
      <c r="O52" s="474">
        <f t="shared" si="28"/>
        <v>0</v>
      </c>
      <c r="P52" s="1"/>
    </row>
    <row r="53" spans="1:16">
      <c r="B53" s="24">
        <f t="shared" si="19"/>
        <v>44742</v>
      </c>
      <c r="C53" s="24"/>
      <c r="D53" s="474">
        <f t="shared" ref="D53:O53" si="29">D36/$D36</f>
        <v>1</v>
      </c>
      <c r="E53" s="474">
        <f t="shared" si="29"/>
        <v>1</v>
      </c>
      <c r="F53" s="474">
        <f t="shared" si="29"/>
        <v>1</v>
      </c>
      <c r="G53" s="474">
        <f t="shared" si="29"/>
        <v>0</v>
      </c>
      <c r="H53" s="474">
        <f t="shared" si="29"/>
        <v>0</v>
      </c>
      <c r="I53" s="474">
        <f t="shared" si="29"/>
        <v>0</v>
      </c>
      <c r="J53" s="474">
        <f t="shared" si="29"/>
        <v>0</v>
      </c>
      <c r="K53" s="474">
        <f t="shared" si="29"/>
        <v>0</v>
      </c>
      <c r="L53" s="474">
        <f t="shared" si="29"/>
        <v>0</v>
      </c>
      <c r="M53" s="474">
        <f t="shared" si="29"/>
        <v>0</v>
      </c>
      <c r="N53" s="474">
        <f t="shared" si="29"/>
        <v>0</v>
      </c>
      <c r="O53" s="474">
        <f t="shared" si="29"/>
        <v>0</v>
      </c>
      <c r="P53" s="1"/>
    </row>
    <row r="54" spans="1:16">
      <c r="B54" s="24">
        <f t="shared" si="19"/>
        <v>44834</v>
      </c>
      <c r="C54" s="24"/>
      <c r="D54" s="474">
        <f t="shared" ref="D54:O54" si="30">D37/$D37</f>
        <v>1</v>
      </c>
      <c r="E54" s="474">
        <f t="shared" si="30"/>
        <v>0.96379991319444447</v>
      </c>
      <c r="F54" s="474">
        <f t="shared" si="30"/>
        <v>0</v>
      </c>
      <c r="G54" s="474">
        <f t="shared" si="30"/>
        <v>0</v>
      </c>
      <c r="H54" s="474">
        <f t="shared" si="30"/>
        <v>0</v>
      </c>
      <c r="I54" s="474">
        <f t="shared" si="30"/>
        <v>0</v>
      </c>
      <c r="J54" s="474">
        <f t="shared" si="30"/>
        <v>0</v>
      </c>
      <c r="K54" s="474">
        <f t="shared" si="30"/>
        <v>0</v>
      </c>
      <c r="L54" s="474">
        <f t="shared" si="30"/>
        <v>0</v>
      </c>
      <c r="M54" s="474">
        <f t="shared" si="30"/>
        <v>0</v>
      </c>
      <c r="N54" s="474">
        <f t="shared" si="30"/>
        <v>0</v>
      </c>
      <c r="O54" s="474">
        <f t="shared" si="30"/>
        <v>0</v>
      </c>
      <c r="P54" s="1"/>
    </row>
    <row r="55" spans="1:16">
      <c r="B55" s="24">
        <f t="shared" si="19"/>
        <v>44926</v>
      </c>
      <c r="C55" s="24"/>
      <c r="D55" s="474">
        <f t="shared" ref="D55:O55" si="31">D38/$D38</f>
        <v>1</v>
      </c>
      <c r="E55" s="474">
        <f t="shared" si="31"/>
        <v>0</v>
      </c>
      <c r="F55" s="474">
        <f t="shared" si="31"/>
        <v>0</v>
      </c>
      <c r="G55" s="474">
        <f t="shared" si="31"/>
        <v>0</v>
      </c>
      <c r="H55" s="474">
        <f t="shared" si="31"/>
        <v>0</v>
      </c>
      <c r="I55" s="474">
        <f t="shared" si="31"/>
        <v>0</v>
      </c>
      <c r="J55" s="474">
        <f t="shared" si="31"/>
        <v>0</v>
      </c>
      <c r="K55" s="474">
        <f t="shared" si="31"/>
        <v>0</v>
      </c>
      <c r="L55" s="474">
        <f t="shared" si="31"/>
        <v>0</v>
      </c>
      <c r="M55" s="474">
        <f t="shared" si="31"/>
        <v>0</v>
      </c>
      <c r="N55" s="474">
        <f t="shared" si="31"/>
        <v>0</v>
      </c>
      <c r="O55" s="474">
        <f t="shared" si="31"/>
        <v>0</v>
      </c>
      <c r="P55" s="1"/>
    </row>
    <row r="56" spans="1:16">
      <c r="B56" s="24"/>
      <c r="C56" s="24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4"/>
    </row>
    <row r="57" spans="1:16">
      <c r="D57" s="8"/>
      <c r="E57" s="8"/>
      <c r="F57" s="8"/>
      <c r="G57" s="8"/>
      <c r="H57" s="8"/>
    </row>
    <row r="58" spans="1:16">
      <c r="B58" s="4"/>
      <c r="C58" s="28" t="s">
        <v>21</v>
      </c>
      <c r="D58" s="26">
        <f t="shared" ref="D58:O58" si="32">+D$24</f>
        <v>1</v>
      </c>
      <c r="E58" s="26">
        <f t="shared" si="32"/>
        <v>2</v>
      </c>
      <c r="F58" s="26">
        <f t="shared" si="32"/>
        <v>3</v>
      </c>
      <c r="G58" s="26">
        <f t="shared" si="32"/>
        <v>4</v>
      </c>
      <c r="H58" s="26">
        <f t="shared" si="32"/>
        <v>5</v>
      </c>
      <c r="I58" s="26">
        <f t="shared" si="32"/>
        <v>6</v>
      </c>
      <c r="J58" s="26">
        <f t="shared" si="32"/>
        <v>7</v>
      </c>
      <c r="K58" s="26">
        <f t="shared" si="32"/>
        <v>8</v>
      </c>
      <c r="L58" s="26">
        <f t="shared" si="32"/>
        <v>9</v>
      </c>
      <c r="M58" s="26">
        <f t="shared" si="32"/>
        <v>10</v>
      </c>
      <c r="N58" s="26">
        <f t="shared" si="32"/>
        <v>11</v>
      </c>
      <c r="O58" s="26">
        <f t="shared" si="32"/>
        <v>12</v>
      </c>
      <c r="P58" s="28" t="s">
        <v>24</v>
      </c>
    </row>
    <row r="59" spans="1:16">
      <c r="B59" s="16" t="s">
        <v>22</v>
      </c>
      <c r="C59" s="16"/>
      <c r="D59" s="15"/>
      <c r="E59" s="15"/>
      <c r="F59" s="15"/>
      <c r="G59" s="15"/>
      <c r="H59" s="15"/>
      <c r="I59" s="5"/>
      <c r="J59" s="10"/>
      <c r="K59" s="10"/>
      <c r="P59" s="1"/>
    </row>
    <row r="60" spans="1:16">
      <c r="A60" s="1"/>
      <c r="B60" s="24">
        <f t="shared" ref="B60:B71" si="33">+B44</f>
        <v>43921</v>
      </c>
      <c r="C60" s="410" cm="1">
        <f t="array" ref="C60:C71">-TRANSPOSE(Model!C20:N20)</f>
        <v>-14.003969528003877</v>
      </c>
      <c r="D60" s="459">
        <f t="shared" ref="D60:O60" si="34">C60+(D27*$P60/4)</f>
        <v>-10.814964819739867</v>
      </c>
      <c r="E60" s="459">
        <f t="shared" si="34"/>
        <v>-7.6259601114758562</v>
      </c>
      <c r="F60" s="459">
        <f t="shared" si="34"/>
        <v>-4.3570082099684582</v>
      </c>
      <c r="G60" s="459">
        <f t="shared" si="34"/>
        <v>-1.1235883943470104</v>
      </c>
      <c r="H60" s="459">
        <f t="shared" si="34"/>
        <v>2.0742993353884875</v>
      </c>
      <c r="I60" s="459">
        <f t="shared" si="34"/>
        <v>5.3347229194067669</v>
      </c>
      <c r="J60" s="459">
        <f t="shared" si="34"/>
        <v>8.6500654752342712</v>
      </c>
      <c r="K60" s="459">
        <f t="shared" si="34"/>
        <v>11.873024607758307</v>
      </c>
      <c r="L60" s="459">
        <f t="shared" si="34"/>
        <v>15.255534218125343</v>
      </c>
      <c r="M60" s="459">
        <f t="shared" si="34"/>
        <v>18.686738516506651</v>
      </c>
      <c r="N60" s="459">
        <f t="shared" si="34"/>
        <v>22.036484274241438</v>
      </c>
      <c r="O60" s="459">
        <f t="shared" si="34"/>
        <v>25.291038278447132</v>
      </c>
      <c r="P60" s="475" cm="1">
        <f t="array" ref="P60:P71">+TRANSPOSE(Model!C17:N17)</f>
        <v>0.77109561384440062</v>
      </c>
    </row>
    <row r="61" spans="1:16">
      <c r="A61" s="1"/>
      <c r="B61" s="24">
        <f t="shared" si="33"/>
        <v>44012</v>
      </c>
      <c r="C61" s="410">
        <v>-14.083162297273198</v>
      </c>
      <c r="D61" s="459">
        <f t="shared" ref="D61:N61" si="35">C61+(D28*$P61/4)</f>
        <v>-11.620209551233778</v>
      </c>
      <c r="E61" s="459">
        <f t="shared" si="35"/>
        <v>-9.1841253806056979</v>
      </c>
      <c r="F61" s="459">
        <f t="shared" si="35"/>
        <v>-6.8044729928134817</v>
      </c>
      <c r="G61" s="459">
        <f t="shared" si="35"/>
        <v>-4.435925660900188</v>
      </c>
      <c r="H61" s="459">
        <f t="shared" si="35"/>
        <v>-2.1863293062752538</v>
      </c>
      <c r="I61" s="459">
        <f t="shared" si="35"/>
        <v>-2.5063393315096771E-2</v>
      </c>
      <c r="J61" s="459">
        <f t="shared" si="35"/>
        <v>2.0907187483526704</v>
      </c>
      <c r="K61" s="459">
        <f t="shared" si="35"/>
        <v>4.1786045294038381</v>
      </c>
      <c r="L61" s="459">
        <f t="shared" si="35"/>
        <v>5.9317355379502255</v>
      </c>
      <c r="M61" s="459">
        <f t="shared" si="35"/>
        <v>7.6339250958237947</v>
      </c>
      <c r="N61" s="459">
        <f t="shared" si="35"/>
        <v>9.2953857495119117</v>
      </c>
      <c r="O61" s="459"/>
      <c r="P61" s="475">
        <v>0.77744720518921073</v>
      </c>
    </row>
    <row r="62" spans="1:16">
      <c r="A62" s="1"/>
      <c r="B62" s="24">
        <f t="shared" si="33"/>
        <v>44104</v>
      </c>
      <c r="C62" s="410">
        <v>-14.056085090656572</v>
      </c>
      <c r="D62" s="459">
        <f t="shared" ref="D62:M62" si="36">C62+(D29*$P62/4)</f>
        <v>-11.962988553018022</v>
      </c>
      <c r="E62" s="459">
        <f t="shared" si="36"/>
        <v>-9.8430574443841063</v>
      </c>
      <c r="F62" s="459">
        <f t="shared" si="36"/>
        <v>-7.7231263357501909</v>
      </c>
      <c r="G62" s="459">
        <f t="shared" si="36"/>
        <v>-5.638974655110097</v>
      </c>
      <c r="H62" s="459">
        <f t="shared" si="36"/>
        <v>-3.5247676337845681</v>
      </c>
      <c r="I62" s="459">
        <f t="shared" si="36"/>
        <v>-1.5170261517125292</v>
      </c>
      <c r="J62" s="459">
        <f t="shared" si="36"/>
        <v>0.49071533035950976</v>
      </c>
      <c r="K62" s="459">
        <f t="shared" si="36"/>
        <v>2.5052555249209996</v>
      </c>
      <c r="L62" s="459">
        <f t="shared" si="36"/>
        <v>4.5342783126018631</v>
      </c>
      <c r="M62" s="459">
        <f t="shared" si="36"/>
        <v>6.1361236144705575</v>
      </c>
      <c r="N62" s="459"/>
      <c r="O62" s="459"/>
      <c r="P62" s="475">
        <v>0.77646328111591478</v>
      </c>
    </row>
    <row r="63" spans="1:16">
      <c r="A63" s="1"/>
      <c r="B63" s="24">
        <f t="shared" si="33"/>
        <v>44196</v>
      </c>
      <c r="C63" s="410">
        <v>-14.845196324956168</v>
      </c>
      <c r="D63" s="459">
        <f t="shared" ref="D63:L63" si="37">C63+(D30*$P63/4)</f>
        <v>-12.505773837963954</v>
      </c>
      <c r="E63" s="459">
        <f t="shared" si="37"/>
        <v>-10.195016345487556</v>
      </c>
      <c r="F63" s="459">
        <f t="shared" si="37"/>
        <v>-7.8240626755630398</v>
      </c>
      <c r="G63" s="459">
        <f t="shared" si="37"/>
        <v>-5.3876532247044873</v>
      </c>
      <c r="H63" s="459">
        <f t="shared" si="37"/>
        <v>-2.9141512833838727</v>
      </c>
      <c r="I63" s="459">
        <f t="shared" si="37"/>
        <v>-0.54633751276097575</v>
      </c>
      <c r="J63" s="459">
        <f t="shared" si="37"/>
        <v>1.8075263337730072</v>
      </c>
      <c r="K63" s="459">
        <f t="shared" si="37"/>
        <v>4.1719933667549522</v>
      </c>
      <c r="L63" s="459">
        <f t="shared" si="37"/>
        <v>6.5523651794088398</v>
      </c>
      <c r="M63" s="459"/>
      <c r="N63" s="459"/>
      <c r="O63" s="459"/>
      <c r="P63" s="475">
        <v>0.77758774185698387</v>
      </c>
    </row>
    <row r="64" spans="1:16">
      <c r="A64" s="1"/>
      <c r="B64" s="24">
        <f t="shared" si="33"/>
        <v>44286</v>
      </c>
      <c r="C64" s="410">
        <v>-13.968858753550391</v>
      </c>
      <c r="D64" s="459">
        <f t="shared" ref="D64:K64" si="38">C64+(D31*$P64/4)</f>
        <v>-12.626491261757334</v>
      </c>
      <c r="E64" s="459">
        <f t="shared" si="38"/>
        <v>-11.284123769964276</v>
      </c>
      <c r="F64" s="459">
        <f t="shared" si="38"/>
        <v>-9.861214228663636</v>
      </c>
      <c r="G64" s="459">
        <f t="shared" si="38"/>
        <v>-8.2649637166548242</v>
      </c>
      <c r="H64" s="459">
        <f t="shared" si="38"/>
        <v>-6.6153463285168463</v>
      </c>
      <c r="I64" s="459">
        <f t="shared" si="38"/>
        <v>-4.7369904519769781</v>
      </c>
      <c r="J64" s="459">
        <f t="shared" si="38"/>
        <v>-2.8510822046296953</v>
      </c>
      <c r="K64" s="459">
        <f t="shared" si="38"/>
        <v>-1.171003639357348</v>
      </c>
      <c r="L64" s="459"/>
      <c r="M64" s="459"/>
      <c r="N64" s="459"/>
      <c r="O64" s="459"/>
      <c r="P64" s="475">
        <v>0.77683303923209357</v>
      </c>
    </row>
    <row r="65" spans="1:16">
      <c r="A65" s="1"/>
      <c r="B65" s="24">
        <f t="shared" si="33"/>
        <v>44377</v>
      </c>
      <c r="C65" s="410">
        <v>-14.048706080988852</v>
      </c>
      <c r="D65" s="459">
        <f t="shared" ref="D65:J65" si="39">C65+(D32*$P65/4)</f>
        <v>-12.515042758411703</v>
      </c>
      <c r="E65" s="459">
        <f t="shared" si="39"/>
        <v>-11.003622349823969</v>
      </c>
      <c r="F65" s="459">
        <f t="shared" si="39"/>
        <v>-9.360338909097095</v>
      </c>
      <c r="G65" s="459">
        <f t="shared" si="39"/>
        <v>-7.7170554683702202</v>
      </c>
      <c r="H65" s="459">
        <f t="shared" si="39"/>
        <v>-6.1067774912648805</v>
      </c>
      <c r="I65" s="459">
        <f t="shared" si="39"/>
        <v>-4.5748658857502509</v>
      </c>
      <c r="J65" s="459">
        <f t="shared" si="39"/>
        <v>-2.9858202765244823</v>
      </c>
      <c r="K65" s="459"/>
      <c r="L65" s="459"/>
      <c r="M65" s="459"/>
      <c r="N65" s="459"/>
      <c r="O65" s="459"/>
      <c r="P65" s="475">
        <v>0.77854091667537217</v>
      </c>
    </row>
    <row r="66" spans="1:16">
      <c r="A66" s="1"/>
      <c r="B66" s="24">
        <f t="shared" si="33"/>
        <v>44469</v>
      </c>
      <c r="C66" s="410">
        <v>-14.759203826691357</v>
      </c>
      <c r="D66" s="459">
        <f t="shared" ref="D66:I66" si="40">C66+(D33*$P66/4)</f>
        <v>-12.535026302603862</v>
      </c>
      <c r="E66" s="459">
        <f t="shared" si="40"/>
        <v>-10.379175820969881</v>
      </c>
      <c r="F66" s="459">
        <f t="shared" si="40"/>
        <v>-8.2589121797212997</v>
      </c>
      <c r="G66" s="459">
        <f t="shared" si="40"/>
        <v>-6.1386485384727179</v>
      </c>
      <c r="H66" s="459">
        <f t="shared" si="40"/>
        <v>-4.0525476461670298</v>
      </c>
      <c r="I66" s="459">
        <f t="shared" si="40"/>
        <v>-1.9664467538613417</v>
      </c>
      <c r="J66" s="459"/>
      <c r="K66" s="459"/>
      <c r="L66" s="459"/>
      <c r="M66" s="459"/>
      <c r="N66" s="459"/>
      <c r="O66" s="459"/>
      <c r="P66" s="475">
        <v>0.77228386253038006</v>
      </c>
    </row>
    <row r="67" spans="1:16">
      <c r="A67" s="1"/>
      <c r="B67" s="24">
        <f t="shared" si="33"/>
        <v>44561</v>
      </c>
      <c r="C67" s="410">
        <v>-14.257531617198369</v>
      </c>
      <c r="D67" s="459">
        <f>C67+(D34*$P67/4)</f>
        <v>-11.826284572479173</v>
      </c>
      <c r="E67" s="459">
        <f>D67+(E34*$P67/4)</f>
        <v>-9.3950375277599765</v>
      </c>
      <c r="F67" s="459">
        <f>E67+(F34*$P67/4)</f>
        <v>-6.9637904830407802</v>
      </c>
      <c r="G67" s="459">
        <f>F67+(G34*$P67/4)</f>
        <v>-4.5146006557037301</v>
      </c>
      <c r="H67" s="459">
        <f>G67+(H34*$P67/4)</f>
        <v>-2.0158890598480466</v>
      </c>
      <c r="I67" s="459"/>
      <c r="J67" s="459"/>
      <c r="K67" s="459"/>
      <c r="L67" s="459"/>
      <c r="M67" s="459"/>
      <c r="N67" s="459"/>
      <c r="O67" s="459"/>
      <c r="P67" s="475">
        <v>0.77876660667768427</v>
      </c>
    </row>
    <row r="68" spans="1:16">
      <c r="A68" s="1"/>
      <c r="B68" s="24">
        <f t="shared" si="33"/>
        <v>44651</v>
      </c>
      <c r="C68" s="410">
        <v>-14.673867768404181</v>
      </c>
      <c r="D68" s="459">
        <f>C68+(D35*$P68/4)</f>
        <v>-11.719012696620467</v>
      </c>
      <c r="E68" s="459">
        <f>D68+(E35*$P68/4)</f>
        <v>-8.8216578154202168</v>
      </c>
      <c r="F68" s="459">
        <f>E68+(F35*$P68/4)</f>
        <v>-5.8602154478579402</v>
      </c>
      <c r="G68" s="459">
        <f>F68+(G35*$P68/4)</f>
        <v>-2.9342668349116838</v>
      </c>
      <c r="H68" s="459"/>
      <c r="I68" s="459"/>
      <c r="J68" s="459"/>
      <c r="K68" s="459"/>
      <c r="L68" s="459"/>
      <c r="M68" s="459"/>
      <c r="N68" s="459"/>
      <c r="O68" s="459"/>
      <c r="P68" s="475">
        <v>0.77026377204905772</v>
      </c>
    </row>
    <row r="69" spans="1:16">
      <c r="A69" s="1"/>
      <c r="B69" s="24">
        <f t="shared" si="33"/>
        <v>44742</v>
      </c>
      <c r="C69" s="410">
        <v>-15.107327385645698</v>
      </c>
      <c r="D69" s="459">
        <f>C69+(D36*$P69/4)</f>
        <v>-12.657146463820041</v>
      </c>
      <c r="E69" s="459">
        <f>D69+(E36*$P69/4)</f>
        <v>-10.206965541994386</v>
      </c>
      <c r="F69" s="459">
        <f>E69+(F36*$P69/4)</f>
        <v>-7.7567846201687294</v>
      </c>
      <c r="G69" s="459"/>
      <c r="H69" s="459"/>
      <c r="I69" s="459"/>
      <c r="J69" s="459"/>
      <c r="K69" s="459"/>
      <c r="L69" s="459"/>
      <c r="M69" s="459"/>
      <c r="N69" s="459"/>
      <c r="O69" s="459"/>
      <c r="P69" s="475">
        <v>0.77341569502072482</v>
      </c>
    </row>
    <row r="70" spans="1:16">
      <c r="A70" s="1"/>
      <c r="B70" s="24">
        <f t="shared" si="33"/>
        <v>44834</v>
      </c>
      <c r="C70" s="410">
        <v>-15.409771901603062</v>
      </c>
      <c r="D70" s="459">
        <f>C70+(D37*$P70/4)</f>
        <v>-11.840382119553009</v>
      </c>
      <c r="E70" s="459">
        <f>D70+(E37*$P70/4)</f>
        <v>-8.400204557456032</v>
      </c>
      <c r="F70" s="459"/>
      <c r="G70" s="459"/>
      <c r="H70" s="459"/>
      <c r="I70" s="459"/>
      <c r="J70" s="459"/>
      <c r="K70" s="459"/>
      <c r="L70" s="459"/>
      <c r="M70" s="459"/>
      <c r="N70" s="459"/>
      <c r="O70" s="459"/>
      <c r="P70" s="475">
        <v>0.77460715756294529</v>
      </c>
    </row>
    <row r="71" spans="1:16">
      <c r="A71" s="1"/>
      <c r="B71" s="24">
        <f t="shared" si="33"/>
        <v>44926</v>
      </c>
      <c r="C71" s="410">
        <v>-15.384977667426883</v>
      </c>
      <c r="D71" s="459">
        <f>C71+(D38*$P71/4)</f>
        <v>-11.728886227495195</v>
      </c>
      <c r="E71" s="459"/>
      <c r="F71" s="459"/>
      <c r="G71" s="459"/>
      <c r="H71" s="459"/>
      <c r="I71" s="459"/>
      <c r="J71" s="459"/>
      <c r="K71" s="459"/>
      <c r="L71" s="459"/>
      <c r="M71" s="459"/>
      <c r="N71" s="459"/>
      <c r="O71" s="459"/>
      <c r="P71" s="475">
        <v>0.77031322476985731</v>
      </c>
    </row>
    <row r="72" spans="1:16">
      <c r="A72" s="1"/>
      <c r="B72" s="24"/>
      <c r="C72" s="38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77"/>
    </row>
    <row r="73" spans="1:16">
      <c r="D73" s="8"/>
      <c r="E73" s="8"/>
      <c r="F73" s="8"/>
      <c r="G73" s="8"/>
      <c r="H73" s="8"/>
      <c r="P73" s="1"/>
    </row>
    <row r="74" spans="1:16">
      <c r="B74" s="4"/>
      <c r="C74" s="28"/>
      <c r="D74" s="26">
        <f t="shared" ref="D74:O74" si="41">+D$24</f>
        <v>1</v>
      </c>
      <c r="E74" s="26">
        <f t="shared" si="41"/>
        <v>2</v>
      </c>
      <c r="F74" s="26">
        <f t="shared" si="41"/>
        <v>3</v>
      </c>
      <c r="G74" s="26">
        <f t="shared" si="41"/>
        <v>4</v>
      </c>
      <c r="H74" s="26">
        <f t="shared" si="41"/>
        <v>5</v>
      </c>
      <c r="I74" s="26">
        <f t="shared" si="41"/>
        <v>6</v>
      </c>
      <c r="J74" s="26">
        <f t="shared" si="41"/>
        <v>7</v>
      </c>
      <c r="K74" s="26">
        <f t="shared" si="41"/>
        <v>8</v>
      </c>
      <c r="L74" s="26">
        <f t="shared" si="41"/>
        <v>9</v>
      </c>
      <c r="M74" s="26">
        <f t="shared" si="41"/>
        <v>10</v>
      </c>
      <c r="N74" s="26">
        <f t="shared" si="41"/>
        <v>11</v>
      </c>
      <c r="O74" s="26">
        <f t="shared" si="41"/>
        <v>12</v>
      </c>
      <c r="P74" s="28" t="s">
        <v>24</v>
      </c>
    </row>
    <row r="75" spans="1:16">
      <c r="B75" s="16" t="s">
        <v>159</v>
      </c>
      <c r="C75" s="16"/>
      <c r="D75" s="15"/>
      <c r="E75" s="15"/>
      <c r="F75" s="15"/>
      <c r="G75" s="15"/>
      <c r="H75" s="15"/>
      <c r="I75" s="5"/>
      <c r="J75" s="10"/>
      <c r="K75" s="10"/>
      <c r="P75" s="1"/>
    </row>
    <row r="76" spans="1:16">
      <c r="A76" s="1"/>
      <c r="B76" s="24">
        <f t="shared" ref="B76:B87" si="42">+B60</f>
        <v>43921</v>
      </c>
      <c r="C76" s="40"/>
      <c r="D76" s="459">
        <f>(SUM($D27:D27)/4)*$P76</f>
        <v>3.1890047082640107</v>
      </c>
      <c r="E76" s="459">
        <f>(SUM($D27:E27)/4)*$P76</f>
        <v>6.3780094165280214</v>
      </c>
      <c r="F76" s="459">
        <f>(SUM($D27:F27)/4)*$P76</f>
        <v>9.6469613180354195</v>
      </c>
      <c r="G76" s="459">
        <f>(SUM($D27:G27)/4)*$P76</f>
        <v>12.880381133656869</v>
      </c>
      <c r="H76" s="459">
        <f>(SUM($D27:H27)/4)*$P76</f>
        <v>16.078268863392363</v>
      </c>
      <c r="I76" s="459">
        <f>(SUM($D27:I27)/4)*$P76</f>
        <v>19.338692447410644</v>
      </c>
      <c r="J76" s="459">
        <f>(SUM($D27:J27)/4)*$P76</f>
        <v>22.65403500323815</v>
      </c>
      <c r="K76" s="459">
        <f>(SUM($D27:K27)/4)*$P76</f>
        <v>25.876994135762182</v>
      </c>
      <c r="L76" s="459">
        <f>(SUM($D27:L27)/4)*$P76</f>
        <v>29.259503746129219</v>
      </c>
      <c r="M76" s="459">
        <f>(SUM($D27:M27)/4)*$P76</f>
        <v>32.690708044510529</v>
      </c>
      <c r="N76" s="459">
        <f>(SUM($D27:N27)/4)*$P76</f>
        <v>36.040453802245317</v>
      </c>
      <c r="O76" s="459">
        <f>(SUM($D27:O27)/4)*$P76</f>
        <v>39.295007806451018</v>
      </c>
      <c r="P76" s="476">
        <f t="shared" ref="P76:P87" si="43">P60</f>
        <v>0.77109561384440062</v>
      </c>
    </row>
    <row r="77" spans="1:16">
      <c r="A77" s="1"/>
      <c r="B77" s="24">
        <f t="shared" si="42"/>
        <v>44012</v>
      </c>
      <c r="C77" s="40"/>
      <c r="D77" s="459">
        <f>(SUM($D28:D28)/4)*$P77</f>
        <v>2.4629527460394196</v>
      </c>
      <c r="E77" s="459">
        <f>(SUM($D28:E28)/4)*$P77</f>
        <v>4.8990369166674999</v>
      </c>
      <c r="F77" s="459">
        <f>(SUM($D28:F28)/4)*$P77</f>
        <v>7.2786893044597152</v>
      </c>
      <c r="G77" s="459">
        <f>(SUM($D28:G28)/4)*$P77</f>
        <v>9.6472366363730089</v>
      </c>
      <c r="H77" s="459">
        <f>(SUM($D28:H28)/4)*$P77</f>
        <v>11.896832990997943</v>
      </c>
      <c r="I77" s="459">
        <f>(SUM($D28:I28)/4)*$P77</f>
        <v>14.058098903958099</v>
      </c>
      <c r="J77" s="459">
        <f>(SUM($D28:J28)/4)*$P77</f>
        <v>16.173881045625865</v>
      </c>
      <c r="K77" s="459">
        <f>(SUM($D28:K28)/4)*$P77</f>
        <v>18.261766826677036</v>
      </c>
      <c r="L77" s="459">
        <f>(SUM($D28:L28)/4)*$P77</f>
        <v>20.014897835223422</v>
      </c>
      <c r="M77" s="459">
        <f>(SUM($D28:M28)/4)*$P77</f>
        <v>21.717087393096993</v>
      </c>
      <c r="N77" s="459">
        <f>(SUM($D28:N28)/4)*$P77</f>
        <v>23.378548046785109</v>
      </c>
      <c r="O77" s="459"/>
      <c r="P77" s="476">
        <f t="shared" si="43"/>
        <v>0.77744720518921073</v>
      </c>
    </row>
    <row r="78" spans="1:16">
      <c r="A78" s="1"/>
      <c r="B78" s="24">
        <f t="shared" si="42"/>
        <v>44104</v>
      </c>
      <c r="C78" s="40"/>
      <c r="D78" s="459">
        <f>(SUM($D29:D29)/4)*$P78</f>
        <v>2.0930965376385489</v>
      </c>
      <c r="E78" s="459">
        <f>(SUM($D29:E29)/4)*$P78</f>
        <v>4.2130276462724643</v>
      </c>
      <c r="F78" s="459">
        <f>(SUM($D29:F29)/4)*$P78</f>
        <v>6.3329587549063797</v>
      </c>
      <c r="G78" s="459">
        <f>(SUM($D29:G29)/4)*$P78</f>
        <v>8.4171104355464728</v>
      </c>
      <c r="H78" s="459">
        <f>(SUM($D29:H29)/4)*$P78</f>
        <v>10.531317456872003</v>
      </c>
      <c r="I78" s="459">
        <f>(SUM($D29:I29)/4)*$P78</f>
        <v>12.539058938944041</v>
      </c>
      <c r="J78" s="459">
        <f>(SUM($D29:J29)/4)*$P78</f>
        <v>14.546800421016078</v>
      </c>
      <c r="K78" s="459">
        <f>(SUM($D29:K29)/4)*$P78</f>
        <v>16.561340615577571</v>
      </c>
      <c r="L78" s="459">
        <f>(SUM($D29:L29)/4)*$P78</f>
        <v>18.590363403258433</v>
      </c>
      <c r="M78" s="459">
        <f>(SUM($D29:M29)/4)*$P78</f>
        <v>20.192208705127129</v>
      </c>
      <c r="N78" s="459"/>
      <c r="O78" s="459"/>
      <c r="P78" s="476">
        <f t="shared" si="43"/>
        <v>0.77646328111591478</v>
      </c>
    </row>
    <row r="79" spans="1:16">
      <c r="A79" s="1"/>
      <c r="B79" s="24">
        <f t="shared" si="42"/>
        <v>44196</v>
      </c>
      <c r="C79" s="40"/>
      <c r="D79" s="459">
        <f>(SUM($D30:D30)/4)*$P79</f>
        <v>2.3394224869922144</v>
      </c>
      <c r="E79" s="459">
        <f>(SUM($D30:E30)/4)*$P79</f>
        <v>4.6501799794686134</v>
      </c>
      <c r="F79" s="459">
        <f>(SUM($D30:F30)/4)*$P79</f>
        <v>7.0211336493931293</v>
      </c>
      <c r="G79" s="459">
        <f>(SUM($D30:G30)/4)*$P79</f>
        <v>9.4575431002516801</v>
      </c>
      <c r="H79" s="459">
        <f>(SUM($D30:H30)/4)*$P79</f>
        <v>11.931045041572295</v>
      </c>
      <c r="I79" s="459">
        <f>(SUM($D30:I30)/4)*$P79</f>
        <v>14.298858812195192</v>
      </c>
      <c r="J79" s="459">
        <f>(SUM($D30:J30)/4)*$P79</f>
        <v>16.652722658729175</v>
      </c>
      <c r="K79" s="459">
        <f>(SUM($D30:K30)/4)*$P79</f>
        <v>19.017189691711121</v>
      </c>
      <c r="L79" s="459">
        <f>(SUM($D30:L30)/4)*$P79</f>
        <v>21.397561504365008</v>
      </c>
      <c r="M79" s="459"/>
      <c r="N79" s="459"/>
      <c r="O79" s="459"/>
      <c r="P79" s="476">
        <f t="shared" si="43"/>
        <v>0.77758774185698387</v>
      </c>
    </row>
    <row r="80" spans="1:16">
      <c r="A80" s="1"/>
      <c r="B80" s="24">
        <f t="shared" si="42"/>
        <v>44286</v>
      </c>
      <c r="C80" s="40"/>
      <c r="D80" s="459">
        <f>(SUM($D31:D31)/4)*$P80</f>
        <v>1.3423674917930577</v>
      </c>
      <c r="E80" s="459">
        <f>(SUM($D31:E31)/4)*$P80</f>
        <v>2.6847349835861154</v>
      </c>
      <c r="F80" s="459">
        <f>(SUM($D31:F31)/4)*$P80</f>
        <v>4.1076445248867568</v>
      </c>
      <c r="G80" s="459">
        <f>(SUM($D31:G31)/4)*$P80</f>
        <v>5.7038950368955685</v>
      </c>
      <c r="H80" s="459">
        <f>(SUM($D31:H31)/4)*$P80</f>
        <v>7.3535124250335464</v>
      </c>
      <c r="I80" s="459">
        <f>(SUM($D31:I31)/4)*$P80</f>
        <v>9.2318683015734155</v>
      </c>
      <c r="J80" s="459">
        <f>(SUM($D31:J31)/4)*$P80</f>
        <v>11.117776548920698</v>
      </c>
      <c r="K80" s="459">
        <f>(SUM($D31:K31)/4)*$P80</f>
        <v>12.797855114193045</v>
      </c>
      <c r="L80" s="459"/>
      <c r="M80" s="459"/>
      <c r="N80" s="459"/>
      <c r="O80" s="459"/>
      <c r="P80" s="476">
        <f t="shared" si="43"/>
        <v>0.77683303923209357</v>
      </c>
    </row>
    <row r="81" spans="1:16">
      <c r="A81" s="1"/>
      <c r="B81" s="24">
        <f t="shared" si="42"/>
        <v>44377</v>
      </c>
      <c r="C81" s="40"/>
      <c r="D81" s="459">
        <f>(SUM($D32:D32)/4)*$P81</f>
        <v>1.533663322577149</v>
      </c>
      <c r="E81" s="459">
        <f>(SUM($D32:E32)/4)*$P81</f>
        <v>3.0450837311648828</v>
      </c>
      <c r="F81" s="459">
        <f>(SUM($D32:F32)/4)*$P81</f>
        <v>4.6883671718917581</v>
      </c>
      <c r="G81" s="459">
        <f>(SUM($D32:G32)/4)*$P81</f>
        <v>6.3316506126186329</v>
      </c>
      <c r="H81" s="459">
        <f>(SUM($D32:H32)/4)*$P81</f>
        <v>7.9419285897239726</v>
      </c>
      <c r="I81" s="459">
        <f>(SUM($D32:I32)/4)*$P81</f>
        <v>9.4738401952386031</v>
      </c>
      <c r="J81" s="459">
        <f>(SUM($D32:J32)/4)*$P81</f>
        <v>11.06288580446437</v>
      </c>
      <c r="K81" s="459"/>
      <c r="L81" s="459"/>
      <c r="M81" s="459"/>
      <c r="N81" s="459"/>
      <c r="O81" s="459"/>
      <c r="P81" s="476">
        <f t="shared" si="43"/>
        <v>0.77854091667537217</v>
      </c>
    </row>
    <row r="82" spans="1:16">
      <c r="A82" s="1"/>
      <c r="B82" s="24">
        <f t="shared" si="42"/>
        <v>44469</v>
      </c>
      <c r="C82" s="40"/>
      <c r="D82" s="459">
        <f>(SUM($D33:D33)/4)*$P82</f>
        <v>2.2241775240874944</v>
      </c>
      <c r="E82" s="459">
        <f>(SUM($D33:E33)/4)*$P82</f>
        <v>4.380028005721476</v>
      </c>
      <c r="F82" s="459">
        <f>(SUM($D33:F33)/4)*$P82</f>
        <v>6.5002916469700578</v>
      </c>
      <c r="G82" s="459">
        <f>(SUM($D33:G33)/4)*$P82</f>
        <v>8.6205552882186396</v>
      </c>
      <c r="H82" s="459">
        <f>(SUM($D33:H33)/4)*$P82</f>
        <v>10.706656180524327</v>
      </c>
      <c r="I82" s="459">
        <f>(SUM($D33:I33)/4)*$P82</f>
        <v>12.792757072830014</v>
      </c>
      <c r="J82" s="459"/>
      <c r="K82" s="459"/>
      <c r="L82" s="459"/>
      <c r="M82" s="459"/>
      <c r="N82" s="459"/>
      <c r="O82" s="459"/>
      <c r="P82" s="476">
        <f t="shared" si="43"/>
        <v>0.77228386253038006</v>
      </c>
    </row>
    <row r="83" spans="1:16">
      <c r="A83" s="1"/>
      <c r="B83" s="24">
        <f t="shared" si="42"/>
        <v>44561</v>
      </c>
      <c r="C83" s="40"/>
      <c r="D83" s="459">
        <f>(SUM($D34:D34)/4)*$P83</f>
        <v>2.4312470447191958</v>
      </c>
      <c r="E83" s="459">
        <f>(SUM($D34:E34)/4)*$P83</f>
        <v>4.8624940894383917</v>
      </c>
      <c r="F83" s="459">
        <f>(SUM($D34:F34)/4)*$P83</f>
        <v>7.293741134157588</v>
      </c>
      <c r="G83" s="459">
        <f>(SUM($D34:G34)/4)*$P83</f>
        <v>9.742930961494638</v>
      </c>
      <c r="H83" s="459">
        <f>(SUM($D34:H34)/4)*$P83</f>
        <v>12.241642557350321</v>
      </c>
      <c r="I83" s="459"/>
      <c r="J83" s="459"/>
      <c r="K83" s="459"/>
      <c r="L83" s="459"/>
      <c r="M83" s="459"/>
      <c r="N83" s="459"/>
      <c r="O83" s="459"/>
      <c r="P83" s="476">
        <f t="shared" si="43"/>
        <v>0.77876660667768427</v>
      </c>
    </row>
    <row r="84" spans="1:16">
      <c r="A84" s="1"/>
      <c r="B84" s="24">
        <f t="shared" si="42"/>
        <v>44651</v>
      </c>
      <c r="C84" s="40"/>
      <c r="D84" s="459">
        <f>(SUM($D35:D35)/4)*$P84</f>
        <v>2.9548550717837134</v>
      </c>
      <c r="E84" s="459">
        <f>(SUM($D35:E35)/4)*$P84</f>
        <v>5.852209952983964</v>
      </c>
      <c r="F84" s="459">
        <f>(SUM($D35:F35)/4)*$P84</f>
        <v>8.8136523205462414</v>
      </c>
      <c r="G84" s="459">
        <f>(SUM($D35:G35)/4)*$P84</f>
        <v>11.739600933492497</v>
      </c>
      <c r="H84" s="459"/>
      <c r="I84" s="459"/>
      <c r="J84" s="459"/>
      <c r="K84" s="459"/>
      <c r="L84" s="459"/>
      <c r="M84" s="459"/>
      <c r="N84" s="459"/>
      <c r="O84" s="459"/>
      <c r="P84" s="476">
        <f t="shared" si="43"/>
        <v>0.77026377204905772</v>
      </c>
    </row>
    <row r="85" spans="1:16">
      <c r="A85" s="1"/>
      <c r="B85" s="24">
        <f t="shared" si="42"/>
        <v>44742</v>
      </c>
      <c r="C85" s="40"/>
      <c r="D85" s="459">
        <f>(SUM($D36:D36)/4)*$P85</f>
        <v>2.4501809218256563</v>
      </c>
      <c r="E85" s="459">
        <f>(SUM($D36:E36)/4)*$P85</f>
        <v>4.9003618436513126</v>
      </c>
      <c r="F85" s="459">
        <f>(SUM($D36:F36)/4)*$P85</f>
        <v>7.3505427654769697</v>
      </c>
      <c r="G85" s="459"/>
      <c r="H85" s="459"/>
      <c r="I85" s="459"/>
      <c r="J85" s="459"/>
      <c r="K85" s="459"/>
      <c r="L85" s="459"/>
      <c r="M85" s="459"/>
      <c r="N85" s="459"/>
      <c r="O85" s="459"/>
      <c r="P85" s="476">
        <f t="shared" si="43"/>
        <v>0.77341569502072482</v>
      </c>
    </row>
    <row r="86" spans="1:16">
      <c r="A86" s="1"/>
      <c r="B86" s="24">
        <f t="shared" si="42"/>
        <v>44834</v>
      </c>
      <c r="C86" s="40"/>
      <c r="D86" s="459">
        <f>(SUM($D37:D37)/4)*$P86</f>
        <v>3.5693897820500515</v>
      </c>
      <c r="E86" s="459">
        <f>(SUM($D37:E37)/4)*$P86</f>
        <v>7.0095673441470288</v>
      </c>
      <c r="F86" s="459"/>
      <c r="G86" s="459"/>
      <c r="H86" s="459"/>
      <c r="I86" s="459"/>
      <c r="J86" s="459"/>
      <c r="K86" s="459"/>
      <c r="L86" s="459"/>
      <c r="M86" s="459"/>
      <c r="N86" s="459"/>
      <c r="O86" s="459"/>
      <c r="P86" s="476">
        <f t="shared" si="43"/>
        <v>0.77460715756294529</v>
      </c>
    </row>
    <row r="87" spans="1:16">
      <c r="A87" s="1"/>
      <c r="B87" s="24">
        <f t="shared" si="42"/>
        <v>44926</v>
      </c>
      <c r="C87" s="40"/>
      <c r="D87" s="459">
        <f>(SUM($D38:D38)/4)*$P87</f>
        <v>3.6560914399316879</v>
      </c>
      <c r="E87" s="459"/>
      <c r="F87" s="459"/>
      <c r="G87" s="459"/>
      <c r="H87" s="459"/>
      <c r="I87" s="459"/>
      <c r="J87" s="459"/>
      <c r="K87" s="459"/>
      <c r="L87" s="459"/>
      <c r="M87" s="459"/>
      <c r="N87" s="459"/>
      <c r="O87" s="459"/>
      <c r="P87" s="476">
        <f t="shared" si="43"/>
        <v>0.77031322476985731</v>
      </c>
    </row>
    <row r="88" spans="1:16">
      <c r="A88" s="1"/>
      <c r="B88" s="24"/>
      <c r="C88" s="38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46"/>
    </row>
    <row r="89" spans="1:16">
      <c r="D89" s="8"/>
      <c r="E89" s="8"/>
      <c r="F89" s="8"/>
      <c r="G89" s="8"/>
      <c r="H89" s="8"/>
      <c r="P89" s="1"/>
    </row>
    <row r="90" spans="1:16">
      <c r="B90" s="4"/>
      <c r="C90" s="28" t="s">
        <v>21</v>
      </c>
      <c r="D90" s="26">
        <f t="shared" ref="D90:O90" si="44">+D$24</f>
        <v>1</v>
      </c>
      <c r="E90" s="26">
        <f t="shared" si="44"/>
        <v>2</v>
      </c>
      <c r="F90" s="26">
        <f t="shared" si="44"/>
        <v>3</v>
      </c>
      <c r="G90" s="26">
        <f t="shared" si="44"/>
        <v>4</v>
      </c>
      <c r="H90" s="26">
        <f t="shared" si="44"/>
        <v>5</v>
      </c>
      <c r="I90" s="26">
        <f t="shared" si="44"/>
        <v>6</v>
      </c>
      <c r="J90" s="26">
        <f t="shared" si="44"/>
        <v>7</v>
      </c>
      <c r="K90" s="26">
        <f t="shared" si="44"/>
        <v>8</v>
      </c>
      <c r="L90" s="26">
        <f t="shared" si="44"/>
        <v>9</v>
      </c>
      <c r="M90" s="26">
        <f t="shared" si="44"/>
        <v>10</v>
      </c>
      <c r="N90" s="26">
        <f t="shared" si="44"/>
        <v>11</v>
      </c>
      <c r="O90" s="26">
        <f t="shared" si="44"/>
        <v>12</v>
      </c>
      <c r="P90" s="28" t="s">
        <v>160</v>
      </c>
    </row>
    <row r="91" spans="1:16">
      <c r="B91" s="16" t="s">
        <v>118</v>
      </c>
      <c r="C91" s="16"/>
      <c r="D91" s="15"/>
      <c r="E91" s="15"/>
      <c r="F91" s="15"/>
      <c r="G91" s="15"/>
      <c r="H91" s="15"/>
      <c r="I91" s="5"/>
      <c r="J91" s="10"/>
      <c r="K91" s="10"/>
      <c r="P91" s="1"/>
    </row>
    <row r="92" spans="1:16">
      <c r="A92" s="1"/>
      <c r="B92" s="24">
        <f t="shared" ref="B92:B103" si="45">+B76</f>
        <v>43921</v>
      </c>
      <c r="C92" s="392">
        <f t="shared" ref="C92:C103" si="46">+C60</f>
        <v>-14.003969528003877</v>
      </c>
      <c r="D92" s="156">
        <f t="shared" ref="D92:O92" si="47">D76/-$C92</f>
        <v>0.22772148296145078</v>
      </c>
      <c r="E92" s="156">
        <f t="shared" si="47"/>
        <v>0.45544296592290157</v>
      </c>
      <c r="F92" s="156">
        <f t="shared" si="47"/>
        <v>0.68887334400037759</v>
      </c>
      <c r="G92" s="156">
        <f t="shared" si="47"/>
        <v>0.91976643535962022</v>
      </c>
      <c r="H92" s="156">
        <f t="shared" si="47"/>
        <v>1.148122240000629</v>
      </c>
      <c r="I92" s="156">
        <f t="shared" si="47"/>
        <v>1.3809436252156124</v>
      </c>
      <c r="J92" s="156">
        <f t="shared" si="47"/>
        <v>1.6176866821894071</v>
      </c>
      <c r="K92" s="156">
        <f t="shared" si="47"/>
        <v>1.8478327936957946</v>
      </c>
      <c r="L92" s="156">
        <f t="shared" si="47"/>
        <v>2.0893721374942085</v>
      </c>
      <c r="M92" s="156">
        <f t="shared" si="47"/>
        <v>2.3343886873745761</v>
      </c>
      <c r="N92" s="156">
        <f t="shared" si="47"/>
        <v>2.5735884193531602</v>
      </c>
      <c r="O92" s="156">
        <f t="shared" si="47"/>
        <v>2.8059906677083521</v>
      </c>
      <c r="P92" s="156">
        <f t="shared" ref="P92:P103" si="48">MAX(D92:O92)</f>
        <v>2.8059906677083521</v>
      </c>
    </row>
    <row r="93" spans="1:16">
      <c r="A93" s="1"/>
      <c r="B93" s="24">
        <f t="shared" si="45"/>
        <v>44012</v>
      </c>
      <c r="C93" s="392">
        <f t="shared" si="46"/>
        <v>-14.083162297273198</v>
      </c>
      <c r="D93" s="156">
        <f t="shared" ref="D93:O93" si="49">D77/-$C93</f>
        <v>0.17488634257352129</v>
      </c>
      <c r="E93" s="156">
        <f t="shared" si="49"/>
        <v>0.34786483413714964</v>
      </c>
      <c r="F93" s="156">
        <f t="shared" si="49"/>
        <v>0.51683628653977987</v>
      </c>
      <c r="G93" s="156">
        <f t="shared" si="49"/>
        <v>0.68501920468820565</v>
      </c>
      <c r="H93" s="156">
        <f t="shared" si="49"/>
        <v>0.84475579702020653</v>
      </c>
      <c r="I93" s="156">
        <f t="shared" si="49"/>
        <v>0.99822032915718428</v>
      </c>
      <c r="J93" s="156">
        <f t="shared" si="49"/>
        <v>1.1484552051748687</v>
      </c>
      <c r="K93" s="156">
        <f t="shared" si="49"/>
        <v>1.2967092504652102</v>
      </c>
      <c r="L93" s="156">
        <f t="shared" si="49"/>
        <v>1.4211934374354782</v>
      </c>
      <c r="M93" s="156">
        <f t="shared" si="49"/>
        <v>1.5420604360500685</v>
      </c>
      <c r="N93" s="156">
        <f t="shared" si="49"/>
        <v>1.6600354063456115</v>
      </c>
      <c r="O93" s="156">
        <f t="shared" si="49"/>
        <v>0</v>
      </c>
      <c r="P93" s="156">
        <f t="shared" si="48"/>
        <v>1.6600354063456115</v>
      </c>
    </row>
    <row r="94" spans="1:16">
      <c r="A94" s="1"/>
      <c r="B94" s="24">
        <f t="shared" si="45"/>
        <v>44104</v>
      </c>
      <c r="C94" s="392">
        <f t="shared" si="46"/>
        <v>-14.056085090656572</v>
      </c>
      <c r="D94" s="156">
        <f t="shared" ref="D94:O94" si="50">D78/-$C94</f>
        <v>0.1489103490864524</v>
      </c>
      <c r="E94" s="156">
        <f t="shared" si="50"/>
        <v>0.29972980521247472</v>
      </c>
      <c r="F94" s="156">
        <f t="shared" si="50"/>
        <v>0.45054926133849704</v>
      </c>
      <c r="G94" s="156">
        <f t="shared" si="50"/>
        <v>0.59882324141175947</v>
      </c>
      <c r="H94" s="156">
        <f t="shared" si="50"/>
        <v>0.7492354655616329</v>
      </c>
      <c r="I94" s="156">
        <f t="shared" si="50"/>
        <v>0.89207335172430513</v>
      </c>
      <c r="J94" s="156">
        <f t="shared" si="50"/>
        <v>1.0349112378869774</v>
      </c>
      <c r="K94" s="156">
        <f t="shared" si="50"/>
        <v>1.1782328086919667</v>
      </c>
      <c r="L94" s="156">
        <f t="shared" si="50"/>
        <v>1.3225847227985201</v>
      </c>
      <c r="M94" s="156">
        <f t="shared" si="50"/>
        <v>1.4365457077767259</v>
      </c>
      <c r="N94" s="156">
        <f t="shared" si="50"/>
        <v>0</v>
      </c>
      <c r="O94" s="156">
        <f t="shared" si="50"/>
        <v>0</v>
      </c>
      <c r="P94" s="156">
        <f t="shared" si="48"/>
        <v>1.4365457077767259</v>
      </c>
    </row>
    <row r="95" spans="1:16">
      <c r="A95" s="1"/>
      <c r="B95" s="24">
        <f t="shared" si="45"/>
        <v>44196</v>
      </c>
      <c r="C95" s="392">
        <f t="shared" si="46"/>
        <v>-14.845196324956168</v>
      </c>
      <c r="D95" s="156">
        <f t="shared" ref="D95:O95" si="51">D79/-$C95</f>
        <v>0.15758784429542544</v>
      </c>
      <c r="E95" s="156">
        <f t="shared" si="51"/>
        <v>0.31324476131388201</v>
      </c>
      <c r="F95" s="156">
        <f t="shared" si="51"/>
        <v>0.4729566046620714</v>
      </c>
      <c r="G95" s="156">
        <f t="shared" si="51"/>
        <v>0.63707767100073054</v>
      </c>
      <c r="H95" s="156">
        <f t="shared" si="51"/>
        <v>0.80369735639771156</v>
      </c>
      <c r="I95" s="156">
        <f t="shared" si="51"/>
        <v>0.96319769029645419</v>
      </c>
      <c r="J95" s="156">
        <f t="shared" si="51"/>
        <v>1.1217583313960211</v>
      </c>
      <c r="K95" s="156">
        <f t="shared" si="51"/>
        <v>1.2810332228305692</v>
      </c>
      <c r="L95" s="156">
        <f t="shared" si="51"/>
        <v>1.4413794897675889</v>
      </c>
      <c r="M95" s="156">
        <f t="shared" si="51"/>
        <v>0</v>
      </c>
      <c r="N95" s="156">
        <f t="shared" si="51"/>
        <v>0</v>
      </c>
      <c r="O95" s="156">
        <f t="shared" si="51"/>
        <v>0</v>
      </c>
      <c r="P95" s="156">
        <f t="shared" si="48"/>
        <v>1.4413794897675889</v>
      </c>
    </row>
    <row r="96" spans="1:16">
      <c r="A96" s="1"/>
      <c r="B96" s="24">
        <f t="shared" si="45"/>
        <v>44286</v>
      </c>
      <c r="C96" s="392">
        <f t="shared" si="46"/>
        <v>-13.968858753550391</v>
      </c>
      <c r="D96" s="156">
        <f t="shared" ref="D96:O96" si="52">D80/-$C96</f>
        <v>9.6097148340903313E-2</v>
      </c>
      <c r="E96" s="156">
        <f t="shared" si="52"/>
        <v>0.19219429668180663</v>
      </c>
      <c r="F96" s="156">
        <f t="shared" si="52"/>
        <v>0.29405727392316416</v>
      </c>
      <c r="G96" s="156">
        <f t="shared" si="52"/>
        <v>0.40832935156179739</v>
      </c>
      <c r="H96" s="156">
        <f t="shared" si="52"/>
        <v>0.52642184696473815</v>
      </c>
      <c r="I96" s="156">
        <f t="shared" si="52"/>
        <v>0.66088922971083808</v>
      </c>
      <c r="J96" s="156">
        <f t="shared" si="52"/>
        <v>0.79589727013990685</v>
      </c>
      <c r="K96" s="156">
        <f t="shared" si="52"/>
        <v>0.91617041449003711</v>
      </c>
      <c r="L96" s="156">
        <f t="shared" si="52"/>
        <v>0</v>
      </c>
      <c r="M96" s="156">
        <f t="shared" si="52"/>
        <v>0</v>
      </c>
      <c r="N96" s="156">
        <f t="shared" si="52"/>
        <v>0</v>
      </c>
      <c r="O96" s="156">
        <f t="shared" si="52"/>
        <v>0</v>
      </c>
      <c r="P96" s="156">
        <f t="shared" si="48"/>
        <v>0.91617041449003711</v>
      </c>
    </row>
    <row r="97" spans="1:16">
      <c r="A97" s="1"/>
      <c r="B97" s="24">
        <f t="shared" si="45"/>
        <v>44377</v>
      </c>
      <c r="C97" s="392">
        <f t="shared" si="46"/>
        <v>-14.048706080988852</v>
      </c>
      <c r="D97" s="156">
        <f t="shared" ref="D97:O97" si="53">D81/-$C97</f>
        <v>0.10916758552252367</v>
      </c>
      <c r="E97" s="156">
        <f t="shared" si="53"/>
        <v>0.21675189968459696</v>
      </c>
      <c r="F97" s="156">
        <f t="shared" si="53"/>
        <v>0.33372234744352741</v>
      </c>
      <c r="G97" s="156">
        <f t="shared" si="53"/>
        <v>0.45069279520245786</v>
      </c>
      <c r="H97" s="156">
        <f t="shared" si="53"/>
        <v>0.56531388328148158</v>
      </c>
      <c r="I97" s="156">
        <f t="shared" si="53"/>
        <v>0.67435677994992715</v>
      </c>
      <c r="J97" s="156">
        <f t="shared" si="53"/>
        <v>0.78746652828298636</v>
      </c>
      <c r="K97" s="156">
        <f t="shared" si="53"/>
        <v>0</v>
      </c>
      <c r="L97" s="156">
        <f t="shared" si="53"/>
        <v>0</v>
      </c>
      <c r="M97" s="156">
        <f t="shared" si="53"/>
        <v>0</v>
      </c>
      <c r="N97" s="156">
        <f t="shared" si="53"/>
        <v>0</v>
      </c>
      <c r="O97" s="156">
        <f t="shared" si="53"/>
        <v>0</v>
      </c>
      <c r="P97" s="156">
        <f t="shared" si="48"/>
        <v>0.78746652828298636</v>
      </c>
    </row>
    <row r="98" spans="1:16">
      <c r="A98" s="1"/>
      <c r="B98" s="24">
        <f t="shared" si="45"/>
        <v>44469</v>
      </c>
      <c r="C98" s="392">
        <f t="shared" si="46"/>
        <v>-14.759203826691357</v>
      </c>
      <c r="D98" s="156">
        <f t="shared" ref="D98:O98" si="54">D82/-$C98</f>
        <v>0.15069766297726503</v>
      </c>
      <c r="E98" s="156">
        <f t="shared" si="54"/>
        <v>0.2967658728176375</v>
      </c>
      <c r="F98" s="156">
        <f t="shared" si="54"/>
        <v>0.44042292005037376</v>
      </c>
      <c r="G98" s="156">
        <f t="shared" si="54"/>
        <v>0.58407996728310996</v>
      </c>
      <c r="H98" s="156">
        <f t="shared" si="54"/>
        <v>0.72542234027297736</v>
      </c>
      <c r="I98" s="156">
        <f t="shared" si="54"/>
        <v>0.86676471326284465</v>
      </c>
      <c r="J98" s="156">
        <f t="shared" si="54"/>
        <v>0</v>
      </c>
      <c r="K98" s="156">
        <f t="shared" si="54"/>
        <v>0</v>
      </c>
      <c r="L98" s="156">
        <f t="shared" si="54"/>
        <v>0</v>
      </c>
      <c r="M98" s="156">
        <f t="shared" si="54"/>
        <v>0</v>
      </c>
      <c r="N98" s="156">
        <f t="shared" si="54"/>
        <v>0</v>
      </c>
      <c r="O98" s="156">
        <f t="shared" si="54"/>
        <v>0</v>
      </c>
      <c r="P98" s="156">
        <f t="shared" si="48"/>
        <v>0.86676471326284465</v>
      </c>
    </row>
    <row r="99" spans="1:16">
      <c r="A99" s="1"/>
      <c r="B99" s="24">
        <f t="shared" si="45"/>
        <v>44561</v>
      </c>
      <c r="C99" s="392">
        <f t="shared" si="46"/>
        <v>-14.257531617198369</v>
      </c>
      <c r="D99" s="156">
        <f t="shared" ref="D99:O99" si="55">D83/-$C99</f>
        <v>0.1705237000341957</v>
      </c>
      <c r="E99" s="156">
        <f t="shared" si="55"/>
        <v>0.3410474000683914</v>
      </c>
      <c r="F99" s="156">
        <f t="shared" si="55"/>
        <v>0.51157110010258711</v>
      </c>
      <c r="G99" s="156">
        <f t="shared" si="55"/>
        <v>0.68335327762781017</v>
      </c>
      <c r="H99" s="156">
        <f t="shared" si="55"/>
        <v>0.85860883117970077</v>
      </c>
      <c r="I99" s="156">
        <f t="shared" si="55"/>
        <v>0</v>
      </c>
      <c r="J99" s="156">
        <f t="shared" si="55"/>
        <v>0</v>
      </c>
      <c r="K99" s="156">
        <f t="shared" si="55"/>
        <v>0</v>
      </c>
      <c r="L99" s="156">
        <f t="shared" si="55"/>
        <v>0</v>
      </c>
      <c r="M99" s="156">
        <f t="shared" si="55"/>
        <v>0</v>
      </c>
      <c r="N99" s="156">
        <f t="shared" si="55"/>
        <v>0</v>
      </c>
      <c r="O99" s="156">
        <f t="shared" si="55"/>
        <v>0</v>
      </c>
      <c r="P99" s="156">
        <f t="shared" si="48"/>
        <v>0.85860883117970077</v>
      </c>
    </row>
    <row r="100" spans="1:16">
      <c r="A100" s="1"/>
      <c r="B100" s="24">
        <f t="shared" si="45"/>
        <v>44651</v>
      </c>
      <c r="C100" s="392">
        <f t="shared" si="46"/>
        <v>-14.673867768404181</v>
      </c>
      <c r="D100" s="156">
        <f t="shared" ref="D100:O100" si="56">D84/-$C100</f>
        <v>0.20136852249317094</v>
      </c>
      <c r="E100" s="156">
        <f t="shared" si="56"/>
        <v>0.39881850138959007</v>
      </c>
      <c r="F100" s="156">
        <f t="shared" si="56"/>
        <v>0.60063593727645725</v>
      </c>
      <c r="G100" s="156">
        <f t="shared" si="56"/>
        <v>0.80003453205229524</v>
      </c>
      <c r="H100" s="156">
        <f t="shared" si="56"/>
        <v>0</v>
      </c>
      <c r="I100" s="156">
        <f t="shared" si="56"/>
        <v>0</v>
      </c>
      <c r="J100" s="156">
        <f t="shared" si="56"/>
        <v>0</v>
      </c>
      <c r="K100" s="156">
        <f t="shared" si="56"/>
        <v>0</v>
      </c>
      <c r="L100" s="156">
        <f t="shared" si="56"/>
        <v>0</v>
      </c>
      <c r="M100" s="156">
        <f t="shared" si="56"/>
        <v>0</v>
      </c>
      <c r="N100" s="156">
        <f t="shared" si="56"/>
        <v>0</v>
      </c>
      <c r="O100" s="156">
        <f t="shared" si="56"/>
        <v>0</v>
      </c>
      <c r="P100" s="156">
        <f t="shared" si="48"/>
        <v>0.80003453205229524</v>
      </c>
    </row>
    <row r="101" spans="1:16">
      <c r="A101" s="1"/>
      <c r="B101" s="24">
        <f t="shared" si="45"/>
        <v>44742</v>
      </c>
      <c r="C101" s="392">
        <f t="shared" si="46"/>
        <v>-15.107327385645698</v>
      </c>
      <c r="D101" s="156">
        <f t="shared" ref="D101:O101" si="57">D85/-$C101</f>
        <v>0.16218493577849566</v>
      </c>
      <c r="E101" s="156">
        <f t="shared" si="57"/>
        <v>0.32436987155699132</v>
      </c>
      <c r="F101" s="156">
        <f t="shared" si="57"/>
        <v>0.48655480733548706</v>
      </c>
      <c r="G101" s="156">
        <f t="shared" si="57"/>
        <v>0</v>
      </c>
      <c r="H101" s="156">
        <f t="shared" si="57"/>
        <v>0</v>
      </c>
      <c r="I101" s="156">
        <f t="shared" si="57"/>
        <v>0</v>
      </c>
      <c r="J101" s="156">
        <f t="shared" si="57"/>
        <v>0</v>
      </c>
      <c r="K101" s="156">
        <f t="shared" si="57"/>
        <v>0</v>
      </c>
      <c r="L101" s="156">
        <f t="shared" si="57"/>
        <v>0</v>
      </c>
      <c r="M101" s="156">
        <f t="shared" si="57"/>
        <v>0</v>
      </c>
      <c r="N101" s="156">
        <f t="shared" si="57"/>
        <v>0</v>
      </c>
      <c r="O101" s="156">
        <f t="shared" si="57"/>
        <v>0</v>
      </c>
      <c r="P101" s="156">
        <f t="shared" si="48"/>
        <v>0.48655480733548706</v>
      </c>
    </row>
    <row r="102" spans="1:16">
      <c r="A102" s="1"/>
      <c r="B102" s="24">
        <f t="shared" si="45"/>
        <v>44834</v>
      </c>
      <c r="C102" s="392">
        <f t="shared" si="46"/>
        <v>-15.409771901603062</v>
      </c>
      <c r="D102" s="156">
        <f t="shared" ref="D102:O102" si="58">D86/-$C102</f>
        <v>0.23163157799102346</v>
      </c>
      <c r="E102" s="156">
        <f t="shared" si="58"/>
        <v>0.45487807275186409</v>
      </c>
      <c r="F102" s="156">
        <f t="shared" si="58"/>
        <v>0</v>
      </c>
      <c r="G102" s="156">
        <f t="shared" si="58"/>
        <v>0</v>
      </c>
      <c r="H102" s="156">
        <f t="shared" si="58"/>
        <v>0</v>
      </c>
      <c r="I102" s="156">
        <f t="shared" si="58"/>
        <v>0</v>
      </c>
      <c r="J102" s="156">
        <f t="shared" si="58"/>
        <v>0</v>
      </c>
      <c r="K102" s="156">
        <f t="shared" si="58"/>
        <v>0</v>
      </c>
      <c r="L102" s="156">
        <f t="shared" si="58"/>
        <v>0</v>
      </c>
      <c r="M102" s="156">
        <f t="shared" si="58"/>
        <v>0</v>
      </c>
      <c r="N102" s="156">
        <f t="shared" si="58"/>
        <v>0</v>
      </c>
      <c r="O102" s="156">
        <f t="shared" si="58"/>
        <v>0</v>
      </c>
      <c r="P102" s="156">
        <f t="shared" si="48"/>
        <v>0.45487807275186409</v>
      </c>
    </row>
    <row r="103" spans="1:16">
      <c r="A103" s="1"/>
      <c r="B103" s="24">
        <f t="shared" si="45"/>
        <v>44926</v>
      </c>
      <c r="C103" s="392">
        <f t="shared" si="46"/>
        <v>-15.384977667426883</v>
      </c>
      <c r="D103" s="156">
        <f t="shared" ref="D103:O103" si="59">D87/-$C103</f>
        <v>0.2376403475496994</v>
      </c>
      <c r="E103" s="156">
        <f t="shared" si="59"/>
        <v>0</v>
      </c>
      <c r="F103" s="156">
        <f t="shared" si="59"/>
        <v>0</v>
      </c>
      <c r="G103" s="156">
        <f t="shared" si="59"/>
        <v>0</v>
      </c>
      <c r="H103" s="156">
        <f t="shared" si="59"/>
        <v>0</v>
      </c>
      <c r="I103" s="156">
        <f t="shared" si="59"/>
        <v>0</v>
      </c>
      <c r="J103" s="156">
        <f t="shared" si="59"/>
        <v>0</v>
      </c>
      <c r="K103" s="156">
        <f t="shared" si="59"/>
        <v>0</v>
      </c>
      <c r="L103" s="156">
        <f t="shared" si="59"/>
        <v>0</v>
      </c>
      <c r="M103" s="156">
        <f t="shared" si="59"/>
        <v>0</v>
      </c>
      <c r="N103" s="156">
        <f t="shared" si="59"/>
        <v>0</v>
      </c>
      <c r="O103" s="156">
        <f t="shared" si="59"/>
        <v>0</v>
      </c>
      <c r="P103" s="156">
        <f t="shared" si="48"/>
        <v>0.2376403475496994</v>
      </c>
    </row>
    <row r="104" spans="1:16">
      <c r="B104" s="9" t="s">
        <v>163</v>
      </c>
      <c r="C104" s="462"/>
      <c r="D104" s="132">
        <f t="shared" ref="D104:O104" si="60">AVERAGEIFS(D92:D103, D92:D103, "&lt;&gt;"&amp;0)</f>
        <v>0.17236812496701059</v>
      </c>
      <c r="E104" s="132">
        <f t="shared" si="60"/>
        <v>0.33100984377611692</v>
      </c>
      <c r="F104" s="132">
        <f t="shared" si="60"/>
        <v>0.47961798826723234</v>
      </c>
      <c r="G104" s="132">
        <f t="shared" si="60"/>
        <v>0.64079738624308724</v>
      </c>
      <c r="H104" s="132">
        <f t="shared" si="60"/>
        <v>0.77769722008488473</v>
      </c>
      <c r="I104" s="132">
        <f t="shared" si="60"/>
        <v>0.91949224561673815</v>
      </c>
      <c r="J104" s="132">
        <f t="shared" si="60"/>
        <v>1.0843625425116945</v>
      </c>
      <c r="K104" s="132">
        <f t="shared" si="60"/>
        <v>1.3039956980347154</v>
      </c>
      <c r="L104" s="132">
        <f t="shared" si="60"/>
        <v>1.5686324468739488</v>
      </c>
      <c r="M104" s="132">
        <f t="shared" si="60"/>
        <v>1.7709982770671235</v>
      </c>
      <c r="N104" s="132">
        <f t="shared" si="60"/>
        <v>2.1168119128493856</v>
      </c>
      <c r="O104" s="132">
        <f t="shared" si="60"/>
        <v>2.8059906677083521</v>
      </c>
      <c r="P104" s="83"/>
    </row>
    <row r="105" spans="1:16">
      <c r="C105" s="459"/>
    </row>
    <row r="106" spans="1:16">
      <c r="C106" s="459"/>
    </row>
  </sheetData>
  <pageMargins left="0.7" right="0.7" top="0.75" bottom="0.75" header="0.3" footer="0.3"/>
  <pageSetup scale="8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596B-243A-43A4-9888-30D15758AB68}">
  <dimension ref="A1:AH30"/>
  <sheetViews>
    <sheetView showGridLines="0" zoomScale="120" zoomScaleNormal="120" zoomScaleSheetLayoutView="130"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defaultColWidth="9.1328125" defaultRowHeight="13.15"/>
  <cols>
    <col min="1" max="1" width="3.1328125" style="2" customWidth="1"/>
    <col min="2" max="2" width="23.1328125" style="2" customWidth="1"/>
    <col min="3" max="14" width="8.3984375" style="2" customWidth="1"/>
    <col min="15" max="16384" width="9.1328125" style="1"/>
  </cols>
  <sheetData>
    <row r="1" spans="1:34" s="2" customFormat="1">
      <c r="A1" s="2">
        <v>1000000</v>
      </c>
      <c r="B1" s="7"/>
    </row>
    <row r="2" spans="1:34" s="2" customFormat="1">
      <c r="B2" s="3" t="s">
        <v>165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64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288" t="s">
        <v>253</v>
      </c>
    </row>
    <row r="3" spans="1:34" s="2" customFormat="1">
      <c r="B3" s="229"/>
      <c r="C3" s="229"/>
      <c r="D3" s="21"/>
      <c r="E3" s="21"/>
      <c r="F3" s="21"/>
      <c r="G3" s="21"/>
      <c r="H3" s="21"/>
      <c r="I3" s="21"/>
      <c r="J3" s="21"/>
      <c r="K3" s="21"/>
      <c r="L3" s="21"/>
      <c r="M3" s="21"/>
      <c r="N3" s="66"/>
      <c r="O3" s="284">
        <f t="shared" ref="O3:AH3" si="0">YEAR(O4)</f>
        <v>2023</v>
      </c>
      <c r="P3" s="285">
        <f t="shared" si="0"/>
        <v>2023</v>
      </c>
      <c r="Q3" s="285">
        <f t="shared" si="0"/>
        <v>2023</v>
      </c>
      <c r="R3" s="285">
        <f t="shared" si="0"/>
        <v>2023</v>
      </c>
      <c r="S3" s="285">
        <f t="shared" si="0"/>
        <v>2024</v>
      </c>
      <c r="T3" s="285">
        <f t="shared" si="0"/>
        <v>2024</v>
      </c>
      <c r="U3" s="285">
        <f t="shared" si="0"/>
        <v>2024</v>
      </c>
      <c r="V3" s="285">
        <f t="shared" si="0"/>
        <v>2024</v>
      </c>
      <c r="W3" s="285">
        <f t="shared" si="0"/>
        <v>2025</v>
      </c>
      <c r="X3" s="285">
        <f t="shared" si="0"/>
        <v>2025</v>
      </c>
      <c r="Y3" s="285">
        <f t="shared" si="0"/>
        <v>2025</v>
      </c>
      <c r="Z3" s="285">
        <f t="shared" si="0"/>
        <v>2025</v>
      </c>
      <c r="AA3" s="285">
        <f t="shared" si="0"/>
        <v>2026</v>
      </c>
      <c r="AB3" s="285">
        <f t="shared" si="0"/>
        <v>2026</v>
      </c>
      <c r="AC3" s="285">
        <f t="shared" si="0"/>
        <v>2026</v>
      </c>
      <c r="AD3" s="285">
        <f t="shared" si="0"/>
        <v>2026</v>
      </c>
      <c r="AE3" s="285">
        <f t="shared" si="0"/>
        <v>2027</v>
      </c>
      <c r="AF3" s="285">
        <f t="shared" si="0"/>
        <v>2027</v>
      </c>
      <c r="AG3" s="285">
        <f t="shared" si="0"/>
        <v>2027</v>
      </c>
      <c r="AH3" s="285">
        <f t="shared" si="0"/>
        <v>2027</v>
      </c>
    </row>
    <row r="4" spans="1:34" s="2" customFormat="1">
      <c r="B4" s="4"/>
      <c r="C4" s="229">
        <v>43921</v>
      </c>
      <c r="D4" s="21">
        <f t="shared" ref="D4:AH4" si="1">EOMONTH(C4, 3)</f>
        <v>44012</v>
      </c>
      <c r="E4" s="21">
        <f t="shared" si="1"/>
        <v>44104</v>
      </c>
      <c r="F4" s="21">
        <f t="shared" si="1"/>
        <v>44196</v>
      </c>
      <c r="G4" s="21">
        <f t="shared" si="1"/>
        <v>44286</v>
      </c>
      <c r="H4" s="21">
        <f t="shared" si="1"/>
        <v>44377</v>
      </c>
      <c r="I4" s="21">
        <f t="shared" si="1"/>
        <v>44469</v>
      </c>
      <c r="J4" s="21">
        <f t="shared" si="1"/>
        <v>44561</v>
      </c>
      <c r="K4" s="21">
        <f t="shared" si="1"/>
        <v>44651</v>
      </c>
      <c r="L4" s="21">
        <f t="shared" si="1"/>
        <v>44742</v>
      </c>
      <c r="M4" s="21">
        <f t="shared" si="1"/>
        <v>44834</v>
      </c>
      <c r="N4" s="66">
        <f t="shared" si="1"/>
        <v>44926</v>
      </c>
      <c r="O4" s="195">
        <f t="shared" si="1"/>
        <v>45016</v>
      </c>
      <c r="P4" s="193">
        <f t="shared" si="1"/>
        <v>45107</v>
      </c>
      <c r="Q4" s="193">
        <f t="shared" si="1"/>
        <v>45199</v>
      </c>
      <c r="R4" s="193">
        <f t="shared" si="1"/>
        <v>45291</v>
      </c>
      <c r="S4" s="193">
        <f t="shared" si="1"/>
        <v>45382</v>
      </c>
      <c r="T4" s="193">
        <f t="shared" si="1"/>
        <v>45473</v>
      </c>
      <c r="U4" s="193">
        <f t="shared" si="1"/>
        <v>45565</v>
      </c>
      <c r="V4" s="193">
        <f t="shared" si="1"/>
        <v>45657</v>
      </c>
      <c r="W4" s="193">
        <f t="shared" si="1"/>
        <v>45747</v>
      </c>
      <c r="X4" s="193">
        <f t="shared" si="1"/>
        <v>45838</v>
      </c>
      <c r="Y4" s="193">
        <f t="shared" si="1"/>
        <v>45930</v>
      </c>
      <c r="Z4" s="193">
        <f t="shared" si="1"/>
        <v>46022</v>
      </c>
      <c r="AA4" s="193">
        <f t="shared" si="1"/>
        <v>46112</v>
      </c>
      <c r="AB4" s="193">
        <f t="shared" si="1"/>
        <v>46203</v>
      </c>
      <c r="AC4" s="193">
        <f t="shared" si="1"/>
        <v>46295</v>
      </c>
      <c r="AD4" s="193">
        <f t="shared" si="1"/>
        <v>46387</v>
      </c>
      <c r="AE4" s="193">
        <f t="shared" si="1"/>
        <v>46477</v>
      </c>
      <c r="AF4" s="193">
        <f t="shared" si="1"/>
        <v>46568</v>
      </c>
      <c r="AG4" s="193">
        <f t="shared" si="1"/>
        <v>46660</v>
      </c>
      <c r="AH4" s="193">
        <f t="shared" si="1"/>
        <v>46752</v>
      </c>
    </row>
    <row r="5" spans="1:34" s="10" customFormat="1">
      <c r="A5" s="5"/>
      <c r="B5" s="16" t="s">
        <v>1</v>
      </c>
      <c r="C5" s="15"/>
      <c r="D5" s="15"/>
      <c r="E5" s="15"/>
      <c r="F5" s="15"/>
      <c r="G5" s="15"/>
      <c r="H5" s="5"/>
      <c r="I5" s="5"/>
      <c r="J5" s="5"/>
      <c r="K5" s="5"/>
      <c r="L5" s="5"/>
      <c r="M5" s="5"/>
      <c r="N5" s="199"/>
      <c r="O5" s="159"/>
    </row>
    <row r="6" spans="1:34">
      <c r="B6" s="24" t="s">
        <v>9</v>
      </c>
      <c r="C6" s="355">
        <f>SUM('Raw Customer ARR'!C2:C197)/1000000</f>
        <v>289.19772</v>
      </c>
      <c r="D6" s="326">
        <f t="shared" ref="D6:N6" si="2">+C11</f>
        <v>301.18760800000001</v>
      </c>
      <c r="E6" s="326">
        <f t="shared" si="2"/>
        <v>304.47510400000004</v>
      </c>
      <c r="F6" s="326">
        <f t="shared" si="2"/>
        <v>308.342376</v>
      </c>
      <c r="G6" s="326">
        <f t="shared" si="2"/>
        <v>313.78571199999993</v>
      </c>
      <c r="H6" s="326">
        <f t="shared" si="2"/>
        <v>310.36867199999995</v>
      </c>
      <c r="I6" s="326">
        <f t="shared" si="2"/>
        <v>309.60269599999998</v>
      </c>
      <c r="J6" s="326">
        <f t="shared" si="2"/>
        <v>312.48882399999997</v>
      </c>
      <c r="K6" s="326">
        <f t="shared" si="2"/>
        <v>315.91418399999998</v>
      </c>
      <c r="L6" s="326">
        <f t="shared" si="2"/>
        <v>318.54402399999998</v>
      </c>
      <c r="M6" s="326">
        <f t="shared" si="2"/>
        <v>321.88423200000005</v>
      </c>
      <c r="N6" s="356">
        <f t="shared" si="2"/>
        <v>327.87812800000012</v>
      </c>
      <c r="O6" s="326">
        <f>+N11</f>
        <v>337.9140000000001</v>
      </c>
      <c r="P6" s="326">
        <f t="shared" ref="P6:AH6" si="3">+O11</f>
        <v>339.6035700000001</v>
      </c>
      <c r="Q6" s="326">
        <f t="shared" si="3"/>
        <v>341.30158785000009</v>
      </c>
      <c r="R6" s="326">
        <f t="shared" si="3"/>
        <v>343.00809578925009</v>
      </c>
      <c r="S6" s="326">
        <f t="shared" si="3"/>
        <v>344.7231362681963</v>
      </c>
      <c r="T6" s="326">
        <f t="shared" si="3"/>
        <v>346.44675194953726</v>
      </c>
      <c r="U6" s="326">
        <f t="shared" si="3"/>
        <v>348.17898570928497</v>
      </c>
      <c r="V6" s="326">
        <f t="shared" si="3"/>
        <v>349.9198806378314</v>
      </c>
      <c r="W6" s="326">
        <f t="shared" si="3"/>
        <v>351.66948004102056</v>
      </c>
      <c r="X6" s="326">
        <f t="shared" si="3"/>
        <v>353.42782744122565</v>
      </c>
      <c r="Y6" s="326">
        <f t="shared" si="3"/>
        <v>355.19496657843177</v>
      </c>
      <c r="Z6" s="326">
        <f t="shared" si="3"/>
        <v>356.97094141132391</v>
      </c>
      <c r="AA6" s="326">
        <f t="shared" si="3"/>
        <v>358.75579611838054</v>
      </c>
      <c r="AB6" s="326">
        <f t="shared" si="3"/>
        <v>360.54957509897247</v>
      </c>
      <c r="AC6" s="326">
        <f t="shared" si="3"/>
        <v>362.35232297446726</v>
      </c>
      <c r="AD6" s="326">
        <f t="shared" si="3"/>
        <v>364.16408458933961</v>
      </c>
      <c r="AE6" s="326">
        <f t="shared" si="3"/>
        <v>365.98490501228633</v>
      </c>
      <c r="AF6" s="326">
        <f t="shared" si="3"/>
        <v>367.81482953734775</v>
      </c>
      <c r="AG6" s="326">
        <f t="shared" si="3"/>
        <v>369.65390368503449</v>
      </c>
      <c r="AH6" s="326">
        <f t="shared" si="3"/>
        <v>371.50217320345962</v>
      </c>
    </row>
    <row r="7" spans="1:34">
      <c r="B7" s="24" t="s">
        <v>5</v>
      </c>
      <c r="C7" s="357" cm="1">
        <f t="array" ref="C7">SUMPRODUCT('Raw Customer ARR'!D$2:D$197 - 'Raw Customer ARR'!C$2:C$197,
--('Raw Customer ARR'!C$2:C$197 = 0), --('Raw Customer ARR'!D$2:D$197 &gt; 0))/unit</f>
        <v>16.542719999999999</v>
      </c>
      <c r="D7" s="357" cm="1">
        <f t="array" ref="D7">SUMPRODUCT('Raw Customer ARR'!E$2:E$197 - 'Raw Customer ARR'!D$2:D$197,
--('Raw Customer ARR'!D$2:D$197 = 0), --('Raw Customer ARR'!E$2:E$197 &gt; 0))/unit</f>
        <v>12.672000000000001</v>
      </c>
      <c r="E7" s="357" cm="1">
        <f t="array" ref="E7">SUMPRODUCT('Raw Customer ARR'!F$2:F$197 - 'Raw Customer ARR'!E$2:E$197,
--('Raw Customer ARR'!E$2:E$197 = 0), --('Raw Customer ARR'!F$2:F$197 &gt; 0))/unit</f>
        <v>10.782719999999999</v>
      </c>
      <c r="F7" s="357" cm="1">
        <f t="array" ref="F7">SUMPRODUCT('Raw Customer ARR'!G$2:G$197 - 'Raw Customer ARR'!F$2:F$197,
--('Raw Customer ARR'!F$2:F$197 = 0), --('Raw Customer ARR'!G$2:G$197 &gt; 0))/unit</f>
        <v>12.034255999999999</v>
      </c>
      <c r="G7" s="357" cm="1">
        <f t="array" ref="G7">SUMPRODUCT('Raw Customer ARR'!H$2:H$197 - 'Raw Customer ARR'!G$2:G$197,
--('Raw Customer ARR'!G$2:G$197 = 0), --('Raw Customer ARR'!H$2:H$197 &gt; 0))/unit</f>
        <v>6.9119999999999999</v>
      </c>
      <c r="H7" s="357" cm="1">
        <f t="array" ref="H7">SUMPRODUCT('Raw Customer ARR'!I$2:I$197 - 'Raw Customer ARR'!H$2:H$197,
--('Raw Customer ARR'!H$2:H$197 = 0), --('Raw Customer ARR'!I$2:I$197 &gt; 0))/unit</f>
        <v>7.8796799999999996</v>
      </c>
      <c r="I7" s="357" cm="1">
        <f t="array" ref="I7">SUMPRODUCT('Raw Customer ARR'!J$2:J$197 - 'Raw Customer ARR'!I$2:I$197,
--('Raw Customer ARR'!I$2:I$197 = 0), --('Raw Customer ARR'!J$2:J$197 &gt; 0))/unit</f>
        <v>11.52</v>
      </c>
      <c r="J7" s="357" cm="1">
        <f t="array" ref="J7">SUMPRODUCT('Raw Customer ARR'!K$2:K$197 - 'Raw Customer ARR'!J$2:J$197,
--('Raw Customer ARR'!J$2:J$197 = 0), --('Raw Customer ARR'!K$2:K$197 &gt; 0))/unit</f>
        <v>12.487679999999999</v>
      </c>
      <c r="K7" s="357" cm="1">
        <f t="array" ref="K7">SUMPRODUCT('Raw Customer ARR'!L$2:L$197 - 'Raw Customer ARR'!K$2:K$197,
--('Raw Customer ARR'!K$2:K$197 = 0), --('Raw Customer ARR'!L$2:L$197 &gt; 0))/unit</f>
        <v>15.34464</v>
      </c>
      <c r="L7" s="357" cm="1">
        <f t="array" ref="L7">SUMPRODUCT('Raw Customer ARR'!M$2:M$197 - 'Raw Customer ARR'!L$2:L$197,
--('Raw Customer ARR'!L$2:L$197 = 0), --('Raw Customer ARR'!M$2:M$197 &gt; 0))/unit</f>
        <v>12.672000000000001</v>
      </c>
      <c r="M7" s="357" cm="1">
        <f t="array" ref="M7">SUMPRODUCT('Raw Customer ARR'!N$2:N$197 - 'Raw Customer ARR'!M$2:M$197,
--('Raw Customer ARR'!M$2:M$197 = 0), --('Raw Customer ARR'!N$2:N$197 &gt; 0))/unit</f>
        <v>18.431999999999999</v>
      </c>
      <c r="N7" s="324" cm="1">
        <f t="array" ref="N7">SUMPRODUCT('Raw Customer ARR'!O$2:O$197 - 'Raw Customer ARR'!N$2:N$197,
--('Raw Customer ARR'!N$2:N$197 = 0), --('Raw Customer ARR'!O$2:O$197 &gt; 0))/unit</f>
        <v>18.984960000000001</v>
      </c>
      <c r="O7" s="326">
        <f>O15*O$6</f>
        <v>13.516560000000004</v>
      </c>
      <c r="P7" s="326">
        <f t="shared" ref="P7:AH10" si="4">P15*P$6</f>
        <v>13.584142800000004</v>
      </c>
      <c r="Q7" s="326">
        <f t="shared" si="4"/>
        <v>13.652063514000004</v>
      </c>
      <c r="R7" s="326">
        <f t="shared" si="4"/>
        <v>13.720323831570004</v>
      </c>
      <c r="S7" s="326">
        <f t="shared" si="4"/>
        <v>13.788925450727852</v>
      </c>
      <c r="T7" s="326">
        <f t="shared" si="4"/>
        <v>13.85787007798149</v>
      </c>
      <c r="U7" s="326">
        <f t="shared" si="4"/>
        <v>13.927159428371398</v>
      </c>
      <c r="V7" s="326">
        <f t="shared" si="4"/>
        <v>13.996795225513257</v>
      </c>
      <c r="W7" s="326">
        <f t="shared" si="4"/>
        <v>14.066779201640824</v>
      </c>
      <c r="X7" s="326">
        <f t="shared" si="4"/>
        <v>14.137113097649026</v>
      </c>
      <c r="Y7" s="326">
        <f t="shared" si="4"/>
        <v>14.207798663137272</v>
      </c>
      <c r="Z7" s="326">
        <f t="shared" si="4"/>
        <v>14.278837656452957</v>
      </c>
      <c r="AA7" s="326">
        <f t="shared" si="4"/>
        <v>14.350231844735221</v>
      </c>
      <c r="AB7" s="326">
        <f t="shared" si="4"/>
        <v>14.4219830039589</v>
      </c>
      <c r="AC7" s="326">
        <f t="shared" si="4"/>
        <v>14.494092918978691</v>
      </c>
      <c r="AD7" s="326">
        <f t="shared" si="4"/>
        <v>14.566563383573584</v>
      </c>
      <c r="AE7" s="326">
        <f t="shared" si="4"/>
        <v>14.639396200491454</v>
      </c>
      <c r="AF7" s="326">
        <f t="shared" si="4"/>
        <v>14.71259318149391</v>
      </c>
      <c r="AG7" s="326">
        <f t="shared" si="4"/>
        <v>14.78615614740138</v>
      </c>
      <c r="AH7" s="326">
        <f t="shared" si="4"/>
        <v>14.860086928138385</v>
      </c>
    </row>
    <row r="8" spans="1:34">
      <c r="B8" s="24" t="s">
        <v>6</v>
      </c>
      <c r="C8" s="357" cm="1">
        <f t="array" ref="C8">SUMPRODUCT('Raw Customer ARR'!D$2:D$197 - 'Raw Customer ARR'!C$2:C$197,
--('Raw Customer ARR'!C$2:C$197 &gt; 0), --('Raw Customer ARR'!D$2:D$197 &gt; 'Raw Customer ARR'!C$2:C$197))/unit</f>
        <v>6.2770320000000002</v>
      </c>
      <c r="D8" s="357" cm="1">
        <f t="array" ref="D8">SUMPRODUCT('Raw Customer ARR'!E$2:E$197 - 'Raw Customer ARR'!D$2:D$197,
--('Raw Customer ARR'!D$2:D$197 &gt; 0), --('Raw Customer ARR'!E$2:E$197 &gt; 'Raw Customer ARR'!D$2:D$197))/unit</f>
        <v>4.8578320000000001</v>
      </c>
      <c r="E8" s="357" cm="1">
        <f t="array" ref="E8">SUMPRODUCT('Raw Customer ARR'!F$2:F$197 - 'Raw Customer ARR'!E$2:E$197,
--('Raw Customer ARR'!E$2:E$197 &gt; 0), --('Raw Customer ARR'!F$2:F$197 &gt; 'Raw Customer ARR'!E$2:E$197))/unit</f>
        <v>3.9875280000000002</v>
      </c>
      <c r="F8" s="357" cm="1">
        <f t="array" ref="F8">SUMPRODUCT('Raw Customer ARR'!G$2:G$197 - 'Raw Customer ARR'!F$2:F$197,
--('Raw Customer ARR'!F$2:F$197 &gt; 0), --('Raw Customer ARR'!G$2:G$197 &gt; 'Raw Customer ARR'!F$2:F$197))/unit</f>
        <v>5.7308399999999997</v>
      </c>
      <c r="G8" s="357" cm="1">
        <f t="array" ref="G8">SUMPRODUCT('Raw Customer ARR'!H$2:H$197 - 'Raw Customer ARR'!G$2:G$197,
--('Raw Customer ARR'!G$2:G$197 &gt; 0), --('Raw Customer ARR'!H$2:H$197 &gt; 'Raw Customer ARR'!G$2:G$197))/unit</f>
        <v>5.3942160000000001</v>
      </c>
      <c r="H8" s="357" cm="1">
        <f t="array" ref="H8">SUMPRODUCT('Raw Customer ARR'!I$2:I$197 - 'Raw Customer ARR'!H$2:H$197,
--('Raw Customer ARR'!H$2:H$197 &gt; 0), --('Raw Customer ARR'!I$2:I$197 &gt; 'Raw Customer ARR'!H$2:H$197))/unit</f>
        <v>6.4860639999999998</v>
      </c>
      <c r="I8" s="357" cm="1">
        <f t="array" ref="I8">SUMPRODUCT('Raw Customer ARR'!J$2:J$197 - 'Raw Customer ARR'!I$2:I$197,
--('Raw Customer ARR'!I$2:I$197 &gt; 0), --('Raw Customer ARR'!J$2:J$197 &gt; 'Raw Customer ARR'!I$2:I$197))/unit</f>
        <v>5.7595599999999996</v>
      </c>
      <c r="J8" s="357" cm="1">
        <f t="array" ref="J8">SUMPRODUCT('Raw Customer ARR'!K$2:K$197 - 'Raw Customer ARR'!J$2:J$197,
--('Raw Customer ARR'!J$2:J$197 &gt; 0), --('Raw Customer ARR'!K$2:K$197 &gt; 'Raw Customer ARR'!J$2:J$197))/unit</f>
        <v>6.5535040000000002</v>
      </c>
      <c r="K8" s="357" cm="1">
        <f t="array" ref="K8">SUMPRODUCT('Raw Customer ARR'!L$2:L$197 - 'Raw Customer ARR'!K$2:K$197,
--('Raw Customer ARR'!K$2:K$197 &gt; 0), --('Raw Customer ARR'!L$2:L$197 &gt; 'Raw Customer ARR'!K$2:K$197))/unit</f>
        <v>4.3742320000000001</v>
      </c>
      <c r="L8" s="357" cm="1">
        <f t="array" ref="L8">SUMPRODUCT('Raw Customer ARR'!M$2:M$197 - 'Raw Customer ARR'!L$2:L$197,
--('Raw Customer ARR'!L$2:L$197 &gt; 0), --('Raw Customer ARR'!M$2:M$197 &gt; 'Raw Customer ARR'!L$2:L$197))/unit</f>
        <v>4.7944560000000003</v>
      </c>
      <c r="M8" s="357" cm="1">
        <f t="array" ref="M8">SUMPRODUCT('Raw Customer ARR'!N$2:N$197 - 'Raw Customer ARR'!M$2:M$197,
--('Raw Customer ARR'!M$2:M$197 &gt; 0), --('Raw Customer ARR'!N$2:N$197 &gt; 'Raw Customer ARR'!M$2:M$197))/unit</f>
        <v>3.0911840000000002</v>
      </c>
      <c r="N8" s="324" cm="1">
        <f t="array" ref="N8">SUMPRODUCT('Raw Customer ARR'!O$2:O$197 - 'Raw Customer ARR'!N$2:N$197,
--('Raw Customer ARR'!N$2:N$197 &gt; 0), --('Raw Customer ARR'!O$2:O$197 &gt; 'Raw Customer ARR'!N$2:N$197))/unit</f>
        <v>4.551768</v>
      </c>
      <c r="O8" s="326">
        <f t="shared" ref="O8:AD10" si="5">O16*O$6</f>
        <v>5.0687100000000012</v>
      </c>
      <c r="P8" s="326">
        <f t="shared" si="5"/>
        <v>5.0940535500000017</v>
      </c>
      <c r="Q8" s="326">
        <f t="shared" si="5"/>
        <v>5.1195238177500011</v>
      </c>
      <c r="R8" s="326">
        <f t="shared" si="5"/>
        <v>5.1451214368387514</v>
      </c>
      <c r="S8" s="326">
        <f t="shared" si="5"/>
        <v>5.1708470440229446</v>
      </c>
      <c r="T8" s="326">
        <f t="shared" si="5"/>
        <v>5.1967012792430589</v>
      </c>
      <c r="U8" s="326">
        <f t="shared" si="5"/>
        <v>5.2226847856392746</v>
      </c>
      <c r="V8" s="326">
        <f t="shared" si="5"/>
        <v>5.2487982095674708</v>
      </c>
      <c r="W8" s="326">
        <f t="shared" si="5"/>
        <v>5.2750422006153084</v>
      </c>
      <c r="X8" s="326">
        <f t="shared" si="5"/>
        <v>5.3014174116183845</v>
      </c>
      <c r="Y8" s="326">
        <f t="shared" si="5"/>
        <v>5.3279244986764764</v>
      </c>
      <c r="Z8" s="326">
        <f t="shared" si="5"/>
        <v>5.354564121169858</v>
      </c>
      <c r="AA8" s="326">
        <f t="shared" si="5"/>
        <v>5.3813369417757082</v>
      </c>
      <c r="AB8" s="326">
        <f t="shared" si="5"/>
        <v>5.4082436264845866</v>
      </c>
      <c r="AC8" s="326">
        <f t="shared" si="5"/>
        <v>5.4352848446170086</v>
      </c>
      <c r="AD8" s="326">
        <f t="shared" si="5"/>
        <v>5.4624612688400935</v>
      </c>
      <c r="AE8" s="326">
        <f t="shared" si="4"/>
        <v>5.4897735751842944</v>
      </c>
      <c r="AF8" s="326">
        <f t="shared" si="4"/>
        <v>5.5172224430602164</v>
      </c>
      <c r="AG8" s="326">
        <f t="shared" si="4"/>
        <v>5.5448085552755169</v>
      </c>
      <c r="AH8" s="326">
        <f t="shared" si="4"/>
        <v>5.572532598051894</v>
      </c>
    </row>
    <row r="9" spans="1:34">
      <c r="B9" s="24" t="s">
        <v>7</v>
      </c>
      <c r="C9" s="357" cm="1">
        <f t="array" ref="C9">SUMPRODUCT('Raw Customer ARR'!D$2:D$197 - 'Raw Customer ARR'!C$2:C$197,
--('Raw Customer ARR'!C$2:C$197 &gt; 0), --('Raw Customer ARR'!D$2:D$197 &lt; 'Raw Customer ARR'!C$2:C$197), --('Raw Customer ARR'!D$2:D$197 &gt; 0))/unit</f>
        <v>-3.5502959999999999</v>
      </c>
      <c r="D9" s="357" cm="1">
        <f t="array" ref="D9">SUMPRODUCT('Raw Customer ARR'!E$2:E$197 - 'Raw Customer ARR'!D$2:D$197,
--('Raw Customer ARR'!D$2:D$197 &gt; 0), --('Raw Customer ARR'!E$2:E$197 &lt; 'Raw Customer ARR'!D$2:D$197), --('Raw Customer ARR'!E$2:E$197 &gt; 0))/unit</f>
        <v>-4.0782879999999997</v>
      </c>
      <c r="E9" s="357" cm="1">
        <f t="array" ref="E9">SUMPRODUCT('Raw Customer ARR'!F$2:F$197 - 'Raw Customer ARR'!E$2:E$197,
--('Raw Customer ARR'!E$2:E$197 &gt; 0), --('Raw Customer ARR'!F$2:F$197 &lt; 'Raw Customer ARR'!E$2:E$197), --('Raw Customer ARR'!F$2:F$197 &gt; 0))/unit</f>
        <v>-3.6139600000000001</v>
      </c>
      <c r="F9" s="357" cm="1">
        <f t="array" ref="F9">SUMPRODUCT('Raw Customer ARR'!G$2:G$197 - 'Raw Customer ARR'!F$2:F$197,
--('Raw Customer ARR'!F$2:F$197 &gt; 0), --('Raw Customer ARR'!G$2:G$197 &lt; 'Raw Customer ARR'!F$2:F$197), --('Raw Customer ARR'!G$2:G$197 &gt; 0))/unit</f>
        <v>-4.1697519999999999</v>
      </c>
      <c r="G9" s="357" cm="1">
        <f t="array" ref="G9">SUMPRODUCT('Raw Customer ARR'!H$2:H$197 - 'Raw Customer ARR'!G$2:G$197,
--('Raw Customer ARR'!G$2:G$197 &gt; 0), --('Raw Customer ARR'!H$2:H$197 &lt; 'Raw Customer ARR'!G$2:G$197), --('Raw Customer ARR'!H$2:H$197 &gt; 0))/unit</f>
        <v>-3.5214400000000001</v>
      </c>
      <c r="H9" s="357" cm="1">
        <f t="array" ref="H9">SUMPRODUCT('Raw Customer ARR'!I$2:I$197 - 'Raw Customer ARR'!H$2:H$197,
--('Raw Customer ARR'!H$2:H$197 &gt; 0), --('Raw Customer ARR'!I$2:I$197 &lt; 'Raw Customer ARR'!H$2:H$197), --('Raw Customer ARR'!I$2:I$197 &gt; 0))/unit</f>
        <v>-4.3348800000000001</v>
      </c>
      <c r="I9" s="357" cm="1">
        <f t="array" ref="I9">SUMPRODUCT('Raw Customer ARR'!J$2:J$197 - 'Raw Customer ARR'!I$2:I$197,
--('Raw Customer ARR'!I$2:I$197 &gt; 0), --('Raw Customer ARR'!J$2:J$197 &lt; 'Raw Customer ARR'!I$2:I$197), --('Raw Customer ARR'!J$2:J$197 &gt; 0))/unit</f>
        <v>-4.362616</v>
      </c>
      <c r="J9" s="357" cm="1">
        <f t="array" ref="J9">SUMPRODUCT('Raw Customer ARR'!K$2:K$197 - 'Raw Customer ARR'!J$2:J$197,
--('Raw Customer ARR'!J$2:J$197 &gt; 0), --('Raw Customer ARR'!K$2:K$197 &lt; 'Raw Customer ARR'!J$2:J$197), --('Raw Customer ARR'!K$2:K$197 &gt; 0))/unit</f>
        <v>-3.7341600000000001</v>
      </c>
      <c r="K9" s="357" cm="1">
        <f t="array" ref="K9">SUMPRODUCT('Raw Customer ARR'!L$2:L$197 - 'Raw Customer ARR'!K$2:K$197,
--('Raw Customer ARR'!K$2:K$197 &gt; 0), --('Raw Customer ARR'!L$2:L$197 &lt; 'Raw Customer ARR'!K$2:K$197), --('Raw Customer ARR'!L$2:L$197 &gt; 0))/unit</f>
        <v>-3.469624</v>
      </c>
      <c r="L9" s="357" cm="1">
        <f t="array" ref="L9">SUMPRODUCT('Raw Customer ARR'!M$2:M$197 - 'Raw Customer ARR'!L$2:L$197,
--('Raw Customer ARR'!L$2:L$197 &gt; 0), --('Raw Customer ARR'!M$2:M$197 &lt; 'Raw Customer ARR'!L$2:L$197), --('Raw Customer ARR'!M$2:M$197 &gt; 0))/unit</f>
        <v>-1.843504</v>
      </c>
      <c r="M9" s="357" cm="1">
        <f t="array" ref="M9">SUMPRODUCT('Raw Customer ARR'!N$2:N$197 - 'Raw Customer ARR'!M$2:M$197,
--('Raw Customer ARR'!M$2:M$197 &gt; 0), --('Raw Customer ARR'!N$2:N$197 &lt; 'Raw Customer ARR'!M$2:M$197), --('Raw Customer ARR'!N$2:N$197 &gt; 0))/unit</f>
        <v>-4.0987359999999997</v>
      </c>
      <c r="N9" s="324" cm="1">
        <f t="array" ref="N9">SUMPRODUCT('Raw Customer ARR'!O$2:O$197 - 'Raw Customer ARR'!N$2:N$197,
--('Raw Customer ARR'!N$2:N$197 &gt; 0), --('Raw Customer ARR'!O$2:O$197 &lt; 'Raw Customer ARR'!N$2:N$197), --('Raw Customer ARR'!O$2:O$197 &gt; 0))/unit</f>
        <v>-1.989072</v>
      </c>
      <c r="O9" s="326">
        <f t="shared" si="5"/>
        <v>-3.3791400000000009</v>
      </c>
      <c r="P9" s="326">
        <f t="shared" si="4"/>
        <v>-3.396035700000001</v>
      </c>
      <c r="Q9" s="326">
        <f t="shared" si="4"/>
        <v>-3.4130158785000009</v>
      </c>
      <c r="R9" s="326">
        <f t="shared" si="4"/>
        <v>-3.4300809578925011</v>
      </c>
      <c r="S9" s="326">
        <f t="shared" si="4"/>
        <v>-3.4472313626819631</v>
      </c>
      <c r="T9" s="326">
        <f t="shared" si="4"/>
        <v>-3.4644675194953725</v>
      </c>
      <c r="U9" s="326">
        <f t="shared" si="4"/>
        <v>-3.4817898570928496</v>
      </c>
      <c r="V9" s="326">
        <f t="shared" si="4"/>
        <v>-3.4991988063783142</v>
      </c>
      <c r="W9" s="326">
        <f t="shared" si="4"/>
        <v>-3.5166948004102059</v>
      </c>
      <c r="X9" s="326">
        <f t="shared" si="4"/>
        <v>-3.5342782744122565</v>
      </c>
      <c r="Y9" s="326">
        <f t="shared" si="4"/>
        <v>-3.5519496657843179</v>
      </c>
      <c r="Z9" s="326">
        <f t="shared" si="4"/>
        <v>-3.5697094141132393</v>
      </c>
      <c r="AA9" s="326">
        <f t="shared" si="4"/>
        <v>-3.5875579611838053</v>
      </c>
      <c r="AB9" s="326">
        <f t="shared" si="4"/>
        <v>-3.605495750989725</v>
      </c>
      <c r="AC9" s="326">
        <f t="shared" si="4"/>
        <v>-3.6235232297446727</v>
      </c>
      <c r="AD9" s="326">
        <f t="shared" si="4"/>
        <v>-3.641640845893396</v>
      </c>
      <c r="AE9" s="326">
        <f t="shared" si="4"/>
        <v>-3.6598490501228635</v>
      </c>
      <c r="AF9" s="326">
        <f t="shared" si="4"/>
        <v>-3.6781482953734774</v>
      </c>
      <c r="AG9" s="326">
        <f t="shared" si="4"/>
        <v>-3.696539036850345</v>
      </c>
      <c r="AH9" s="326">
        <f t="shared" si="4"/>
        <v>-3.7150217320345962</v>
      </c>
    </row>
    <row r="10" spans="1:34">
      <c r="B10" s="24" t="s">
        <v>8</v>
      </c>
      <c r="C10" s="357" cm="1">
        <f t="array" ref="C10">SUMPRODUCT('Raw Customer ARR'!D$2:D$197 - 'Raw Customer ARR'!C$2:C$197,
--('Raw Customer ARR'!C$2:C$197 &gt; 0), --('Raw Customer ARR'!D$2:D$197 = 0))/unit</f>
        <v>-7.2795680000000003</v>
      </c>
      <c r="D10" s="357" cm="1">
        <f t="array" ref="D10">SUMPRODUCT('Raw Customer ARR'!E$2:E$197 - 'Raw Customer ARR'!D$2:D$197,
--('Raw Customer ARR'!D$2:D$197 &gt; 0), --('Raw Customer ARR'!E$2:E$197 = 0))/unit</f>
        <v>-10.164047999999999</v>
      </c>
      <c r="E10" s="357" cm="1">
        <f t="array" ref="E10">SUMPRODUCT('Raw Customer ARR'!F$2:F$197 - 'Raw Customer ARR'!E$2:E$197,
--('Raw Customer ARR'!E$2:E$197 &gt; 0), --('Raw Customer ARR'!F$2:F$197 = 0))/unit</f>
        <v>-7.2890160000000002</v>
      </c>
      <c r="F10" s="357" cm="1">
        <f t="array" ref="F10">SUMPRODUCT('Raw Customer ARR'!G$2:G$197 - 'Raw Customer ARR'!F$2:F$197,
--('Raw Customer ARR'!F$2:F$197 &gt; 0), --('Raw Customer ARR'!G$2:G$197 = 0))/unit</f>
        <v>-8.1520080000000004</v>
      </c>
      <c r="G10" s="357" cm="1">
        <f t="array" ref="G10">SUMPRODUCT('Raw Customer ARR'!H$2:H$197 - 'Raw Customer ARR'!G$2:G$197,
--('Raw Customer ARR'!G$2:G$197 &gt; 0), --('Raw Customer ARR'!H$2:H$197 = 0))/unit</f>
        <v>-12.201816000000001</v>
      </c>
      <c r="H10" s="357" cm="1">
        <f t="array" ref="H10">SUMPRODUCT('Raw Customer ARR'!I$2:I$197 - 'Raw Customer ARR'!H$2:H$197,
--('Raw Customer ARR'!H$2:H$197 &gt; 0), --('Raw Customer ARR'!I$2:I$197 = 0))/unit</f>
        <v>-10.79684</v>
      </c>
      <c r="I10" s="357" cm="1">
        <f t="array" ref="I10">SUMPRODUCT('Raw Customer ARR'!J$2:J$197 - 'Raw Customer ARR'!I$2:I$197,
--('Raw Customer ARR'!I$2:I$197 &gt; 0), --('Raw Customer ARR'!J$2:J$197 = 0))/unit</f>
        <v>-10.030816</v>
      </c>
      <c r="J10" s="357" cm="1">
        <f t="array" ref="J10">SUMPRODUCT('Raw Customer ARR'!K$2:K$197 - 'Raw Customer ARR'!J$2:J$197,
--('Raw Customer ARR'!J$2:J$197 &gt; 0), --('Raw Customer ARR'!K$2:K$197 = 0))/unit</f>
        <v>-11.881664000000001</v>
      </c>
      <c r="K10" s="357" cm="1">
        <f t="array" ref="K10">SUMPRODUCT('Raw Customer ARR'!L$2:L$197 - 'Raw Customer ARR'!K$2:K$197,
--('Raw Customer ARR'!K$2:K$197 &gt; 0), --('Raw Customer ARR'!L$2:L$197 = 0))/unit</f>
        <v>-13.619408</v>
      </c>
      <c r="L10" s="357" cm="1">
        <f t="array" ref="L10">SUMPRODUCT('Raw Customer ARR'!M$2:M$197 - 'Raw Customer ARR'!L$2:L$197,
--('Raw Customer ARR'!L$2:L$197 &gt; 0), --('Raw Customer ARR'!M$2:M$197 = 0))/unit</f>
        <v>-12.282743999999999</v>
      </c>
      <c r="M10" s="357" cm="1">
        <f t="array" ref="M10">SUMPRODUCT('Raw Customer ARR'!N$2:N$197 - 'Raw Customer ARR'!M$2:M$197,
--('Raw Customer ARR'!M$2:M$197 &gt; 0), --('Raw Customer ARR'!N$2:N$197 = 0))/unit</f>
        <v>-11.430552</v>
      </c>
      <c r="N10" s="324" cm="1">
        <f t="array" ref="N10">SUMPRODUCT('Raw Customer ARR'!O$2:O$197 - 'Raw Customer ARR'!N$2:N$197,
--('Raw Customer ARR'!N$2:N$197 &gt; 0), --('Raw Customer ARR'!O$2:O$197 = 0))/unit</f>
        <v>-11.511784</v>
      </c>
      <c r="O10" s="326">
        <f t="shared" si="5"/>
        <v>-13.516560000000004</v>
      </c>
      <c r="P10" s="326">
        <f t="shared" si="4"/>
        <v>-13.584142800000004</v>
      </c>
      <c r="Q10" s="326">
        <f t="shared" si="4"/>
        <v>-13.652063514000004</v>
      </c>
      <c r="R10" s="326">
        <f t="shared" si="4"/>
        <v>-13.720323831570004</v>
      </c>
      <c r="S10" s="326">
        <f t="shared" si="4"/>
        <v>-13.788925450727852</v>
      </c>
      <c r="T10" s="326">
        <f t="shared" si="4"/>
        <v>-13.85787007798149</v>
      </c>
      <c r="U10" s="326">
        <f t="shared" si="4"/>
        <v>-13.927159428371398</v>
      </c>
      <c r="V10" s="326">
        <f t="shared" si="4"/>
        <v>-13.996795225513257</v>
      </c>
      <c r="W10" s="326">
        <f t="shared" si="4"/>
        <v>-14.066779201640824</v>
      </c>
      <c r="X10" s="326">
        <f t="shared" si="4"/>
        <v>-14.137113097649026</v>
      </c>
      <c r="Y10" s="326">
        <f t="shared" si="4"/>
        <v>-14.207798663137272</v>
      </c>
      <c r="Z10" s="326">
        <f t="shared" si="4"/>
        <v>-14.278837656452957</v>
      </c>
      <c r="AA10" s="326">
        <f t="shared" si="4"/>
        <v>-14.350231844735221</v>
      </c>
      <c r="AB10" s="326">
        <f t="shared" si="4"/>
        <v>-14.4219830039589</v>
      </c>
      <c r="AC10" s="326">
        <f t="shared" si="4"/>
        <v>-14.494092918978691</v>
      </c>
      <c r="AD10" s="326">
        <f t="shared" si="4"/>
        <v>-14.566563383573584</v>
      </c>
      <c r="AE10" s="326">
        <f t="shared" si="4"/>
        <v>-14.639396200491454</v>
      </c>
      <c r="AF10" s="326">
        <f t="shared" si="4"/>
        <v>-14.71259318149391</v>
      </c>
      <c r="AG10" s="326">
        <f t="shared" si="4"/>
        <v>-14.78615614740138</v>
      </c>
      <c r="AH10" s="326">
        <f t="shared" si="4"/>
        <v>-14.860086928138385</v>
      </c>
    </row>
    <row r="11" spans="1:34">
      <c r="B11" s="9" t="s">
        <v>10</v>
      </c>
      <c r="C11" s="358">
        <f t="shared" ref="C11:N11" si="6">SUM(C6:C10)</f>
        <v>301.18760800000001</v>
      </c>
      <c r="D11" s="358">
        <f t="shared" si="6"/>
        <v>304.47510400000004</v>
      </c>
      <c r="E11" s="358">
        <f t="shared" si="6"/>
        <v>308.342376</v>
      </c>
      <c r="F11" s="358">
        <f t="shared" si="6"/>
        <v>313.78571199999993</v>
      </c>
      <c r="G11" s="358">
        <f t="shared" si="6"/>
        <v>310.36867199999995</v>
      </c>
      <c r="H11" s="358">
        <f t="shared" si="6"/>
        <v>309.60269599999998</v>
      </c>
      <c r="I11" s="358">
        <f t="shared" si="6"/>
        <v>312.48882399999997</v>
      </c>
      <c r="J11" s="358">
        <f t="shared" si="6"/>
        <v>315.91418399999998</v>
      </c>
      <c r="K11" s="358">
        <f t="shared" si="6"/>
        <v>318.54402399999998</v>
      </c>
      <c r="L11" s="358">
        <f t="shared" si="6"/>
        <v>321.88423200000005</v>
      </c>
      <c r="M11" s="358">
        <f t="shared" si="6"/>
        <v>327.87812800000012</v>
      </c>
      <c r="N11" s="359">
        <f t="shared" si="6"/>
        <v>337.9140000000001</v>
      </c>
      <c r="O11" s="358">
        <f>SUM(O6:O10)</f>
        <v>339.6035700000001</v>
      </c>
      <c r="P11" s="358">
        <f t="shared" ref="P11:AH11" si="7">SUM(P6:P10)</f>
        <v>341.30158785000009</v>
      </c>
      <c r="Q11" s="358">
        <f t="shared" si="7"/>
        <v>343.00809578925009</v>
      </c>
      <c r="R11" s="358">
        <f t="shared" si="7"/>
        <v>344.7231362681963</v>
      </c>
      <c r="S11" s="358">
        <f t="shared" si="7"/>
        <v>346.44675194953726</v>
      </c>
      <c r="T11" s="358">
        <f t="shared" si="7"/>
        <v>348.17898570928497</v>
      </c>
      <c r="U11" s="358">
        <f t="shared" si="7"/>
        <v>349.9198806378314</v>
      </c>
      <c r="V11" s="358">
        <f t="shared" si="7"/>
        <v>351.66948004102056</v>
      </c>
      <c r="W11" s="358">
        <f t="shared" si="7"/>
        <v>353.42782744122565</v>
      </c>
      <c r="X11" s="358">
        <f t="shared" si="7"/>
        <v>355.19496657843177</v>
      </c>
      <c r="Y11" s="358">
        <f t="shared" si="7"/>
        <v>356.97094141132391</v>
      </c>
      <c r="Z11" s="358">
        <f t="shared" si="7"/>
        <v>358.75579611838054</v>
      </c>
      <c r="AA11" s="358">
        <f t="shared" si="7"/>
        <v>360.54957509897247</v>
      </c>
      <c r="AB11" s="358">
        <f t="shared" si="7"/>
        <v>362.35232297446726</v>
      </c>
      <c r="AC11" s="358">
        <f t="shared" si="7"/>
        <v>364.16408458933961</v>
      </c>
      <c r="AD11" s="358">
        <f t="shared" si="7"/>
        <v>365.98490501228633</v>
      </c>
      <c r="AE11" s="358">
        <f t="shared" si="7"/>
        <v>367.81482953734775</v>
      </c>
      <c r="AF11" s="358">
        <f t="shared" si="7"/>
        <v>369.65390368503449</v>
      </c>
      <c r="AG11" s="358">
        <f t="shared" si="7"/>
        <v>371.50217320345962</v>
      </c>
      <c r="AH11" s="358">
        <f t="shared" si="7"/>
        <v>373.35968406947694</v>
      </c>
    </row>
    <row r="12" spans="1:34">
      <c r="B12" s="7" t="s">
        <v>11</v>
      </c>
      <c r="C12" s="13">
        <f>(SUM('Raw Customer ARR'!D2:D197)/unit)-C11</f>
        <v>0</v>
      </c>
      <c r="D12" s="13">
        <f>(SUM('Raw Customer ARR'!E2:E197)/unit)-D11</f>
        <v>0</v>
      </c>
      <c r="E12" s="13">
        <f>(SUM('Raw Customer ARR'!F2:F197)/unit)-E11</f>
        <v>0</v>
      </c>
      <c r="F12" s="13">
        <f>(SUM('Raw Customer ARR'!G2:G197)/unit)-F11</f>
        <v>0</v>
      </c>
      <c r="G12" s="13">
        <f>(SUM('Raw Customer ARR'!H2:H197)/unit)-G11</f>
        <v>0</v>
      </c>
      <c r="H12" s="13">
        <f>(SUM('Raw Customer ARR'!I2:I197)/unit)-H11</f>
        <v>0</v>
      </c>
      <c r="I12" s="13">
        <f>(SUM('Raw Customer ARR'!J2:J197)/unit)-I11</f>
        <v>0</v>
      </c>
      <c r="J12" s="13">
        <f>(SUM('Raw Customer ARR'!K2:K197)/unit)-J11</f>
        <v>0</v>
      </c>
      <c r="K12" s="13">
        <f>(SUM('Raw Customer ARR'!L2:L197)/unit)-K11</f>
        <v>0</v>
      </c>
      <c r="L12" s="13">
        <f>(SUM('Raw Customer ARR'!M2:M197)/unit)-L11</f>
        <v>0</v>
      </c>
      <c r="M12" s="13">
        <f>(SUM('Raw Customer ARR'!N2:N197)/unit)-M11</f>
        <v>0</v>
      </c>
      <c r="N12" s="200">
        <f>(SUM('Raw Customer ARR'!O2:O197)/unit)-N11</f>
        <v>0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>
      <c r="B13" s="7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200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>
      <c r="B14" s="7" t="s">
        <v>25</v>
      </c>
      <c r="C14" s="239">
        <f t="shared" ref="C14" si="8">SUM(C6,C8,C9,C10)/C6</f>
        <v>0.98425702664599168</v>
      </c>
      <c r="D14" s="239">
        <f t="shared" ref="D14:AH14" si="9">SUM(D6,D8,D9,D10)/D6</f>
        <v>0.96884166628794377</v>
      </c>
      <c r="E14" s="239">
        <f t="shared" si="9"/>
        <v>0.97728731213439368</v>
      </c>
      <c r="F14" s="239">
        <f t="shared" si="9"/>
        <v>0.97862467012967413</v>
      </c>
      <c r="G14" s="239">
        <f t="shared" si="9"/>
        <v>0.96708250374382876</v>
      </c>
      <c r="H14" s="239">
        <f t="shared" si="9"/>
        <v>0.97214391534980704</v>
      </c>
      <c r="I14" s="239">
        <f t="shared" si="9"/>
        <v>0.97211305937723491</v>
      </c>
      <c r="J14" s="239">
        <f t="shared" si="9"/>
        <v>0.97099953885070778</v>
      </c>
      <c r="K14" s="239">
        <f t="shared" si="9"/>
        <v>0.95975236110322915</v>
      </c>
      <c r="L14" s="239">
        <f t="shared" si="9"/>
        <v>0.97070485930698247</v>
      </c>
      <c r="M14" s="239">
        <f t="shared" si="9"/>
        <v>0.96135845511065621</v>
      </c>
      <c r="N14" s="242">
        <f t="shared" si="9"/>
        <v>0.97270605375665675</v>
      </c>
      <c r="O14" s="239">
        <f t="shared" si="9"/>
        <v>0.96499999999999997</v>
      </c>
      <c r="P14" s="239">
        <f t="shared" si="9"/>
        <v>0.96499999999999997</v>
      </c>
      <c r="Q14" s="239">
        <f t="shared" si="9"/>
        <v>0.96499999999999997</v>
      </c>
      <c r="R14" s="239">
        <f t="shared" si="9"/>
        <v>0.96499999999999986</v>
      </c>
      <c r="S14" s="239">
        <f t="shared" si="9"/>
        <v>0.96499999999999997</v>
      </c>
      <c r="T14" s="239">
        <f t="shared" si="9"/>
        <v>0.96500000000000008</v>
      </c>
      <c r="U14" s="239">
        <f t="shared" si="9"/>
        <v>0.96499999999999997</v>
      </c>
      <c r="V14" s="239">
        <f t="shared" si="9"/>
        <v>0.96499999999999997</v>
      </c>
      <c r="W14" s="239">
        <f t="shared" si="9"/>
        <v>0.96499999999999997</v>
      </c>
      <c r="X14" s="239">
        <f t="shared" si="9"/>
        <v>0.96499999999999997</v>
      </c>
      <c r="Y14" s="239">
        <f t="shared" si="9"/>
        <v>0.96499999999999986</v>
      </c>
      <c r="Z14" s="239">
        <f t="shared" si="9"/>
        <v>0.96500000000000008</v>
      </c>
      <c r="AA14" s="239">
        <f t="shared" si="9"/>
        <v>0.96500000000000008</v>
      </c>
      <c r="AB14" s="239">
        <f t="shared" si="9"/>
        <v>0.96499999999999986</v>
      </c>
      <c r="AC14" s="239">
        <f t="shared" si="9"/>
        <v>0.96499999999999997</v>
      </c>
      <c r="AD14" s="239">
        <f t="shared" si="9"/>
        <v>0.96500000000000008</v>
      </c>
      <c r="AE14" s="239">
        <f t="shared" si="9"/>
        <v>0.96499999999999997</v>
      </c>
      <c r="AF14" s="239">
        <f t="shared" si="9"/>
        <v>0.96500000000000008</v>
      </c>
      <c r="AG14" s="239">
        <f t="shared" si="9"/>
        <v>0.96499999999999997</v>
      </c>
      <c r="AH14" s="239">
        <f t="shared" si="9"/>
        <v>0.96499999999999997</v>
      </c>
    </row>
    <row r="15" spans="1:34">
      <c r="B15" s="7" t="s">
        <v>29</v>
      </c>
      <c r="C15" s="239">
        <f t="shared" ref="C15" si="10">+C7/C$6</f>
        <v>5.7202110722034731E-2</v>
      </c>
      <c r="D15" s="239">
        <f t="shared" ref="D15:N15" si="11">+D7/D$6</f>
        <v>4.2073444137183759E-2</v>
      </c>
      <c r="E15" s="239">
        <f t="shared" si="11"/>
        <v>3.5414126995420937E-2</v>
      </c>
      <c r="F15" s="239">
        <f t="shared" si="11"/>
        <v>3.9028874837495571E-2</v>
      </c>
      <c r="G15" s="239">
        <f t="shared" si="11"/>
        <v>2.2027771615044097E-2</v>
      </c>
      <c r="H15" s="239">
        <f t="shared" si="11"/>
        <v>2.5388129379243538E-2</v>
      </c>
      <c r="I15" s="239">
        <f t="shared" si="11"/>
        <v>3.7208978309413686E-2</v>
      </c>
      <c r="J15" s="239">
        <f t="shared" si="11"/>
        <v>3.9962005169183266E-2</v>
      </c>
      <c r="K15" s="239">
        <f t="shared" si="11"/>
        <v>4.857217806972542E-2</v>
      </c>
      <c r="L15" s="239">
        <f t="shared" si="11"/>
        <v>3.9781000569013979E-2</v>
      </c>
      <c r="M15" s="239">
        <f t="shared" si="11"/>
        <v>5.7262823610446364E-2</v>
      </c>
      <c r="N15" s="242">
        <f t="shared" si="11"/>
        <v>5.7902489915399279E-2</v>
      </c>
      <c r="O15" s="243">
        <v>0.04</v>
      </c>
      <c r="P15" s="243">
        <v>0.04</v>
      </c>
      <c r="Q15" s="243">
        <v>0.04</v>
      </c>
      <c r="R15" s="243">
        <v>0.04</v>
      </c>
      <c r="S15" s="243">
        <v>0.04</v>
      </c>
      <c r="T15" s="243">
        <v>0.04</v>
      </c>
      <c r="U15" s="243">
        <v>0.04</v>
      </c>
      <c r="V15" s="243">
        <v>0.04</v>
      </c>
      <c r="W15" s="243">
        <v>0.04</v>
      </c>
      <c r="X15" s="243">
        <v>0.04</v>
      </c>
      <c r="Y15" s="243">
        <v>0.04</v>
      </c>
      <c r="Z15" s="243">
        <v>0.04</v>
      </c>
      <c r="AA15" s="243">
        <v>0.04</v>
      </c>
      <c r="AB15" s="243">
        <v>0.04</v>
      </c>
      <c r="AC15" s="243">
        <v>0.04</v>
      </c>
      <c r="AD15" s="243">
        <v>0.04</v>
      </c>
      <c r="AE15" s="243">
        <v>0.04</v>
      </c>
      <c r="AF15" s="243">
        <v>0.04</v>
      </c>
      <c r="AG15" s="243">
        <v>0.04</v>
      </c>
      <c r="AH15" s="243">
        <v>0.04</v>
      </c>
    </row>
    <row r="16" spans="1:34">
      <c r="B16" s="7" t="s">
        <v>26</v>
      </c>
      <c r="C16" s="239">
        <f t="shared" ref="C16" si="12">+C8/C$6</f>
        <v>2.1704984396142542E-2</v>
      </c>
      <c r="D16" s="239">
        <f t="shared" ref="D16:N18" si="13">+D8/D$6</f>
        <v>1.6128923869935578E-2</v>
      </c>
      <c r="E16" s="239">
        <f t="shared" si="13"/>
        <v>1.3096400814432432E-2</v>
      </c>
      <c r="F16" s="239">
        <f t="shared" si="13"/>
        <v>1.8585963027021625E-2</v>
      </c>
      <c r="G16" s="239">
        <f t="shared" si="13"/>
        <v>1.7190763612589224E-2</v>
      </c>
      <c r="H16" s="239">
        <f t="shared" si="13"/>
        <v>2.0897933925496194E-2</v>
      </c>
      <c r="I16" s="239">
        <f t="shared" si="13"/>
        <v>1.860306797845197E-2</v>
      </c>
      <c r="J16" s="239">
        <f t="shared" si="13"/>
        <v>2.0971962824500888E-2</v>
      </c>
      <c r="K16" s="239">
        <f t="shared" si="13"/>
        <v>1.3846266554464045E-2</v>
      </c>
      <c r="L16" s="239">
        <f t="shared" si="13"/>
        <v>1.5051156633847259E-2</v>
      </c>
      <c r="M16" s="239">
        <f t="shared" si="13"/>
        <v>9.6034030023564483E-3</v>
      </c>
      <c r="N16" s="242">
        <f t="shared" si="13"/>
        <v>1.3882499658531656E-2</v>
      </c>
      <c r="O16" s="243">
        <v>1.4999999999999999E-2</v>
      </c>
      <c r="P16" s="243">
        <v>1.4999999999999999E-2</v>
      </c>
      <c r="Q16" s="243">
        <v>1.4999999999999999E-2</v>
      </c>
      <c r="R16" s="243">
        <v>1.4999999999999999E-2</v>
      </c>
      <c r="S16" s="243">
        <v>1.4999999999999999E-2</v>
      </c>
      <c r="T16" s="243">
        <v>1.4999999999999999E-2</v>
      </c>
      <c r="U16" s="243">
        <v>1.4999999999999999E-2</v>
      </c>
      <c r="V16" s="243">
        <v>1.4999999999999999E-2</v>
      </c>
      <c r="W16" s="243">
        <v>1.4999999999999999E-2</v>
      </c>
      <c r="X16" s="243">
        <v>1.4999999999999999E-2</v>
      </c>
      <c r="Y16" s="243">
        <v>1.4999999999999999E-2</v>
      </c>
      <c r="Z16" s="243">
        <v>1.4999999999999999E-2</v>
      </c>
      <c r="AA16" s="243">
        <v>1.4999999999999999E-2</v>
      </c>
      <c r="AB16" s="243">
        <v>1.4999999999999999E-2</v>
      </c>
      <c r="AC16" s="243">
        <v>1.4999999999999999E-2</v>
      </c>
      <c r="AD16" s="243">
        <v>1.4999999999999999E-2</v>
      </c>
      <c r="AE16" s="243">
        <v>1.4999999999999999E-2</v>
      </c>
      <c r="AF16" s="243">
        <v>1.4999999999999999E-2</v>
      </c>
      <c r="AG16" s="243">
        <v>1.4999999999999999E-2</v>
      </c>
      <c r="AH16" s="243">
        <v>1.4999999999999999E-2</v>
      </c>
    </row>
    <row r="17" spans="1:34">
      <c r="B17" s="7" t="s">
        <v>27</v>
      </c>
      <c r="C17" s="239">
        <f t="shared" ref="C17" si="14">+C9/C$6</f>
        <v>-1.2276362344765373E-2</v>
      </c>
      <c r="D17" s="239">
        <f t="shared" si="13"/>
        <v>-1.3540689894519165E-2</v>
      </c>
      <c r="E17" s="239">
        <f t="shared" si="13"/>
        <v>-1.1869476198618851E-2</v>
      </c>
      <c r="F17" s="239">
        <f t="shared" si="13"/>
        <v>-1.3523123399684771E-2</v>
      </c>
      <c r="G17" s="239">
        <f t="shared" si="13"/>
        <v>-1.1222435774895961E-2</v>
      </c>
      <c r="H17" s="239">
        <f t="shared" si="13"/>
        <v>-1.3966873563837013E-2</v>
      </c>
      <c r="I17" s="239">
        <f t="shared" si="13"/>
        <v>-1.4091014246206695E-2</v>
      </c>
      <c r="J17" s="239">
        <f t="shared" si="13"/>
        <v>-1.1949739360918714E-2</v>
      </c>
      <c r="K17" s="239">
        <f t="shared" si="13"/>
        <v>-1.0982805381096786E-2</v>
      </c>
      <c r="L17" s="239">
        <f t="shared" si="13"/>
        <v>-5.7872816976783092E-3</v>
      </c>
      <c r="M17" s="239">
        <f t="shared" si="13"/>
        <v>-1.2733571863812201E-2</v>
      </c>
      <c r="N17" s="242">
        <f t="shared" si="13"/>
        <v>-6.0664979763456472E-3</v>
      </c>
      <c r="O17" s="243">
        <v>-0.01</v>
      </c>
      <c r="P17" s="243">
        <v>-0.01</v>
      </c>
      <c r="Q17" s="243">
        <v>-0.01</v>
      </c>
      <c r="R17" s="243">
        <v>-0.01</v>
      </c>
      <c r="S17" s="243">
        <v>-0.01</v>
      </c>
      <c r="T17" s="243">
        <v>-0.01</v>
      </c>
      <c r="U17" s="243">
        <v>-0.01</v>
      </c>
      <c r="V17" s="243">
        <v>-0.01</v>
      </c>
      <c r="W17" s="243">
        <v>-0.01</v>
      </c>
      <c r="X17" s="243">
        <v>-0.01</v>
      </c>
      <c r="Y17" s="243">
        <v>-0.01</v>
      </c>
      <c r="Z17" s="243">
        <v>-0.01</v>
      </c>
      <c r="AA17" s="243">
        <v>-0.01</v>
      </c>
      <c r="AB17" s="243">
        <v>-0.01</v>
      </c>
      <c r="AC17" s="243">
        <v>-0.01</v>
      </c>
      <c r="AD17" s="243">
        <v>-0.01</v>
      </c>
      <c r="AE17" s="243">
        <v>-0.01</v>
      </c>
      <c r="AF17" s="243">
        <v>-0.01</v>
      </c>
      <c r="AG17" s="243">
        <v>-0.01</v>
      </c>
      <c r="AH17" s="243">
        <v>-0.01</v>
      </c>
    </row>
    <row r="18" spans="1:34">
      <c r="B18" s="7" t="s">
        <v>28</v>
      </c>
      <c r="C18" s="239">
        <f t="shared" ref="C18" si="15">+C10/C$6</f>
        <v>-2.5171595405385629E-2</v>
      </c>
      <c r="D18" s="239">
        <f t="shared" si="13"/>
        <v>-3.3746567687472716E-2</v>
      </c>
      <c r="E18" s="239">
        <f t="shared" si="13"/>
        <v>-2.3939612481419823E-2</v>
      </c>
      <c r="F18" s="239">
        <f t="shared" si="13"/>
        <v>-2.6438169497662561E-2</v>
      </c>
      <c r="G18" s="239">
        <f t="shared" si="13"/>
        <v>-3.8885824093864423E-2</v>
      </c>
      <c r="H18" s="239">
        <f t="shared" si="13"/>
        <v>-3.4787145011852233E-2</v>
      </c>
      <c r="I18" s="239">
        <f t="shared" si="13"/>
        <v>-3.2398994355010396E-2</v>
      </c>
      <c r="J18" s="239">
        <f t="shared" si="13"/>
        <v>-3.8022684612874356E-2</v>
      </c>
      <c r="K18" s="239">
        <f t="shared" si="13"/>
        <v>-4.3111100070138041E-2</v>
      </c>
      <c r="L18" s="239">
        <f t="shared" si="13"/>
        <v>-3.8559015629186628E-2</v>
      </c>
      <c r="M18" s="239">
        <f t="shared" si="13"/>
        <v>-3.5511376027888182E-2</v>
      </c>
      <c r="N18" s="242">
        <f t="shared" si="13"/>
        <v>-3.5109947925529197E-2</v>
      </c>
      <c r="O18" s="243">
        <v>-0.04</v>
      </c>
      <c r="P18" s="243">
        <v>-0.04</v>
      </c>
      <c r="Q18" s="243">
        <v>-0.04</v>
      </c>
      <c r="R18" s="243">
        <v>-0.04</v>
      </c>
      <c r="S18" s="243">
        <v>-0.04</v>
      </c>
      <c r="T18" s="243">
        <v>-0.04</v>
      </c>
      <c r="U18" s="243">
        <v>-0.04</v>
      </c>
      <c r="V18" s="243">
        <v>-0.04</v>
      </c>
      <c r="W18" s="243">
        <v>-0.04</v>
      </c>
      <c r="X18" s="243">
        <v>-0.04</v>
      </c>
      <c r="Y18" s="243">
        <v>-0.04</v>
      </c>
      <c r="Z18" s="243">
        <v>-0.04</v>
      </c>
      <c r="AA18" s="243">
        <v>-0.04</v>
      </c>
      <c r="AB18" s="243">
        <v>-0.04</v>
      </c>
      <c r="AC18" s="243">
        <v>-0.04</v>
      </c>
      <c r="AD18" s="243">
        <v>-0.04</v>
      </c>
      <c r="AE18" s="243">
        <v>-0.04</v>
      </c>
      <c r="AF18" s="243">
        <v>-0.04</v>
      </c>
      <c r="AG18" s="243">
        <v>-0.04</v>
      </c>
      <c r="AH18" s="243">
        <v>-0.04</v>
      </c>
    </row>
    <row r="19" spans="1:34"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160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s="10" customFormat="1">
      <c r="A20" s="5"/>
      <c r="B20" s="16" t="s">
        <v>16</v>
      </c>
      <c r="C20" s="15"/>
      <c r="D20" s="15"/>
      <c r="E20" s="15"/>
      <c r="F20" s="15"/>
      <c r="G20" s="15"/>
      <c r="H20" s="5"/>
      <c r="I20" s="5"/>
      <c r="J20" s="5"/>
      <c r="K20" s="5"/>
      <c r="L20" s="5"/>
      <c r="M20" s="5"/>
      <c r="N20" s="199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>
      <c r="B21" s="24" t="s">
        <v>12</v>
      </c>
      <c r="C21" s="230">
        <f>COUNTIFS('Raw Customer ARR'!C$2:C$197, "&gt;"&amp;0 )</f>
        <v>124</v>
      </c>
      <c r="D21" s="8">
        <f>C24</f>
        <v>126</v>
      </c>
      <c r="E21" s="8">
        <f t="shared" ref="E21:AH21" si="16">D24</f>
        <v>127</v>
      </c>
      <c r="F21" s="8">
        <f t="shared" si="16"/>
        <v>130</v>
      </c>
      <c r="G21" s="8">
        <f t="shared" si="16"/>
        <v>132</v>
      </c>
      <c r="H21" s="8">
        <f t="shared" si="16"/>
        <v>131</v>
      </c>
      <c r="I21" s="8">
        <f t="shared" si="16"/>
        <v>131</v>
      </c>
      <c r="J21" s="8">
        <f t="shared" si="16"/>
        <v>133</v>
      </c>
      <c r="K21" s="8">
        <f t="shared" si="16"/>
        <v>132</v>
      </c>
      <c r="L21" s="8">
        <f t="shared" si="16"/>
        <v>134</v>
      </c>
      <c r="M21" s="8">
        <f t="shared" si="16"/>
        <v>134</v>
      </c>
      <c r="N21" s="85">
        <f t="shared" si="16"/>
        <v>140</v>
      </c>
      <c r="O21" s="8">
        <f t="shared" si="16"/>
        <v>143</v>
      </c>
      <c r="P21" s="8">
        <f t="shared" si="16"/>
        <v>144.3835375166889</v>
      </c>
      <c r="Q21" s="8">
        <f t="shared" si="16"/>
        <v>145.77399272096127</v>
      </c>
      <c r="R21" s="8">
        <f t="shared" si="16"/>
        <v>147.17140020125501</v>
      </c>
      <c r="S21" s="8">
        <f t="shared" si="16"/>
        <v>148.57579471895019</v>
      </c>
      <c r="T21" s="8">
        <f t="shared" si="16"/>
        <v>149.98721120923386</v>
      </c>
      <c r="U21" s="8">
        <f t="shared" si="16"/>
        <v>151.40568478196894</v>
      </c>
      <c r="V21" s="8">
        <f t="shared" si="16"/>
        <v>152.83125072256772</v>
      </c>
      <c r="W21" s="8">
        <f t="shared" si="16"/>
        <v>154.26394449286948</v>
      </c>
      <c r="X21" s="8">
        <f t="shared" si="16"/>
        <v>155.70380173202275</v>
      </c>
      <c r="Y21" s="8">
        <f t="shared" si="16"/>
        <v>157.15085825737179</v>
      </c>
      <c r="Z21" s="8">
        <f t="shared" si="16"/>
        <v>158.60515006534757</v>
      </c>
      <c r="AA21" s="8">
        <f t="shared" si="16"/>
        <v>160.06671333236324</v>
      </c>
      <c r="AB21" s="8">
        <f t="shared" si="16"/>
        <v>161.53558441571397</v>
      </c>
      <c r="AC21" s="8">
        <f t="shared" si="16"/>
        <v>163.01179985448147</v>
      </c>
      <c r="AD21" s="8">
        <f t="shared" si="16"/>
        <v>164.49539637044279</v>
      </c>
      <c r="AE21" s="8">
        <f t="shared" si="16"/>
        <v>165.98641086898391</v>
      </c>
      <c r="AF21" s="8">
        <f t="shared" si="16"/>
        <v>167.48488044001775</v>
      </c>
      <c r="AG21" s="8">
        <f t="shared" si="16"/>
        <v>168.99084235890678</v>
      </c>
      <c r="AH21" s="8">
        <f t="shared" si="16"/>
        <v>170.50433408739022</v>
      </c>
    </row>
    <row r="22" spans="1:34">
      <c r="B22" s="24" t="s">
        <v>13</v>
      </c>
      <c r="C22" s="143">
        <f>COUNTIFS('Raw Customer ARR'!C$2:C$197, "="&amp;0, 'Raw Customer ARR'!D$2:D$197, "&gt;"&amp;0 )</f>
        <v>6</v>
      </c>
      <c r="D22" s="143">
        <f>COUNTIFS('Raw Customer ARR'!D$2:D$197, "="&amp;0, 'Raw Customer ARR'!E$2:E$197, "&gt;"&amp;0 )</f>
        <v>6</v>
      </c>
      <c r="E22" s="143">
        <f>COUNTIFS('Raw Customer ARR'!E$2:E$197, "="&amp;0, 'Raw Customer ARR'!F$2:F$197, "&gt;"&amp;0 )</f>
        <v>6</v>
      </c>
      <c r="F22" s="143">
        <f>COUNTIFS('Raw Customer ARR'!F$2:F$197, "="&amp;0, 'Raw Customer ARR'!G$2:G$197, "&gt;"&amp;0 )</f>
        <v>5</v>
      </c>
      <c r="G22" s="143">
        <f>COUNTIFS('Raw Customer ARR'!G$2:G$197, "="&amp;0, 'Raw Customer ARR'!H$2:H$197, "&gt;"&amp;0 )</f>
        <v>4</v>
      </c>
      <c r="H22" s="143">
        <f>COUNTIFS('Raw Customer ARR'!H$2:H$197, "="&amp;0, 'Raw Customer ARR'!I$2:I$197, "&gt;"&amp;0 )</f>
        <v>4</v>
      </c>
      <c r="I22" s="143">
        <f>COUNTIFS('Raw Customer ARR'!I$2:I$197, "="&amp;0, 'Raw Customer ARR'!J$2:J$197, "&gt;"&amp;0 )</f>
        <v>5</v>
      </c>
      <c r="J22" s="143">
        <f>COUNTIFS('Raw Customer ARR'!J$2:J$197, "="&amp;0, 'Raw Customer ARR'!K$2:K$197, "&gt;"&amp;0 )</f>
        <v>5</v>
      </c>
      <c r="K22" s="143">
        <f>COUNTIFS('Raw Customer ARR'!K$2:K$197, "="&amp;0, 'Raw Customer ARR'!L$2:L$197, "&gt;"&amp;0 )</f>
        <v>7</v>
      </c>
      <c r="L22" s="143">
        <f>COUNTIFS('Raw Customer ARR'!L$2:L$197, "="&amp;0, 'Raw Customer ARR'!M$2:M$197, "&gt;"&amp;0 )</f>
        <v>6</v>
      </c>
      <c r="M22" s="143">
        <f>COUNTIFS('Raw Customer ARR'!M$2:M$197, "="&amp;0, 'Raw Customer ARR'!N$2:N$197, "&gt;"&amp;0 )</f>
        <v>10</v>
      </c>
      <c r="N22" s="161">
        <f>COUNTIFS('Raw Customer ARR'!N$2:N$197, "="&amp;0, 'Raw Customer ARR'!O$2:O$197, "&gt;"&amp;0 )</f>
        <v>8</v>
      </c>
      <c r="O22" s="8">
        <f t="shared" ref="O22:AH22" si="17">+O7/O27</f>
        <v>6.4364571428571447</v>
      </c>
      <c r="P22" s="8">
        <f t="shared" si="17"/>
        <v>6.4686394285714304</v>
      </c>
      <c r="Q22" s="8">
        <f t="shared" si="17"/>
        <v>6.5009826257142871</v>
      </c>
      <c r="R22" s="8">
        <f t="shared" si="17"/>
        <v>6.5334875388428593</v>
      </c>
      <c r="S22" s="8">
        <f t="shared" si="17"/>
        <v>6.5661549765370726</v>
      </c>
      <c r="T22" s="8">
        <f t="shared" si="17"/>
        <v>6.5989857514197565</v>
      </c>
      <c r="U22" s="8">
        <f t="shared" si="17"/>
        <v>6.6319806801768557</v>
      </c>
      <c r="V22" s="8">
        <f t="shared" si="17"/>
        <v>6.6651405835777409</v>
      </c>
      <c r="W22" s="8">
        <f t="shared" si="17"/>
        <v>6.6984662864956297</v>
      </c>
      <c r="X22" s="8">
        <f t="shared" si="17"/>
        <v>6.7319586179281075</v>
      </c>
      <c r="Y22" s="8">
        <f t="shared" si="17"/>
        <v>6.7656184110177477</v>
      </c>
      <c r="Z22" s="8">
        <f t="shared" si="17"/>
        <v>6.7994465030728364</v>
      </c>
      <c r="AA22" s="8">
        <f t="shared" si="17"/>
        <v>6.8334437355882001</v>
      </c>
      <c r="AB22" s="8">
        <f t="shared" si="17"/>
        <v>6.8676109542661425</v>
      </c>
      <c r="AC22" s="8">
        <f t="shared" si="17"/>
        <v>6.9019490090374713</v>
      </c>
      <c r="AD22" s="8">
        <f t="shared" si="17"/>
        <v>6.9364587540826586</v>
      </c>
      <c r="AE22" s="8">
        <f t="shared" si="17"/>
        <v>6.9711410478530729</v>
      </c>
      <c r="AF22" s="8">
        <f t="shared" si="17"/>
        <v>7.0059967530923375</v>
      </c>
      <c r="AG22" s="8">
        <f t="shared" si="17"/>
        <v>7.0410267368578001</v>
      </c>
      <c r="AH22" s="8">
        <f t="shared" si="17"/>
        <v>7.0762318705420872</v>
      </c>
    </row>
    <row r="23" spans="1:34">
      <c r="B23" s="24" t="s">
        <v>15</v>
      </c>
      <c r="C23" s="143">
        <f>-COUNTIFS('Raw Customer ARR'!C$2:C$197, "&gt;"&amp;0, 'Raw Customer ARR'!D$2:D$197, "="&amp;0 )</f>
        <v>-4</v>
      </c>
      <c r="D23" s="143">
        <f>-COUNTIFS('Raw Customer ARR'!D$2:D$197, "&gt;"&amp;0, 'Raw Customer ARR'!E$2:E$197, "="&amp;0 )</f>
        <v>-5</v>
      </c>
      <c r="E23" s="143">
        <f>-COUNTIFS('Raw Customer ARR'!E$2:E$197, "&gt;"&amp;0, 'Raw Customer ARR'!F$2:F$197, "="&amp;0 )</f>
        <v>-3</v>
      </c>
      <c r="F23" s="143">
        <f>-COUNTIFS('Raw Customer ARR'!F$2:F$197, "&gt;"&amp;0, 'Raw Customer ARR'!G$2:G$197, "="&amp;0 )</f>
        <v>-3</v>
      </c>
      <c r="G23" s="143">
        <f>-COUNTIFS('Raw Customer ARR'!G$2:G$197, "&gt;"&amp;0, 'Raw Customer ARR'!H$2:H$197, "="&amp;0 )</f>
        <v>-5</v>
      </c>
      <c r="H23" s="143">
        <f>-COUNTIFS('Raw Customer ARR'!H$2:H$197, "&gt;"&amp;0, 'Raw Customer ARR'!I$2:I$197, "="&amp;0 )</f>
        <v>-4</v>
      </c>
      <c r="I23" s="143">
        <f>-COUNTIFS('Raw Customer ARR'!I$2:I$197, "&gt;"&amp;0, 'Raw Customer ARR'!J$2:J$197, "="&amp;0 )</f>
        <v>-3</v>
      </c>
      <c r="J23" s="143">
        <f>-COUNTIFS('Raw Customer ARR'!J$2:J$197, "&gt;"&amp;0, 'Raw Customer ARR'!K$2:K$197, "="&amp;0 )</f>
        <v>-6</v>
      </c>
      <c r="K23" s="143">
        <f>-COUNTIFS('Raw Customer ARR'!K$2:K$197, "&gt;"&amp;0, 'Raw Customer ARR'!L$2:L$197, "="&amp;0 )</f>
        <v>-5</v>
      </c>
      <c r="L23" s="143">
        <f>-COUNTIFS('Raw Customer ARR'!L$2:L$197, "&gt;"&amp;0, 'Raw Customer ARR'!M$2:M$197, "="&amp;0 )</f>
        <v>-6</v>
      </c>
      <c r="M23" s="143">
        <f>-COUNTIFS('Raw Customer ARR'!M$2:M$197, "&gt;"&amp;0, 'Raw Customer ARR'!N$2:N$197, "="&amp;0 )</f>
        <v>-4</v>
      </c>
      <c r="N23" s="161">
        <f>-COUNTIFS('Raw Customer ARR'!N$2:N$197, "&gt;"&amp;0, 'Raw Customer ARR'!O$2:O$197, "="&amp;0 )</f>
        <v>-5</v>
      </c>
      <c r="O23" s="8">
        <f t="shared" ref="O23:AH23" si="18">+O10/O28</f>
        <v>-5.0529196261682259</v>
      </c>
      <c r="P23" s="8">
        <f t="shared" si="18"/>
        <v>-5.0781842242990676</v>
      </c>
      <c r="Q23" s="8">
        <f t="shared" si="18"/>
        <v>-5.103575145420562</v>
      </c>
      <c r="R23" s="8">
        <f t="shared" si="18"/>
        <v>-5.129093021147666</v>
      </c>
      <c r="S23" s="8">
        <f t="shared" si="18"/>
        <v>-5.1547384862534029</v>
      </c>
      <c r="T23" s="8">
        <f t="shared" si="18"/>
        <v>-5.1805121786846691</v>
      </c>
      <c r="U23" s="8">
        <f t="shared" si="18"/>
        <v>-5.2064147395780935</v>
      </c>
      <c r="V23" s="8">
        <f t="shared" si="18"/>
        <v>-5.2324468132759838</v>
      </c>
      <c r="W23" s="8">
        <f t="shared" si="18"/>
        <v>-5.2586090473423646</v>
      </c>
      <c r="X23" s="8">
        <f t="shared" si="18"/>
        <v>-5.2849020925790757</v>
      </c>
      <c r="Y23" s="8">
        <f t="shared" si="18"/>
        <v>-5.3113266030419712</v>
      </c>
      <c r="Z23" s="8">
        <f t="shared" si="18"/>
        <v>-5.3378832360571806</v>
      </c>
      <c r="AA23" s="8">
        <f t="shared" si="18"/>
        <v>-5.3645726522374666</v>
      </c>
      <c r="AB23" s="8">
        <f t="shared" si="18"/>
        <v>-5.3913955154986546</v>
      </c>
      <c r="AC23" s="8">
        <f t="shared" si="18"/>
        <v>-5.4183524930761466</v>
      </c>
      <c r="AD23" s="8">
        <f t="shared" si="18"/>
        <v>-5.4454442555415268</v>
      </c>
      <c r="AE23" s="8">
        <f t="shared" si="18"/>
        <v>-5.4726714768192357</v>
      </c>
      <c r="AF23" s="8">
        <f t="shared" si="18"/>
        <v>-5.5000348342033307</v>
      </c>
      <c r="AG23" s="8">
        <f t="shared" si="18"/>
        <v>-5.5275350083743477</v>
      </c>
      <c r="AH23" s="8">
        <f t="shared" si="18"/>
        <v>-5.5551726834162194</v>
      </c>
    </row>
    <row r="24" spans="1:34">
      <c r="B24" s="9" t="s">
        <v>14</v>
      </c>
      <c r="C24" s="12">
        <f t="shared" ref="C24" si="19">SUM(C21:C23)</f>
        <v>126</v>
      </c>
      <c r="D24" s="12">
        <f t="shared" ref="D24:N24" si="20">SUM(D21:D23)</f>
        <v>127</v>
      </c>
      <c r="E24" s="12">
        <f t="shared" si="20"/>
        <v>130</v>
      </c>
      <c r="F24" s="12">
        <f t="shared" si="20"/>
        <v>132</v>
      </c>
      <c r="G24" s="12">
        <f t="shared" si="20"/>
        <v>131</v>
      </c>
      <c r="H24" s="12">
        <f t="shared" si="20"/>
        <v>131</v>
      </c>
      <c r="I24" s="12">
        <f t="shared" si="20"/>
        <v>133</v>
      </c>
      <c r="J24" s="12">
        <f t="shared" si="20"/>
        <v>132</v>
      </c>
      <c r="K24" s="12">
        <f t="shared" si="20"/>
        <v>134</v>
      </c>
      <c r="L24" s="12">
        <f t="shared" si="20"/>
        <v>134</v>
      </c>
      <c r="M24" s="12">
        <f t="shared" si="20"/>
        <v>140</v>
      </c>
      <c r="N24" s="109">
        <f t="shared" si="20"/>
        <v>143</v>
      </c>
      <c r="O24" s="12">
        <f t="shared" ref="O24:S24" si="21">SUM(O21:O23)</f>
        <v>144.3835375166889</v>
      </c>
      <c r="P24" s="12">
        <f t="shared" si="21"/>
        <v>145.77399272096127</v>
      </c>
      <c r="Q24" s="12">
        <f t="shared" si="21"/>
        <v>147.17140020125501</v>
      </c>
      <c r="R24" s="12">
        <f t="shared" si="21"/>
        <v>148.57579471895019</v>
      </c>
      <c r="S24" s="12">
        <f t="shared" si="21"/>
        <v>149.98721120923386</v>
      </c>
      <c r="T24" s="12">
        <f t="shared" ref="T24:AH24" si="22">SUM(T21:T23)</f>
        <v>151.40568478196894</v>
      </c>
      <c r="U24" s="12">
        <f t="shared" si="22"/>
        <v>152.83125072256772</v>
      </c>
      <c r="V24" s="12">
        <f t="shared" si="22"/>
        <v>154.26394449286948</v>
      </c>
      <c r="W24" s="12">
        <f t="shared" si="22"/>
        <v>155.70380173202275</v>
      </c>
      <c r="X24" s="12">
        <f t="shared" si="22"/>
        <v>157.15085825737179</v>
      </c>
      <c r="Y24" s="12">
        <f t="shared" si="22"/>
        <v>158.60515006534757</v>
      </c>
      <c r="Z24" s="12">
        <f t="shared" si="22"/>
        <v>160.06671333236324</v>
      </c>
      <c r="AA24" s="12">
        <f t="shared" si="22"/>
        <v>161.53558441571397</v>
      </c>
      <c r="AB24" s="12">
        <f t="shared" si="22"/>
        <v>163.01179985448147</v>
      </c>
      <c r="AC24" s="12">
        <f t="shared" si="22"/>
        <v>164.49539637044279</v>
      </c>
      <c r="AD24" s="12">
        <f t="shared" si="22"/>
        <v>165.98641086898391</v>
      </c>
      <c r="AE24" s="12">
        <f t="shared" si="22"/>
        <v>167.48488044001775</v>
      </c>
      <c r="AF24" s="12">
        <f t="shared" si="22"/>
        <v>168.99084235890678</v>
      </c>
      <c r="AG24" s="12">
        <f t="shared" si="22"/>
        <v>170.50433408739022</v>
      </c>
      <c r="AH24" s="12">
        <f t="shared" si="22"/>
        <v>172.02539327451606</v>
      </c>
    </row>
    <row r="25" spans="1:34">
      <c r="B25" s="7" t="s">
        <v>11</v>
      </c>
      <c r="C25" s="14">
        <f>COUNTIFS('Raw Customer ARR'!D$2:D$197, "&gt;"&amp;0)-C24</f>
        <v>0</v>
      </c>
      <c r="D25" s="14">
        <f>COUNTIFS('Raw Customer ARR'!E$2:E$197, "&gt;"&amp;0)-D24</f>
        <v>0</v>
      </c>
      <c r="E25" s="14">
        <f>COUNTIFS('Raw Customer ARR'!F$2:F$197, "&gt;"&amp;0)-E24</f>
        <v>0</v>
      </c>
      <c r="F25" s="14">
        <f>COUNTIFS('Raw Customer ARR'!G$2:G$197, "&gt;"&amp;0)-F24</f>
        <v>0</v>
      </c>
      <c r="G25" s="14">
        <f>COUNTIFS('Raw Customer ARR'!H$2:H$197, "&gt;"&amp;0)-G24</f>
        <v>0</v>
      </c>
      <c r="H25" s="14">
        <f>COUNTIFS('Raw Customer ARR'!I$2:I$197, "&gt;"&amp;0)-H24</f>
        <v>0</v>
      </c>
      <c r="I25" s="14">
        <f>COUNTIFS('Raw Customer ARR'!J$2:J$197, "&gt;"&amp;0)-I24</f>
        <v>0</v>
      </c>
      <c r="J25" s="14">
        <f>COUNTIFS('Raw Customer ARR'!K$2:K$197, "&gt;"&amp;0)-J24</f>
        <v>0</v>
      </c>
      <c r="K25" s="14">
        <f>COUNTIFS('Raw Customer ARR'!L$2:L$197, "&gt;"&amp;0)-K24</f>
        <v>0</v>
      </c>
      <c r="L25" s="14">
        <f>COUNTIFS('Raw Customer ARR'!M$2:M$197, "&gt;"&amp;0)-L24</f>
        <v>0</v>
      </c>
      <c r="M25" s="14">
        <f>COUNTIFS('Raw Customer ARR'!N$2:N$197, "&gt;"&amp;0)-M24</f>
        <v>0</v>
      </c>
      <c r="N25" s="84">
        <f>COUNTIFS('Raw Customer ARR'!O$2:O$197, "&gt;"&amp;0)-N24</f>
        <v>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B26" s="7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8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B27" s="7" t="s">
        <v>156</v>
      </c>
      <c r="C27" s="360">
        <f>IFERROR(C7/C22, 0)</f>
        <v>2.75712</v>
      </c>
      <c r="D27" s="360">
        <f t="shared" ref="D27:N27" si="23">IFERROR(D7/D22, 0)</f>
        <v>2.1120000000000001</v>
      </c>
      <c r="E27" s="360">
        <f t="shared" si="23"/>
        <v>1.7971199999999998</v>
      </c>
      <c r="F27" s="360">
        <f t="shared" si="23"/>
        <v>2.4068511999999997</v>
      </c>
      <c r="G27" s="360">
        <f t="shared" si="23"/>
        <v>1.728</v>
      </c>
      <c r="H27" s="360">
        <f t="shared" si="23"/>
        <v>1.9699199999999999</v>
      </c>
      <c r="I27" s="360">
        <f t="shared" si="23"/>
        <v>2.3039999999999998</v>
      </c>
      <c r="J27" s="360">
        <f t="shared" si="23"/>
        <v>2.4975359999999998</v>
      </c>
      <c r="K27" s="360">
        <f t="shared" si="23"/>
        <v>2.1920914285714286</v>
      </c>
      <c r="L27" s="360">
        <f t="shared" si="23"/>
        <v>2.1120000000000001</v>
      </c>
      <c r="M27" s="360">
        <f t="shared" si="23"/>
        <v>1.8431999999999999</v>
      </c>
      <c r="N27" s="361">
        <f t="shared" si="23"/>
        <v>2.3731200000000001</v>
      </c>
      <c r="O27" s="362">
        <v>2.1</v>
      </c>
      <c r="P27" s="363">
        <f t="shared" ref="P27:S28" si="24">+O27</f>
        <v>2.1</v>
      </c>
      <c r="Q27" s="363">
        <f t="shared" si="24"/>
        <v>2.1</v>
      </c>
      <c r="R27" s="363">
        <f t="shared" si="24"/>
        <v>2.1</v>
      </c>
      <c r="S27" s="363">
        <f t="shared" si="24"/>
        <v>2.1</v>
      </c>
      <c r="T27" s="363">
        <f t="shared" ref="T27:AH27" si="25">+S27</f>
        <v>2.1</v>
      </c>
      <c r="U27" s="363">
        <f t="shared" si="25"/>
        <v>2.1</v>
      </c>
      <c r="V27" s="363">
        <f t="shared" si="25"/>
        <v>2.1</v>
      </c>
      <c r="W27" s="363">
        <f t="shared" si="25"/>
        <v>2.1</v>
      </c>
      <c r="X27" s="363">
        <f t="shared" si="25"/>
        <v>2.1</v>
      </c>
      <c r="Y27" s="363">
        <f t="shared" si="25"/>
        <v>2.1</v>
      </c>
      <c r="Z27" s="363">
        <f t="shared" si="25"/>
        <v>2.1</v>
      </c>
      <c r="AA27" s="363">
        <f t="shared" si="25"/>
        <v>2.1</v>
      </c>
      <c r="AB27" s="363">
        <f t="shared" si="25"/>
        <v>2.1</v>
      </c>
      <c r="AC27" s="363">
        <f t="shared" si="25"/>
        <v>2.1</v>
      </c>
      <c r="AD27" s="363">
        <f t="shared" si="25"/>
        <v>2.1</v>
      </c>
      <c r="AE27" s="363">
        <f t="shared" si="25"/>
        <v>2.1</v>
      </c>
      <c r="AF27" s="363">
        <f t="shared" si="25"/>
        <v>2.1</v>
      </c>
      <c r="AG27" s="363">
        <f t="shared" si="25"/>
        <v>2.1</v>
      </c>
      <c r="AH27" s="363">
        <f t="shared" si="25"/>
        <v>2.1</v>
      </c>
    </row>
    <row r="28" spans="1:34">
      <c r="B28" s="7" t="s">
        <v>157</v>
      </c>
      <c r="C28" s="360">
        <f>IFERROR(C10/C23,0)</f>
        <v>1.8198920000000001</v>
      </c>
      <c r="D28" s="360">
        <f t="shared" ref="D28:N28" si="26">IFERROR(D10/D23,0)</f>
        <v>2.0328095999999998</v>
      </c>
      <c r="E28" s="360">
        <f t="shared" si="26"/>
        <v>2.4296720000000001</v>
      </c>
      <c r="F28" s="360">
        <f t="shared" si="26"/>
        <v>2.717336</v>
      </c>
      <c r="G28" s="360">
        <f t="shared" si="26"/>
        <v>2.4403632000000002</v>
      </c>
      <c r="H28" s="360">
        <f t="shared" si="26"/>
        <v>2.6992099999999999</v>
      </c>
      <c r="I28" s="360">
        <f t="shared" si="26"/>
        <v>3.3436053333333331</v>
      </c>
      <c r="J28" s="360">
        <f t="shared" si="26"/>
        <v>1.9802773333333334</v>
      </c>
      <c r="K28" s="360">
        <f t="shared" si="26"/>
        <v>2.7238815999999999</v>
      </c>
      <c r="L28" s="360">
        <f t="shared" si="26"/>
        <v>2.0471239999999997</v>
      </c>
      <c r="M28" s="360">
        <f t="shared" si="26"/>
        <v>2.8576380000000001</v>
      </c>
      <c r="N28" s="361">
        <f t="shared" si="26"/>
        <v>2.3023568000000001</v>
      </c>
      <c r="O28" s="362">
        <v>2.6749999999999998</v>
      </c>
      <c r="P28" s="363">
        <f t="shared" si="24"/>
        <v>2.6749999999999998</v>
      </c>
      <c r="Q28" s="363">
        <f t="shared" si="24"/>
        <v>2.6749999999999998</v>
      </c>
      <c r="R28" s="363">
        <f t="shared" si="24"/>
        <v>2.6749999999999998</v>
      </c>
      <c r="S28" s="363">
        <f t="shared" si="24"/>
        <v>2.6749999999999998</v>
      </c>
      <c r="T28" s="363">
        <f t="shared" ref="T28:AH28" si="27">+S28</f>
        <v>2.6749999999999998</v>
      </c>
      <c r="U28" s="363">
        <f t="shared" si="27"/>
        <v>2.6749999999999998</v>
      </c>
      <c r="V28" s="363">
        <f t="shared" si="27"/>
        <v>2.6749999999999998</v>
      </c>
      <c r="W28" s="363">
        <f t="shared" si="27"/>
        <v>2.6749999999999998</v>
      </c>
      <c r="X28" s="363">
        <f t="shared" si="27"/>
        <v>2.6749999999999998</v>
      </c>
      <c r="Y28" s="363">
        <f t="shared" si="27"/>
        <v>2.6749999999999998</v>
      </c>
      <c r="Z28" s="363">
        <f t="shared" si="27"/>
        <v>2.6749999999999998</v>
      </c>
      <c r="AA28" s="363">
        <f t="shared" si="27"/>
        <v>2.6749999999999998</v>
      </c>
      <c r="AB28" s="363">
        <f t="shared" si="27"/>
        <v>2.6749999999999998</v>
      </c>
      <c r="AC28" s="363">
        <f t="shared" si="27"/>
        <v>2.6749999999999998</v>
      </c>
      <c r="AD28" s="363">
        <f t="shared" si="27"/>
        <v>2.6749999999999998</v>
      </c>
      <c r="AE28" s="363">
        <f t="shared" si="27"/>
        <v>2.6749999999999998</v>
      </c>
      <c r="AF28" s="363">
        <f t="shared" si="27"/>
        <v>2.6749999999999998</v>
      </c>
      <c r="AG28" s="363">
        <f t="shared" si="27"/>
        <v>2.6749999999999998</v>
      </c>
      <c r="AH28" s="363">
        <f t="shared" si="27"/>
        <v>2.6749999999999998</v>
      </c>
    </row>
    <row r="29" spans="1:34">
      <c r="B29" s="7" t="s">
        <v>155</v>
      </c>
      <c r="C29" s="360">
        <f>IFERROR(C11/C24, 0)</f>
        <v>2.3903778412698413</v>
      </c>
      <c r="D29" s="360">
        <f t="shared" ref="D29:N29" si="28">IFERROR(D11/D24, 0)</f>
        <v>2.3974417637795278</v>
      </c>
      <c r="E29" s="360">
        <f t="shared" si="28"/>
        <v>2.3718644307692309</v>
      </c>
      <c r="F29" s="360">
        <f t="shared" si="28"/>
        <v>2.3771644848484845</v>
      </c>
      <c r="G29" s="360">
        <f t="shared" si="28"/>
        <v>2.3692265038167934</v>
      </c>
      <c r="H29" s="360">
        <f t="shared" si="28"/>
        <v>2.3633793587786256</v>
      </c>
      <c r="I29" s="360">
        <f t="shared" si="28"/>
        <v>2.3495400300751879</v>
      </c>
      <c r="J29" s="360">
        <f t="shared" si="28"/>
        <v>2.3932892727272725</v>
      </c>
      <c r="K29" s="360">
        <f t="shared" si="28"/>
        <v>2.3771942089552236</v>
      </c>
      <c r="L29" s="360">
        <f t="shared" si="28"/>
        <v>2.4021211343283588</v>
      </c>
      <c r="M29" s="360">
        <f t="shared" si="28"/>
        <v>2.3419866285714295</v>
      </c>
      <c r="N29" s="361">
        <f t="shared" si="28"/>
        <v>2.3630349650349656</v>
      </c>
      <c r="O29" s="364">
        <f t="shared" ref="O29:AH29" si="29">O11/O24</f>
        <v>2.3520934300473573</v>
      </c>
      <c r="P29" s="360">
        <f t="shared" si="29"/>
        <v>2.3413064393682022</v>
      </c>
      <c r="Q29" s="360">
        <f t="shared" si="29"/>
        <v>2.3306708730105909</v>
      </c>
      <c r="R29" s="360">
        <f t="shared" si="29"/>
        <v>2.3201836942570861</v>
      </c>
      <c r="S29" s="360">
        <f t="shared" si="29"/>
        <v>2.3098419468993265</v>
      </c>
      <c r="T29" s="360">
        <f t="shared" si="29"/>
        <v>2.2996427525867245</v>
      </c>
      <c r="U29" s="360">
        <f t="shared" si="29"/>
        <v>2.2895833082792452</v>
      </c>
      <c r="V29" s="360">
        <f t="shared" si="29"/>
        <v>2.2796608837995564</v>
      </c>
      <c r="W29" s="360">
        <f t="shared" si="29"/>
        <v>2.2698728194800273</v>
      </c>
      <c r="X29" s="360">
        <f t="shared" si="29"/>
        <v>2.2602165239003389</v>
      </c>
      <c r="Y29" s="360">
        <f t="shared" si="29"/>
        <v>2.2506894717116488</v>
      </c>
      <c r="Z29" s="360">
        <f t="shared" si="29"/>
        <v>2.241289201543474</v>
      </c>
      <c r="AA29" s="360">
        <f t="shared" si="29"/>
        <v>2.2320133139896492</v>
      </c>
      <c r="AB29" s="360">
        <f t="shared" si="29"/>
        <v>2.222859469669892</v>
      </c>
      <c r="AC29" s="360">
        <f t="shared" si="29"/>
        <v>2.2138253873636922</v>
      </c>
      <c r="AD29" s="360">
        <f t="shared" si="29"/>
        <v>2.2049088422133836</v>
      </c>
      <c r="AE29" s="360">
        <f t="shared" si="29"/>
        <v>2.1961076639934385</v>
      </c>
      <c r="AF29" s="360">
        <f t="shared" si="29"/>
        <v>2.1874197354431475</v>
      </c>
      <c r="AG29" s="360">
        <f t="shared" si="29"/>
        <v>2.1788429906599913</v>
      </c>
      <c r="AH29" s="360">
        <f t="shared" si="29"/>
        <v>2.1703754135511497</v>
      </c>
    </row>
    <row r="30" spans="1:34">
      <c r="B30" s="7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67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</row>
  </sheetData>
  <pageMargins left="0.7" right="0.7" top="0.75" bottom="0.75" header="0.3" footer="0.3"/>
  <pageSetup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BE2D-AEF3-4A9E-A37B-5348EB6461EE}">
  <sheetPr>
    <pageSetUpPr fitToPage="1"/>
  </sheetPr>
  <dimension ref="A1:Q197"/>
  <sheetViews>
    <sheetView zoomScale="120" zoomScaleNormal="120" workbookViewId="0">
      <pane ySplit="1" topLeftCell="A2" activePane="bottomLeft" state="frozen"/>
      <selection pane="bottomLeft" activeCell="A2" sqref="A2"/>
    </sheetView>
  </sheetViews>
  <sheetFormatPr defaultColWidth="9.1328125" defaultRowHeight="13.15"/>
  <cols>
    <col min="1" max="2" width="10.796875" style="191" customWidth="1"/>
    <col min="3" max="3" width="10.796875" style="235" customWidth="1"/>
    <col min="4" max="4" width="11.6640625" style="231" customWidth="1"/>
    <col min="5" max="7" width="12" style="231" customWidth="1"/>
    <col min="8" max="8" width="11.6640625" style="231" customWidth="1"/>
    <col min="9" max="9" width="11.46484375" style="231" customWidth="1"/>
    <col min="10" max="11" width="11.6640625" style="231" customWidth="1"/>
    <col min="12" max="12" width="12" style="231" customWidth="1"/>
    <col min="13" max="13" width="11.6640625" style="231" customWidth="1"/>
    <col min="14" max="14" width="11.46484375" style="231" customWidth="1"/>
    <col min="15" max="15" width="11.6640625" style="231" customWidth="1"/>
    <col min="16" max="16384" width="9.1328125" style="32"/>
  </cols>
  <sheetData>
    <row r="1" spans="1:17" s="34" customFormat="1" ht="14.25">
      <c r="A1" s="189" t="s">
        <v>3</v>
      </c>
      <c r="B1" s="196" t="s">
        <v>4</v>
      </c>
      <c r="C1" s="234">
        <f>EOMONTH(D1, -3)</f>
        <v>43830</v>
      </c>
      <c r="D1" s="232">
        <v>43921</v>
      </c>
      <c r="E1" s="232">
        <f t="shared" ref="E1:O1" si="0">EOMONTH(D1,3)</f>
        <v>44012</v>
      </c>
      <c r="F1" s="232">
        <f t="shared" si="0"/>
        <v>44104</v>
      </c>
      <c r="G1" s="232">
        <f t="shared" si="0"/>
        <v>44196</v>
      </c>
      <c r="H1" s="232">
        <f t="shared" si="0"/>
        <v>44286</v>
      </c>
      <c r="I1" s="232">
        <f t="shared" si="0"/>
        <v>44377</v>
      </c>
      <c r="J1" s="232">
        <f t="shared" si="0"/>
        <v>44469</v>
      </c>
      <c r="K1" s="232">
        <f t="shared" si="0"/>
        <v>44561</v>
      </c>
      <c r="L1" s="232">
        <f t="shared" si="0"/>
        <v>44651</v>
      </c>
      <c r="M1" s="232">
        <f t="shared" si="0"/>
        <v>44742</v>
      </c>
      <c r="N1" s="232">
        <f t="shared" si="0"/>
        <v>44834</v>
      </c>
      <c r="O1" s="232">
        <f t="shared" si="0"/>
        <v>44926</v>
      </c>
    </row>
    <row r="2" spans="1:17" s="34" customFormat="1" ht="16.5" customHeight="1">
      <c r="A2" s="190">
        <v>1</v>
      </c>
      <c r="B2" s="197" cm="1">
        <f t="array" ref="B2">INDEX(C$1:O$1, MATCH(TRUE, INDEX(($C2:$O2 &lt;&gt; 0), 0),0))</f>
        <v>44469</v>
      </c>
      <c r="C2" s="233">
        <v>0</v>
      </c>
      <c r="D2" s="233">
        <v>0</v>
      </c>
      <c r="E2" s="233">
        <v>0</v>
      </c>
      <c r="F2" s="233">
        <v>0</v>
      </c>
      <c r="G2" s="233">
        <v>0</v>
      </c>
      <c r="H2" s="233">
        <v>0</v>
      </c>
      <c r="I2" s="233">
        <v>0</v>
      </c>
      <c r="J2" s="233">
        <v>1152000</v>
      </c>
      <c r="K2" s="233">
        <v>1152000</v>
      </c>
      <c r="L2" s="233">
        <v>1152000</v>
      </c>
      <c r="M2" s="233">
        <v>1152000</v>
      </c>
      <c r="N2" s="233">
        <v>975056</v>
      </c>
      <c r="O2" s="233">
        <v>975056</v>
      </c>
    </row>
    <row r="3" spans="1:17" s="34" customFormat="1" ht="14.25">
      <c r="A3" s="190">
        <f>+A2+1</f>
        <v>2</v>
      </c>
      <c r="B3" s="197" cm="1">
        <f t="array" ref="B3">INDEX(C$1:O$1, MATCH(TRUE, INDEX(($C3:$O3 &lt;&gt; 0), 0),0))</f>
        <v>44469</v>
      </c>
      <c r="C3" s="233">
        <v>0</v>
      </c>
      <c r="D3" s="233">
        <v>0</v>
      </c>
      <c r="E3" s="233">
        <v>0</v>
      </c>
      <c r="F3" s="233">
        <v>0</v>
      </c>
      <c r="G3" s="233">
        <v>0</v>
      </c>
      <c r="H3" s="233">
        <v>0</v>
      </c>
      <c r="I3" s="233">
        <v>0</v>
      </c>
      <c r="J3" s="233">
        <v>2304000</v>
      </c>
      <c r="K3" s="233">
        <v>1950104</v>
      </c>
      <c r="L3" s="233">
        <v>1950104</v>
      </c>
      <c r="M3" s="233">
        <v>1950104</v>
      </c>
      <c r="N3" s="233">
        <v>1950104</v>
      </c>
      <c r="O3" s="233">
        <v>1950104</v>
      </c>
    </row>
    <row r="4" spans="1:17" s="34" customFormat="1" ht="14.25">
      <c r="A4" s="190">
        <f>+A3+1</f>
        <v>3</v>
      </c>
      <c r="B4" s="197" cm="1">
        <f t="array" ref="B4">INDEX(C$1:O$1, MATCH(TRUE, INDEX(($C4:$O4 &lt;&gt; 0), 0),0))</f>
        <v>44469</v>
      </c>
      <c r="C4" s="233">
        <v>0</v>
      </c>
      <c r="D4" s="233">
        <v>0</v>
      </c>
      <c r="E4" s="233">
        <v>0</v>
      </c>
      <c r="F4" s="233">
        <v>0</v>
      </c>
      <c r="G4" s="233">
        <v>0</v>
      </c>
      <c r="H4" s="233">
        <v>0</v>
      </c>
      <c r="I4" s="233">
        <v>0</v>
      </c>
      <c r="J4" s="233">
        <v>2304000</v>
      </c>
      <c r="K4" s="233">
        <v>2304000</v>
      </c>
      <c r="L4" s="233">
        <v>2119680</v>
      </c>
      <c r="M4" s="233">
        <v>2119680</v>
      </c>
      <c r="N4" s="233">
        <v>2119680</v>
      </c>
      <c r="O4" s="233">
        <v>2119680</v>
      </c>
      <c r="P4" s="33"/>
      <c r="Q4" s="33"/>
    </row>
    <row r="5" spans="1:17" s="34" customFormat="1" ht="14.25">
      <c r="A5" s="190">
        <f>+A4+1</f>
        <v>4</v>
      </c>
      <c r="B5" s="197" cm="1">
        <f t="array" ref="B5">INDEX(C$1:O$1, MATCH(TRUE, INDEX(($C5:$O5 &lt;&gt; 0), 0),0))</f>
        <v>44469</v>
      </c>
      <c r="C5" s="233">
        <v>0</v>
      </c>
      <c r="D5" s="233">
        <v>0</v>
      </c>
      <c r="E5" s="233">
        <v>0</v>
      </c>
      <c r="F5" s="233">
        <v>0</v>
      </c>
      <c r="G5" s="233">
        <v>0</v>
      </c>
      <c r="H5" s="233">
        <v>0</v>
      </c>
      <c r="I5" s="233">
        <v>0</v>
      </c>
      <c r="J5" s="233">
        <v>2304000</v>
      </c>
      <c r="K5" s="233">
        <v>2304000</v>
      </c>
      <c r="L5" s="233">
        <v>2304000</v>
      </c>
      <c r="M5" s="233">
        <v>2304000</v>
      </c>
      <c r="N5" s="233">
        <v>2304000</v>
      </c>
      <c r="O5" s="233">
        <v>2304000</v>
      </c>
      <c r="P5" s="33"/>
      <c r="Q5" s="33"/>
    </row>
    <row r="6" spans="1:17" s="34" customFormat="1" ht="14.25">
      <c r="A6" s="190">
        <f>+A5+1</f>
        <v>5</v>
      </c>
      <c r="B6" s="197" cm="1">
        <f t="array" ref="B6">INDEX(C$1:O$1, MATCH(TRUE, INDEX(($C6:$O6 &lt;&gt; 0), 0),0))</f>
        <v>44469</v>
      </c>
      <c r="C6" s="233">
        <v>0</v>
      </c>
      <c r="D6" s="233">
        <v>0</v>
      </c>
      <c r="E6" s="233">
        <v>0</v>
      </c>
      <c r="F6" s="233">
        <v>0</v>
      </c>
      <c r="G6" s="233">
        <v>0</v>
      </c>
      <c r="H6" s="233">
        <v>0</v>
      </c>
      <c r="I6" s="233">
        <v>0</v>
      </c>
      <c r="J6" s="233">
        <v>3456000</v>
      </c>
      <c r="K6" s="233">
        <v>3456000</v>
      </c>
      <c r="L6" s="233">
        <v>3456000</v>
      </c>
      <c r="M6" s="233">
        <v>3456000</v>
      </c>
      <c r="N6" s="233">
        <v>3456000</v>
      </c>
      <c r="O6" s="233">
        <v>3456000</v>
      </c>
      <c r="P6" s="33"/>
      <c r="Q6" s="33"/>
    </row>
    <row r="7" spans="1:17" s="34" customFormat="1" ht="14.25">
      <c r="A7" s="190">
        <f t="shared" ref="A7:A70" si="1">+A6+1</f>
        <v>6</v>
      </c>
      <c r="B7" s="197" cm="1">
        <f t="array" ref="B7">INDEX(C$1:O$1, MATCH(TRUE, INDEX(($C7:$O7 &lt;&gt; 0), 0),0))</f>
        <v>43830</v>
      </c>
      <c r="C7" s="233">
        <v>1445072</v>
      </c>
      <c r="D7" s="233">
        <v>0</v>
      </c>
      <c r="E7" s="233">
        <v>0</v>
      </c>
      <c r="F7" s="233">
        <v>0</v>
      </c>
      <c r="G7" s="233">
        <v>0</v>
      </c>
      <c r="H7" s="233">
        <v>0</v>
      </c>
      <c r="I7" s="233">
        <v>0</v>
      </c>
      <c r="J7" s="233">
        <v>0</v>
      </c>
      <c r="K7" s="233">
        <v>0</v>
      </c>
      <c r="L7" s="233">
        <v>0</v>
      </c>
      <c r="M7" s="233">
        <v>0</v>
      </c>
      <c r="N7" s="233">
        <v>0</v>
      </c>
      <c r="O7" s="233">
        <v>0</v>
      </c>
    </row>
    <row r="8" spans="1:17" s="34" customFormat="1" ht="14.25">
      <c r="A8" s="190">
        <f t="shared" si="1"/>
        <v>7</v>
      </c>
      <c r="B8" s="197" cm="1">
        <f t="array" ref="B8">INDEX(C$1:O$1, MATCH(TRUE, INDEX(($C8:$O8 &lt;&gt; 0), 0),0))</f>
        <v>43830</v>
      </c>
      <c r="C8" s="233">
        <v>2119680</v>
      </c>
      <c r="D8" s="233">
        <v>0</v>
      </c>
      <c r="E8" s="233">
        <v>0</v>
      </c>
      <c r="F8" s="233">
        <v>0</v>
      </c>
      <c r="G8" s="233">
        <v>0</v>
      </c>
      <c r="H8" s="233">
        <v>0</v>
      </c>
      <c r="I8" s="233">
        <v>0</v>
      </c>
      <c r="J8" s="233">
        <v>0</v>
      </c>
      <c r="K8" s="233">
        <v>0</v>
      </c>
      <c r="L8" s="233">
        <v>0</v>
      </c>
      <c r="M8" s="233">
        <v>0</v>
      </c>
      <c r="N8" s="233">
        <v>0</v>
      </c>
      <c r="O8" s="233">
        <v>0</v>
      </c>
    </row>
    <row r="9" spans="1:17" s="34" customFormat="1" ht="14.25">
      <c r="A9" s="190">
        <f t="shared" si="1"/>
        <v>8</v>
      </c>
      <c r="B9" s="197" cm="1">
        <f t="array" ref="B9">INDEX(C$1:O$1, MATCH(TRUE, INDEX(($C9:$O9 &lt;&gt; 0), 0),0))</f>
        <v>43830</v>
      </c>
      <c r="C9" s="233">
        <v>975056</v>
      </c>
      <c r="D9" s="233">
        <v>0</v>
      </c>
      <c r="E9" s="233">
        <v>0</v>
      </c>
      <c r="F9" s="233">
        <v>0</v>
      </c>
      <c r="G9" s="233">
        <v>0</v>
      </c>
      <c r="H9" s="233">
        <v>0</v>
      </c>
      <c r="I9" s="233">
        <v>0</v>
      </c>
      <c r="J9" s="233">
        <v>0</v>
      </c>
      <c r="K9" s="233">
        <v>0</v>
      </c>
      <c r="L9" s="233">
        <v>0</v>
      </c>
      <c r="M9" s="233">
        <v>0</v>
      </c>
      <c r="N9" s="233">
        <v>0</v>
      </c>
      <c r="O9" s="233">
        <v>0</v>
      </c>
      <c r="P9" s="32"/>
      <c r="Q9" s="32"/>
    </row>
    <row r="10" spans="1:17" s="34" customFormat="1" ht="14.25">
      <c r="A10" s="190">
        <f t="shared" si="1"/>
        <v>9</v>
      </c>
      <c r="B10" s="197" cm="1">
        <f t="array" ref="B10">INDEX(C$1:O$1, MATCH(TRUE, INDEX(($C10:$O10 &lt;&gt; 0), 0),0))</f>
        <v>43830</v>
      </c>
      <c r="C10" s="233">
        <v>2739760</v>
      </c>
      <c r="D10" s="233">
        <v>0</v>
      </c>
      <c r="E10" s="233">
        <v>0</v>
      </c>
      <c r="F10" s="233">
        <v>0</v>
      </c>
      <c r="G10" s="233">
        <v>0</v>
      </c>
      <c r="H10" s="233">
        <v>0</v>
      </c>
      <c r="I10" s="233">
        <v>0</v>
      </c>
      <c r="J10" s="233">
        <v>0</v>
      </c>
      <c r="K10" s="233">
        <v>0</v>
      </c>
      <c r="L10" s="233">
        <v>0</v>
      </c>
      <c r="M10" s="233">
        <v>0</v>
      </c>
      <c r="N10" s="233">
        <v>0</v>
      </c>
      <c r="O10" s="233">
        <v>0</v>
      </c>
      <c r="P10" s="32"/>
      <c r="Q10" s="32"/>
    </row>
    <row r="11" spans="1:17" s="34" customFormat="1" ht="14.25">
      <c r="A11" s="190">
        <f t="shared" si="1"/>
        <v>10</v>
      </c>
      <c r="B11" s="197" cm="1">
        <f t="array" ref="B11">INDEX(C$1:O$1, MATCH(TRUE, INDEX(($C11:$O11 &lt;&gt; 0), 0),0))</f>
        <v>44926</v>
      </c>
      <c r="C11" s="233">
        <v>0</v>
      </c>
      <c r="D11" s="233">
        <v>0</v>
      </c>
      <c r="E11" s="233">
        <v>0</v>
      </c>
      <c r="F11" s="233">
        <v>0</v>
      </c>
      <c r="G11" s="233">
        <v>0</v>
      </c>
      <c r="H11" s="233">
        <v>0</v>
      </c>
      <c r="I11" s="233">
        <v>0</v>
      </c>
      <c r="J11" s="233">
        <v>0</v>
      </c>
      <c r="K11" s="233">
        <v>0</v>
      </c>
      <c r="L11" s="233">
        <v>0</v>
      </c>
      <c r="M11" s="233">
        <v>0</v>
      </c>
      <c r="N11" s="233">
        <v>0</v>
      </c>
      <c r="O11" s="233">
        <v>3456000</v>
      </c>
      <c r="P11" s="32"/>
      <c r="Q11" s="32"/>
    </row>
    <row r="12" spans="1:17" s="34" customFormat="1" ht="14.25">
      <c r="A12" s="190">
        <f t="shared" si="1"/>
        <v>11</v>
      </c>
      <c r="B12" s="197" cm="1">
        <f t="array" ref="B12">INDEX(C$1:O$1, MATCH(TRUE, INDEX(($C12:$O12 &lt;&gt; 0), 0),0))</f>
        <v>44926</v>
      </c>
      <c r="C12" s="233">
        <v>0</v>
      </c>
      <c r="D12" s="233">
        <v>0</v>
      </c>
      <c r="E12" s="233">
        <v>0</v>
      </c>
      <c r="F12" s="233">
        <v>0</v>
      </c>
      <c r="G12" s="233">
        <v>0</v>
      </c>
      <c r="H12" s="233">
        <v>0</v>
      </c>
      <c r="I12" s="233">
        <v>0</v>
      </c>
      <c r="J12" s="233">
        <v>0</v>
      </c>
      <c r="K12" s="233">
        <v>0</v>
      </c>
      <c r="L12" s="233">
        <v>0</v>
      </c>
      <c r="M12" s="233">
        <v>0</v>
      </c>
      <c r="N12" s="233">
        <v>0</v>
      </c>
      <c r="O12" s="233">
        <v>2304000</v>
      </c>
      <c r="P12" s="32"/>
      <c r="Q12" s="32"/>
    </row>
    <row r="13" spans="1:17" s="34" customFormat="1" ht="14.25">
      <c r="A13" s="190">
        <f t="shared" si="1"/>
        <v>12</v>
      </c>
      <c r="B13" s="197" cm="1">
        <f t="array" ref="B13">INDEX(C$1:O$1, MATCH(TRUE, INDEX(($C13:$O13 &lt;&gt; 0), 0),0))</f>
        <v>44926</v>
      </c>
      <c r="C13" s="233">
        <v>0</v>
      </c>
      <c r="D13" s="233">
        <v>0</v>
      </c>
      <c r="E13" s="233">
        <v>0</v>
      </c>
      <c r="F13" s="233">
        <v>0</v>
      </c>
      <c r="G13" s="233">
        <v>0</v>
      </c>
      <c r="H13" s="233">
        <v>0</v>
      </c>
      <c r="I13" s="233">
        <v>0</v>
      </c>
      <c r="J13" s="233">
        <v>0</v>
      </c>
      <c r="K13" s="233">
        <v>0</v>
      </c>
      <c r="L13" s="233">
        <v>0</v>
      </c>
      <c r="M13" s="233">
        <v>0</v>
      </c>
      <c r="N13" s="233">
        <v>0</v>
      </c>
      <c r="O13" s="233">
        <v>2580480</v>
      </c>
      <c r="P13" s="32"/>
      <c r="Q13" s="32"/>
    </row>
    <row r="14" spans="1:17" s="34" customFormat="1" ht="14.25">
      <c r="A14" s="190">
        <f t="shared" si="1"/>
        <v>13</v>
      </c>
      <c r="B14" s="197" cm="1">
        <f t="array" ref="B14">INDEX(C$1:O$1, MATCH(TRUE, INDEX(($C14:$O14 &lt;&gt; 0), 0),0))</f>
        <v>44926</v>
      </c>
      <c r="C14" s="233"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>
        <v>0</v>
      </c>
      <c r="O14" s="233">
        <v>2304000</v>
      </c>
      <c r="P14" s="32"/>
      <c r="Q14" s="32"/>
    </row>
    <row r="15" spans="1:17" s="34" customFormat="1" ht="14.25">
      <c r="A15" s="190">
        <f t="shared" si="1"/>
        <v>14</v>
      </c>
      <c r="B15" s="197" cm="1">
        <f t="array" ref="B15">INDEX(C$1:O$1, MATCH(TRUE, INDEX(($C15:$O15 &lt;&gt; 0), 0),0))</f>
        <v>44926</v>
      </c>
      <c r="C15" s="233">
        <v>0</v>
      </c>
      <c r="D15" s="233">
        <v>0</v>
      </c>
      <c r="E15" s="233">
        <v>0</v>
      </c>
      <c r="F15" s="233">
        <v>0</v>
      </c>
      <c r="G15" s="233">
        <v>0</v>
      </c>
      <c r="H15" s="233">
        <v>0</v>
      </c>
      <c r="I15" s="233">
        <v>0</v>
      </c>
      <c r="J15" s="233">
        <v>0</v>
      </c>
      <c r="K15" s="233">
        <v>0</v>
      </c>
      <c r="L15" s="233">
        <v>0</v>
      </c>
      <c r="M15" s="233">
        <v>0</v>
      </c>
      <c r="N15" s="233">
        <v>0</v>
      </c>
      <c r="O15" s="233">
        <v>1152000</v>
      </c>
      <c r="P15" s="32"/>
      <c r="Q15" s="32"/>
    </row>
    <row r="16" spans="1:17" s="34" customFormat="1" ht="14.25">
      <c r="A16" s="190">
        <f t="shared" si="1"/>
        <v>15</v>
      </c>
      <c r="B16" s="197" cm="1">
        <f t="array" ref="B16">INDEX(C$1:O$1, MATCH(TRUE, INDEX(($C16:$O16 &lt;&gt; 0), 0),0))</f>
        <v>44926</v>
      </c>
      <c r="C16" s="233">
        <v>0</v>
      </c>
      <c r="D16" s="233">
        <v>0</v>
      </c>
      <c r="E16" s="233">
        <v>0</v>
      </c>
      <c r="F16" s="233">
        <v>0</v>
      </c>
      <c r="G16" s="233">
        <v>0</v>
      </c>
      <c r="H16" s="233">
        <v>0</v>
      </c>
      <c r="I16" s="233">
        <v>0</v>
      </c>
      <c r="J16" s="233">
        <v>0</v>
      </c>
      <c r="K16" s="233">
        <v>0</v>
      </c>
      <c r="L16" s="233">
        <v>0</v>
      </c>
      <c r="M16" s="233">
        <v>0</v>
      </c>
      <c r="N16" s="233">
        <v>0</v>
      </c>
      <c r="O16" s="233">
        <v>2304000</v>
      </c>
      <c r="P16" s="32"/>
      <c r="Q16" s="32"/>
    </row>
    <row r="17" spans="1:17" s="34" customFormat="1" ht="14.25">
      <c r="A17" s="190">
        <f t="shared" si="1"/>
        <v>16</v>
      </c>
      <c r="B17" s="197" cm="1">
        <f t="array" ref="B17">INDEX(C$1:O$1, MATCH(TRUE, INDEX(($C17:$O17 &lt;&gt; 0), 0),0))</f>
        <v>44926</v>
      </c>
      <c r="C17" s="233">
        <v>0</v>
      </c>
      <c r="D17" s="233">
        <v>0</v>
      </c>
      <c r="E17" s="233">
        <v>0</v>
      </c>
      <c r="F17" s="233">
        <v>0</v>
      </c>
      <c r="G17" s="233">
        <v>0</v>
      </c>
      <c r="H17" s="233">
        <v>0</v>
      </c>
      <c r="I17" s="233">
        <v>0</v>
      </c>
      <c r="J17" s="233">
        <v>0</v>
      </c>
      <c r="K17" s="233">
        <v>0</v>
      </c>
      <c r="L17" s="233">
        <v>0</v>
      </c>
      <c r="M17" s="233">
        <v>0</v>
      </c>
      <c r="N17" s="233">
        <v>0</v>
      </c>
      <c r="O17" s="233">
        <v>2580480</v>
      </c>
      <c r="P17" s="32"/>
      <c r="Q17" s="32"/>
    </row>
    <row r="18" spans="1:17" s="33" customFormat="1" ht="14.25">
      <c r="A18" s="190">
        <f t="shared" si="1"/>
        <v>17</v>
      </c>
      <c r="B18" s="197" cm="1">
        <f t="array" ref="B18">INDEX(C$1:O$1, MATCH(TRUE, INDEX(($C18:$O18 &lt;&gt; 0), 0),0))</f>
        <v>44926</v>
      </c>
      <c r="C18" s="233">
        <v>0</v>
      </c>
      <c r="D18" s="233">
        <v>0</v>
      </c>
      <c r="E18" s="233">
        <v>0</v>
      </c>
      <c r="F18" s="233">
        <v>0</v>
      </c>
      <c r="G18" s="233">
        <v>0</v>
      </c>
      <c r="H18" s="233">
        <v>0</v>
      </c>
      <c r="I18" s="233">
        <v>0</v>
      </c>
      <c r="J18" s="233">
        <v>0</v>
      </c>
      <c r="K18" s="233">
        <v>0</v>
      </c>
      <c r="L18" s="233">
        <v>0</v>
      </c>
      <c r="M18" s="233">
        <v>0</v>
      </c>
      <c r="N18" s="233">
        <v>0</v>
      </c>
      <c r="O18" s="233">
        <v>2304000</v>
      </c>
      <c r="P18" s="32"/>
      <c r="Q18" s="32"/>
    </row>
    <row r="19" spans="1:17" s="33" customFormat="1" ht="14.25">
      <c r="A19" s="190">
        <f t="shared" si="1"/>
        <v>18</v>
      </c>
      <c r="B19" s="197" cm="1">
        <f t="array" ref="B19">INDEX(C$1:O$1, MATCH(TRUE, INDEX(($C19:$O19 &lt;&gt; 0), 0),0))</f>
        <v>44834</v>
      </c>
      <c r="C19" s="233">
        <v>0</v>
      </c>
      <c r="D19" s="233">
        <v>0</v>
      </c>
      <c r="E19" s="233">
        <v>0</v>
      </c>
      <c r="F19" s="233">
        <v>0</v>
      </c>
      <c r="G19" s="233">
        <v>0</v>
      </c>
      <c r="H19" s="233">
        <v>0</v>
      </c>
      <c r="I19" s="233">
        <v>0</v>
      </c>
      <c r="J19" s="233">
        <v>0</v>
      </c>
      <c r="K19" s="233">
        <v>0</v>
      </c>
      <c r="L19" s="233">
        <v>0</v>
      </c>
      <c r="M19" s="233">
        <v>0</v>
      </c>
      <c r="N19" s="233">
        <v>1152000</v>
      </c>
      <c r="O19" s="233">
        <v>0</v>
      </c>
      <c r="P19" s="34"/>
      <c r="Q19" s="34"/>
    </row>
    <row r="20" spans="1:17" s="33" customFormat="1" ht="14.25">
      <c r="A20" s="190">
        <f t="shared" si="1"/>
        <v>19</v>
      </c>
      <c r="B20" s="197" cm="1">
        <f t="array" ref="B20">INDEX(C$1:O$1, MATCH(TRUE, INDEX(($C20:$O20 &lt;&gt; 0), 0),0))</f>
        <v>44834</v>
      </c>
      <c r="C20" s="233">
        <v>0</v>
      </c>
      <c r="D20" s="233">
        <v>0</v>
      </c>
      <c r="E20" s="233">
        <v>0</v>
      </c>
      <c r="F20" s="233">
        <v>0</v>
      </c>
      <c r="G20" s="233">
        <v>0</v>
      </c>
      <c r="H20" s="233">
        <v>0</v>
      </c>
      <c r="I20" s="233">
        <v>0</v>
      </c>
      <c r="J20" s="233">
        <v>0</v>
      </c>
      <c r="K20" s="233">
        <v>0</v>
      </c>
      <c r="L20" s="233">
        <v>0</v>
      </c>
      <c r="M20" s="233">
        <v>0</v>
      </c>
      <c r="N20" s="233">
        <v>1152000</v>
      </c>
      <c r="O20" s="233">
        <v>1290240</v>
      </c>
    </row>
    <row r="21" spans="1:17" s="33" customFormat="1" ht="14.25">
      <c r="A21" s="190">
        <f t="shared" si="1"/>
        <v>20</v>
      </c>
      <c r="B21" s="197" cm="1">
        <f t="array" ref="B21">INDEX(C$1:O$1, MATCH(TRUE, INDEX(($C21:$O21 &lt;&gt; 0), 0),0))</f>
        <v>44834</v>
      </c>
      <c r="C21" s="233">
        <v>0</v>
      </c>
      <c r="D21" s="233">
        <v>0</v>
      </c>
      <c r="E21" s="233">
        <v>0</v>
      </c>
      <c r="F21" s="233">
        <v>0</v>
      </c>
      <c r="G21" s="233">
        <v>0</v>
      </c>
      <c r="H21" s="233">
        <v>0</v>
      </c>
      <c r="I21" s="233">
        <v>0</v>
      </c>
      <c r="J21" s="233">
        <v>0</v>
      </c>
      <c r="K21" s="233">
        <v>0</v>
      </c>
      <c r="L21" s="233">
        <v>0</v>
      </c>
      <c r="M21" s="233">
        <v>0</v>
      </c>
      <c r="N21" s="233">
        <v>2304000</v>
      </c>
      <c r="O21" s="233">
        <v>2580480</v>
      </c>
      <c r="P21" s="32"/>
      <c r="Q21" s="32"/>
    </row>
    <row r="22" spans="1:17" s="33" customFormat="1" ht="14.25">
      <c r="A22" s="190">
        <f t="shared" si="1"/>
        <v>21</v>
      </c>
      <c r="B22" s="197" cm="1">
        <f t="array" ref="B22">INDEX(C$1:O$1, MATCH(TRUE, INDEX(($C22:$O22 &lt;&gt; 0), 0),0))</f>
        <v>44834</v>
      </c>
      <c r="C22" s="233">
        <v>0</v>
      </c>
      <c r="D22" s="233">
        <v>0</v>
      </c>
      <c r="E22" s="233">
        <v>0</v>
      </c>
      <c r="F22" s="233">
        <v>0</v>
      </c>
      <c r="G22" s="233">
        <v>0</v>
      </c>
      <c r="H22" s="233">
        <v>0</v>
      </c>
      <c r="I22" s="233">
        <v>0</v>
      </c>
      <c r="J22" s="233">
        <v>0</v>
      </c>
      <c r="K22" s="233">
        <v>0</v>
      </c>
      <c r="L22" s="233">
        <v>0</v>
      </c>
      <c r="M22" s="233">
        <v>0</v>
      </c>
      <c r="N22" s="233">
        <v>2304000</v>
      </c>
      <c r="O22" s="233">
        <v>2304000</v>
      </c>
      <c r="P22" s="32"/>
      <c r="Q22" s="32"/>
    </row>
    <row r="23" spans="1:17" s="33" customFormat="1" ht="14.25">
      <c r="A23" s="190">
        <f t="shared" si="1"/>
        <v>22</v>
      </c>
      <c r="B23" s="197" cm="1">
        <f t="array" ref="B23">INDEX(C$1:O$1, MATCH(TRUE, INDEX(($C23:$O23 &lt;&gt; 0), 0),0))</f>
        <v>44834</v>
      </c>
      <c r="C23" s="233">
        <v>0</v>
      </c>
      <c r="D23" s="233">
        <v>0</v>
      </c>
      <c r="E23" s="233">
        <v>0</v>
      </c>
      <c r="F23" s="233">
        <v>0</v>
      </c>
      <c r="G23" s="233">
        <v>0</v>
      </c>
      <c r="H23" s="233">
        <v>0</v>
      </c>
      <c r="I23" s="233">
        <v>0</v>
      </c>
      <c r="J23" s="233">
        <v>0</v>
      </c>
      <c r="K23" s="233">
        <v>0</v>
      </c>
      <c r="L23" s="233">
        <v>0</v>
      </c>
      <c r="M23" s="233">
        <v>0</v>
      </c>
      <c r="N23" s="233">
        <v>1152000</v>
      </c>
      <c r="O23" s="233">
        <v>1152000</v>
      </c>
      <c r="P23" s="32"/>
      <c r="Q23" s="32"/>
    </row>
    <row r="24" spans="1:17" s="33" customFormat="1" ht="14.25">
      <c r="A24" s="190">
        <f t="shared" si="1"/>
        <v>23</v>
      </c>
      <c r="B24" s="197" cm="1">
        <f t="array" ref="B24">INDEX(C$1:O$1, MATCH(TRUE, INDEX(($C24:$O24 &lt;&gt; 0), 0),0))</f>
        <v>44834</v>
      </c>
      <c r="C24" s="233">
        <v>0</v>
      </c>
      <c r="D24" s="233">
        <v>0</v>
      </c>
      <c r="E24" s="233">
        <v>0</v>
      </c>
      <c r="F24" s="233">
        <v>0</v>
      </c>
      <c r="G24" s="233">
        <v>0</v>
      </c>
      <c r="H24" s="233">
        <v>0</v>
      </c>
      <c r="I24" s="233">
        <v>0</v>
      </c>
      <c r="J24" s="233">
        <v>0</v>
      </c>
      <c r="K24" s="233">
        <v>0</v>
      </c>
      <c r="L24" s="233">
        <v>0</v>
      </c>
      <c r="M24" s="233">
        <v>0</v>
      </c>
      <c r="N24" s="233">
        <v>1152000</v>
      </c>
      <c r="O24" s="233">
        <v>1152000</v>
      </c>
      <c r="P24" s="32"/>
      <c r="Q24" s="32"/>
    </row>
    <row r="25" spans="1:17" s="33" customFormat="1" ht="14.25">
      <c r="A25" s="190">
        <f t="shared" si="1"/>
        <v>24</v>
      </c>
      <c r="B25" s="197" cm="1">
        <f t="array" ref="B25">INDEX(C$1:O$1, MATCH(TRUE, INDEX(($C25:$O25 &lt;&gt; 0), 0),0))</f>
        <v>44834</v>
      </c>
      <c r="C25" s="233">
        <v>0</v>
      </c>
      <c r="D25" s="233">
        <v>0</v>
      </c>
      <c r="E25" s="233">
        <v>0</v>
      </c>
      <c r="F25" s="233">
        <v>0</v>
      </c>
      <c r="G25" s="233">
        <v>0</v>
      </c>
      <c r="H25" s="233">
        <v>0</v>
      </c>
      <c r="I25" s="233">
        <v>0</v>
      </c>
      <c r="J25" s="233">
        <v>0</v>
      </c>
      <c r="K25" s="233">
        <v>0</v>
      </c>
      <c r="L25" s="233">
        <v>0</v>
      </c>
      <c r="M25" s="233">
        <v>0</v>
      </c>
      <c r="N25" s="233">
        <v>3456000</v>
      </c>
      <c r="O25" s="233">
        <v>3456000</v>
      </c>
      <c r="P25" s="32"/>
      <c r="Q25" s="32"/>
    </row>
    <row r="26" spans="1:17" s="33" customFormat="1" ht="14.25">
      <c r="A26" s="190">
        <f t="shared" si="1"/>
        <v>25</v>
      </c>
      <c r="B26" s="197" cm="1">
        <f t="array" ref="B26">INDEX(C$1:O$1, MATCH(TRUE, INDEX(($C26:$O26 &lt;&gt; 0), 0),0))</f>
        <v>44834</v>
      </c>
      <c r="C26" s="233">
        <v>0</v>
      </c>
      <c r="D26" s="233">
        <v>0</v>
      </c>
      <c r="E26" s="233">
        <v>0</v>
      </c>
      <c r="F26" s="233">
        <v>0</v>
      </c>
      <c r="G26" s="233">
        <v>0</v>
      </c>
      <c r="H26" s="233">
        <v>0</v>
      </c>
      <c r="I26" s="233">
        <v>0</v>
      </c>
      <c r="J26" s="233">
        <v>0</v>
      </c>
      <c r="K26" s="233">
        <v>0</v>
      </c>
      <c r="L26" s="233">
        <v>0</v>
      </c>
      <c r="M26" s="233">
        <v>0</v>
      </c>
      <c r="N26" s="233">
        <v>2304000</v>
      </c>
      <c r="O26" s="233">
        <v>2304000</v>
      </c>
      <c r="P26" s="32"/>
      <c r="Q26" s="32"/>
    </row>
    <row r="27" spans="1:17" s="33" customFormat="1" ht="14.25">
      <c r="A27" s="190">
        <f t="shared" si="1"/>
        <v>26</v>
      </c>
      <c r="B27" s="197" cm="1">
        <f t="array" ref="B27">INDEX(C$1:O$1, MATCH(TRUE, INDEX(($C27:$O27 &lt;&gt; 0), 0),0))</f>
        <v>44834</v>
      </c>
      <c r="C27" s="233">
        <v>0</v>
      </c>
      <c r="D27" s="233">
        <v>0</v>
      </c>
      <c r="E27" s="233">
        <v>0</v>
      </c>
      <c r="F27" s="233">
        <v>0</v>
      </c>
      <c r="G27" s="233">
        <v>0</v>
      </c>
      <c r="H27" s="233">
        <v>0</v>
      </c>
      <c r="I27" s="233">
        <v>0</v>
      </c>
      <c r="J27" s="233">
        <v>0</v>
      </c>
      <c r="K27" s="233">
        <v>0</v>
      </c>
      <c r="L27" s="233">
        <v>0</v>
      </c>
      <c r="M27" s="233">
        <v>0</v>
      </c>
      <c r="N27" s="233">
        <v>2304000</v>
      </c>
      <c r="O27" s="233">
        <v>2374040</v>
      </c>
      <c r="P27" s="32"/>
      <c r="Q27" s="32"/>
    </row>
    <row r="28" spans="1:17" s="33" customFormat="1" ht="14.25">
      <c r="A28" s="190">
        <f t="shared" si="1"/>
        <v>27</v>
      </c>
      <c r="B28" s="197" cm="1">
        <f t="array" ref="B28">INDEX(C$1:O$1, MATCH(TRUE, INDEX(($C28:$O28 &lt;&gt; 0), 0),0))</f>
        <v>44834</v>
      </c>
      <c r="C28" s="233">
        <v>0</v>
      </c>
      <c r="D28" s="233">
        <v>0</v>
      </c>
      <c r="E28" s="233">
        <v>0</v>
      </c>
      <c r="F28" s="233">
        <v>0</v>
      </c>
      <c r="G28" s="233">
        <v>0</v>
      </c>
      <c r="H28" s="233">
        <v>0</v>
      </c>
      <c r="I28" s="233">
        <v>0</v>
      </c>
      <c r="J28" s="233">
        <v>0</v>
      </c>
      <c r="K28" s="233">
        <v>0</v>
      </c>
      <c r="L28" s="233">
        <v>0</v>
      </c>
      <c r="M28" s="233">
        <v>0</v>
      </c>
      <c r="N28" s="233">
        <v>1152000</v>
      </c>
      <c r="O28" s="233">
        <v>1152000</v>
      </c>
      <c r="P28" s="32"/>
      <c r="Q28" s="32"/>
    </row>
    <row r="29" spans="1:17" s="33" customFormat="1" ht="14.25">
      <c r="A29" s="190">
        <f t="shared" si="1"/>
        <v>28</v>
      </c>
      <c r="B29" s="197" cm="1">
        <f t="array" ref="B29">INDEX(C$1:O$1, MATCH(TRUE, INDEX(($C29:$O29 &lt;&gt; 0), 0),0))</f>
        <v>44742</v>
      </c>
      <c r="C29" s="233">
        <v>0</v>
      </c>
      <c r="D29" s="233">
        <v>0</v>
      </c>
      <c r="E29" s="233">
        <v>0</v>
      </c>
      <c r="F29" s="233">
        <v>0</v>
      </c>
      <c r="G29" s="233">
        <v>0</v>
      </c>
      <c r="H29" s="233">
        <v>0</v>
      </c>
      <c r="I29" s="233">
        <v>0</v>
      </c>
      <c r="J29" s="233">
        <v>0</v>
      </c>
      <c r="K29" s="233">
        <v>0</v>
      </c>
      <c r="L29" s="233">
        <v>0</v>
      </c>
      <c r="M29" s="233">
        <v>2304000</v>
      </c>
      <c r="N29" s="233">
        <v>2304000</v>
      </c>
      <c r="O29" s="233">
        <v>2304000</v>
      </c>
    </row>
    <row r="30" spans="1:17" s="33" customFormat="1" ht="14.25">
      <c r="A30" s="190">
        <f t="shared" si="1"/>
        <v>29</v>
      </c>
      <c r="B30" s="197" cm="1">
        <f t="array" ref="B30">INDEX(C$1:O$1, MATCH(TRUE, INDEX(($C30:$O30 &lt;&gt; 0), 0),0))</f>
        <v>44742</v>
      </c>
      <c r="C30" s="233">
        <v>0</v>
      </c>
      <c r="D30" s="233">
        <v>0</v>
      </c>
      <c r="E30" s="233">
        <v>0</v>
      </c>
      <c r="F30" s="233">
        <v>0</v>
      </c>
      <c r="G30" s="233">
        <v>0</v>
      </c>
      <c r="H30" s="233">
        <v>0</v>
      </c>
      <c r="I30" s="233">
        <v>0</v>
      </c>
      <c r="J30" s="233">
        <v>0</v>
      </c>
      <c r="K30" s="233">
        <v>0</v>
      </c>
      <c r="L30" s="233">
        <v>0</v>
      </c>
      <c r="M30" s="233">
        <v>3456000</v>
      </c>
      <c r="N30" s="233">
        <v>3456000</v>
      </c>
      <c r="O30" s="233">
        <v>3456000</v>
      </c>
    </row>
    <row r="31" spans="1:17" s="33" customFormat="1" ht="14.25">
      <c r="A31" s="190">
        <f t="shared" si="1"/>
        <v>30</v>
      </c>
      <c r="B31" s="197" cm="1">
        <f t="array" ref="B31">INDEX(C$1:O$1, MATCH(TRUE, INDEX(($C31:$O31 &lt;&gt; 0), 0),0))</f>
        <v>44742</v>
      </c>
      <c r="C31" s="233">
        <v>0</v>
      </c>
      <c r="D31" s="233">
        <v>0</v>
      </c>
      <c r="E31" s="233">
        <v>0</v>
      </c>
      <c r="F31" s="233">
        <v>0</v>
      </c>
      <c r="G31" s="233">
        <v>0</v>
      </c>
      <c r="H31" s="233">
        <v>0</v>
      </c>
      <c r="I31" s="233">
        <v>0</v>
      </c>
      <c r="J31" s="233">
        <v>0</v>
      </c>
      <c r="K31" s="233">
        <v>0</v>
      </c>
      <c r="L31" s="233">
        <v>0</v>
      </c>
      <c r="M31" s="233">
        <v>2304000</v>
      </c>
      <c r="N31" s="233">
        <v>2304000</v>
      </c>
      <c r="O31" s="233">
        <v>2304000</v>
      </c>
      <c r="P31" s="32"/>
      <c r="Q31" s="32"/>
    </row>
    <row r="32" spans="1:17" s="33" customFormat="1" ht="14.25">
      <c r="A32" s="190">
        <f t="shared" si="1"/>
        <v>31</v>
      </c>
      <c r="B32" s="197" cm="1">
        <f t="array" ref="B32">INDEX(C$1:O$1, MATCH(TRUE, INDEX(($C32:$O32 &lt;&gt; 0), 0),0))</f>
        <v>44742</v>
      </c>
      <c r="C32" s="233">
        <v>0</v>
      </c>
      <c r="D32" s="233">
        <v>0</v>
      </c>
      <c r="E32" s="233">
        <v>0</v>
      </c>
      <c r="F32" s="233">
        <v>0</v>
      </c>
      <c r="G32" s="233">
        <v>0</v>
      </c>
      <c r="H32" s="233">
        <v>0</v>
      </c>
      <c r="I32" s="233">
        <v>0</v>
      </c>
      <c r="J32" s="233">
        <v>0</v>
      </c>
      <c r="K32" s="233">
        <v>0</v>
      </c>
      <c r="L32" s="233">
        <v>0</v>
      </c>
      <c r="M32" s="233">
        <v>2304000</v>
      </c>
      <c r="N32" s="233">
        <v>2304000</v>
      </c>
      <c r="O32" s="233">
        <v>2304000</v>
      </c>
      <c r="P32" s="32"/>
      <c r="Q32" s="32"/>
    </row>
    <row r="33" spans="1:17" s="33" customFormat="1" ht="14.25">
      <c r="A33" s="190">
        <f t="shared" si="1"/>
        <v>32</v>
      </c>
      <c r="B33" s="197" cm="1">
        <f t="array" ref="B33">INDEX(C$1:O$1, MATCH(TRUE, INDEX(($C33:$O33 &lt;&gt; 0), 0),0))</f>
        <v>44742</v>
      </c>
      <c r="C33" s="233">
        <v>0</v>
      </c>
      <c r="D33" s="233">
        <v>0</v>
      </c>
      <c r="E33" s="233">
        <v>0</v>
      </c>
      <c r="F33" s="233">
        <v>0</v>
      </c>
      <c r="G33" s="233">
        <v>0</v>
      </c>
      <c r="H33" s="233">
        <v>0</v>
      </c>
      <c r="I33" s="233">
        <v>0</v>
      </c>
      <c r="J33" s="233">
        <v>0</v>
      </c>
      <c r="K33" s="233">
        <v>0</v>
      </c>
      <c r="L33" s="233">
        <v>0</v>
      </c>
      <c r="M33" s="233">
        <v>1152000</v>
      </c>
      <c r="N33" s="233">
        <v>1152000</v>
      </c>
      <c r="O33" s="233">
        <v>1152000</v>
      </c>
      <c r="P33" s="32"/>
      <c r="Q33" s="32"/>
    </row>
    <row r="34" spans="1:17" s="33" customFormat="1" ht="14.25">
      <c r="A34" s="190">
        <f t="shared" si="1"/>
        <v>33</v>
      </c>
      <c r="B34" s="197" cm="1">
        <f t="array" ref="B34">INDEX(C$1:O$1, MATCH(TRUE, INDEX(($C34:$O34 &lt;&gt; 0), 0),0))</f>
        <v>44742</v>
      </c>
      <c r="C34" s="233">
        <v>0</v>
      </c>
      <c r="D34" s="233">
        <v>0</v>
      </c>
      <c r="E34" s="233">
        <v>0</v>
      </c>
      <c r="F34" s="233">
        <v>0</v>
      </c>
      <c r="G34" s="233">
        <v>0</v>
      </c>
      <c r="H34" s="233">
        <v>0</v>
      </c>
      <c r="I34" s="233">
        <v>0</v>
      </c>
      <c r="J34" s="233">
        <v>0</v>
      </c>
      <c r="K34" s="233">
        <v>0</v>
      </c>
      <c r="L34" s="233">
        <v>0</v>
      </c>
      <c r="M34" s="233">
        <v>1152000</v>
      </c>
      <c r="N34" s="233">
        <v>1152000</v>
      </c>
      <c r="O34" s="233">
        <v>1152000</v>
      </c>
      <c r="P34" s="32"/>
      <c r="Q34" s="32"/>
    </row>
    <row r="35" spans="1:17" s="33" customFormat="1" ht="14.25">
      <c r="A35" s="190">
        <f t="shared" si="1"/>
        <v>34</v>
      </c>
      <c r="B35" s="197" cm="1">
        <f t="array" ref="B35">INDEX(C$1:O$1, MATCH(TRUE, INDEX(($C35:$O35 &lt;&gt; 0), 0),0))</f>
        <v>44651</v>
      </c>
      <c r="C35" s="233">
        <v>0</v>
      </c>
      <c r="D35" s="233">
        <v>0</v>
      </c>
      <c r="E35" s="233">
        <v>0</v>
      </c>
      <c r="F35" s="233">
        <v>0</v>
      </c>
      <c r="G35" s="233">
        <v>0</v>
      </c>
      <c r="H35" s="233">
        <v>0</v>
      </c>
      <c r="I35" s="233">
        <v>0</v>
      </c>
      <c r="J35" s="233">
        <v>0</v>
      </c>
      <c r="K35" s="233">
        <v>0</v>
      </c>
      <c r="L35" s="233">
        <v>1152000</v>
      </c>
      <c r="M35" s="233">
        <v>1059840</v>
      </c>
      <c r="N35" s="233">
        <v>1059840</v>
      </c>
      <c r="O35" s="233">
        <v>1059840</v>
      </c>
      <c r="P35" s="34"/>
      <c r="Q35" s="34"/>
    </row>
    <row r="36" spans="1:17" s="33" customFormat="1" ht="14.25">
      <c r="A36" s="190">
        <f t="shared" si="1"/>
        <v>35</v>
      </c>
      <c r="B36" s="197" cm="1">
        <f t="array" ref="B36">INDEX(C$1:O$1, MATCH(TRUE, INDEX(($C36:$O36 &lt;&gt; 0), 0),0))</f>
        <v>44651</v>
      </c>
      <c r="C36" s="233">
        <v>0</v>
      </c>
      <c r="D36" s="233">
        <v>0</v>
      </c>
      <c r="E36" s="233">
        <v>0</v>
      </c>
      <c r="F36" s="233">
        <v>0</v>
      </c>
      <c r="G36" s="233">
        <v>0</v>
      </c>
      <c r="H36" s="233">
        <v>0</v>
      </c>
      <c r="I36" s="233">
        <v>0</v>
      </c>
      <c r="J36" s="233">
        <v>0</v>
      </c>
      <c r="K36" s="233">
        <v>0</v>
      </c>
      <c r="L36" s="233">
        <v>2304000</v>
      </c>
      <c r="M36" s="233">
        <v>2304000</v>
      </c>
      <c r="N36" s="233">
        <v>2304000</v>
      </c>
      <c r="O36" s="233">
        <v>2119680</v>
      </c>
    </row>
    <row r="37" spans="1:17" s="33" customFormat="1" ht="14.25">
      <c r="A37" s="190">
        <f t="shared" si="1"/>
        <v>36</v>
      </c>
      <c r="B37" s="197" cm="1">
        <f t="array" ref="B37">INDEX(C$1:O$1, MATCH(TRUE, INDEX(($C37:$O37 &lt;&gt; 0), 0),0))</f>
        <v>44651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1152000</v>
      </c>
      <c r="M37" s="233">
        <v>1152000</v>
      </c>
      <c r="N37" s="233">
        <v>1152000</v>
      </c>
      <c r="O37" s="233">
        <v>1152000</v>
      </c>
      <c r="P37" s="32"/>
      <c r="Q37" s="32"/>
    </row>
    <row r="38" spans="1:17" s="33" customFormat="1" ht="14.25">
      <c r="A38" s="190">
        <f t="shared" si="1"/>
        <v>37</v>
      </c>
      <c r="B38" s="197" cm="1">
        <f t="array" ref="B38">INDEX(C$1:O$1, MATCH(TRUE, INDEX(($C38:$O38 &lt;&gt; 0), 0),0))</f>
        <v>44651</v>
      </c>
      <c r="C38" s="233">
        <v>0</v>
      </c>
      <c r="D38" s="233">
        <v>0</v>
      </c>
      <c r="E38" s="233">
        <v>0</v>
      </c>
      <c r="F38" s="233">
        <v>0</v>
      </c>
      <c r="G38" s="233">
        <v>0</v>
      </c>
      <c r="H38" s="233">
        <v>0</v>
      </c>
      <c r="I38" s="233">
        <v>0</v>
      </c>
      <c r="J38" s="233">
        <v>0</v>
      </c>
      <c r="K38" s="233">
        <v>0</v>
      </c>
      <c r="L38" s="233">
        <v>2580480</v>
      </c>
      <c r="M38" s="233">
        <v>2580480</v>
      </c>
      <c r="N38" s="233">
        <v>2658928</v>
      </c>
      <c r="O38" s="233">
        <v>2658928</v>
      </c>
      <c r="P38" s="32"/>
      <c r="Q38" s="32"/>
    </row>
    <row r="39" spans="1:17">
      <c r="A39" s="190">
        <f t="shared" si="1"/>
        <v>38</v>
      </c>
      <c r="B39" s="197" cm="1">
        <f t="array" ref="B39">INDEX(C$1:O$1, MATCH(TRUE, INDEX(($C39:$O39 &lt;&gt; 0), 0),0))</f>
        <v>44651</v>
      </c>
      <c r="C39" s="233">
        <v>0</v>
      </c>
      <c r="D39" s="233">
        <v>0</v>
      </c>
      <c r="E39" s="233">
        <v>0</v>
      </c>
      <c r="F39" s="233">
        <v>0</v>
      </c>
      <c r="G39" s="233">
        <v>0</v>
      </c>
      <c r="H39" s="233">
        <v>0</v>
      </c>
      <c r="I39" s="233">
        <v>0</v>
      </c>
      <c r="J39" s="233">
        <v>0</v>
      </c>
      <c r="K39" s="233">
        <v>0</v>
      </c>
      <c r="L39" s="233">
        <v>3456000</v>
      </c>
      <c r="M39" s="233">
        <v>3456000</v>
      </c>
      <c r="N39" s="233">
        <v>3456000</v>
      </c>
      <c r="O39" s="233">
        <v>3456000</v>
      </c>
    </row>
    <row r="40" spans="1:17">
      <c r="A40" s="190">
        <f t="shared" si="1"/>
        <v>39</v>
      </c>
      <c r="B40" s="197" cm="1">
        <f t="array" ref="B40">INDEX(C$1:O$1, MATCH(TRUE, INDEX(($C40:$O40 &lt;&gt; 0), 0),0))</f>
        <v>44651</v>
      </c>
      <c r="C40" s="233">
        <v>0</v>
      </c>
      <c r="D40" s="233">
        <v>0</v>
      </c>
      <c r="E40" s="233">
        <v>0</v>
      </c>
      <c r="F40" s="233">
        <v>0</v>
      </c>
      <c r="G40" s="233">
        <v>0</v>
      </c>
      <c r="H40" s="233">
        <v>0</v>
      </c>
      <c r="I40" s="233">
        <v>0</v>
      </c>
      <c r="J40" s="233">
        <v>0</v>
      </c>
      <c r="K40" s="233">
        <v>0</v>
      </c>
      <c r="L40" s="233">
        <v>2580480</v>
      </c>
      <c r="M40" s="233">
        <v>2374040</v>
      </c>
      <c r="N40" s="233">
        <v>2374040</v>
      </c>
      <c r="O40" s="233">
        <v>2374040</v>
      </c>
    </row>
    <row r="41" spans="1:17">
      <c r="A41" s="190">
        <f t="shared" si="1"/>
        <v>40</v>
      </c>
      <c r="B41" s="197" cm="1">
        <f t="array" ref="B41">INDEX(C$1:O$1, MATCH(TRUE, INDEX(($C41:$O41 &lt;&gt; 0), 0),0))</f>
        <v>44651</v>
      </c>
      <c r="C41" s="233">
        <v>0</v>
      </c>
      <c r="D41" s="233">
        <v>0</v>
      </c>
      <c r="E41" s="233">
        <v>0</v>
      </c>
      <c r="F41" s="233">
        <v>0</v>
      </c>
      <c r="G41" s="233">
        <v>0</v>
      </c>
      <c r="H41" s="233">
        <v>0</v>
      </c>
      <c r="I41" s="233">
        <v>0</v>
      </c>
      <c r="J41" s="233">
        <v>0</v>
      </c>
      <c r="K41" s="233">
        <v>0</v>
      </c>
      <c r="L41" s="233">
        <v>2119680</v>
      </c>
      <c r="M41" s="233">
        <v>2119680</v>
      </c>
      <c r="N41" s="233">
        <v>2374040</v>
      </c>
      <c r="O41" s="233">
        <v>2374040</v>
      </c>
    </row>
    <row r="42" spans="1:17" ht="14.25">
      <c r="A42" s="190">
        <f t="shared" si="1"/>
        <v>41</v>
      </c>
      <c r="B42" s="197" cm="1">
        <f t="array" ref="B42">INDEX(C$1:O$1, MATCH(TRUE, INDEX(($C42:$O42 &lt;&gt; 0), 0),0))</f>
        <v>44561</v>
      </c>
      <c r="C42" s="233">
        <v>0</v>
      </c>
      <c r="D42" s="233">
        <v>0</v>
      </c>
      <c r="E42" s="233">
        <v>0</v>
      </c>
      <c r="F42" s="233">
        <v>0</v>
      </c>
      <c r="G42" s="233">
        <v>0</v>
      </c>
      <c r="H42" s="233">
        <v>0</v>
      </c>
      <c r="I42" s="233">
        <v>0</v>
      </c>
      <c r="J42" s="233">
        <v>0</v>
      </c>
      <c r="K42" s="233">
        <v>3456000</v>
      </c>
      <c r="L42" s="233">
        <v>3179520</v>
      </c>
      <c r="M42" s="233">
        <v>3179520</v>
      </c>
      <c r="N42" s="233">
        <v>3179520</v>
      </c>
      <c r="O42" s="233">
        <v>3179520</v>
      </c>
      <c r="P42" s="34"/>
      <c r="Q42" s="34"/>
    </row>
    <row r="43" spans="1:17">
      <c r="A43" s="190">
        <f t="shared" si="1"/>
        <v>42</v>
      </c>
      <c r="B43" s="197" cm="1">
        <f t="array" ref="B43">INDEX(C$1:O$1, MATCH(TRUE, INDEX(($C43:$O43 &lt;&gt; 0), 0),0))</f>
        <v>44561</v>
      </c>
      <c r="C43" s="233">
        <v>0</v>
      </c>
      <c r="D43" s="233">
        <v>0</v>
      </c>
      <c r="E43" s="233">
        <v>0</v>
      </c>
      <c r="F43" s="233">
        <v>0</v>
      </c>
      <c r="G43" s="233">
        <v>0</v>
      </c>
      <c r="H43" s="233">
        <v>0</v>
      </c>
      <c r="I43" s="233">
        <v>0</v>
      </c>
      <c r="J43" s="233">
        <v>0</v>
      </c>
      <c r="K43" s="233">
        <v>2119680</v>
      </c>
      <c r="L43" s="233">
        <v>2119680</v>
      </c>
      <c r="M43" s="233">
        <v>2119680</v>
      </c>
      <c r="N43" s="233">
        <v>2119680</v>
      </c>
      <c r="O43" s="233">
        <v>2374040</v>
      </c>
    </row>
    <row r="44" spans="1:17">
      <c r="A44" s="190">
        <f t="shared" si="1"/>
        <v>43</v>
      </c>
      <c r="B44" s="197" cm="1">
        <f t="array" ref="B44">INDEX(C$1:O$1, MATCH(TRUE, INDEX(($C44:$O44 &lt;&gt; 0), 0),0))</f>
        <v>44561</v>
      </c>
      <c r="C44" s="233">
        <v>0</v>
      </c>
      <c r="D44" s="233">
        <v>0</v>
      </c>
      <c r="E44" s="233">
        <v>0</v>
      </c>
      <c r="F44" s="233">
        <v>0</v>
      </c>
      <c r="G44" s="233">
        <v>0</v>
      </c>
      <c r="H44" s="233">
        <v>0</v>
      </c>
      <c r="I44" s="233">
        <v>0</v>
      </c>
      <c r="J44" s="233">
        <v>0</v>
      </c>
      <c r="K44" s="233">
        <v>2304000</v>
      </c>
      <c r="L44" s="233">
        <v>2304000</v>
      </c>
      <c r="M44" s="233">
        <v>2304000</v>
      </c>
      <c r="N44" s="233">
        <v>2580480</v>
      </c>
      <c r="O44" s="233">
        <v>2580480</v>
      </c>
    </row>
    <row r="45" spans="1:17">
      <c r="A45" s="190">
        <f t="shared" si="1"/>
        <v>44</v>
      </c>
      <c r="B45" s="197" cm="1">
        <f t="array" ref="B45">INDEX(C$1:O$1, MATCH(TRUE, INDEX(($C45:$O45 &lt;&gt; 0), 0),0))</f>
        <v>44561</v>
      </c>
      <c r="C45" s="233">
        <v>0</v>
      </c>
      <c r="D45" s="233">
        <v>0</v>
      </c>
      <c r="E45" s="233">
        <v>0</v>
      </c>
      <c r="F45" s="233">
        <v>0</v>
      </c>
      <c r="G45" s="233">
        <v>0</v>
      </c>
      <c r="H45" s="233">
        <v>0</v>
      </c>
      <c r="I45" s="233">
        <v>0</v>
      </c>
      <c r="J45" s="233">
        <v>0</v>
      </c>
      <c r="K45" s="233">
        <v>2304000</v>
      </c>
      <c r="L45" s="233">
        <v>2580480</v>
      </c>
      <c r="M45" s="233">
        <v>2580480</v>
      </c>
      <c r="N45" s="233">
        <v>2580480</v>
      </c>
      <c r="O45" s="233">
        <v>2580480</v>
      </c>
    </row>
    <row r="46" spans="1:17">
      <c r="A46" s="190">
        <f t="shared" si="1"/>
        <v>45</v>
      </c>
      <c r="B46" s="197" cm="1">
        <f t="array" ref="B46">INDEX(C$1:O$1, MATCH(TRUE, INDEX(($C46:$O46 &lt;&gt; 0), 0),0))</f>
        <v>44561</v>
      </c>
      <c r="C46" s="233">
        <v>0</v>
      </c>
      <c r="D46" s="233">
        <v>0</v>
      </c>
      <c r="E46" s="233">
        <v>0</v>
      </c>
      <c r="F46" s="233">
        <v>0</v>
      </c>
      <c r="G46" s="233">
        <v>0</v>
      </c>
      <c r="H46" s="233">
        <v>0</v>
      </c>
      <c r="I46" s="233">
        <v>0</v>
      </c>
      <c r="J46" s="233">
        <v>0</v>
      </c>
      <c r="K46" s="233">
        <v>2304000</v>
      </c>
      <c r="L46" s="233">
        <v>2304000</v>
      </c>
      <c r="M46" s="233">
        <v>2304000</v>
      </c>
      <c r="N46" s="233">
        <v>2119680</v>
      </c>
      <c r="O46" s="233">
        <v>2119680</v>
      </c>
    </row>
    <row r="47" spans="1:17">
      <c r="A47" s="190">
        <f t="shared" si="1"/>
        <v>46</v>
      </c>
      <c r="B47" s="197" cm="1">
        <f t="array" ref="B47">INDEX(C$1:O$1, MATCH(TRUE, INDEX(($C47:$O47 &lt;&gt; 0), 0),0))</f>
        <v>44377</v>
      </c>
      <c r="C47" s="233">
        <v>0</v>
      </c>
      <c r="D47" s="233">
        <v>0</v>
      </c>
      <c r="E47" s="233">
        <v>0</v>
      </c>
      <c r="F47" s="233">
        <v>0</v>
      </c>
      <c r="G47" s="233">
        <v>0</v>
      </c>
      <c r="H47" s="233">
        <v>0</v>
      </c>
      <c r="I47" s="233">
        <v>2119680</v>
      </c>
      <c r="J47" s="233">
        <v>2119680</v>
      </c>
      <c r="K47" s="233">
        <v>2374040</v>
      </c>
      <c r="L47" s="233">
        <v>2374040</v>
      </c>
      <c r="M47" s="233">
        <v>2374040</v>
      </c>
      <c r="N47" s="233">
        <v>2184120</v>
      </c>
      <c r="O47" s="233">
        <v>2184120</v>
      </c>
    </row>
    <row r="48" spans="1:17">
      <c r="A48" s="190">
        <f t="shared" si="1"/>
        <v>47</v>
      </c>
      <c r="B48" s="197" cm="1">
        <f t="array" ref="B48">INDEX(C$1:O$1, MATCH(TRUE, INDEX(($C48:$O48 &lt;&gt; 0), 0),0))</f>
        <v>44377</v>
      </c>
      <c r="C48" s="233">
        <v>0</v>
      </c>
      <c r="D48" s="233">
        <v>0</v>
      </c>
      <c r="E48" s="233">
        <v>0</v>
      </c>
      <c r="F48" s="233">
        <v>0</v>
      </c>
      <c r="G48" s="233">
        <v>0</v>
      </c>
      <c r="H48" s="233">
        <v>0</v>
      </c>
      <c r="I48" s="233">
        <v>2304000</v>
      </c>
      <c r="J48" s="233">
        <v>2119680</v>
      </c>
      <c r="K48" s="233">
        <v>2119680</v>
      </c>
      <c r="L48" s="233">
        <v>2119680</v>
      </c>
      <c r="M48" s="233">
        <v>1950104</v>
      </c>
      <c r="N48" s="233">
        <v>1950104</v>
      </c>
      <c r="O48" s="233">
        <v>1950104</v>
      </c>
    </row>
    <row r="49" spans="1:17">
      <c r="A49" s="190">
        <f t="shared" si="1"/>
        <v>48</v>
      </c>
      <c r="B49" s="197" cm="1">
        <f t="array" ref="B49">INDEX(C$1:O$1, MATCH(TRUE, INDEX(($C49:$O49 &lt;&gt; 0), 0),0))</f>
        <v>44377</v>
      </c>
      <c r="C49" s="233">
        <v>0</v>
      </c>
      <c r="D49" s="233">
        <v>0</v>
      </c>
      <c r="E49" s="233">
        <v>0</v>
      </c>
      <c r="F49" s="233">
        <v>0</v>
      </c>
      <c r="G49" s="233">
        <v>0</v>
      </c>
      <c r="H49" s="233">
        <v>0</v>
      </c>
      <c r="I49" s="233">
        <v>1152000</v>
      </c>
      <c r="J49" s="233">
        <v>1152000</v>
      </c>
      <c r="K49" s="233">
        <v>1290240</v>
      </c>
      <c r="L49" s="233">
        <v>1290240</v>
      </c>
      <c r="M49" s="233">
        <v>1290240</v>
      </c>
      <c r="N49" s="233">
        <v>1290240</v>
      </c>
      <c r="O49" s="233">
        <v>1290240</v>
      </c>
    </row>
    <row r="50" spans="1:17">
      <c r="A50" s="190">
        <f t="shared" si="1"/>
        <v>49</v>
      </c>
      <c r="B50" s="197" cm="1">
        <f t="array" ref="B50">INDEX(C$1:O$1, MATCH(TRUE, INDEX(($C50:$O50 &lt;&gt; 0), 0),0))</f>
        <v>44377</v>
      </c>
      <c r="C50" s="233">
        <v>0</v>
      </c>
      <c r="D50" s="233">
        <v>0</v>
      </c>
      <c r="E50" s="233">
        <v>0</v>
      </c>
      <c r="F50" s="233">
        <v>0</v>
      </c>
      <c r="G50" s="233">
        <v>0</v>
      </c>
      <c r="H50" s="233">
        <v>0</v>
      </c>
      <c r="I50" s="233">
        <v>2304000</v>
      </c>
      <c r="J50" s="233">
        <v>2374040</v>
      </c>
      <c r="K50" s="233">
        <v>2658928</v>
      </c>
      <c r="L50" s="233">
        <v>2658928</v>
      </c>
      <c r="M50" s="233">
        <v>2658928</v>
      </c>
      <c r="N50" s="233">
        <v>2446216</v>
      </c>
      <c r="O50" s="233">
        <v>2739760</v>
      </c>
    </row>
    <row r="51" spans="1:17" ht="14.25">
      <c r="A51" s="190">
        <f t="shared" si="1"/>
        <v>50</v>
      </c>
      <c r="B51" s="197" cm="1">
        <f t="array" ref="B51">INDEX(C$1:O$1, MATCH(TRUE, INDEX(($C51:$O51 &lt;&gt; 0), 0),0))</f>
        <v>44286</v>
      </c>
      <c r="C51" s="233">
        <v>0</v>
      </c>
      <c r="D51" s="233">
        <v>0</v>
      </c>
      <c r="E51" s="233">
        <v>0</v>
      </c>
      <c r="F51" s="233">
        <v>0</v>
      </c>
      <c r="G51" s="233">
        <v>0</v>
      </c>
      <c r="H51" s="233">
        <v>3456000</v>
      </c>
      <c r="I51" s="233">
        <v>3456000</v>
      </c>
      <c r="J51" s="233">
        <v>3870720</v>
      </c>
      <c r="K51" s="233">
        <v>4855432</v>
      </c>
      <c r="L51" s="233">
        <v>5003040</v>
      </c>
      <c r="M51" s="233">
        <v>6275808</v>
      </c>
      <c r="N51" s="233">
        <v>6275808</v>
      </c>
      <c r="O51" s="233">
        <v>6275808</v>
      </c>
      <c r="P51" s="34"/>
      <c r="Q51" s="34"/>
    </row>
    <row r="52" spans="1:17" ht="14.25">
      <c r="A52" s="190">
        <f t="shared" si="1"/>
        <v>51</v>
      </c>
      <c r="B52" s="197" cm="1">
        <f t="array" ref="B52">INDEX(C$1:O$1, MATCH(TRUE, INDEX(($C52:$O52 &lt;&gt; 0), 0),0))</f>
        <v>44286</v>
      </c>
      <c r="C52" s="233">
        <v>0</v>
      </c>
      <c r="D52" s="233">
        <v>0</v>
      </c>
      <c r="E52" s="233">
        <v>0</v>
      </c>
      <c r="F52" s="233">
        <v>0</v>
      </c>
      <c r="G52" s="233">
        <v>0</v>
      </c>
      <c r="H52" s="233">
        <v>1152000</v>
      </c>
      <c r="I52" s="233">
        <v>1152000</v>
      </c>
      <c r="J52" s="233">
        <v>1152000</v>
      </c>
      <c r="K52" s="233">
        <v>1059840</v>
      </c>
      <c r="L52" s="233">
        <v>1187024</v>
      </c>
      <c r="M52" s="233">
        <v>1092056</v>
      </c>
      <c r="N52" s="233">
        <v>1223104</v>
      </c>
      <c r="O52" s="233">
        <v>1223104</v>
      </c>
      <c r="P52" s="33"/>
      <c r="Q52" s="33"/>
    </row>
    <row r="53" spans="1:17" ht="14.25">
      <c r="A53" s="190">
        <f t="shared" si="1"/>
        <v>52</v>
      </c>
      <c r="B53" s="197" cm="1">
        <f t="array" ref="B53">INDEX(C$1:O$1, MATCH(TRUE, INDEX(($C53:$O53 &lt;&gt; 0), 0),0))</f>
        <v>44286</v>
      </c>
      <c r="C53" s="233">
        <v>0</v>
      </c>
      <c r="D53" s="233">
        <v>0</v>
      </c>
      <c r="E53" s="233">
        <v>0</v>
      </c>
      <c r="F53" s="233">
        <v>0</v>
      </c>
      <c r="G53" s="233">
        <v>0</v>
      </c>
      <c r="H53" s="233">
        <v>1152000</v>
      </c>
      <c r="I53" s="233">
        <v>1152000</v>
      </c>
      <c r="J53" s="233">
        <v>1152000</v>
      </c>
      <c r="K53" s="233">
        <v>1152000</v>
      </c>
      <c r="L53" s="233">
        <v>1152000</v>
      </c>
      <c r="M53" s="233">
        <v>1152000</v>
      </c>
      <c r="N53" s="233">
        <v>1059840</v>
      </c>
      <c r="O53" s="233">
        <v>0</v>
      </c>
      <c r="P53" s="33"/>
      <c r="Q53" s="33"/>
    </row>
    <row r="54" spans="1:17">
      <c r="A54" s="190">
        <f t="shared" si="1"/>
        <v>53</v>
      </c>
      <c r="B54" s="197" cm="1">
        <f t="array" ref="B54">INDEX(C$1:O$1, MATCH(TRUE, INDEX(($C54:$O54 &lt;&gt; 0), 0),0))</f>
        <v>44286</v>
      </c>
      <c r="C54" s="233">
        <v>0</v>
      </c>
      <c r="D54" s="233">
        <v>0</v>
      </c>
      <c r="E54" s="233">
        <v>0</v>
      </c>
      <c r="F54" s="233">
        <v>0</v>
      </c>
      <c r="G54" s="233">
        <v>0</v>
      </c>
      <c r="H54" s="233">
        <v>1152000</v>
      </c>
      <c r="I54" s="233">
        <v>1152000</v>
      </c>
      <c r="J54" s="233">
        <v>1152000</v>
      </c>
      <c r="K54" s="233">
        <v>1152000</v>
      </c>
      <c r="L54" s="233">
        <v>1152000</v>
      </c>
      <c r="M54" s="233">
        <v>1152000</v>
      </c>
      <c r="N54" s="233">
        <v>1152000</v>
      </c>
      <c r="O54" s="233">
        <v>1152000</v>
      </c>
    </row>
    <row r="55" spans="1:17" ht="14.25">
      <c r="A55" s="190">
        <f t="shared" si="1"/>
        <v>54</v>
      </c>
      <c r="B55" s="197" cm="1">
        <f t="array" ref="B55">INDEX(C$1:O$1, MATCH(TRUE, INDEX(($C55:$O55 &lt;&gt; 0), 0),0))</f>
        <v>44196</v>
      </c>
      <c r="C55" s="233">
        <v>0</v>
      </c>
      <c r="D55" s="233">
        <v>0</v>
      </c>
      <c r="E55" s="233">
        <v>0</v>
      </c>
      <c r="F55" s="233">
        <v>0</v>
      </c>
      <c r="G55" s="233">
        <v>2304000</v>
      </c>
      <c r="H55" s="233">
        <v>2580480</v>
      </c>
      <c r="I55" s="233">
        <v>2890136</v>
      </c>
      <c r="J55" s="233">
        <v>2890136</v>
      </c>
      <c r="K55" s="233">
        <v>3236952</v>
      </c>
      <c r="L55" s="233">
        <v>3236952</v>
      </c>
      <c r="M55" s="233">
        <v>3236952</v>
      </c>
      <c r="N55" s="233">
        <v>3236952</v>
      </c>
      <c r="O55" s="233">
        <v>3236952</v>
      </c>
      <c r="P55" s="34"/>
      <c r="Q55" s="34"/>
    </row>
    <row r="56" spans="1:17" ht="14.25">
      <c r="A56" s="190">
        <f t="shared" si="1"/>
        <v>55</v>
      </c>
      <c r="B56" s="197" cm="1">
        <f t="array" ref="B56">INDEX(C$1:O$1, MATCH(TRUE, INDEX(($C56:$O56 &lt;&gt; 0), 0),0))</f>
        <v>44196</v>
      </c>
      <c r="C56" s="233">
        <v>0</v>
      </c>
      <c r="D56" s="233">
        <v>0</v>
      </c>
      <c r="E56" s="233">
        <v>0</v>
      </c>
      <c r="F56" s="233">
        <v>0</v>
      </c>
      <c r="G56" s="233">
        <v>3179520</v>
      </c>
      <c r="H56" s="233">
        <v>2925160</v>
      </c>
      <c r="I56" s="233">
        <v>2925160</v>
      </c>
      <c r="J56" s="233">
        <v>2925160</v>
      </c>
      <c r="K56" s="233">
        <v>2925160</v>
      </c>
      <c r="L56" s="233">
        <v>2691144</v>
      </c>
      <c r="M56" s="233">
        <v>2691144</v>
      </c>
      <c r="N56" s="233">
        <v>2691144</v>
      </c>
      <c r="O56" s="233">
        <v>2772960</v>
      </c>
      <c r="P56" s="33"/>
      <c r="Q56" s="33"/>
    </row>
    <row r="57" spans="1:17">
      <c r="A57" s="190">
        <f t="shared" si="1"/>
        <v>56</v>
      </c>
      <c r="B57" s="197" cm="1">
        <f t="array" ref="B57">INDEX(C$1:O$1, MATCH(TRUE, INDEX(($C57:$O57 &lt;&gt; 0), 0),0))</f>
        <v>44196</v>
      </c>
      <c r="C57" s="233">
        <v>0</v>
      </c>
      <c r="D57" s="233">
        <v>0</v>
      </c>
      <c r="E57" s="233">
        <v>0</v>
      </c>
      <c r="F57" s="233">
        <v>0</v>
      </c>
      <c r="G57" s="233">
        <v>975056</v>
      </c>
      <c r="H57" s="233">
        <v>975056</v>
      </c>
      <c r="I57" s="233">
        <v>975056</v>
      </c>
      <c r="J57" s="233">
        <v>897048</v>
      </c>
      <c r="K57" s="233">
        <v>897048</v>
      </c>
      <c r="L57" s="233">
        <v>897048</v>
      </c>
      <c r="M57" s="233">
        <v>825288</v>
      </c>
      <c r="N57" s="233">
        <v>825288</v>
      </c>
      <c r="O57" s="233">
        <v>825288</v>
      </c>
    </row>
    <row r="58" spans="1:17">
      <c r="A58" s="190">
        <f t="shared" si="1"/>
        <v>57</v>
      </c>
      <c r="B58" s="197" cm="1">
        <f t="array" ref="B58">INDEX(C$1:O$1, MATCH(TRUE, INDEX(($C58:$O58 &lt;&gt; 0), 0),0))</f>
        <v>44196</v>
      </c>
      <c r="C58" s="233">
        <v>0</v>
      </c>
      <c r="D58" s="233">
        <v>0</v>
      </c>
      <c r="E58" s="233">
        <v>0</v>
      </c>
      <c r="F58" s="233">
        <v>0</v>
      </c>
      <c r="G58" s="233">
        <v>2119680</v>
      </c>
      <c r="H58" s="233">
        <v>1950104</v>
      </c>
      <c r="I58" s="233">
        <v>1950104</v>
      </c>
      <c r="J58" s="233">
        <v>1950104</v>
      </c>
      <c r="K58" s="233">
        <v>1794096</v>
      </c>
      <c r="L58" s="233">
        <v>1794096</v>
      </c>
      <c r="M58" s="233">
        <v>1794096</v>
      </c>
      <c r="N58" s="233">
        <v>1848640</v>
      </c>
      <c r="O58" s="233">
        <v>1848640</v>
      </c>
    </row>
    <row r="59" spans="1:17">
      <c r="A59" s="190">
        <f t="shared" si="1"/>
        <v>58</v>
      </c>
      <c r="B59" s="197" cm="1">
        <f t="array" ref="B59">INDEX(C$1:O$1, MATCH(TRUE, INDEX(($C59:$O59 &lt;&gt; 0), 0),0))</f>
        <v>44196</v>
      </c>
      <c r="C59" s="233">
        <v>0</v>
      </c>
      <c r="D59" s="233">
        <v>0</v>
      </c>
      <c r="E59" s="233">
        <v>0</v>
      </c>
      <c r="F59" s="233">
        <v>0</v>
      </c>
      <c r="G59" s="233">
        <v>3456000</v>
      </c>
      <c r="H59" s="233">
        <v>3456000</v>
      </c>
      <c r="I59" s="233">
        <v>3456000</v>
      </c>
      <c r="J59" s="233">
        <v>3870720</v>
      </c>
      <c r="K59" s="233">
        <v>3870720</v>
      </c>
      <c r="L59" s="233">
        <v>3561064</v>
      </c>
      <c r="M59" s="233">
        <v>3561064</v>
      </c>
      <c r="N59" s="233">
        <v>3561064</v>
      </c>
      <c r="O59" s="233">
        <v>3561064</v>
      </c>
    </row>
    <row r="60" spans="1:17" ht="14.25">
      <c r="A60" s="190">
        <f t="shared" si="1"/>
        <v>59</v>
      </c>
      <c r="B60" s="197" cm="1">
        <f t="array" ref="B60">INDEX(C$1:O$1, MATCH(TRUE, INDEX(($C60:$O60 &lt;&gt; 0), 0),0))</f>
        <v>44104</v>
      </c>
      <c r="C60" s="233">
        <v>0</v>
      </c>
      <c r="D60" s="233">
        <v>0</v>
      </c>
      <c r="E60" s="233">
        <v>0</v>
      </c>
      <c r="F60" s="233">
        <v>3870720</v>
      </c>
      <c r="G60" s="233">
        <v>3870720</v>
      </c>
      <c r="H60" s="233">
        <v>3870720</v>
      </c>
      <c r="I60" s="233">
        <v>3870720</v>
      </c>
      <c r="J60" s="233">
        <v>3870720</v>
      </c>
      <c r="K60" s="233">
        <v>3276176</v>
      </c>
      <c r="L60" s="233">
        <v>3276176</v>
      </c>
      <c r="M60" s="233">
        <v>3276176</v>
      </c>
      <c r="N60" s="233">
        <v>3276176</v>
      </c>
      <c r="O60" s="233">
        <v>3276176</v>
      </c>
      <c r="P60" s="34"/>
      <c r="Q60" s="34"/>
    </row>
    <row r="61" spans="1:17" ht="14.25">
      <c r="A61" s="190">
        <f t="shared" si="1"/>
        <v>60</v>
      </c>
      <c r="B61" s="197" cm="1">
        <f t="array" ref="B61">INDEX(C$1:O$1, MATCH(TRUE, INDEX(($C61:$O61 &lt;&gt; 0), 0),0))</f>
        <v>44104</v>
      </c>
      <c r="C61" s="233">
        <v>0</v>
      </c>
      <c r="D61" s="233">
        <v>0</v>
      </c>
      <c r="E61" s="233">
        <v>0</v>
      </c>
      <c r="F61" s="233">
        <v>1152000</v>
      </c>
      <c r="G61" s="233">
        <v>1152000</v>
      </c>
      <c r="H61" s="233">
        <v>1152000</v>
      </c>
      <c r="I61" s="233">
        <v>1152000</v>
      </c>
      <c r="J61" s="233">
        <v>1152000</v>
      </c>
      <c r="K61" s="233">
        <v>1059840</v>
      </c>
      <c r="L61" s="233">
        <v>1059840</v>
      </c>
      <c r="M61" s="233">
        <v>1059840</v>
      </c>
      <c r="N61" s="233">
        <v>975056</v>
      </c>
      <c r="O61" s="233">
        <v>975056</v>
      </c>
      <c r="P61" s="34"/>
      <c r="Q61" s="34"/>
    </row>
    <row r="62" spans="1:17">
      <c r="A62" s="190">
        <f t="shared" si="1"/>
        <v>61</v>
      </c>
      <c r="B62" s="197" cm="1">
        <f t="array" ref="B62">INDEX(C$1:O$1, MATCH(TRUE, INDEX(($C62:$O62 &lt;&gt; 0), 0),0))</f>
        <v>44104</v>
      </c>
      <c r="C62" s="233">
        <v>0</v>
      </c>
      <c r="D62" s="233">
        <v>0</v>
      </c>
      <c r="E62" s="233">
        <v>0</v>
      </c>
      <c r="F62" s="233">
        <v>1152000</v>
      </c>
      <c r="G62" s="233">
        <v>1290240</v>
      </c>
      <c r="H62" s="233">
        <v>1290240</v>
      </c>
      <c r="I62" s="233">
        <v>1290240</v>
      </c>
      <c r="J62" s="233">
        <v>1445072</v>
      </c>
      <c r="K62" s="233">
        <v>1445072</v>
      </c>
      <c r="L62" s="233">
        <v>1445072</v>
      </c>
      <c r="M62" s="233">
        <v>1445072</v>
      </c>
      <c r="N62" s="233">
        <v>1445072</v>
      </c>
      <c r="O62" s="233">
        <v>1618480</v>
      </c>
    </row>
    <row r="63" spans="1:17">
      <c r="A63" s="190">
        <f t="shared" si="1"/>
        <v>62</v>
      </c>
      <c r="B63" s="197" cm="1">
        <f t="array" ref="B63">INDEX(C$1:O$1, MATCH(TRUE, INDEX(($C63:$O63 &lt;&gt; 0), 0),0))</f>
        <v>44104</v>
      </c>
      <c r="C63" s="233">
        <v>0</v>
      </c>
      <c r="D63" s="233">
        <v>0</v>
      </c>
      <c r="E63" s="233">
        <v>0</v>
      </c>
      <c r="F63" s="233">
        <v>1152000</v>
      </c>
      <c r="G63" s="233">
        <v>1152000</v>
      </c>
      <c r="H63" s="233">
        <v>1152000</v>
      </c>
      <c r="I63" s="233">
        <v>1152000</v>
      </c>
      <c r="J63" s="233">
        <v>1152000</v>
      </c>
      <c r="K63" s="233">
        <v>1152000</v>
      </c>
      <c r="L63" s="233">
        <v>1152000</v>
      </c>
      <c r="M63" s="233">
        <v>1290240</v>
      </c>
      <c r="N63" s="233">
        <v>1290240</v>
      </c>
      <c r="O63" s="233">
        <v>1290240</v>
      </c>
    </row>
    <row r="64" spans="1:17">
      <c r="A64" s="190">
        <f t="shared" si="1"/>
        <v>63</v>
      </c>
      <c r="B64" s="197" cm="1">
        <f t="array" ref="B64">INDEX(C$1:O$1, MATCH(TRUE, INDEX(($C64:$O64 &lt;&gt; 0), 0),0))</f>
        <v>44104</v>
      </c>
      <c r="C64" s="233">
        <v>0</v>
      </c>
      <c r="D64" s="233">
        <v>0</v>
      </c>
      <c r="E64" s="233">
        <v>0</v>
      </c>
      <c r="F64" s="233">
        <v>2304000</v>
      </c>
      <c r="G64" s="233">
        <v>2304000</v>
      </c>
      <c r="H64" s="233">
        <v>2304000</v>
      </c>
      <c r="I64" s="233">
        <v>2119680</v>
      </c>
      <c r="J64" s="233">
        <v>2119680</v>
      </c>
      <c r="K64" s="233">
        <v>2119680</v>
      </c>
      <c r="L64" s="233">
        <v>2119680</v>
      </c>
      <c r="M64" s="233">
        <v>2119680</v>
      </c>
      <c r="N64" s="233">
        <v>2374040</v>
      </c>
      <c r="O64" s="233">
        <v>0</v>
      </c>
    </row>
    <row r="65" spans="1:17">
      <c r="A65" s="190">
        <f t="shared" si="1"/>
        <v>64</v>
      </c>
      <c r="B65" s="197" cm="1">
        <f t="array" ref="B65">INDEX(C$1:O$1, MATCH(TRUE, INDEX(($C65:$O65 &lt;&gt; 0), 0),0))</f>
        <v>44104</v>
      </c>
      <c r="C65" s="233">
        <v>0</v>
      </c>
      <c r="D65" s="233">
        <v>0</v>
      </c>
      <c r="E65" s="233">
        <v>0</v>
      </c>
      <c r="F65" s="233">
        <v>1152000</v>
      </c>
      <c r="G65" s="233">
        <v>1152000</v>
      </c>
      <c r="H65" s="233">
        <v>1152000</v>
      </c>
      <c r="I65" s="233">
        <v>1152000</v>
      </c>
      <c r="J65" s="233">
        <v>1152000</v>
      </c>
      <c r="K65" s="233">
        <v>1290240</v>
      </c>
      <c r="L65" s="233">
        <v>1290240</v>
      </c>
      <c r="M65" s="233">
        <v>1187024</v>
      </c>
      <c r="N65" s="233">
        <v>1092056</v>
      </c>
      <c r="O65" s="233">
        <v>1092056</v>
      </c>
    </row>
    <row r="66" spans="1:17" ht="14.25">
      <c r="A66" s="190">
        <f t="shared" si="1"/>
        <v>65</v>
      </c>
      <c r="B66" s="197" cm="1">
        <f t="array" ref="B66">INDEX(C$1:O$1, MATCH(TRUE, INDEX(($C66:$O66 &lt;&gt; 0), 0),0))</f>
        <v>44012</v>
      </c>
      <c r="C66" s="233">
        <v>0</v>
      </c>
      <c r="D66" s="233">
        <v>0</v>
      </c>
      <c r="E66" s="233">
        <v>2304000</v>
      </c>
      <c r="F66" s="233">
        <v>2304000</v>
      </c>
      <c r="G66" s="233">
        <v>2304000</v>
      </c>
      <c r="H66" s="233">
        <v>1950104</v>
      </c>
      <c r="I66" s="233">
        <v>1794096</v>
      </c>
      <c r="J66" s="233">
        <v>1794096</v>
      </c>
      <c r="K66" s="233">
        <v>1794096</v>
      </c>
      <c r="L66" s="233">
        <v>1650568</v>
      </c>
      <c r="M66" s="233">
        <v>0</v>
      </c>
      <c r="N66" s="233">
        <v>0</v>
      </c>
      <c r="O66" s="233">
        <v>0</v>
      </c>
      <c r="P66" s="34"/>
      <c r="Q66" s="34"/>
    </row>
    <row r="67" spans="1:17" ht="14.25">
      <c r="A67" s="190">
        <f t="shared" si="1"/>
        <v>66</v>
      </c>
      <c r="B67" s="197" cm="1">
        <f t="array" ref="B67">INDEX(C$1:O$1, MATCH(TRUE, INDEX(($C67:$O67 &lt;&gt; 0), 0),0))</f>
        <v>44012</v>
      </c>
      <c r="C67" s="233">
        <v>0</v>
      </c>
      <c r="D67" s="233">
        <v>0</v>
      </c>
      <c r="E67" s="233">
        <v>1152000</v>
      </c>
      <c r="F67" s="233">
        <v>1152000</v>
      </c>
      <c r="G67" s="233">
        <v>1059840</v>
      </c>
      <c r="H67" s="233">
        <v>975056</v>
      </c>
      <c r="I67" s="233">
        <v>975056</v>
      </c>
      <c r="J67" s="233">
        <v>975056</v>
      </c>
      <c r="K67" s="233">
        <v>897048</v>
      </c>
      <c r="L67" s="233">
        <v>897048</v>
      </c>
      <c r="M67" s="233">
        <v>825288</v>
      </c>
      <c r="N67" s="233">
        <v>825288</v>
      </c>
      <c r="O67" s="233">
        <v>759264</v>
      </c>
      <c r="P67" s="34"/>
      <c r="Q67" s="34"/>
    </row>
    <row r="68" spans="1:17">
      <c r="A68" s="190">
        <f t="shared" si="1"/>
        <v>67</v>
      </c>
      <c r="B68" s="197" cm="1">
        <f t="array" ref="B68">INDEX(C$1:O$1, MATCH(TRUE, INDEX(($C68:$O68 &lt;&gt; 0), 0),0))</f>
        <v>44012</v>
      </c>
      <c r="C68" s="233">
        <v>0</v>
      </c>
      <c r="D68" s="233">
        <v>0</v>
      </c>
      <c r="E68" s="233">
        <v>3456000</v>
      </c>
      <c r="F68" s="233">
        <v>3179520</v>
      </c>
      <c r="G68" s="233">
        <v>3179520</v>
      </c>
      <c r="H68" s="233">
        <v>3561064</v>
      </c>
      <c r="I68" s="233">
        <v>3561064</v>
      </c>
      <c r="J68" s="233">
        <v>3276176</v>
      </c>
      <c r="K68" s="233">
        <v>3276176</v>
      </c>
      <c r="L68" s="233">
        <v>3276176</v>
      </c>
      <c r="M68" s="233">
        <v>3276176</v>
      </c>
      <c r="N68" s="233">
        <v>3014080</v>
      </c>
      <c r="O68" s="233">
        <v>3014080</v>
      </c>
    </row>
    <row r="69" spans="1:17">
      <c r="A69" s="190">
        <f t="shared" si="1"/>
        <v>68</v>
      </c>
      <c r="B69" s="197" cm="1">
        <f t="array" ref="B69">INDEX(C$1:O$1, MATCH(TRUE, INDEX(($C69:$O69 &lt;&gt; 0), 0),0))</f>
        <v>44012</v>
      </c>
      <c r="C69" s="233">
        <v>0</v>
      </c>
      <c r="D69" s="233">
        <v>0</v>
      </c>
      <c r="E69" s="233">
        <v>1152000</v>
      </c>
      <c r="F69" s="233">
        <v>1290240</v>
      </c>
      <c r="G69" s="233">
        <v>1092056</v>
      </c>
      <c r="H69" s="233">
        <v>1092056</v>
      </c>
      <c r="I69" s="233">
        <v>1004696</v>
      </c>
      <c r="J69" s="233">
        <v>1004696</v>
      </c>
      <c r="K69" s="233">
        <v>1004696</v>
      </c>
      <c r="L69" s="233">
        <v>1004696</v>
      </c>
      <c r="M69" s="233">
        <v>1004696</v>
      </c>
      <c r="N69" s="233">
        <v>1004696</v>
      </c>
      <c r="O69" s="233">
        <v>1004696</v>
      </c>
    </row>
    <row r="70" spans="1:17">
      <c r="A70" s="190">
        <f t="shared" si="1"/>
        <v>69</v>
      </c>
      <c r="B70" s="197" cm="1">
        <f t="array" ref="B70">INDEX(C$1:O$1, MATCH(TRUE, INDEX(($C70:$O70 &lt;&gt; 0), 0),0))</f>
        <v>44012</v>
      </c>
      <c r="C70" s="233">
        <v>0</v>
      </c>
      <c r="D70" s="233">
        <v>0</v>
      </c>
      <c r="E70" s="233">
        <v>2304000</v>
      </c>
      <c r="F70" s="233">
        <v>2304000</v>
      </c>
      <c r="G70" s="233">
        <v>2304000</v>
      </c>
      <c r="H70" s="233">
        <v>2304000</v>
      </c>
      <c r="I70" s="233">
        <v>2119680</v>
      </c>
      <c r="J70" s="233">
        <v>1950104</v>
      </c>
      <c r="K70" s="233">
        <v>1794096</v>
      </c>
      <c r="L70" s="233">
        <v>1794096</v>
      </c>
      <c r="M70" s="233">
        <v>1794096</v>
      </c>
      <c r="N70" s="233">
        <v>1794096</v>
      </c>
      <c r="O70" s="233">
        <v>1650568</v>
      </c>
    </row>
    <row r="71" spans="1:17">
      <c r="A71" s="190">
        <f t="shared" ref="A71:A134" si="2">+A70+1</f>
        <v>70</v>
      </c>
      <c r="B71" s="197" cm="1">
        <f t="array" ref="B71">INDEX(C$1:O$1, MATCH(TRUE, INDEX(($C71:$O71 &lt;&gt; 0), 0),0))</f>
        <v>44012</v>
      </c>
      <c r="C71" s="233">
        <v>0</v>
      </c>
      <c r="D71" s="233">
        <v>0</v>
      </c>
      <c r="E71" s="233">
        <v>2304000</v>
      </c>
      <c r="F71" s="233">
        <v>2304000</v>
      </c>
      <c r="G71" s="233">
        <v>2304000</v>
      </c>
      <c r="H71" s="233">
        <v>2304000</v>
      </c>
      <c r="I71" s="233">
        <v>2119680</v>
      </c>
      <c r="J71" s="233">
        <v>2119680</v>
      </c>
      <c r="K71" s="233">
        <v>2119680</v>
      </c>
      <c r="L71" s="233">
        <v>2119680</v>
      </c>
      <c r="M71" s="233">
        <v>2119680</v>
      </c>
      <c r="N71" s="233">
        <v>2119680</v>
      </c>
      <c r="O71" s="233">
        <v>2119680</v>
      </c>
    </row>
    <row r="72" spans="1:17" ht="14.25">
      <c r="A72" s="190">
        <f t="shared" si="2"/>
        <v>71</v>
      </c>
      <c r="B72" s="197" cm="1">
        <f t="array" ref="B72">INDEX(C$1:O$1, MATCH(TRUE, INDEX(($C72:$O72 &lt;&gt; 0), 0),0))</f>
        <v>43830</v>
      </c>
      <c r="C72" s="233">
        <v>2119680</v>
      </c>
      <c r="D72" s="233">
        <v>2119680</v>
      </c>
      <c r="E72" s="233">
        <v>2119680</v>
      </c>
      <c r="F72" s="233">
        <v>2119680</v>
      </c>
      <c r="G72" s="233">
        <v>2374040</v>
      </c>
      <c r="H72" s="233">
        <v>2184120</v>
      </c>
      <c r="I72" s="233">
        <v>2184120</v>
      </c>
      <c r="J72" s="233">
        <v>2184120</v>
      </c>
      <c r="K72" s="233">
        <v>0</v>
      </c>
      <c r="L72" s="233">
        <v>0</v>
      </c>
      <c r="M72" s="233">
        <v>0</v>
      </c>
      <c r="N72" s="233">
        <v>0</v>
      </c>
      <c r="O72" s="233">
        <v>0</v>
      </c>
      <c r="P72" s="34"/>
      <c r="Q72" s="34"/>
    </row>
    <row r="73" spans="1:17" ht="14.25">
      <c r="A73" s="190">
        <f t="shared" si="2"/>
        <v>72</v>
      </c>
      <c r="B73" s="197" cm="1">
        <f t="array" ref="B73">INDEX(C$1:O$1, MATCH(TRUE, INDEX(($C73:$O73 &lt;&gt; 0), 0),0))</f>
        <v>43830</v>
      </c>
      <c r="C73" s="233">
        <v>2890136</v>
      </c>
      <c r="D73" s="233">
        <v>2890136</v>
      </c>
      <c r="E73" s="233">
        <v>2890136</v>
      </c>
      <c r="F73" s="233">
        <v>2890136</v>
      </c>
      <c r="G73" s="233">
        <v>2890136</v>
      </c>
      <c r="H73" s="233">
        <v>3236952</v>
      </c>
      <c r="I73" s="233">
        <v>3236952</v>
      </c>
      <c r="J73" s="233">
        <v>3236952</v>
      </c>
      <c r="K73" s="233">
        <v>3236952</v>
      </c>
      <c r="L73" s="233">
        <v>3236952</v>
      </c>
      <c r="M73" s="233">
        <v>3236952</v>
      </c>
      <c r="N73" s="233">
        <v>3236952</v>
      </c>
      <c r="O73" s="233">
        <v>3625392</v>
      </c>
      <c r="P73" s="34"/>
      <c r="Q73" s="34"/>
    </row>
    <row r="74" spans="1:17" ht="14.25">
      <c r="A74" s="190">
        <f t="shared" si="2"/>
        <v>73</v>
      </c>
      <c r="B74" s="197" cm="1">
        <f t="array" ref="B74">INDEX(C$1:O$1, MATCH(TRUE, INDEX(($C74:$O74 &lt;&gt; 0), 0),0))</f>
        <v>43830</v>
      </c>
      <c r="C74" s="233">
        <v>3478400</v>
      </c>
      <c r="D74" s="233">
        <v>3478400</v>
      </c>
      <c r="E74" s="233">
        <v>3478400</v>
      </c>
      <c r="F74" s="233">
        <v>3200128</v>
      </c>
      <c r="G74" s="233">
        <v>3200128</v>
      </c>
      <c r="H74" s="233">
        <v>0</v>
      </c>
      <c r="I74" s="233">
        <v>0</v>
      </c>
      <c r="J74" s="233">
        <v>0</v>
      </c>
      <c r="K74" s="233">
        <v>0</v>
      </c>
      <c r="L74" s="233">
        <v>0</v>
      </c>
      <c r="M74" s="233">
        <v>0</v>
      </c>
      <c r="N74" s="233">
        <v>0</v>
      </c>
      <c r="O74" s="233">
        <v>0</v>
      </c>
      <c r="P74" s="34"/>
      <c r="Q74" s="34"/>
    </row>
    <row r="75" spans="1:17" ht="14.25">
      <c r="A75" s="190">
        <f t="shared" si="2"/>
        <v>74</v>
      </c>
      <c r="B75" s="197" cm="1">
        <f t="array" ref="B75">INDEX(C$1:O$1, MATCH(TRUE, INDEX(($C75:$O75 &lt;&gt; 0), 0),0))</f>
        <v>43830</v>
      </c>
      <c r="C75" s="233">
        <v>1059840</v>
      </c>
      <c r="D75" s="233">
        <v>1187024</v>
      </c>
      <c r="E75" s="233">
        <v>1187024</v>
      </c>
      <c r="F75" s="233">
        <v>1187024</v>
      </c>
      <c r="G75" s="233">
        <v>1092056</v>
      </c>
      <c r="H75" s="233">
        <v>1092056</v>
      </c>
      <c r="I75" s="233">
        <v>1092056</v>
      </c>
      <c r="J75" s="233">
        <v>1092056</v>
      </c>
      <c r="K75" s="233">
        <v>1092056</v>
      </c>
      <c r="L75" s="233">
        <v>1092056</v>
      </c>
      <c r="M75" s="233">
        <v>0</v>
      </c>
      <c r="N75" s="233">
        <v>0</v>
      </c>
      <c r="O75" s="233">
        <v>0</v>
      </c>
      <c r="P75" s="34"/>
      <c r="Q75" s="34"/>
    </row>
    <row r="76" spans="1:17" ht="14.25">
      <c r="A76" s="190">
        <f t="shared" si="2"/>
        <v>75</v>
      </c>
      <c r="B76" s="197" cm="1">
        <f t="array" ref="B76">INDEX(C$1:O$1, MATCH(TRUE, INDEX(($C76:$O76 &lt;&gt; 0), 0),0))</f>
        <v>43830</v>
      </c>
      <c r="C76" s="233">
        <v>2925160</v>
      </c>
      <c r="D76" s="233">
        <v>2925160</v>
      </c>
      <c r="E76" s="233">
        <v>2691144</v>
      </c>
      <c r="F76" s="233">
        <v>2691144</v>
      </c>
      <c r="G76" s="233">
        <v>2691144</v>
      </c>
      <c r="H76" s="233">
        <v>2691144</v>
      </c>
      <c r="I76" s="233">
        <v>2475856</v>
      </c>
      <c r="J76" s="233">
        <v>2277784</v>
      </c>
      <c r="K76" s="233">
        <v>2095560</v>
      </c>
      <c r="L76" s="233">
        <v>2095560</v>
      </c>
      <c r="M76" s="233">
        <v>2095560</v>
      </c>
      <c r="N76" s="233">
        <v>2095560</v>
      </c>
      <c r="O76" s="233">
        <v>2095560</v>
      </c>
      <c r="P76" s="34"/>
      <c r="Q76" s="34"/>
    </row>
    <row r="77" spans="1:17" ht="14.25">
      <c r="A77" s="190">
        <f t="shared" si="2"/>
        <v>76</v>
      </c>
      <c r="B77" s="197" cm="1">
        <f t="array" ref="B77">INDEX(C$1:O$1, MATCH(TRUE, INDEX(($C77:$O77 &lt;&gt; 0), 0),0))</f>
        <v>43921</v>
      </c>
      <c r="C77" s="233">
        <v>0</v>
      </c>
      <c r="D77" s="233">
        <v>2304000</v>
      </c>
      <c r="E77" s="233">
        <v>2304000</v>
      </c>
      <c r="F77" s="233">
        <v>2304000</v>
      </c>
      <c r="G77" s="233">
        <v>2304000</v>
      </c>
      <c r="H77" s="233">
        <v>2119680</v>
      </c>
      <c r="I77" s="233">
        <v>2374040</v>
      </c>
      <c r="J77" s="233">
        <v>2374040</v>
      </c>
      <c r="K77" s="233">
        <v>2374040</v>
      </c>
      <c r="L77" s="233">
        <v>2184120</v>
      </c>
      <c r="M77" s="233">
        <v>2184120</v>
      </c>
      <c r="N77" s="233">
        <v>2184120</v>
      </c>
      <c r="O77" s="233">
        <v>2009392</v>
      </c>
      <c r="P77" s="34"/>
      <c r="Q77" s="34"/>
    </row>
    <row r="78" spans="1:17" ht="14.25">
      <c r="A78" s="190">
        <f t="shared" si="2"/>
        <v>77</v>
      </c>
      <c r="B78" s="197" cm="1">
        <f t="array" ref="B78">INDEX(C$1:O$1, MATCH(TRUE, INDEX(($C78:$O78 &lt;&gt; 0), 0),0))</f>
        <v>43830</v>
      </c>
      <c r="C78" s="233">
        <v>2374040</v>
      </c>
      <c r="D78" s="233">
        <v>2446216</v>
      </c>
      <c r="E78" s="233">
        <v>2250512</v>
      </c>
      <c r="F78" s="233">
        <v>2318928</v>
      </c>
      <c r="G78" s="233">
        <v>2597200</v>
      </c>
      <c r="H78" s="233">
        <v>2597200</v>
      </c>
      <c r="I78" s="233">
        <v>2597200</v>
      </c>
      <c r="J78" s="233">
        <v>2389424</v>
      </c>
      <c r="K78" s="233">
        <v>2389424</v>
      </c>
      <c r="L78" s="233">
        <v>2389424</v>
      </c>
      <c r="M78" s="233">
        <v>2389424</v>
      </c>
      <c r="N78" s="233">
        <v>2389424</v>
      </c>
      <c r="O78" s="233">
        <v>2389424</v>
      </c>
      <c r="P78" s="34"/>
      <c r="Q78" s="34"/>
    </row>
    <row r="79" spans="1:17" ht="14.25">
      <c r="A79" s="190">
        <f t="shared" si="2"/>
        <v>78</v>
      </c>
      <c r="B79" s="197" cm="1">
        <f t="array" ref="B79">INDEX(C$1:O$1, MATCH(TRUE, INDEX(($C79:$O79 &lt;&gt; 0), 0),0))</f>
        <v>43830</v>
      </c>
      <c r="C79" s="233">
        <v>3870720</v>
      </c>
      <c r="D79" s="233">
        <v>3561064</v>
      </c>
      <c r="E79" s="233">
        <v>3561064</v>
      </c>
      <c r="F79" s="233">
        <v>3561064</v>
      </c>
      <c r="G79" s="233">
        <v>3669320</v>
      </c>
      <c r="H79" s="233">
        <v>3669320</v>
      </c>
      <c r="I79" s="233">
        <v>3669320</v>
      </c>
      <c r="J79" s="233">
        <v>3375776</v>
      </c>
      <c r="K79" s="233">
        <v>3105712</v>
      </c>
      <c r="L79" s="233">
        <v>3105712</v>
      </c>
      <c r="M79" s="233">
        <v>2857256</v>
      </c>
      <c r="N79" s="233">
        <v>3200128</v>
      </c>
      <c r="O79" s="233">
        <v>3200128</v>
      </c>
      <c r="P79" s="34"/>
      <c r="Q79" s="34"/>
    </row>
    <row r="80" spans="1:17" ht="14.25">
      <c r="A80" s="190">
        <f t="shared" si="2"/>
        <v>79</v>
      </c>
      <c r="B80" s="197" cm="1">
        <f t="array" ref="B80">INDEX(C$1:O$1, MATCH(TRUE, INDEX(($C80:$O80 &lt;&gt; 0), 0),0))</f>
        <v>43830</v>
      </c>
      <c r="C80" s="233">
        <v>2890136</v>
      </c>
      <c r="D80" s="233">
        <v>3236952</v>
      </c>
      <c r="E80" s="233">
        <v>3236952</v>
      </c>
      <c r="F80" s="233">
        <v>3625392</v>
      </c>
      <c r="G80" s="233">
        <v>3335360</v>
      </c>
      <c r="H80" s="233">
        <v>3335360</v>
      </c>
      <c r="I80" s="233">
        <v>3068528</v>
      </c>
      <c r="J80" s="233">
        <v>3068528</v>
      </c>
      <c r="K80" s="233">
        <v>3068528</v>
      </c>
      <c r="L80" s="233">
        <v>3068528</v>
      </c>
      <c r="M80" s="233">
        <v>3068528</v>
      </c>
      <c r="N80" s="233">
        <v>3068528</v>
      </c>
      <c r="O80" s="233">
        <v>3068528</v>
      </c>
      <c r="P80" s="34"/>
      <c r="Q80" s="34"/>
    </row>
    <row r="81" spans="1:17" ht="14.25">
      <c r="A81" s="190">
        <f t="shared" si="2"/>
        <v>80</v>
      </c>
      <c r="B81" s="197" cm="1">
        <f t="array" ref="B81">INDEX(C$1:O$1, MATCH(TRUE, INDEX(($C81:$O81 &lt;&gt; 0), 0),0))</f>
        <v>43830</v>
      </c>
      <c r="C81" s="233">
        <v>1152000</v>
      </c>
      <c r="D81" s="233">
        <v>1152000</v>
      </c>
      <c r="E81" s="233">
        <v>1152000</v>
      </c>
      <c r="F81" s="233">
        <v>1290240</v>
      </c>
      <c r="G81" s="233">
        <v>1445072</v>
      </c>
      <c r="H81" s="233">
        <v>1445072</v>
      </c>
      <c r="I81" s="233">
        <v>1445072</v>
      </c>
      <c r="J81" s="233">
        <v>1445072</v>
      </c>
      <c r="K81" s="233">
        <v>1445072</v>
      </c>
      <c r="L81" s="233">
        <v>1618480</v>
      </c>
      <c r="M81" s="233">
        <v>1618480</v>
      </c>
      <c r="N81" s="233">
        <v>1812696</v>
      </c>
      <c r="O81" s="233">
        <v>1812696</v>
      </c>
      <c r="P81" s="34"/>
      <c r="Q81" s="34"/>
    </row>
    <row r="82" spans="1:17" ht="14.25">
      <c r="A82" s="190">
        <f t="shared" si="2"/>
        <v>81</v>
      </c>
      <c r="B82" s="197" cm="1">
        <f t="array" ref="B82">INDEX(C$1:O$1, MATCH(TRUE, INDEX(($C82:$O82 &lt;&gt; 0), 0),0))</f>
        <v>43830</v>
      </c>
      <c r="C82" s="233">
        <v>1187024</v>
      </c>
      <c r="D82" s="233">
        <v>1187024</v>
      </c>
      <c r="E82" s="233">
        <v>1187024</v>
      </c>
      <c r="F82" s="233">
        <v>1187024</v>
      </c>
      <c r="G82" s="233">
        <v>1187024</v>
      </c>
      <c r="H82" s="233">
        <v>1187024</v>
      </c>
      <c r="I82" s="233">
        <v>1187024</v>
      </c>
      <c r="J82" s="233">
        <v>1187024</v>
      </c>
      <c r="K82" s="233">
        <v>1329464</v>
      </c>
      <c r="L82" s="233">
        <v>1329464</v>
      </c>
      <c r="M82" s="233">
        <v>1223104</v>
      </c>
      <c r="N82" s="233">
        <v>1223104</v>
      </c>
      <c r="O82" s="233">
        <v>1223104</v>
      </c>
      <c r="P82" s="34"/>
      <c r="Q82" s="34"/>
    </row>
    <row r="83" spans="1:17" ht="14.25">
      <c r="A83" s="190">
        <f t="shared" si="2"/>
        <v>82</v>
      </c>
      <c r="B83" s="197" cm="1">
        <f t="array" ref="B83">INDEX(C$1:O$1, MATCH(TRUE, INDEX(($C83:$O83 &lt;&gt; 0), 0),0))</f>
        <v>43830</v>
      </c>
      <c r="C83" s="233">
        <v>2890136</v>
      </c>
      <c r="D83" s="233">
        <v>2890136</v>
      </c>
      <c r="E83" s="233">
        <v>2890136</v>
      </c>
      <c r="F83" s="233">
        <v>2890136</v>
      </c>
      <c r="G83" s="233">
        <v>2890136</v>
      </c>
      <c r="H83" s="233">
        <v>2890136</v>
      </c>
      <c r="I83" s="233">
        <v>2890136</v>
      </c>
      <c r="J83" s="233">
        <v>3236952</v>
      </c>
      <c r="K83" s="233">
        <v>3236952</v>
      </c>
      <c r="L83" s="233">
        <v>3236952</v>
      </c>
      <c r="M83" s="233">
        <v>3236952</v>
      </c>
      <c r="N83" s="233">
        <v>3236952</v>
      </c>
      <c r="O83" s="233">
        <v>3236952</v>
      </c>
      <c r="P83" s="34"/>
      <c r="Q83" s="34"/>
    </row>
    <row r="84" spans="1:17" ht="14.25">
      <c r="A84" s="190">
        <f t="shared" si="2"/>
        <v>83</v>
      </c>
      <c r="B84" s="197" cm="1">
        <f t="array" ref="B84">INDEX(C$1:O$1, MATCH(TRUE, INDEX(($C84:$O84 &lt;&gt; 0), 0),0))</f>
        <v>43830</v>
      </c>
      <c r="C84" s="233">
        <v>6090656</v>
      </c>
      <c r="D84" s="233">
        <v>6090656</v>
      </c>
      <c r="E84" s="233">
        <v>6090656</v>
      </c>
      <c r="F84" s="233">
        <v>6090656</v>
      </c>
      <c r="G84" s="233">
        <v>6090656</v>
      </c>
      <c r="H84" s="233">
        <v>6090656</v>
      </c>
      <c r="I84" s="233">
        <v>5603400</v>
      </c>
      <c r="J84" s="233">
        <v>0</v>
      </c>
      <c r="K84" s="233">
        <v>0</v>
      </c>
      <c r="L84" s="233">
        <v>0</v>
      </c>
      <c r="M84" s="233">
        <v>0</v>
      </c>
      <c r="N84" s="233">
        <v>0</v>
      </c>
      <c r="O84" s="233">
        <v>0</v>
      </c>
      <c r="P84" s="34"/>
      <c r="Q84" s="34"/>
    </row>
    <row r="85" spans="1:17" ht="14.25">
      <c r="A85" s="190">
        <f t="shared" si="2"/>
        <v>84</v>
      </c>
      <c r="B85" s="197" cm="1">
        <f t="array" ref="B85">INDEX(C$1:O$1, MATCH(TRUE, INDEX(($C85:$O85 &lt;&gt; 0), 0),0))</f>
        <v>43830</v>
      </c>
      <c r="C85" s="233">
        <v>1187024</v>
      </c>
      <c r="D85" s="233">
        <v>1187024</v>
      </c>
      <c r="E85" s="233">
        <v>1187024</v>
      </c>
      <c r="F85" s="233">
        <v>1329464</v>
      </c>
      <c r="G85" s="233">
        <v>1223104</v>
      </c>
      <c r="H85" s="233">
        <v>1223104</v>
      </c>
      <c r="I85" s="233">
        <v>1223104</v>
      </c>
      <c r="J85" s="233">
        <v>1223104</v>
      </c>
      <c r="K85" s="233">
        <v>1223104</v>
      </c>
      <c r="L85" s="233">
        <v>0</v>
      </c>
      <c r="M85" s="233">
        <v>0</v>
      </c>
      <c r="N85" s="233">
        <v>0</v>
      </c>
      <c r="O85" s="233">
        <v>0</v>
      </c>
      <c r="P85" s="34"/>
      <c r="Q85" s="34"/>
    </row>
    <row r="86" spans="1:17" ht="14.25">
      <c r="A86" s="190">
        <f t="shared" si="2"/>
        <v>85</v>
      </c>
      <c r="B86" s="197" cm="1">
        <f t="array" ref="B86">INDEX(C$1:O$1, MATCH(TRUE, INDEX(($C86:$O86 &lt;&gt; 0), 0),0))</f>
        <v>43830</v>
      </c>
      <c r="C86" s="233">
        <v>2304000</v>
      </c>
      <c r="D86" s="233">
        <v>2304000</v>
      </c>
      <c r="E86" s="233">
        <v>2304000</v>
      </c>
      <c r="F86" s="233">
        <v>2119680</v>
      </c>
      <c r="G86" s="233">
        <v>2119680</v>
      </c>
      <c r="H86" s="233">
        <v>2119680</v>
      </c>
      <c r="I86" s="233">
        <v>2374040</v>
      </c>
      <c r="J86" s="233">
        <v>2184120</v>
      </c>
      <c r="K86" s="233">
        <v>2184120</v>
      </c>
      <c r="L86" s="233">
        <v>0</v>
      </c>
      <c r="M86" s="233">
        <v>0</v>
      </c>
      <c r="N86" s="233">
        <v>0</v>
      </c>
      <c r="O86" s="233">
        <v>0</v>
      </c>
      <c r="P86" s="34"/>
      <c r="Q86" s="34"/>
    </row>
    <row r="87" spans="1:17" ht="14.25">
      <c r="A87" s="190">
        <f t="shared" si="2"/>
        <v>86</v>
      </c>
      <c r="B87" s="197" cm="1">
        <f t="array" ref="B87">INDEX(C$1:O$1, MATCH(TRUE, INDEX(($C87:$O87 &lt;&gt; 0), 0),0))</f>
        <v>43830</v>
      </c>
      <c r="C87" s="233">
        <v>2304000</v>
      </c>
      <c r="D87" s="233">
        <v>2304000</v>
      </c>
      <c r="E87" s="233">
        <v>2304000</v>
      </c>
      <c r="F87" s="233">
        <v>2304000</v>
      </c>
      <c r="G87" s="233">
        <v>2304000</v>
      </c>
      <c r="H87" s="233">
        <v>2304000</v>
      </c>
      <c r="I87" s="233">
        <v>2304000</v>
      </c>
      <c r="J87" s="233">
        <v>2304000</v>
      </c>
      <c r="K87" s="233">
        <v>2580480</v>
      </c>
      <c r="L87" s="233">
        <v>2580480</v>
      </c>
      <c r="M87" s="233">
        <v>2580480</v>
      </c>
      <c r="N87" s="233">
        <v>2580480</v>
      </c>
      <c r="O87" s="233">
        <v>2580480</v>
      </c>
      <c r="P87" s="34"/>
      <c r="Q87" s="34"/>
    </row>
    <row r="88" spans="1:17" ht="14.25">
      <c r="A88" s="190">
        <f t="shared" si="2"/>
        <v>87</v>
      </c>
      <c r="B88" s="197" cm="1">
        <f t="array" ref="B88">INDEX(C$1:O$1, MATCH(TRUE, INDEX(($C88:$O88 &lt;&gt; 0), 0),0))</f>
        <v>43830</v>
      </c>
      <c r="C88" s="233">
        <v>2030216</v>
      </c>
      <c r="D88" s="233">
        <v>2030216</v>
      </c>
      <c r="E88" s="233">
        <v>1867800</v>
      </c>
      <c r="F88" s="233">
        <v>1867800</v>
      </c>
      <c r="G88" s="233">
        <v>2342968</v>
      </c>
      <c r="H88" s="233">
        <v>2342968</v>
      </c>
      <c r="I88" s="233">
        <v>2342968</v>
      </c>
      <c r="J88" s="233">
        <v>2155528</v>
      </c>
      <c r="K88" s="233">
        <v>2155528</v>
      </c>
      <c r="L88" s="233">
        <v>2414192</v>
      </c>
      <c r="M88" s="233">
        <v>0</v>
      </c>
      <c r="N88" s="233">
        <v>0</v>
      </c>
      <c r="O88" s="233">
        <v>0</v>
      </c>
      <c r="P88" s="34"/>
      <c r="Q88" s="34"/>
    </row>
    <row r="89" spans="1:17" ht="14.25">
      <c r="A89" s="190">
        <f t="shared" si="2"/>
        <v>88</v>
      </c>
      <c r="B89" s="197" cm="1">
        <f t="array" ref="B89">INDEX(C$1:O$1, MATCH(TRUE, INDEX(($C89:$O89 &lt;&gt; 0), 0),0))</f>
        <v>43830</v>
      </c>
      <c r="C89" s="233">
        <v>2374040</v>
      </c>
      <c r="D89" s="233">
        <v>2374040</v>
      </c>
      <c r="E89" s="233">
        <v>2658928</v>
      </c>
      <c r="F89" s="233">
        <v>2658928</v>
      </c>
      <c r="G89" s="233">
        <v>2658928</v>
      </c>
      <c r="H89" s="233">
        <v>2978000</v>
      </c>
      <c r="I89" s="233">
        <v>3335360</v>
      </c>
      <c r="J89" s="233">
        <v>3068528</v>
      </c>
      <c r="K89" s="233">
        <v>3068528</v>
      </c>
      <c r="L89" s="233">
        <v>3068528</v>
      </c>
      <c r="M89" s="233">
        <v>2823048</v>
      </c>
      <c r="N89" s="233">
        <v>0</v>
      </c>
      <c r="O89" s="233">
        <v>0</v>
      </c>
      <c r="P89" s="34"/>
      <c r="Q89" s="34"/>
    </row>
    <row r="90" spans="1:17" ht="14.25">
      <c r="A90" s="190">
        <f t="shared" si="2"/>
        <v>89</v>
      </c>
      <c r="B90" s="197" cm="1">
        <f t="array" ref="B90">INDEX(C$1:O$1, MATCH(TRUE, INDEX(($C90:$O90 &lt;&gt; 0), 0),0))</f>
        <v>43830</v>
      </c>
      <c r="C90" s="233">
        <v>2580480</v>
      </c>
      <c r="D90" s="233">
        <v>2580480</v>
      </c>
      <c r="E90" s="233">
        <v>2374040</v>
      </c>
      <c r="F90" s="233">
        <v>2374040</v>
      </c>
      <c r="G90" s="233">
        <v>2184120</v>
      </c>
      <c r="H90" s="233">
        <v>2184120</v>
      </c>
      <c r="I90" s="233">
        <v>2184120</v>
      </c>
      <c r="J90" s="233">
        <v>2184120</v>
      </c>
      <c r="K90" s="233">
        <v>2184120</v>
      </c>
      <c r="L90" s="233">
        <v>2184120</v>
      </c>
      <c r="M90" s="233">
        <v>2184120</v>
      </c>
      <c r="N90" s="233">
        <v>2184120</v>
      </c>
      <c r="O90" s="233">
        <v>2184120</v>
      </c>
      <c r="P90" s="33"/>
      <c r="Q90" s="33"/>
    </row>
    <row r="91" spans="1:17" ht="14.25">
      <c r="A91" s="190">
        <f t="shared" si="2"/>
        <v>90</v>
      </c>
      <c r="B91" s="197" cm="1">
        <f t="array" ref="B91">INDEX(C$1:O$1, MATCH(TRUE, INDEX(($C91:$O91 &lt;&gt; 0), 0),0))</f>
        <v>43830</v>
      </c>
      <c r="C91" s="233">
        <v>1092056</v>
      </c>
      <c r="D91" s="233">
        <v>1092056</v>
      </c>
      <c r="E91" s="233">
        <v>1223104</v>
      </c>
      <c r="F91" s="233">
        <v>1223104</v>
      </c>
      <c r="G91" s="233">
        <v>1223104</v>
      </c>
      <c r="H91" s="233">
        <v>1223104</v>
      </c>
      <c r="I91" s="233">
        <v>1125256</v>
      </c>
      <c r="J91" s="233">
        <v>1125256</v>
      </c>
      <c r="K91" s="233">
        <v>0</v>
      </c>
      <c r="L91" s="233">
        <v>0</v>
      </c>
      <c r="M91" s="233">
        <v>0</v>
      </c>
      <c r="N91" s="233">
        <v>0</v>
      </c>
      <c r="O91" s="233">
        <v>0</v>
      </c>
      <c r="P91" s="33"/>
      <c r="Q91" s="33"/>
    </row>
    <row r="92" spans="1:17" ht="14.25">
      <c r="A92" s="190">
        <f t="shared" si="2"/>
        <v>91</v>
      </c>
      <c r="B92" s="197" cm="1">
        <f t="array" ref="B92">INDEX(C$1:O$1, MATCH(TRUE, INDEX(($C92:$O92 &lt;&gt; 0), 0),0))</f>
        <v>43830</v>
      </c>
      <c r="C92" s="233">
        <v>2304000</v>
      </c>
      <c r="D92" s="233">
        <v>2119680</v>
      </c>
      <c r="E92" s="233">
        <v>2119680</v>
      </c>
      <c r="F92" s="233">
        <v>2119680</v>
      </c>
      <c r="G92" s="233">
        <v>2119680</v>
      </c>
      <c r="H92" s="233">
        <v>2119680</v>
      </c>
      <c r="I92" s="233">
        <v>2119680</v>
      </c>
      <c r="J92" s="233">
        <v>2119680</v>
      </c>
      <c r="K92" s="233">
        <v>2119680</v>
      </c>
      <c r="L92" s="233">
        <v>2119680</v>
      </c>
      <c r="M92" s="233">
        <v>2119680</v>
      </c>
      <c r="N92" s="233">
        <v>2119680</v>
      </c>
      <c r="O92" s="233">
        <v>2119680</v>
      </c>
      <c r="P92" s="33"/>
      <c r="Q92" s="33"/>
    </row>
    <row r="93" spans="1:17" ht="14.25">
      <c r="A93" s="190">
        <f t="shared" si="2"/>
        <v>92</v>
      </c>
      <c r="B93" s="197" cm="1">
        <f t="array" ref="B93">INDEX(C$1:O$1, MATCH(TRUE, INDEX(($C93:$O93 &lt;&gt; 0), 0),0))</f>
        <v>43830</v>
      </c>
      <c r="C93" s="233">
        <v>2580480</v>
      </c>
      <c r="D93" s="233">
        <v>2580480</v>
      </c>
      <c r="E93" s="233">
        <v>2374040</v>
      </c>
      <c r="F93" s="233">
        <v>2184120</v>
      </c>
      <c r="G93" s="233">
        <v>2184120</v>
      </c>
      <c r="H93" s="233">
        <v>2184120</v>
      </c>
      <c r="I93" s="233">
        <v>2184120</v>
      </c>
      <c r="J93" s="233">
        <v>2184120</v>
      </c>
      <c r="K93" s="233">
        <v>2184120</v>
      </c>
      <c r="L93" s="233">
        <v>2009392</v>
      </c>
      <c r="M93" s="233">
        <v>2009392</v>
      </c>
      <c r="N93" s="233">
        <v>2250512</v>
      </c>
      <c r="O93" s="233">
        <v>2250512</v>
      </c>
      <c r="P93" s="33"/>
      <c r="Q93" s="33"/>
    </row>
    <row r="94" spans="1:17" ht="14.25">
      <c r="A94" s="190">
        <f t="shared" si="2"/>
        <v>93</v>
      </c>
      <c r="B94" s="197" cm="1">
        <f t="array" ref="B94">INDEX(C$1:O$1, MATCH(TRUE, INDEX(($C94:$O94 &lt;&gt; 0), 0),0))</f>
        <v>43921</v>
      </c>
      <c r="C94" s="233">
        <v>0</v>
      </c>
      <c r="D94" s="233">
        <v>2304000</v>
      </c>
      <c r="E94" s="233">
        <v>2304000</v>
      </c>
      <c r="F94" s="233">
        <v>2304000</v>
      </c>
      <c r="G94" s="233">
        <v>2119680</v>
      </c>
      <c r="H94" s="233">
        <v>2119680</v>
      </c>
      <c r="I94" s="233">
        <v>2374040</v>
      </c>
      <c r="J94" s="233">
        <v>2658928</v>
      </c>
      <c r="K94" s="233">
        <v>2658928</v>
      </c>
      <c r="L94" s="233">
        <v>2978000</v>
      </c>
      <c r="M94" s="233">
        <v>2978000</v>
      </c>
      <c r="N94" s="233">
        <v>2739760</v>
      </c>
      <c r="O94" s="233">
        <v>2739760</v>
      </c>
      <c r="P94" s="33"/>
      <c r="Q94" s="33"/>
    </row>
    <row r="95" spans="1:17" ht="14.25">
      <c r="A95" s="190">
        <f t="shared" si="2"/>
        <v>94</v>
      </c>
      <c r="B95" s="197" cm="1">
        <f t="array" ref="B95">INDEX(C$1:O$1, MATCH(TRUE, INDEX(($C95:$O95 &lt;&gt; 0), 0),0))</f>
        <v>43830</v>
      </c>
      <c r="C95" s="233">
        <v>3456000</v>
      </c>
      <c r="D95" s="233">
        <v>3456000</v>
      </c>
      <c r="E95" s="233">
        <v>3456000</v>
      </c>
      <c r="F95" s="233">
        <v>3456000</v>
      </c>
      <c r="G95" s="233">
        <v>3179520</v>
      </c>
      <c r="H95" s="233">
        <v>3179520</v>
      </c>
      <c r="I95" s="233">
        <v>2925160</v>
      </c>
      <c r="J95" s="233">
        <v>2925160</v>
      </c>
      <c r="K95" s="233">
        <v>2925160</v>
      </c>
      <c r="L95" s="233">
        <v>2925160</v>
      </c>
      <c r="M95" s="233">
        <v>2925160</v>
      </c>
      <c r="N95" s="233">
        <v>2925160</v>
      </c>
      <c r="O95" s="233">
        <v>2925160</v>
      </c>
      <c r="P95" s="33"/>
      <c r="Q95" s="33"/>
    </row>
    <row r="96" spans="1:17" ht="14.25">
      <c r="A96" s="190">
        <f t="shared" si="2"/>
        <v>95</v>
      </c>
      <c r="B96" s="197" cm="1">
        <f t="array" ref="B96">INDEX(C$1:O$1, MATCH(TRUE, INDEX(($C96:$O96 &lt;&gt; 0), 0),0))</f>
        <v>43830</v>
      </c>
      <c r="C96" s="233">
        <v>2580480</v>
      </c>
      <c r="D96" s="233">
        <v>2580480</v>
      </c>
      <c r="E96" s="233">
        <v>2890136</v>
      </c>
      <c r="F96" s="233">
        <v>2890136</v>
      </c>
      <c r="G96" s="233">
        <v>2890136</v>
      </c>
      <c r="H96" s="233">
        <v>2890136</v>
      </c>
      <c r="I96" s="233">
        <v>2890136</v>
      </c>
      <c r="J96" s="233">
        <v>2890136</v>
      </c>
      <c r="K96" s="233">
        <v>3236952</v>
      </c>
      <c r="L96" s="233">
        <v>3236952</v>
      </c>
      <c r="M96" s="233">
        <v>3236952</v>
      </c>
      <c r="N96" s="233">
        <v>3236952</v>
      </c>
      <c r="O96" s="233">
        <v>2978000</v>
      </c>
      <c r="P96" s="33"/>
      <c r="Q96" s="33"/>
    </row>
    <row r="97" spans="1:17" ht="14.25">
      <c r="A97" s="190">
        <f t="shared" si="2"/>
        <v>96</v>
      </c>
      <c r="B97" s="197" cm="1">
        <f t="array" ref="B97">INDEX(C$1:O$1, MATCH(TRUE, INDEX(($C97:$O97 &lt;&gt; 0), 0),0))</f>
        <v>43830</v>
      </c>
      <c r="C97" s="233">
        <v>3870720</v>
      </c>
      <c r="D97" s="233">
        <v>3870720</v>
      </c>
      <c r="E97" s="233">
        <v>4335208</v>
      </c>
      <c r="F97" s="233">
        <v>4335208</v>
      </c>
      <c r="G97" s="233">
        <v>4335208</v>
      </c>
      <c r="H97" s="233">
        <v>4335208</v>
      </c>
      <c r="I97" s="233">
        <v>4335208</v>
      </c>
      <c r="J97" s="233">
        <v>4335208</v>
      </c>
      <c r="K97" s="233">
        <v>4335208</v>
      </c>
      <c r="L97" s="233">
        <v>4335208</v>
      </c>
      <c r="M97" s="233">
        <v>4335208</v>
      </c>
      <c r="N97" s="233">
        <v>4335208</v>
      </c>
      <c r="O97" s="233">
        <v>4335208</v>
      </c>
      <c r="P97" s="33"/>
      <c r="Q97" s="33"/>
    </row>
    <row r="98" spans="1:17" ht="14.25">
      <c r="A98" s="190">
        <f t="shared" si="2"/>
        <v>97</v>
      </c>
      <c r="B98" s="197" cm="1">
        <f t="array" ref="B98">INDEX(C$1:O$1, MATCH(TRUE, INDEX(($C98:$O98 &lt;&gt; 0), 0),0))</f>
        <v>43830</v>
      </c>
      <c r="C98" s="233">
        <v>1152000</v>
      </c>
      <c r="D98" s="233">
        <v>1152000</v>
      </c>
      <c r="E98" s="233">
        <v>1152000</v>
      </c>
      <c r="F98" s="233">
        <v>1290240</v>
      </c>
      <c r="G98" s="233">
        <v>1445072</v>
      </c>
      <c r="H98" s="233">
        <v>1329464</v>
      </c>
      <c r="I98" s="233">
        <v>1329464</v>
      </c>
      <c r="J98" s="233">
        <v>1667680</v>
      </c>
      <c r="K98" s="233">
        <v>1867800</v>
      </c>
      <c r="L98" s="233">
        <v>1718376</v>
      </c>
      <c r="M98" s="233">
        <v>1718376</v>
      </c>
      <c r="N98" s="233">
        <v>1924584</v>
      </c>
      <c r="O98" s="233">
        <v>1924584</v>
      </c>
      <c r="P98" s="33"/>
      <c r="Q98" s="33"/>
    </row>
    <row r="99" spans="1:17" ht="14.25">
      <c r="A99" s="190">
        <f t="shared" si="2"/>
        <v>98</v>
      </c>
      <c r="B99" s="197" cm="1">
        <f t="array" ref="B99">INDEX(C$1:O$1, MATCH(TRUE, INDEX(($C99:$O99 &lt;&gt; 0), 0),0))</f>
        <v>43830</v>
      </c>
      <c r="C99" s="233">
        <v>2304000</v>
      </c>
      <c r="D99" s="233">
        <v>2304000</v>
      </c>
      <c r="E99" s="233">
        <v>2304000</v>
      </c>
      <c r="F99" s="233">
        <v>2119680</v>
      </c>
      <c r="G99" s="233">
        <v>2119680</v>
      </c>
      <c r="H99" s="233">
        <v>2374040</v>
      </c>
      <c r="I99" s="233">
        <v>2374040</v>
      </c>
      <c r="J99" s="233">
        <v>2184120</v>
      </c>
      <c r="K99" s="233">
        <v>2184120</v>
      </c>
      <c r="L99" s="233">
        <v>2184120</v>
      </c>
      <c r="M99" s="233">
        <v>2184120</v>
      </c>
      <c r="N99" s="233">
        <v>2184120</v>
      </c>
      <c r="O99" s="233">
        <v>2446216</v>
      </c>
      <c r="P99" s="33"/>
      <c r="Q99" s="33"/>
    </row>
    <row r="100" spans="1:17" ht="14.25">
      <c r="A100" s="190">
        <f t="shared" si="2"/>
        <v>99</v>
      </c>
      <c r="B100" s="197" cm="1">
        <f t="array" ref="B100">INDEX(C$1:O$1, MATCH(TRUE, INDEX(($C100:$O100 &lt;&gt; 0), 0),0))</f>
        <v>43830</v>
      </c>
      <c r="C100" s="233">
        <v>2374040</v>
      </c>
      <c r="D100" s="233">
        <v>2658928</v>
      </c>
      <c r="E100" s="233">
        <v>2446216</v>
      </c>
      <c r="F100" s="233">
        <v>2446216</v>
      </c>
      <c r="G100" s="233">
        <v>2446216</v>
      </c>
      <c r="H100" s="233">
        <v>0</v>
      </c>
      <c r="I100" s="233">
        <v>0</v>
      </c>
      <c r="J100" s="233">
        <v>0</v>
      </c>
      <c r="K100" s="233">
        <v>0</v>
      </c>
      <c r="L100" s="233">
        <v>0</v>
      </c>
      <c r="M100" s="233">
        <v>0</v>
      </c>
      <c r="N100" s="233">
        <v>0</v>
      </c>
      <c r="O100" s="233">
        <v>0</v>
      </c>
      <c r="P100" s="33"/>
      <c r="Q100" s="33"/>
    </row>
    <row r="101" spans="1:17">
      <c r="A101" s="190">
        <f t="shared" si="2"/>
        <v>100</v>
      </c>
      <c r="B101" s="197" cm="1">
        <f t="array" ref="B101">INDEX(C$1:O$1, MATCH(TRUE, INDEX(($C101:$O101 &lt;&gt; 0), 0),0))</f>
        <v>43830</v>
      </c>
      <c r="C101" s="233">
        <v>2304000</v>
      </c>
      <c r="D101" s="233">
        <v>2304000</v>
      </c>
      <c r="E101" s="233">
        <v>1950104</v>
      </c>
      <c r="F101" s="233">
        <v>1950104</v>
      </c>
      <c r="G101" s="233">
        <v>1794096</v>
      </c>
      <c r="H101" s="233">
        <v>1794096</v>
      </c>
      <c r="I101" s="233">
        <v>1794096</v>
      </c>
      <c r="J101" s="233">
        <v>1794096</v>
      </c>
      <c r="K101" s="233">
        <v>1794096</v>
      </c>
      <c r="L101" s="233">
        <v>1794096</v>
      </c>
      <c r="M101" s="233">
        <v>1794096</v>
      </c>
      <c r="N101" s="233">
        <v>1794096</v>
      </c>
      <c r="O101" s="233">
        <v>2009392</v>
      </c>
    </row>
    <row r="102" spans="1:17">
      <c r="A102" s="190">
        <f t="shared" si="2"/>
        <v>101</v>
      </c>
      <c r="B102" s="197" cm="1">
        <f t="array" ref="B102">INDEX(C$1:O$1, MATCH(TRUE, INDEX(($C102:$O102 &lt;&gt; 0), 0),0))</f>
        <v>43830</v>
      </c>
      <c r="C102" s="233">
        <v>1187024</v>
      </c>
      <c r="D102" s="233">
        <v>1187024</v>
      </c>
      <c r="E102" s="233">
        <v>1092056</v>
      </c>
      <c r="F102" s="233">
        <v>1223104</v>
      </c>
      <c r="G102" s="233">
        <v>1369880</v>
      </c>
      <c r="H102" s="233">
        <v>1534264</v>
      </c>
      <c r="I102" s="233">
        <v>1411520</v>
      </c>
      <c r="J102" s="233">
        <v>1411520</v>
      </c>
      <c r="K102" s="233">
        <v>1411520</v>
      </c>
      <c r="L102" s="233">
        <v>1411520</v>
      </c>
      <c r="M102" s="233">
        <v>1411520</v>
      </c>
      <c r="N102" s="233">
        <v>1411520</v>
      </c>
      <c r="O102" s="233">
        <v>1298600</v>
      </c>
    </row>
    <row r="103" spans="1:17">
      <c r="A103" s="190">
        <f t="shared" si="2"/>
        <v>102</v>
      </c>
      <c r="B103" s="197" cm="1">
        <f t="array" ref="B103">INDEX(C$1:O$1, MATCH(TRUE, INDEX(($C103:$O103 &lt;&gt; 0), 0),0))</f>
        <v>43830</v>
      </c>
      <c r="C103" s="233">
        <v>1950104</v>
      </c>
      <c r="D103" s="233">
        <v>2184120</v>
      </c>
      <c r="E103" s="233">
        <v>2184120</v>
      </c>
      <c r="F103" s="233">
        <v>2184120</v>
      </c>
      <c r="G103" s="233">
        <v>2184120</v>
      </c>
      <c r="H103" s="233">
        <v>2009392</v>
      </c>
      <c r="I103" s="233">
        <v>2009392</v>
      </c>
      <c r="J103" s="233">
        <v>2009392</v>
      </c>
      <c r="K103" s="233">
        <v>1848640</v>
      </c>
      <c r="L103" s="233">
        <v>1848640</v>
      </c>
      <c r="M103" s="233">
        <v>1848640</v>
      </c>
      <c r="N103" s="233">
        <v>0</v>
      </c>
      <c r="O103" s="233">
        <v>0</v>
      </c>
    </row>
    <row r="104" spans="1:17">
      <c r="A104" s="190">
        <f t="shared" si="2"/>
        <v>103</v>
      </c>
      <c r="B104" s="197" cm="1">
        <f t="array" ref="B104">INDEX(C$1:O$1, MATCH(TRUE, INDEX(($C104:$O104 &lt;&gt; 0), 0),0))</f>
        <v>43830</v>
      </c>
      <c r="C104" s="233">
        <v>1618480</v>
      </c>
      <c r="D104" s="233">
        <v>1618480</v>
      </c>
      <c r="E104" s="233">
        <v>1489000</v>
      </c>
      <c r="F104" s="233">
        <v>1489000</v>
      </c>
      <c r="G104" s="233">
        <v>1489000</v>
      </c>
      <c r="H104" s="233">
        <v>1667680</v>
      </c>
      <c r="I104" s="233">
        <v>1667680</v>
      </c>
      <c r="J104" s="233">
        <v>1667680</v>
      </c>
      <c r="K104" s="233">
        <v>1667680</v>
      </c>
      <c r="L104" s="233">
        <v>1867800</v>
      </c>
      <c r="M104" s="233">
        <v>2091936</v>
      </c>
      <c r="N104" s="233">
        <v>2091936</v>
      </c>
      <c r="O104" s="233">
        <v>2091936</v>
      </c>
    </row>
    <row r="105" spans="1:17">
      <c r="A105" s="190">
        <f t="shared" si="2"/>
        <v>104</v>
      </c>
      <c r="B105" s="197" cm="1">
        <f t="array" ref="B105">INDEX(C$1:O$1, MATCH(TRUE, INDEX(($C105:$O105 &lt;&gt; 0), 0),0))</f>
        <v>43830</v>
      </c>
      <c r="C105" s="233">
        <v>2580480</v>
      </c>
      <c r="D105" s="233">
        <v>2890136</v>
      </c>
      <c r="E105" s="233">
        <v>2890136</v>
      </c>
      <c r="F105" s="233">
        <v>3236952</v>
      </c>
      <c r="G105" s="233">
        <v>2978000</v>
      </c>
      <c r="H105" s="233">
        <v>2978000</v>
      </c>
      <c r="I105" s="233">
        <v>3335360</v>
      </c>
      <c r="J105" s="233">
        <v>0</v>
      </c>
      <c r="K105" s="233">
        <v>0</v>
      </c>
      <c r="L105" s="233">
        <v>0</v>
      </c>
      <c r="M105" s="233">
        <v>0</v>
      </c>
      <c r="N105" s="233">
        <v>0</v>
      </c>
      <c r="O105" s="233">
        <v>0</v>
      </c>
    </row>
    <row r="106" spans="1:17">
      <c r="A106" s="190">
        <f t="shared" si="2"/>
        <v>105</v>
      </c>
      <c r="B106" s="197" cm="1">
        <f t="array" ref="B106">INDEX(C$1:O$1, MATCH(TRUE, INDEX(($C106:$O106 &lt;&gt; 0), 0),0))</f>
        <v>43830</v>
      </c>
      <c r="C106" s="233">
        <v>1329464</v>
      </c>
      <c r="D106" s="233">
        <v>1329464</v>
      </c>
      <c r="E106" s="233">
        <v>1329464</v>
      </c>
      <c r="F106" s="233">
        <v>1329464</v>
      </c>
      <c r="G106" s="233">
        <v>1329464</v>
      </c>
      <c r="H106" s="233">
        <v>1489000</v>
      </c>
      <c r="I106" s="233">
        <v>1489000</v>
      </c>
      <c r="J106" s="233">
        <v>1369880</v>
      </c>
      <c r="K106" s="233">
        <v>1411520</v>
      </c>
      <c r="L106" s="233">
        <v>1411520</v>
      </c>
      <c r="M106" s="233">
        <v>1580904</v>
      </c>
      <c r="N106" s="233">
        <v>1580904</v>
      </c>
      <c r="O106" s="233">
        <v>1770616</v>
      </c>
    </row>
    <row r="107" spans="1:17">
      <c r="A107" s="190">
        <f t="shared" si="2"/>
        <v>106</v>
      </c>
      <c r="B107" s="197" cm="1">
        <f t="array" ref="B107">INDEX(C$1:O$1, MATCH(TRUE, INDEX(($C107:$O107 &lt;&gt; 0), 0),0))</f>
        <v>43830</v>
      </c>
      <c r="C107" s="233">
        <v>1152000</v>
      </c>
      <c r="D107" s="233">
        <v>1152000</v>
      </c>
      <c r="E107" s="233">
        <v>1152000</v>
      </c>
      <c r="F107" s="233">
        <v>1152000</v>
      </c>
      <c r="G107" s="233">
        <v>1152000</v>
      </c>
      <c r="H107" s="233">
        <v>1152000</v>
      </c>
      <c r="I107" s="233">
        <v>1152000</v>
      </c>
      <c r="J107" s="233">
        <v>1152000</v>
      </c>
      <c r="K107" s="233">
        <v>1059840</v>
      </c>
      <c r="L107" s="233">
        <v>1059840</v>
      </c>
      <c r="M107" s="233">
        <v>1059840</v>
      </c>
      <c r="N107" s="233">
        <v>1187024</v>
      </c>
      <c r="O107" s="233">
        <v>1187024</v>
      </c>
    </row>
    <row r="108" spans="1:17">
      <c r="A108" s="190">
        <f t="shared" si="2"/>
        <v>107</v>
      </c>
      <c r="B108" s="197" cm="1">
        <f t="array" ref="B108">INDEX(C$1:O$1, MATCH(TRUE, INDEX(($C108:$O108 &lt;&gt; 0), 0),0))</f>
        <v>43830</v>
      </c>
      <c r="C108" s="233">
        <v>1059840</v>
      </c>
      <c r="D108" s="233">
        <v>1059840</v>
      </c>
      <c r="E108" s="233">
        <v>1059840</v>
      </c>
      <c r="F108" s="233">
        <v>975056</v>
      </c>
      <c r="G108" s="233">
        <v>1092056</v>
      </c>
      <c r="H108" s="233">
        <v>0</v>
      </c>
      <c r="I108" s="233">
        <v>0</v>
      </c>
      <c r="J108" s="233">
        <v>0</v>
      </c>
      <c r="K108" s="233">
        <v>0</v>
      </c>
      <c r="L108" s="233">
        <v>0</v>
      </c>
      <c r="M108" s="233">
        <v>0</v>
      </c>
      <c r="N108" s="233">
        <v>0</v>
      </c>
      <c r="O108" s="233">
        <v>0</v>
      </c>
    </row>
    <row r="109" spans="1:17">
      <c r="A109" s="190">
        <f t="shared" si="2"/>
        <v>108</v>
      </c>
      <c r="B109" s="197" cm="1">
        <f t="array" ref="B109">INDEX(C$1:O$1, MATCH(TRUE, INDEX(($C109:$O109 &lt;&gt; 0), 0),0))</f>
        <v>43830</v>
      </c>
      <c r="C109" s="233">
        <v>3561064</v>
      </c>
      <c r="D109" s="233">
        <v>3276176</v>
      </c>
      <c r="E109" s="233">
        <v>3669320</v>
      </c>
      <c r="F109" s="233">
        <v>3669320</v>
      </c>
      <c r="G109" s="233">
        <v>3780864</v>
      </c>
      <c r="H109" s="233">
        <v>3780864</v>
      </c>
      <c r="I109" s="233">
        <v>4234568</v>
      </c>
      <c r="J109" s="233">
        <v>4234568</v>
      </c>
      <c r="K109" s="233">
        <v>4234568</v>
      </c>
      <c r="L109" s="233">
        <v>4234568</v>
      </c>
      <c r="M109" s="233">
        <v>4234568</v>
      </c>
      <c r="N109" s="233">
        <v>4234568</v>
      </c>
      <c r="O109" s="233">
        <v>4234568</v>
      </c>
    </row>
    <row r="110" spans="1:17">
      <c r="A110" s="190">
        <f t="shared" si="2"/>
        <v>109</v>
      </c>
      <c r="B110" s="197" cm="1">
        <f t="array" ref="B110">INDEX(C$1:O$1, MATCH(TRUE, INDEX(($C110:$O110 &lt;&gt; 0), 0),0))</f>
        <v>43830</v>
      </c>
      <c r="C110" s="233">
        <v>3625392</v>
      </c>
      <c r="D110" s="233">
        <v>3625392</v>
      </c>
      <c r="E110" s="233">
        <v>3625392</v>
      </c>
      <c r="F110" s="233">
        <v>0</v>
      </c>
      <c r="G110" s="233">
        <v>0</v>
      </c>
      <c r="H110" s="233">
        <v>0</v>
      </c>
      <c r="I110" s="233">
        <v>0</v>
      </c>
      <c r="J110" s="233">
        <v>0</v>
      </c>
      <c r="K110" s="233">
        <v>0</v>
      </c>
      <c r="L110" s="233">
        <v>0</v>
      </c>
      <c r="M110" s="233">
        <v>0</v>
      </c>
      <c r="N110" s="233">
        <v>0</v>
      </c>
      <c r="O110" s="233">
        <v>0</v>
      </c>
    </row>
    <row r="111" spans="1:17">
      <c r="A111" s="190">
        <f t="shared" si="2"/>
        <v>110</v>
      </c>
      <c r="B111" s="197" cm="1">
        <f t="array" ref="B111">INDEX(C$1:O$1, MATCH(TRUE, INDEX(($C111:$O111 &lt;&gt; 0), 0),0))</f>
        <v>43830</v>
      </c>
      <c r="C111" s="233">
        <v>2890136</v>
      </c>
      <c r="D111" s="233">
        <v>3236952</v>
      </c>
      <c r="E111" s="233">
        <v>3236952</v>
      </c>
      <c r="F111" s="233">
        <v>3236952</v>
      </c>
      <c r="G111" s="233">
        <v>3236952</v>
      </c>
      <c r="H111" s="233">
        <v>2978000</v>
      </c>
      <c r="I111" s="233">
        <v>2978000</v>
      </c>
      <c r="J111" s="233">
        <v>2978000</v>
      </c>
      <c r="K111" s="233">
        <v>2978000</v>
      </c>
      <c r="L111" s="233">
        <v>2978000</v>
      </c>
      <c r="M111" s="233">
        <v>2978000</v>
      </c>
      <c r="N111" s="233">
        <v>0</v>
      </c>
      <c r="O111" s="233">
        <v>0</v>
      </c>
    </row>
    <row r="112" spans="1:17">
      <c r="A112" s="190">
        <f t="shared" si="2"/>
        <v>111</v>
      </c>
      <c r="B112" s="197" cm="1">
        <f t="array" ref="B112">INDEX(C$1:O$1, MATCH(TRUE, INDEX(($C112:$O112 &lt;&gt; 0), 0),0))</f>
        <v>43830</v>
      </c>
      <c r="C112" s="233">
        <v>2304000</v>
      </c>
      <c r="D112" s="233">
        <v>2304000</v>
      </c>
      <c r="E112" s="233">
        <v>2304000</v>
      </c>
      <c r="F112" s="233">
        <v>2304000</v>
      </c>
      <c r="G112" s="233">
        <v>1950104</v>
      </c>
      <c r="H112" s="233">
        <v>1950104</v>
      </c>
      <c r="I112" s="233">
        <v>1950104</v>
      </c>
      <c r="J112" s="233">
        <v>1794096</v>
      </c>
      <c r="K112" s="233">
        <v>2009392</v>
      </c>
      <c r="L112" s="233">
        <v>2009392</v>
      </c>
      <c r="M112" s="233">
        <v>1848640</v>
      </c>
      <c r="N112" s="233">
        <v>2070472</v>
      </c>
      <c r="O112" s="233">
        <v>0</v>
      </c>
    </row>
    <row r="113" spans="1:15">
      <c r="A113" s="190">
        <f t="shared" si="2"/>
        <v>112</v>
      </c>
      <c r="B113" s="197" cm="1">
        <f t="array" ref="B113">INDEX(C$1:O$1, MATCH(TRUE, INDEX(($C113:$O113 &lt;&gt; 0), 0),0))</f>
        <v>43830</v>
      </c>
      <c r="C113" s="233">
        <v>2304000</v>
      </c>
      <c r="D113" s="233">
        <v>2119680</v>
      </c>
      <c r="E113" s="233">
        <v>0</v>
      </c>
      <c r="F113" s="233">
        <v>0</v>
      </c>
      <c r="G113" s="233">
        <v>0</v>
      </c>
      <c r="H113" s="233">
        <v>0</v>
      </c>
      <c r="I113" s="233">
        <v>0</v>
      </c>
      <c r="J113" s="233">
        <v>0</v>
      </c>
      <c r="K113" s="233">
        <v>0</v>
      </c>
      <c r="L113" s="233">
        <v>0</v>
      </c>
      <c r="M113" s="233">
        <v>0</v>
      </c>
      <c r="N113" s="233">
        <v>0</v>
      </c>
      <c r="O113" s="233">
        <v>0</v>
      </c>
    </row>
    <row r="114" spans="1:15">
      <c r="A114" s="190">
        <f t="shared" si="2"/>
        <v>113</v>
      </c>
      <c r="B114" s="197" cm="1">
        <f t="array" ref="B114">INDEX(C$1:O$1, MATCH(TRUE, INDEX(($C114:$O114 &lt;&gt; 0), 0),0))</f>
        <v>43830</v>
      </c>
      <c r="C114" s="233">
        <v>3375776</v>
      </c>
      <c r="D114" s="233">
        <v>3105712</v>
      </c>
      <c r="E114" s="233">
        <v>3105712</v>
      </c>
      <c r="F114" s="233">
        <v>3105712</v>
      </c>
      <c r="G114" s="233">
        <v>3105712</v>
      </c>
      <c r="H114" s="233">
        <v>3105712</v>
      </c>
      <c r="I114" s="233">
        <v>3105712</v>
      </c>
      <c r="J114" s="233">
        <v>3105712</v>
      </c>
      <c r="K114" s="233">
        <v>3105712</v>
      </c>
      <c r="L114" s="233">
        <v>3105712</v>
      </c>
      <c r="M114" s="233">
        <v>3105712</v>
      </c>
      <c r="N114" s="233">
        <v>3105712</v>
      </c>
      <c r="O114" s="233">
        <v>3478400</v>
      </c>
    </row>
    <row r="115" spans="1:15">
      <c r="A115" s="190">
        <f t="shared" si="2"/>
        <v>114</v>
      </c>
      <c r="B115" s="197" cm="1">
        <f t="array" ref="B115">INDEX(C$1:O$1, MATCH(TRUE, INDEX(($C115:$O115 &lt;&gt; 0), 0),0))</f>
        <v>43830</v>
      </c>
      <c r="C115" s="233">
        <v>2184120</v>
      </c>
      <c r="D115" s="233">
        <v>2184120</v>
      </c>
      <c r="E115" s="233">
        <v>0</v>
      </c>
      <c r="F115" s="233">
        <v>0</v>
      </c>
      <c r="G115" s="233">
        <v>0</v>
      </c>
      <c r="H115" s="233">
        <v>0</v>
      </c>
      <c r="I115" s="233">
        <v>0</v>
      </c>
      <c r="J115" s="233">
        <v>0</v>
      </c>
      <c r="K115" s="233">
        <v>0</v>
      </c>
      <c r="L115" s="233">
        <v>0</v>
      </c>
      <c r="M115" s="233">
        <v>0</v>
      </c>
      <c r="N115" s="233">
        <v>0</v>
      </c>
      <c r="O115" s="233">
        <v>0</v>
      </c>
    </row>
    <row r="116" spans="1:15">
      <c r="A116" s="190">
        <f t="shared" si="2"/>
        <v>115</v>
      </c>
      <c r="B116" s="197" cm="1">
        <f t="array" ref="B116">INDEX(C$1:O$1, MATCH(TRUE, INDEX(($C116:$O116 &lt;&gt; 0), 0),0))</f>
        <v>43830</v>
      </c>
      <c r="C116" s="233">
        <v>3669320</v>
      </c>
      <c r="D116" s="233">
        <v>3669320</v>
      </c>
      <c r="E116" s="233">
        <v>4109640</v>
      </c>
      <c r="F116" s="233">
        <v>3780864</v>
      </c>
      <c r="G116" s="233">
        <v>3780864</v>
      </c>
      <c r="H116" s="233">
        <v>3780864</v>
      </c>
      <c r="I116" s="233">
        <v>3478400</v>
      </c>
      <c r="J116" s="233">
        <v>3478400</v>
      </c>
      <c r="K116" s="233">
        <v>3478400</v>
      </c>
      <c r="L116" s="233">
        <v>3478400</v>
      </c>
      <c r="M116" s="233">
        <v>3584136</v>
      </c>
      <c r="N116" s="233">
        <v>3584136</v>
      </c>
      <c r="O116" s="233">
        <v>3584136</v>
      </c>
    </row>
    <row r="117" spans="1:15">
      <c r="A117" s="190">
        <f t="shared" si="2"/>
        <v>116</v>
      </c>
      <c r="B117" s="197" cm="1">
        <f t="array" ref="B117">INDEX(C$1:O$1, MATCH(TRUE, INDEX(($C117:$O117 &lt;&gt; 0), 0),0))</f>
        <v>43830</v>
      </c>
      <c r="C117" s="233">
        <v>3179520</v>
      </c>
      <c r="D117" s="233">
        <v>3561064</v>
      </c>
      <c r="E117" s="233">
        <v>3561064</v>
      </c>
      <c r="F117" s="233">
        <v>3561064</v>
      </c>
      <c r="G117" s="233">
        <v>3561064</v>
      </c>
      <c r="H117" s="233">
        <v>3276176</v>
      </c>
      <c r="I117" s="233">
        <v>3276176</v>
      </c>
      <c r="J117" s="233">
        <v>3276176</v>
      </c>
      <c r="K117" s="233">
        <v>3669320</v>
      </c>
      <c r="L117" s="233">
        <v>3375776</v>
      </c>
      <c r="M117" s="233">
        <v>3375776</v>
      </c>
      <c r="N117" s="233">
        <v>3375776</v>
      </c>
      <c r="O117" s="233">
        <v>4234568</v>
      </c>
    </row>
    <row r="118" spans="1:15">
      <c r="A118" s="190">
        <f t="shared" si="2"/>
        <v>117</v>
      </c>
      <c r="B118" s="197" cm="1">
        <f t="array" ref="B118">INDEX(C$1:O$1, MATCH(TRUE, INDEX(($C118:$O118 &lt;&gt; 0), 0),0))</f>
        <v>43830</v>
      </c>
      <c r="C118" s="233">
        <v>3456000</v>
      </c>
      <c r="D118" s="233">
        <v>3456000</v>
      </c>
      <c r="E118" s="233">
        <v>3456000</v>
      </c>
      <c r="F118" s="233">
        <v>3456000</v>
      </c>
      <c r="G118" s="233">
        <v>3456000</v>
      </c>
      <c r="H118" s="233">
        <v>3456000</v>
      </c>
      <c r="I118" s="233">
        <v>3456000</v>
      </c>
      <c r="J118" s="233">
        <v>3456000</v>
      </c>
      <c r="K118" s="233">
        <v>3561064</v>
      </c>
      <c r="L118" s="233">
        <v>3276176</v>
      </c>
      <c r="M118" s="233">
        <v>3276176</v>
      </c>
      <c r="N118" s="233">
        <v>3276176</v>
      </c>
      <c r="O118" s="233">
        <v>3276176</v>
      </c>
    </row>
    <row r="119" spans="1:15">
      <c r="A119" s="190">
        <f t="shared" si="2"/>
        <v>118</v>
      </c>
      <c r="B119" s="197" cm="1">
        <f t="array" ref="B119">INDEX(C$1:O$1, MATCH(TRUE, INDEX(($C119:$O119 &lt;&gt; 0), 0),0))</f>
        <v>43830</v>
      </c>
      <c r="C119" s="233">
        <v>3870720</v>
      </c>
      <c r="D119" s="233">
        <v>3870720</v>
      </c>
      <c r="E119" s="233">
        <v>3870720</v>
      </c>
      <c r="F119" s="233">
        <v>4855432</v>
      </c>
      <c r="G119" s="233">
        <v>4855432</v>
      </c>
      <c r="H119" s="233">
        <v>4855432</v>
      </c>
      <c r="I119" s="233">
        <v>4855432</v>
      </c>
      <c r="J119" s="233">
        <v>4855432</v>
      </c>
      <c r="K119" s="233">
        <v>4855432</v>
      </c>
      <c r="L119" s="233">
        <v>4855432</v>
      </c>
      <c r="M119" s="233">
        <v>4855432</v>
      </c>
      <c r="N119" s="233">
        <v>4855432</v>
      </c>
      <c r="O119" s="233">
        <v>0</v>
      </c>
    </row>
    <row r="120" spans="1:15">
      <c r="A120" s="190">
        <f t="shared" si="2"/>
        <v>119</v>
      </c>
      <c r="B120" s="197" cm="1">
        <f t="array" ref="B120">INDEX(C$1:O$1, MATCH(TRUE, INDEX(($C120:$O120 &lt;&gt; 0), 0),0))</f>
        <v>43830</v>
      </c>
      <c r="C120" s="233">
        <v>2658928</v>
      </c>
      <c r="D120" s="233">
        <v>2658928</v>
      </c>
      <c r="E120" s="233">
        <v>2658928</v>
      </c>
      <c r="F120" s="233">
        <v>2446216</v>
      </c>
      <c r="G120" s="233">
        <v>2446216</v>
      </c>
      <c r="H120" s="233">
        <v>2446216</v>
      </c>
      <c r="I120" s="233">
        <v>2739760</v>
      </c>
      <c r="J120" s="233">
        <v>3068528</v>
      </c>
      <c r="K120" s="233">
        <v>3068528</v>
      </c>
      <c r="L120" s="233">
        <v>2823048</v>
      </c>
      <c r="M120" s="233">
        <v>2823048</v>
      </c>
      <c r="N120" s="233">
        <v>3161816</v>
      </c>
      <c r="O120" s="233">
        <v>2908864</v>
      </c>
    </row>
    <row r="121" spans="1:15">
      <c r="A121" s="190">
        <f t="shared" si="2"/>
        <v>120</v>
      </c>
      <c r="B121" s="197" cm="1">
        <f t="array" ref="B121">INDEX(C$1:O$1, MATCH(TRUE, INDEX(($C121:$O121 &lt;&gt; 0), 0),0))</f>
        <v>43830</v>
      </c>
      <c r="C121" s="233">
        <v>1152000</v>
      </c>
      <c r="D121" s="233">
        <v>1059840</v>
      </c>
      <c r="E121" s="233">
        <v>1059840</v>
      </c>
      <c r="F121" s="233">
        <v>1059840</v>
      </c>
      <c r="G121" s="233">
        <v>1059840</v>
      </c>
      <c r="H121" s="233">
        <v>1059840</v>
      </c>
      <c r="I121" s="233">
        <v>975056</v>
      </c>
      <c r="J121" s="233">
        <v>975056</v>
      </c>
      <c r="K121" s="233">
        <v>1092056</v>
      </c>
      <c r="L121" s="233">
        <v>1092056</v>
      </c>
      <c r="M121" s="233">
        <v>1092056</v>
      </c>
      <c r="N121" s="233">
        <v>1092056</v>
      </c>
      <c r="O121" s="233">
        <v>1092056</v>
      </c>
    </row>
    <row r="122" spans="1:15">
      <c r="A122" s="190">
        <f t="shared" si="2"/>
        <v>121</v>
      </c>
      <c r="B122" s="197" cm="1">
        <f t="array" ref="B122">INDEX(C$1:O$1, MATCH(TRUE, INDEX(($C122:$O122 &lt;&gt; 0), 0),0))</f>
        <v>43830</v>
      </c>
      <c r="C122" s="233">
        <v>2580480</v>
      </c>
      <c r="D122" s="233">
        <v>2374040</v>
      </c>
      <c r="E122" s="233">
        <v>2658928</v>
      </c>
      <c r="F122" s="233">
        <v>0</v>
      </c>
      <c r="G122" s="233">
        <v>0</v>
      </c>
      <c r="H122" s="233">
        <v>0</v>
      </c>
      <c r="I122" s="233">
        <v>0</v>
      </c>
      <c r="J122" s="233">
        <v>0</v>
      </c>
      <c r="K122" s="233">
        <v>0</v>
      </c>
      <c r="L122" s="233">
        <v>0</v>
      </c>
      <c r="M122" s="233">
        <v>0</v>
      </c>
      <c r="N122" s="233">
        <v>0</v>
      </c>
      <c r="O122" s="233">
        <v>0</v>
      </c>
    </row>
    <row r="123" spans="1:15">
      <c r="A123" s="190">
        <f t="shared" si="2"/>
        <v>122</v>
      </c>
      <c r="B123" s="197" cm="1">
        <f t="array" ref="B123">INDEX(C$1:O$1, MATCH(TRUE, INDEX(($C123:$O123 &lt;&gt; 0), 0),0))</f>
        <v>43921</v>
      </c>
      <c r="C123" s="233">
        <v>0</v>
      </c>
      <c r="D123" s="233">
        <v>2304000</v>
      </c>
      <c r="E123" s="233">
        <v>2304000</v>
      </c>
      <c r="F123" s="233">
        <v>2304000</v>
      </c>
      <c r="G123" s="233">
        <v>2304000</v>
      </c>
      <c r="H123" s="233">
        <v>2304000</v>
      </c>
      <c r="I123" s="233">
        <v>2304000</v>
      </c>
      <c r="J123" s="233">
        <v>2304000</v>
      </c>
      <c r="K123" s="233">
        <v>2304000</v>
      </c>
      <c r="L123" s="233">
        <v>2304000</v>
      </c>
      <c r="M123" s="233">
        <v>2304000</v>
      </c>
      <c r="N123" s="233">
        <v>2119680</v>
      </c>
      <c r="O123" s="233">
        <v>2119680</v>
      </c>
    </row>
    <row r="124" spans="1:15">
      <c r="A124" s="190">
        <f t="shared" si="2"/>
        <v>123</v>
      </c>
      <c r="B124" s="197" cm="1">
        <f t="array" ref="B124">INDEX(C$1:O$1, MATCH(TRUE, INDEX(($C124:$O124 &lt;&gt; 0), 0),0))</f>
        <v>43830</v>
      </c>
      <c r="C124" s="233">
        <v>2890136</v>
      </c>
      <c r="D124" s="233">
        <v>2890136</v>
      </c>
      <c r="E124" s="233">
        <v>2890136</v>
      </c>
      <c r="F124" s="233">
        <v>2890136</v>
      </c>
      <c r="G124" s="233">
        <v>2890136</v>
      </c>
      <c r="H124" s="233">
        <v>2890136</v>
      </c>
      <c r="I124" s="233">
        <v>2890136</v>
      </c>
      <c r="J124" s="233">
        <v>3236952</v>
      </c>
      <c r="K124" s="233">
        <v>3236952</v>
      </c>
      <c r="L124" s="233">
        <v>3236952</v>
      </c>
      <c r="M124" s="233">
        <v>3236952</v>
      </c>
      <c r="N124" s="233">
        <v>2978000</v>
      </c>
      <c r="O124" s="233">
        <v>2978000</v>
      </c>
    </row>
    <row r="125" spans="1:15">
      <c r="A125" s="190">
        <f t="shared" si="2"/>
        <v>124</v>
      </c>
      <c r="B125" s="197" cm="1">
        <f t="array" ref="B125">INDEX(C$1:O$1, MATCH(TRUE, INDEX(($C125:$O125 &lt;&gt; 0), 0),0))</f>
        <v>43830</v>
      </c>
      <c r="C125" s="233">
        <v>1950104</v>
      </c>
      <c r="D125" s="233">
        <v>1950104</v>
      </c>
      <c r="E125" s="233">
        <v>1950104</v>
      </c>
      <c r="F125" s="233">
        <v>1950104</v>
      </c>
      <c r="G125" s="233">
        <v>1794096</v>
      </c>
      <c r="H125" s="233">
        <v>1794096</v>
      </c>
      <c r="I125" s="233">
        <v>1794096</v>
      </c>
      <c r="J125" s="233">
        <v>1650568</v>
      </c>
      <c r="K125" s="233">
        <v>0</v>
      </c>
      <c r="L125" s="233">
        <v>0</v>
      </c>
      <c r="M125" s="233">
        <v>0</v>
      </c>
      <c r="N125" s="233">
        <v>0</v>
      </c>
      <c r="O125" s="233">
        <v>0</v>
      </c>
    </row>
    <row r="126" spans="1:15">
      <c r="A126" s="190">
        <f t="shared" si="2"/>
        <v>125</v>
      </c>
      <c r="B126" s="197" cm="1">
        <f t="array" ref="B126">INDEX(C$1:O$1, MATCH(TRUE, INDEX(($C126:$O126 &lt;&gt; 0), 0),0))</f>
        <v>43830</v>
      </c>
      <c r="C126" s="233">
        <v>2304000</v>
      </c>
      <c r="D126" s="233">
        <v>1950104</v>
      </c>
      <c r="E126" s="233">
        <v>1950104</v>
      </c>
      <c r="F126" s="233">
        <v>1950104</v>
      </c>
      <c r="G126" s="233">
        <v>1794096</v>
      </c>
      <c r="H126" s="233">
        <v>0</v>
      </c>
      <c r="I126" s="233">
        <v>0</v>
      </c>
      <c r="J126" s="233">
        <v>0</v>
      </c>
      <c r="K126" s="233">
        <v>0</v>
      </c>
      <c r="L126" s="233">
        <v>0</v>
      </c>
      <c r="M126" s="233">
        <v>0</v>
      </c>
      <c r="N126" s="233">
        <v>0</v>
      </c>
      <c r="O126" s="233">
        <v>0</v>
      </c>
    </row>
    <row r="127" spans="1:15">
      <c r="A127" s="190">
        <f t="shared" si="2"/>
        <v>126</v>
      </c>
      <c r="B127" s="197" cm="1">
        <f t="array" ref="B127">INDEX(C$1:O$1, MATCH(TRUE, INDEX(($C127:$O127 &lt;&gt; 0), 0),0))</f>
        <v>43830</v>
      </c>
      <c r="C127" s="233">
        <v>2925160</v>
      </c>
      <c r="D127" s="233">
        <v>2925160</v>
      </c>
      <c r="E127" s="233">
        <v>2691144</v>
      </c>
      <c r="F127" s="233">
        <v>2691144</v>
      </c>
      <c r="G127" s="233">
        <v>3014080</v>
      </c>
      <c r="H127" s="233">
        <v>3014080</v>
      </c>
      <c r="I127" s="233">
        <v>0</v>
      </c>
      <c r="J127" s="233">
        <v>0</v>
      </c>
      <c r="K127" s="233">
        <v>0</v>
      </c>
      <c r="L127" s="233">
        <v>0</v>
      </c>
      <c r="M127" s="233">
        <v>0</v>
      </c>
      <c r="N127" s="233">
        <v>0</v>
      </c>
      <c r="O127" s="233">
        <v>0</v>
      </c>
    </row>
    <row r="128" spans="1:15">
      <c r="A128" s="190">
        <f t="shared" si="2"/>
        <v>127</v>
      </c>
      <c r="B128" s="197" cm="1">
        <f t="array" ref="B128">INDEX(C$1:O$1, MATCH(TRUE, INDEX(($C128:$O128 &lt;&gt; 0), 0),0))</f>
        <v>43830</v>
      </c>
      <c r="C128" s="233">
        <v>897048</v>
      </c>
      <c r="D128" s="233">
        <v>825288</v>
      </c>
      <c r="E128" s="233">
        <v>825288</v>
      </c>
      <c r="F128" s="233">
        <v>825288</v>
      </c>
      <c r="G128" s="233">
        <v>0</v>
      </c>
      <c r="H128" s="233">
        <v>0</v>
      </c>
      <c r="I128" s="233">
        <v>0</v>
      </c>
      <c r="J128" s="233">
        <v>0</v>
      </c>
      <c r="K128" s="233">
        <v>0</v>
      </c>
      <c r="L128" s="233">
        <v>0</v>
      </c>
      <c r="M128" s="233">
        <v>0</v>
      </c>
      <c r="N128" s="233">
        <v>0</v>
      </c>
      <c r="O128" s="233">
        <v>0</v>
      </c>
    </row>
    <row r="129" spans="1:15">
      <c r="A129" s="190">
        <f t="shared" si="2"/>
        <v>128</v>
      </c>
      <c r="B129" s="197" cm="1">
        <f t="array" ref="B129">INDEX(C$1:O$1, MATCH(TRUE, INDEX(($C129:$O129 &lt;&gt; 0), 0),0))</f>
        <v>43830</v>
      </c>
      <c r="C129" s="233">
        <v>3988392</v>
      </c>
      <c r="D129" s="233">
        <v>3669320</v>
      </c>
      <c r="E129" s="233">
        <v>3669320</v>
      </c>
      <c r="F129" s="233">
        <v>3375776</v>
      </c>
      <c r="G129" s="233">
        <v>3375776</v>
      </c>
      <c r="H129" s="233">
        <v>3105712</v>
      </c>
      <c r="I129" s="233">
        <v>3478400</v>
      </c>
      <c r="J129" s="233">
        <v>3895808</v>
      </c>
      <c r="K129" s="233">
        <v>3895808</v>
      </c>
      <c r="L129" s="233">
        <v>3895808</v>
      </c>
      <c r="M129" s="233">
        <v>3895808</v>
      </c>
      <c r="N129" s="233">
        <v>3895808</v>
      </c>
      <c r="O129" s="233">
        <v>3895808</v>
      </c>
    </row>
    <row r="130" spans="1:15">
      <c r="A130" s="190">
        <f t="shared" si="2"/>
        <v>129</v>
      </c>
      <c r="B130" s="197" cm="1">
        <f t="array" ref="B130">INDEX(C$1:O$1, MATCH(TRUE, INDEX(($C130:$O130 &lt;&gt; 0), 0),0))</f>
        <v>43830</v>
      </c>
      <c r="C130" s="233">
        <v>3456000</v>
      </c>
      <c r="D130" s="233">
        <v>3456000</v>
      </c>
      <c r="E130" s="233">
        <v>3179520</v>
      </c>
      <c r="F130" s="233">
        <v>3179520</v>
      </c>
      <c r="G130" s="233">
        <v>3179520</v>
      </c>
      <c r="H130" s="233">
        <v>3179520</v>
      </c>
      <c r="I130" s="233">
        <v>3179520</v>
      </c>
      <c r="J130" s="233">
        <v>3179520</v>
      </c>
      <c r="K130" s="233">
        <v>2925160</v>
      </c>
      <c r="L130" s="233">
        <v>2691144</v>
      </c>
      <c r="M130" s="233">
        <v>2691144</v>
      </c>
      <c r="N130" s="233">
        <v>2691144</v>
      </c>
      <c r="O130" s="233">
        <v>2691144</v>
      </c>
    </row>
    <row r="131" spans="1:15">
      <c r="A131" s="190">
        <f t="shared" si="2"/>
        <v>130</v>
      </c>
      <c r="B131" s="197" cm="1">
        <f t="array" ref="B131">INDEX(C$1:O$1, MATCH(TRUE, INDEX(($C131:$O131 &lt;&gt; 0), 0),0))</f>
        <v>43830</v>
      </c>
      <c r="C131" s="233">
        <v>1187024</v>
      </c>
      <c r="D131" s="233">
        <v>1187024</v>
      </c>
      <c r="E131" s="233">
        <v>1489000</v>
      </c>
      <c r="F131" s="233">
        <v>1489000</v>
      </c>
      <c r="G131" s="233">
        <v>1489000</v>
      </c>
      <c r="H131" s="233">
        <v>1667680</v>
      </c>
      <c r="I131" s="233">
        <v>1667680</v>
      </c>
      <c r="J131" s="233">
        <v>1667680</v>
      </c>
      <c r="K131" s="233">
        <v>1667680</v>
      </c>
      <c r="L131" s="233">
        <v>1667680</v>
      </c>
      <c r="M131" s="233">
        <v>1867800</v>
      </c>
      <c r="N131" s="233">
        <v>1867800</v>
      </c>
      <c r="O131" s="233">
        <v>1867800</v>
      </c>
    </row>
    <row r="132" spans="1:15">
      <c r="A132" s="190">
        <f t="shared" si="2"/>
        <v>131</v>
      </c>
      <c r="B132" s="197" cm="1">
        <f t="array" ref="B132">INDEX(C$1:O$1, MATCH(TRUE, INDEX(($C132:$O132 &lt;&gt; 0), 0),0))</f>
        <v>43830</v>
      </c>
      <c r="C132" s="233">
        <v>2119680</v>
      </c>
      <c r="D132" s="233">
        <v>2119680</v>
      </c>
      <c r="E132" s="233">
        <v>2119680</v>
      </c>
      <c r="F132" s="233">
        <v>2119680</v>
      </c>
      <c r="G132" s="233">
        <v>2374040</v>
      </c>
      <c r="H132" s="233">
        <v>2184120</v>
      </c>
      <c r="I132" s="233">
        <v>2184120</v>
      </c>
      <c r="J132" s="233">
        <v>2184120</v>
      </c>
      <c r="K132" s="233">
        <v>2446216</v>
      </c>
      <c r="L132" s="233">
        <v>2446216</v>
      </c>
      <c r="M132" s="233">
        <v>2446216</v>
      </c>
      <c r="N132" s="233">
        <v>2446216</v>
      </c>
      <c r="O132" s="233">
        <v>2446216</v>
      </c>
    </row>
    <row r="133" spans="1:15">
      <c r="A133" s="190">
        <f t="shared" si="2"/>
        <v>132</v>
      </c>
      <c r="B133" s="197" cm="1">
        <f t="array" ref="B133">INDEX(C$1:O$1, MATCH(TRUE, INDEX(($C133:$O133 &lt;&gt; 0), 0),0))</f>
        <v>43830</v>
      </c>
      <c r="C133" s="233">
        <v>2184120</v>
      </c>
      <c r="D133" s="233">
        <v>2184120</v>
      </c>
      <c r="E133" s="233">
        <v>2184120</v>
      </c>
      <c r="F133" s="233">
        <v>2184120</v>
      </c>
      <c r="G133" s="233">
        <v>2184120</v>
      </c>
      <c r="H133" s="233">
        <v>2184120</v>
      </c>
      <c r="I133" s="233">
        <v>2184120</v>
      </c>
      <c r="J133" s="233">
        <v>2184120</v>
      </c>
      <c r="K133" s="233">
        <v>2184120</v>
      </c>
      <c r="L133" s="233">
        <v>2184120</v>
      </c>
      <c r="M133" s="233">
        <v>2184120</v>
      </c>
      <c r="N133" s="233">
        <v>2446216</v>
      </c>
      <c r="O133" s="233">
        <v>2739760</v>
      </c>
    </row>
    <row r="134" spans="1:15">
      <c r="A134" s="190">
        <f t="shared" si="2"/>
        <v>133</v>
      </c>
      <c r="B134" s="197" cm="1">
        <f t="array" ref="B134">INDEX(C$1:O$1, MATCH(TRUE, INDEX(($C134:$O134 &lt;&gt; 0), 0),0))</f>
        <v>43830</v>
      </c>
      <c r="C134" s="233">
        <v>1534264</v>
      </c>
      <c r="D134" s="233">
        <v>1718376</v>
      </c>
      <c r="E134" s="233">
        <v>1718376</v>
      </c>
      <c r="F134" s="233">
        <v>1924584</v>
      </c>
      <c r="G134" s="233">
        <v>1924584</v>
      </c>
      <c r="H134" s="233">
        <v>1924584</v>
      </c>
      <c r="I134" s="233">
        <v>1924584</v>
      </c>
      <c r="J134" s="233">
        <v>1924584</v>
      </c>
      <c r="K134" s="233">
        <v>1924584</v>
      </c>
      <c r="L134" s="233">
        <v>1924584</v>
      </c>
      <c r="M134" s="233">
        <v>1924584</v>
      </c>
      <c r="N134" s="233">
        <v>1824440</v>
      </c>
      <c r="O134" s="233">
        <v>1824440</v>
      </c>
    </row>
    <row r="135" spans="1:15">
      <c r="A135" s="190">
        <f t="shared" ref="A135:A197" si="3">+A134+1</f>
        <v>134</v>
      </c>
      <c r="B135" s="197" cm="1">
        <f t="array" ref="B135">INDEX(C$1:O$1, MATCH(TRUE, INDEX(($C135:$O135 &lt;&gt; 0), 0),0))</f>
        <v>43830</v>
      </c>
      <c r="C135" s="233">
        <v>1004696</v>
      </c>
      <c r="D135" s="233">
        <v>1004696</v>
      </c>
      <c r="E135" s="233">
        <v>1004696</v>
      </c>
      <c r="F135" s="233">
        <v>0</v>
      </c>
      <c r="G135" s="233">
        <v>0</v>
      </c>
      <c r="H135" s="233">
        <v>0</v>
      </c>
      <c r="I135" s="233">
        <v>0</v>
      </c>
      <c r="J135" s="233">
        <v>0</v>
      </c>
      <c r="K135" s="233">
        <v>0</v>
      </c>
      <c r="L135" s="233">
        <v>0</v>
      </c>
      <c r="M135" s="233">
        <v>0</v>
      </c>
      <c r="N135" s="233">
        <v>0</v>
      </c>
      <c r="O135" s="233">
        <v>0</v>
      </c>
    </row>
    <row r="136" spans="1:15">
      <c r="A136" s="190">
        <f t="shared" si="3"/>
        <v>135</v>
      </c>
      <c r="B136" s="197" cm="1">
        <f t="array" ref="B136">INDEX(C$1:O$1, MATCH(TRUE, INDEX(($C136:$O136 &lt;&gt; 0), 0),0))</f>
        <v>43921</v>
      </c>
      <c r="C136" s="233">
        <v>0</v>
      </c>
      <c r="D136" s="233">
        <v>3456000</v>
      </c>
      <c r="E136" s="233">
        <v>3456000</v>
      </c>
      <c r="F136" s="233">
        <v>3870720</v>
      </c>
      <c r="G136" s="233">
        <v>3870720</v>
      </c>
      <c r="H136" s="233">
        <v>3870720</v>
      </c>
      <c r="I136" s="233">
        <v>3870720</v>
      </c>
      <c r="J136" s="233">
        <v>3870720</v>
      </c>
      <c r="K136" s="233">
        <v>3870720</v>
      </c>
      <c r="L136" s="233">
        <v>4335208</v>
      </c>
      <c r="M136" s="233">
        <v>4335208</v>
      </c>
      <c r="N136" s="233">
        <v>4335208</v>
      </c>
      <c r="O136" s="233">
        <v>4335208</v>
      </c>
    </row>
    <row r="137" spans="1:15">
      <c r="A137" s="190">
        <f t="shared" si="3"/>
        <v>136</v>
      </c>
      <c r="B137" s="197" cm="1">
        <f t="array" ref="B137">INDEX(C$1:O$1, MATCH(TRUE, INDEX(($C137:$O137 &lt;&gt; 0), 0),0))</f>
        <v>43830</v>
      </c>
      <c r="C137" s="233">
        <v>3456000</v>
      </c>
      <c r="D137" s="233">
        <v>3179520</v>
      </c>
      <c r="E137" s="233">
        <v>3179520</v>
      </c>
      <c r="F137" s="233">
        <v>2925160</v>
      </c>
      <c r="G137" s="233">
        <v>2925160</v>
      </c>
      <c r="H137" s="233">
        <v>2925160</v>
      </c>
      <c r="I137" s="233">
        <v>2925160</v>
      </c>
      <c r="J137" s="233">
        <v>2925160</v>
      </c>
      <c r="K137" s="233">
        <v>2925160</v>
      </c>
      <c r="L137" s="233">
        <v>3276176</v>
      </c>
      <c r="M137" s="233">
        <v>3276176</v>
      </c>
      <c r="N137" s="233">
        <v>3014080</v>
      </c>
      <c r="O137" s="233">
        <v>3014080</v>
      </c>
    </row>
    <row r="138" spans="1:15">
      <c r="A138" s="190">
        <f t="shared" si="3"/>
        <v>137</v>
      </c>
      <c r="B138" s="197" cm="1">
        <f t="array" ref="B138">INDEX(C$1:O$1, MATCH(TRUE, INDEX(($C138:$O138 &lt;&gt; 0), 0),0))</f>
        <v>43830</v>
      </c>
      <c r="C138" s="233">
        <v>1369880</v>
      </c>
      <c r="D138" s="233">
        <v>1369880</v>
      </c>
      <c r="E138" s="233">
        <v>1369880</v>
      </c>
      <c r="F138" s="233">
        <v>1534264</v>
      </c>
      <c r="G138" s="233">
        <v>1534264</v>
      </c>
      <c r="H138" s="233">
        <v>1718376</v>
      </c>
      <c r="I138" s="233">
        <v>1718376</v>
      </c>
      <c r="J138" s="233">
        <v>1718376</v>
      </c>
      <c r="K138" s="233">
        <v>1718376</v>
      </c>
      <c r="L138" s="233">
        <v>1718376</v>
      </c>
      <c r="M138" s="233">
        <v>1718376</v>
      </c>
      <c r="N138" s="233">
        <v>1718376</v>
      </c>
      <c r="O138" s="233">
        <v>1718376</v>
      </c>
    </row>
    <row r="139" spans="1:15">
      <c r="A139" s="190">
        <f t="shared" si="3"/>
        <v>138</v>
      </c>
      <c r="B139" s="197" cm="1">
        <f t="array" ref="B139">INDEX(C$1:O$1, MATCH(TRUE, INDEX(($C139:$O139 &lt;&gt; 0), 0),0))</f>
        <v>43830</v>
      </c>
      <c r="C139" s="233">
        <v>1369880</v>
      </c>
      <c r="D139" s="233">
        <v>1369880</v>
      </c>
      <c r="E139" s="233">
        <v>0</v>
      </c>
      <c r="F139" s="233">
        <v>0</v>
      </c>
      <c r="G139" s="233">
        <v>0</v>
      </c>
      <c r="H139" s="233">
        <v>0</v>
      </c>
      <c r="I139" s="233">
        <v>0</v>
      </c>
      <c r="J139" s="233">
        <v>0</v>
      </c>
      <c r="K139" s="233">
        <v>0</v>
      </c>
      <c r="L139" s="233">
        <v>0</v>
      </c>
      <c r="M139" s="233">
        <v>0</v>
      </c>
      <c r="N139" s="233">
        <v>0</v>
      </c>
      <c r="O139" s="233">
        <v>0</v>
      </c>
    </row>
    <row r="140" spans="1:15">
      <c r="A140" s="190">
        <f t="shared" si="3"/>
        <v>139</v>
      </c>
      <c r="B140" s="197" cm="1">
        <f t="array" ref="B140">INDEX(C$1:O$1, MATCH(TRUE, INDEX(($C140:$O140 &lt;&gt; 0), 0),0))</f>
        <v>43830</v>
      </c>
      <c r="C140" s="233">
        <v>2304000</v>
      </c>
      <c r="D140" s="233">
        <v>2304000</v>
      </c>
      <c r="E140" s="233">
        <v>2119680</v>
      </c>
      <c r="F140" s="233">
        <v>1950104</v>
      </c>
      <c r="G140" s="233">
        <v>2184120</v>
      </c>
      <c r="H140" s="233">
        <v>2184120</v>
      </c>
      <c r="I140" s="233">
        <v>0</v>
      </c>
      <c r="J140" s="233">
        <v>0</v>
      </c>
      <c r="K140" s="233">
        <v>0</v>
      </c>
      <c r="L140" s="233">
        <v>0</v>
      </c>
      <c r="M140" s="233">
        <v>0</v>
      </c>
      <c r="N140" s="233">
        <v>0</v>
      </c>
      <c r="O140" s="233">
        <v>0</v>
      </c>
    </row>
    <row r="141" spans="1:15">
      <c r="A141" s="190">
        <f t="shared" si="3"/>
        <v>140</v>
      </c>
      <c r="B141" s="197" cm="1">
        <f t="array" ref="B141">INDEX(C$1:O$1, MATCH(TRUE, INDEX(($C141:$O141 &lt;&gt; 0), 0),0))</f>
        <v>43830</v>
      </c>
      <c r="C141" s="233">
        <v>1059840</v>
      </c>
      <c r="D141" s="233">
        <v>1187024</v>
      </c>
      <c r="E141" s="233">
        <v>1187024</v>
      </c>
      <c r="F141" s="233">
        <v>1187024</v>
      </c>
      <c r="G141" s="233">
        <v>1187024</v>
      </c>
      <c r="H141" s="233">
        <v>1329464</v>
      </c>
      <c r="I141" s="233">
        <v>1329464</v>
      </c>
      <c r="J141" s="233">
        <v>1223104</v>
      </c>
      <c r="K141" s="233">
        <v>1369880</v>
      </c>
      <c r="L141" s="233">
        <v>1369880</v>
      </c>
      <c r="M141" s="233">
        <v>1534264</v>
      </c>
      <c r="N141" s="233">
        <v>1534264</v>
      </c>
      <c r="O141" s="233">
        <v>1534264</v>
      </c>
    </row>
    <row r="142" spans="1:15">
      <c r="A142" s="190">
        <f t="shared" si="3"/>
        <v>141</v>
      </c>
      <c r="B142" s="197" cm="1">
        <f t="array" ref="B142">INDEX(C$1:O$1, MATCH(TRUE, INDEX(($C142:$O142 &lt;&gt; 0), 0),0))</f>
        <v>43830</v>
      </c>
      <c r="C142" s="233">
        <v>3456000</v>
      </c>
      <c r="D142" s="233">
        <v>3870720</v>
      </c>
      <c r="E142" s="233">
        <v>3870720</v>
      </c>
      <c r="F142" s="233">
        <v>3870720</v>
      </c>
      <c r="G142" s="233">
        <v>3276176</v>
      </c>
      <c r="H142" s="233">
        <v>3276176</v>
      </c>
      <c r="I142" s="233">
        <v>4109640</v>
      </c>
      <c r="J142" s="233">
        <v>4109640</v>
      </c>
      <c r="K142" s="233">
        <v>4109640</v>
      </c>
      <c r="L142" s="233">
        <v>4109640</v>
      </c>
      <c r="M142" s="233">
        <v>4109640</v>
      </c>
      <c r="N142" s="233">
        <v>3780864</v>
      </c>
      <c r="O142" s="233">
        <v>3780864</v>
      </c>
    </row>
    <row r="143" spans="1:15">
      <c r="A143" s="190">
        <f t="shared" si="3"/>
        <v>142</v>
      </c>
      <c r="B143" s="197" cm="1">
        <f t="array" ref="B143">INDEX(C$1:O$1, MATCH(TRUE, INDEX(($C143:$O143 &lt;&gt; 0), 0),0))</f>
        <v>43830</v>
      </c>
      <c r="C143" s="233">
        <v>2304000</v>
      </c>
      <c r="D143" s="233">
        <v>1950104</v>
      </c>
      <c r="E143" s="233">
        <v>1950104</v>
      </c>
      <c r="F143" s="233">
        <v>1950104</v>
      </c>
      <c r="G143" s="233">
        <v>1950104</v>
      </c>
      <c r="H143" s="233">
        <v>2184120</v>
      </c>
      <c r="I143" s="233">
        <v>2184120</v>
      </c>
      <c r="J143" s="233">
        <v>2184120</v>
      </c>
      <c r="K143" s="233">
        <v>2184120</v>
      </c>
      <c r="L143" s="233">
        <v>2184120</v>
      </c>
      <c r="M143" s="233">
        <v>2184120</v>
      </c>
      <c r="N143" s="233">
        <v>2184120</v>
      </c>
      <c r="O143" s="233">
        <v>2184120</v>
      </c>
    </row>
    <row r="144" spans="1:15">
      <c r="A144" s="190">
        <f t="shared" si="3"/>
        <v>143</v>
      </c>
      <c r="B144" s="197" cm="1">
        <f t="array" ref="B144">INDEX(C$1:O$1, MATCH(TRUE, INDEX(($C144:$O144 &lt;&gt; 0), 0),0))</f>
        <v>43830</v>
      </c>
      <c r="C144" s="233">
        <v>2304000</v>
      </c>
      <c r="D144" s="233">
        <v>2374040</v>
      </c>
      <c r="E144" s="233">
        <v>2374040</v>
      </c>
      <c r="F144" s="233">
        <v>2374040</v>
      </c>
      <c r="G144" s="233">
        <v>2374040</v>
      </c>
      <c r="H144" s="233">
        <v>2658928</v>
      </c>
      <c r="I144" s="233">
        <v>2658928</v>
      </c>
      <c r="J144" s="233">
        <v>2978000</v>
      </c>
      <c r="K144" s="233">
        <v>2978000</v>
      </c>
      <c r="L144" s="233">
        <v>2978000</v>
      </c>
      <c r="M144" s="233">
        <v>2978000</v>
      </c>
      <c r="N144" s="233">
        <v>2978000</v>
      </c>
      <c r="O144" s="233">
        <v>3068528</v>
      </c>
    </row>
    <row r="145" spans="1:15">
      <c r="A145" s="190">
        <f t="shared" si="3"/>
        <v>144</v>
      </c>
      <c r="B145" s="197" cm="1">
        <f t="array" ref="B145">INDEX(C$1:O$1, MATCH(TRUE, INDEX(($C145:$O145 &lt;&gt; 0), 0),0))</f>
        <v>43830</v>
      </c>
      <c r="C145" s="233">
        <v>1152000</v>
      </c>
      <c r="D145" s="233">
        <v>1152000</v>
      </c>
      <c r="E145" s="233">
        <v>1152000</v>
      </c>
      <c r="F145" s="233">
        <v>1152000</v>
      </c>
      <c r="G145" s="233">
        <v>1059840</v>
      </c>
      <c r="H145" s="233">
        <v>1059840</v>
      </c>
      <c r="I145" s="233">
        <v>1329464</v>
      </c>
      <c r="J145" s="233">
        <v>1329464</v>
      </c>
      <c r="K145" s="233">
        <v>0</v>
      </c>
      <c r="L145" s="233">
        <v>0</v>
      </c>
      <c r="M145" s="233">
        <v>0</v>
      </c>
      <c r="N145" s="233">
        <v>0</v>
      </c>
      <c r="O145" s="233">
        <v>0</v>
      </c>
    </row>
    <row r="146" spans="1:15">
      <c r="A146" s="190">
        <f t="shared" si="3"/>
        <v>145</v>
      </c>
      <c r="B146" s="197" cm="1">
        <f t="array" ref="B146">INDEX(C$1:O$1, MATCH(TRUE, INDEX(($C146:$O146 &lt;&gt; 0), 0),0))</f>
        <v>43830</v>
      </c>
      <c r="C146" s="233">
        <v>3276176</v>
      </c>
      <c r="D146" s="233">
        <v>3669320</v>
      </c>
      <c r="E146" s="233">
        <v>3669320</v>
      </c>
      <c r="F146" s="233">
        <v>3669320</v>
      </c>
      <c r="G146" s="233">
        <v>4109640</v>
      </c>
      <c r="H146" s="233">
        <v>4109640</v>
      </c>
      <c r="I146" s="233">
        <v>3780864</v>
      </c>
      <c r="J146" s="233">
        <v>4234568</v>
      </c>
      <c r="K146" s="233">
        <v>4234568</v>
      </c>
      <c r="L146" s="233">
        <v>4234568</v>
      </c>
      <c r="M146" s="233">
        <v>4234568</v>
      </c>
      <c r="N146" s="233">
        <v>3895808</v>
      </c>
      <c r="O146" s="233">
        <v>3895808</v>
      </c>
    </row>
    <row r="147" spans="1:15">
      <c r="A147" s="190">
        <f t="shared" si="3"/>
        <v>146</v>
      </c>
      <c r="B147" s="197" cm="1">
        <f t="array" ref="B147">INDEX(C$1:O$1, MATCH(TRUE, INDEX(($C147:$O147 &lt;&gt; 0), 0),0))</f>
        <v>43830</v>
      </c>
      <c r="C147" s="233">
        <v>924320</v>
      </c>
      <c r="D147" s="233">
        <v>924320</v>
      </c>
      <c r="E147" s="233">
        <v>924320</v>
      </c>
      <c r="F147" s="233">
        <v>924320</v>
      </c>
      <c r="G147" s="233">
        <v>850376</v>
      </c>
      <c r="H147" s="233">
        <v>850376</v>
      </c>
      <c r="I147" s="233">
        <v>850376</v>
      </c>
      <c r="J147" s="233">
        <v>850376</v>
      </c>
      <c r="K147" s="233">
        <v>952416</v>
      </c>
      <c r="L147" s="233">
        <v>952416</v>
      </c>
      <c r="M147" s="233">
        <v>952416</v>
      </c>
      <c r="N147" s="233">
        <v>952416</v>
      </c>
      <c r="O147" s="233">
        <v>952416</v>
      </c>
    </row>
    <row r="148" spans="1:15">
      <c r="A148" s="190">
        <f t="shared" si="3"/>
        <v>147</v>
      </c>
      <c r="B148" s="197" cm="1">
        <f t="array" ref="B148">INDEX(C$1:O$1, MATCH(TRUE, INDEX(($C148:$O148 &lt;&gt; 0), 0),0))</f>
        <v>43830</v>
      </c>
      <c r="C148" s="233">
        <v>1618480</v>
      </c>
      <c r="D148" s="233">
        <v>1618480</v>
      </c>
      <c r="E148" s="233">
        <v>1618480</v>
      </c>
      <c r="F148" s="233">
        <v>1618480</v>
      </c>
      <c r="G148" s="233">
        <v>1618480</v>
      </c>
      <c r="H148" s="233">
        <v>1618480</v>
      </c>
      <c r="I148" s="233">
        <v>1489000</v>
      </c>
      <c r="J148" s="233">
        <v>1489000</v>
      </c>
      <c r="K148" s="233">
        <v>1489000</v>
      </c>
      <c r="L148" s="233">
        <v>1489000</v>
      </c>
      <c r="M148" s="233">
        <v>0</v>
      </c>
      <c r="N148" s="233">
        <v>0</v>
      </c>
      <c r="O148" s="233">
        <v>0</v>
      </c>
    </row>
    <row r="149" spans="1:15">
      <c r="A149" s="190">
        <f t="shared" si="3"/>
        <v>148</v>
      </c>
      <c r="B149" s="197" cm="1">
        <f t="array" ref="B149">INDEX(C$1:O$1, MATCH(TRUE, INDEX(($C149:$O149 &lt;&gt; 0), 0),0))</f>
        <v>43830</v>
      </c>
      <c r="C149" s="233">
        <v>3561064</v>
      </c>
      <c r="D149" s="233">
        <v>3988392</v>
      </c>
      <c r="E149" s="233">
        <v>3988392</v>
      </c>
      <c r="F149" s="233">
        <v>3988392</v>
      </c>
      <c r="G149" s="233">
        <v>4467000</v>
      </c>
      <c r="H149" s="233">
        <v>4109640</v>
      </c>
      <c r="I149" s="233">
        <v>0</v>
      </c>
      <c r="J149" s="233">
        <v>0</v>
      </c>
      <c r="K149" s="233">
        <v>0</v>
      </c>
      <c r="L149" s="233">
        <v>0</v>
      </c>
      <c r="M149" s="233">
        <v>0</v>
      </c>
      <c r="N149" s="233">
        <v>0</v>
      </c>
      <c r="O149" s="233">
        <v>0</v>
      </c>
    </row>
    <row r="150" spans="1:15">
      <c r="A150" s="190">
        <f t="shared" si="3"/>
        <v>149</v>
      </c>
      <c r="B150" s="197" cm="1">
        <f t="array" ref="B150">INDEX(C$1:O$1, MATCH(TRUE, INDEX(($C150:$O150 &lt;&gt; 0), 0),0))</f>
        <v>43830</v>
      </c>
      <c r="C150" s="233">
        <v>1125256</v>
      </c>
      <c r="D150" s="233">
        <v>1125256</v>
      </c>
      <c r="E150" s="233">
        <v>1125256</v>
      </c>
      <c r="F150" s="233">
        <v>1125256</v>
      </c>
      <c r="G150" s="233">
        <v>1125256</v>
      </c>
      <c r="H150" s="233">
        <v>1125256</v>
      </c>
      <c r="I150" s="233">
        <v>1125256</v>
      </c>
      <c r="J150" s="233">
        <v>1035240</v>
      </c>
      <c r="K150" s="233">
        <v>1159464</v>
      </c>
      <c r="L150" s="233">
        <v>1159464</v>
      </c>
      <c r="M150" s="233">
        <v>1159464</v>
      </c>
      <c r="N150" s="233">
        <v>1159464</v>
      </c>
      <c r="O150" s="233">
        <v>1159464</v>
      </c>
    </row>
    <row r="151" spans="1:15">
      <c r="A151" s="190">
        <f t="shared" si="3"/>
        <v>150</v>
      </c>
      <c r="B151" s="197" cm="1">
        <f t="array" ref="B151">INDEX(C$1:O$1, MATCH(TRUE, INDEX(($C151:$O151 &lt;&gt; 0), 0),0))</f>
        <v>43830</v>
      </c>
      <c r="C151" s="233">
        <v>3456000</v>
      </c>
      <c r="D151" s="233">
        <v>3456000</v>
      </c>
      <c r="E151" s="233">
        <v>3456000</v>
      </c>
      <c r="F151" s="233">
        <v>3456000</v>
      </c>
      <c r="G151" s="233">
        <v>0</v>
      </c>
      <c r="H151" s="233">
        <v>0</v>
      </c>
      <c r="I151" s="233">
        <v>0</v>
      </c>
      <c r="J151" s="233">
        <v>0</v>
      </c>
      <c r="K151" s="233">
        <v>0</v>
      </c>
      <c r="L151" s="233">
        <v>0</v>
      </c>
      <c r="M151" s="233">
        <v>0</v>
      </c>
      <c r="N151" s="233">
        <v>0</v>
      </c>
      <c r="O151" s="233">
        <v>0</v>
      </c>
    </row>
    <row r="152" spans="1:15">
      <c r="A152" s="190">
        <f t="shared" si="3"/>
        <v>151</v>
      </c>
      <c r="B152" s="197" cm="1">
        <f t="array" ref="B152">INDEX(C$1:O$1, MATCH(TRUE, INDEX(($C152:$O152 &lt;&gt; 0), 0),0))</f>
        <v>43830</v>
      </c>
      <c r="C152" s="233">
        <v>2304000</v>
      </c>
      <c r="D152" s="233">
        <v>2304000</v>
      </c>
      <c r="E152" s="233">
        <v>2304000</v>
      </c>
      <c r="F152" s="233">
        <v>2580480</v>
      </c>
      <c r="G152" s="233">
        <v>2580480</v>
      </c>
      <c r="H152" s="233">
        <v>2580480</v>
      </c>
      <c r="I152" s="233">
        <v>2374040</v>
      </c>
      <c r="J152" s="233">
        <v>2658928</v>
      </c>
      <c r="K152" s="233">
        <v>2658928</v>
      </c>
      <c r="L152" s="233">
        <v>2658928</v>
      </c>
      <c r="M152" s="233">
        <v>0</v>
      </c>
      <c r="N152" s="233">
        <v>0</v>
      </c>
      <c r="O152" s="233">
        <v>0</v>
      </c>
    </row>
    <row r="153" spans="1:15">
      <c r="A153" s="190">
        <f t="shared" si="3"/>
        <v>152</v>
      </c>
      <c r="B153" s="197" cm="1">
        <f t="array" ref="B153">INDEX(C$1:O$1, MATCH(TRUE, INDEX(($C153:$O153 &lt;&gt; 0), 0),0))</f>
        <v>43830</v>
      </c>
      <c r="C153" s="233">
        <v>2857256</v>
      </c>
      <c r="D153" s="233">
        <v>3200128</v>
      </c>
      <c r="E153" s="233">
        <v>0</v>
      </c>
      <c r="F153" s="233">
        <v>0</v>
      </c>
      <c r="G153" s="233">
        <v>0</v>
      </c>
      <c r="H153" s="233">
        <v>0</v>
      </c>
      <c r="I153" s="233">
        <v>0</v>
      </c>
      <c r="J153" s="233">
        <v>0</v>
      </c>
      <c r="K153" s="233">
        <v>0</v>
      </c>
      <c r="L153" s="233">
        <v>0</v>
      </c>
      <c r="M153" s="233">
        <v>0</v>
      </c>
      <c r="N153" s="233">
        <v>0</v>
      </c>
      <c r="O153" s="233">
        <v>0</v>
      </c>
    </row>
    <row r="154" spans="1:15">
      <c r="A154" s="190">
        <f t="shared" si="3"/>
        <v>153</v>
      </c>
      <c r="B154" s="197" cm="1">
        <f t="array" ref="B154">INDEX(C$1:O$1, MATCH(TRUE, INDEX(($C154:$O154 &lt;&gt; 0), 0),0))</f>
        <v>43830</v>
      </c>
      <c r="C154" s="233">
        <v>2119680</v>
      </c>
      <c r="D154" s="233">
        <v>2119680</v>
      </c>
      <c r="E154" s="233">
        <v>2374040</v>
      </c>
      <c r="F154" s="233">
        <v>2374040</v>
      </c>
      <c r="G154" s="233">
        <v>2374040</v>
      </c>
      <c r="H154" s="233">
        <v>2374040</v>
      </c>
      <c r="I154" s="233">
        <v>2374040</v>
      </c>
      <c r="J154" s="233">
        <v>2184120</v>
      </c>
      <c r="K154" s="233">
        <v>2184120</v>
      </c>
      <c r="L154" s="233">
        <v>2184120</v>
      </c>
      <c r="M154" s="233">
        <v>2184120</v>
      </c>
      <c r="N154" s="233">
        <v>2184120</v>
      </c>
      <c r="O154" s="233">
        <v>2184120</v>
      </c>
    </row>
    <row r="155" spans="1:15">
      <c r="A155" s="190">
        <f t="shared" si="3"/>
        <v>154</v>
      </c>
      <c r="B155" s="197" cm="1">
        <f t="array" ref="B155">INDEX(C$1:O$1, MATCH(TRUE, INDEX(($C155:$O155 &lt;&gt; 0), 0),0))</f>
        <v>43830</v>
      </c>
      <c r="C155" s="233">
        <v>1223104</v>
      </c>
      <c r="D155" s="233">
        <v>1223104</v>
      </c>
      <c r="E155" s="233">
        <v>1223104</v>
      </c>
      <c r="F155" s="233">
        <v>1223104</v>
      </c>
      <c r="G155" s="233">
        <v>1223104</v>
      </c>
      <c r="H155" s="233">
        <v>1223104</v>
      </c>
      <c r="I155" s="233">
        <v>1223104</v>
      </c>
      <c r="J155" s="233">
        <v>1223104</v>
      </c>
      <c r="K155" s="233">
        <v>1223104</v>
      </c>
      <c r="L155" s="233">
        <v>1223104</v>
      </c>
      <c r="M155" s="233">
        <v>1125256</v>
      </c>
      <c r="N155" s="233">
        <v>1125256</v>
      </c>
      <c r="O155" s="233">
        <v>1125256</v>
      </c>
    </row>
    <row r="156" spans="1:15">
      <c r="A156" s="190">
        <f t="shared" si="3"/>
        <v>155</v>
      </c>
      <c r="B156" s="197" cm="1">
        <f t="array" ref="B156">INDEX(C$1:O$1, MATCH(TRUE, INDEX(($C156:$O156 &lt;&gt; 0), 0),0))</f>
        <v>43830</v>
      </c>
      <c r="C156" s="233">
        <v>3179520</v>
      </c>
      <c r="D156" s="233">
        <v>3179520</v>
      </c>
      <c r="E156" s="233">
        <v>3179520</v>
      </c>
      <c r="F156" s="233">
        <v>3179520</v>
      </c>
      <c r="G156" s="233">
        <v>3179520</v>
      </c>
      <c r="H156" s="233">
        <v>3179520</v>
      </c>
      <c r="I156" s="233">
        <v>3561064</v>
      </c>
      <c r="J156" s="233">
        <v>3561064</v>
      </c>
      <c r="K156" s="233">
        <v>3561064</v>
      </c>
      <c r="L156" s="233">
        <v>0</v>
      </c>
      <c r="M156" s="233">
        <v>0</v>
      </c>
      <c r="N156" s="233">
        <v>0</v>
      </c>
      <c r="O156" s="233">
        <v>0</v>
      </c>
    </row>
    <row r="157" spans="1:15">
      <c r="A157" s="190">
        <f t="shared" si="3"/>
        <v>156</v>
      </c>
      <c r="B157" s="197" cm="1">
        <f t="array" ref="B157">INDEX(C$1:O$1, MATCH(TRUE, INDEX(($C157:$O157 &lt;&gt; 0), 0),0))</f>
        <v>43830</v>
      </c>
      <c r="C157" s="233">
        <v>975056</v>
      </c>
      <c r="D157" s="233">
        <v>975056</v>
      </c>
      <c r="E157" s="233">
        <v>975056</v>
      </c>
      <c r="F157" s="233">
        <v>975056</v>
      </c>
      <c r="G157" s="233">
        <v>975056</v>
      </c>
      <c r="H157" s="233">
        <v>897048</v>
      </c>
      <c r="I157" s="233">
        <v>897048</v>
      </c>
      <c r="J157" s="233">
        <v>897048</v>
      </c>
      <c r="K157" s="233">
        <v>897048</v>
      </c>
      <c r="L157" s="233">
        <v>897048</v>
      </c>
      <c r="M157" s="233">
        <v>897048</v>
      </c>
      <c r="N157" s="233">
        <v>1004696</v>
      </c>
      <c r="O157" s="233">
        <v>1125256</v>
      </c>
    </row>
    <row r="158" spans="1:15">
      <c r="A158" s="190">
        <f t="shared" si="3"/>
        <v>157</v>
      </c>
      <c r="B158" s="197" cm="1">
        <f t="array" ref="B158">INDEX(C$1:O$1, MATCH(TRUE, INDEX(($C158:$O158 &lt;&gt; 0), 0),0))</f>
        <v>43830</v>
      </c>
      <c r="C158" s="233">
        <v>2580480</v>
      </c>
      <c r="D158" s="233">
        <v>2890136</v>
      </c>
      <c r="E158" s="233">
        <v>2890136</v>
      </c>
      <c r="F158" s="233">
        <v>2890136</v>
      </c>
      <c r="G158" s="233">
        <v>2890136</v>
      </c>
      <c r="H158" s="233">
        <v>3236952</v>
      </c>
      <c r="I158" s="233">
        <v>3236952</v>
      </c>
      <c r="J158" s="233">
        <v>3236952</v>
      </c>
      <c r="K158" s="233">
        <v>2978000</v>
      </c>
      <c r="L158" s="233">
        <v>2978000</v>
      </c>
      <c r="M158" s="233">
        <v>2978000</v>
      </c>
      <c r="N158" s="233">
        <v>2978000</v>
      </c>
      <c r="O158" s="233">
        <v>2978000</v>
      </c>
    </row>
    <row r="159" spans="1:15">
      <c r="A159" s="190">
        <f t="shared" si="3"/>
        <v>158</v>
      </c>
      <c r="B159" s="197" cm="1">
        <f t="array" ref="B159">INDEX(C$1:O$1, MATCH(TRUE, INDEX(($C159:$O159 &lt;&gt; 0), 0),0))</f>
        <v>43830</v>
      </c>
      <c r="C159" s="233">
        <v>1004696</v>
      </c>
      <c r="D159" s="233">
        <v>1125256</v>
      </c>
      <c r="E159" s="233">
        <v>1125256</v>
      </c>
      <c r="F159" s="233">
        <v>1125256</v>
      </c>
      <c r="G159" s="233">
        <v>1125256</v>
      </c>
      <c r="H159" s="233">
        <v>1035240</v>
      </c>
      <c r="I159" s="233">
        <v>1035240</v>
      </c>
      <c r="J159" s="233">
        <v>1035240</v>
      </c>
      <c r="K159" s="233">
        <v>1035240</v>
      </c>
      <c r="L159" s="233">
        <v>1035240</v>
      </c>
      <c r="M159" s="233">
        <v>1035240</v>
      </c>
      <c r="N159" s="233">
        <v>952416</v>
      </c>
      <c r="O159" s="233">
        <v>876224</v>
      </c>
    </row>
    <row r="160" spans="1:15">
      <c r="A160" s="190">
        <f t="shared" si="3"/>
        <v>159</v>
      </c>
      <c r="B160" s="197" cm="1">
        <f t="array" ref="B160">INDEX(C$1:O$1, MATCH(TRUE, INDEX(($C160:$O160 &lt;&gt; 0), 0),0))</f>
        <v>43830</v>
      </c>
      <c r="C160" s="233">
        <v>2304000</v>
      </c>
      <c r="D160" s="233">
        <v>2580480</v>
      </c>
      <c r="E160" s="233">
        <v>2580480</v>
      </c>
      <c r="F160" s="233">
        <v>2580480</v>
      </c>
      <c r="G160" s="233">
        <v>3236952</v>
      </c>
      <c r="H160" s="233">
        <v>3236952</v>
      </c>
      <c r="I160" s="233">
        <v>3236952</v>
      </c>
      <c r="J160" s="233">
        <v>2978000</v>
      </c>
      <c r="K160" s="233">
        <v>2978000</v>
      </c>
      <c r="L160" s="233">
        <v>2739760</v>
      </c>
      <c r="M160" s="233">
        <v>2739760</v>
      </c>
      <c r="N160" s="233">
        <v>2520576</v>
      </c>
      <c r="O160" s="233">
        <v>2520576</v>
      </c>
    </row>
    <row r="161" spans="1:15">
      <c r="A161" s="190">
        <f t="shared" si="3"/>
        <v>160</v>
      </c>
      <c r="B161" s="197" cm="1">
        <f t="array" ref="B161">INDEX(C$1:O$1, MATCH(TRUE, INDEX(($C161:$O161 &lt;&gt; 0), 0),0))</f>
        <v>43830</v>
      </c>
      <c r="C161" s="233">
        <v>3276176</v>
      </c>
      <c r="D161" s="233">
        <v>3276176</v>
      </c>
      <c r="E161" s="233">
        <v>3669320</v>
      </c>
      <c r="F161" s="233">
        <v>3375776</v>
      </c>
      <c r="G161" s="233">
        <v>3375776</v>
      </c>
      <c r="H161" s="233">
        <v>3375776</v>
      </c>
      <c r="I161" s="233">
        <v>3375776</v>
      </c>
      <c r="J161" s="233">
        <v>3375776</v>
      </c>
      <c r="K161" s="233">
        <v>3375776</v>
      </c>
      <c r="L161" s="233">
        <v>3375776</v>
      </c>
      <c r="M161" s="233">
        <v>3780864</v>
      </c>
      <c r="N161" s="233">
        <v>0</v>
      </c>
      <c r="O161" s="233">
        <v>0</v>
      </c>
    </row>
    <row r="162" spans="1:15">
      <c r="A162" s="190">
        <f t="shared" si="3"/>
        <v>161</v>
      </c>
      <c r="B162" s="197" cm="1">
        <f t="array" ref="B162">INDEX(C$1:O$1, MATCH(TRUE, INDEX(($C162:$O162 &lt;&gt; 0), 0),0))</f>
        <v>43830</v>
      </c>
      <c r="C162" s="233">
        <v>2580480</v>
      </c>
      <c r="D162" s="233">
        <v>2580480</v>
      </c>
      <c r="E162" s="233">
        <v>2580480</v>
      </c>
      <c r="F162" s="233">
        <v>2580480</v>
      </c>
      <c r="G162" s="233">
        <v>2580480</v>
      </c>
      <c r="H162" s="233">
        <v>2580480</v>
      </c>
      <c r="I162" s="233">
        <v>2580480</v>
      </c>
      <c r="J162" s="233">
        <v>2580480</v>
      </c>
      <c r="K162" s="233">
        <v>2890136</v>
      </c>
      <c r="L162" s="233">
        <v>2890136</v>
      </c>
      <c r="M162" s="233">
        <v>2890136</v>
      </c>
      <c r="N162" s="233">
        <v>2890136</v>
      </c>
      <c r="O162" s="233">
        <v>2890136</v>
      </c>
    </row>
    <row r="163" spans="1:15">
      <c r="A163" s="190">
        <f t="shared" si="3"/>
        <v>162</v>
      </c>
      <c r="B163" s="197" cm="1">
        <f t="array" ref="B163">INDEX(C$1:O$1, MATCH(TRUE, INDEX(($C163:$O163 &lt;&gt; 0), 0),0))</f>
        <v>43830</v>
      </c>
      <c r="C163" s="233">
        <v>3456000</v>
      </c>
      <c r="D163" s="233">
        <v>3870720</v>
      </c>
      <c r="E163" s="233">
        <v>3870720</v>
      </c>
      <c r="F163" s="233">
        <v>3870720</v>
      </c>
      <c r="G163" s="233">
        <v>0</v>
      </c>
      <c r="H163" s="233">
        <v>0</v>
      </c>
      <c r="I163" s="233">
        <v>0</v>
      </c>
      <c r="J163" s="233">
        <v>0</v>
      </c>
      <c r="K163" s="233">
        <v>0</v>
      </c>
      <c r="L163" s="233">
        <v>0</v>
      </c>
      <c r="M163" s="233">
        <v>0</v>
      </c>
      <c r="N163" s="233">
        <v>0</v>
      </c>
      <c r="O163" s="233">
        <v>0</v>
      </c>
    </row>
    <row r="164" spans="1:15">
      <c r="A164" s="190">
        <f t="shared" si="3"/>
        <v>163</v>
      </c>
      <c r="B164" s="197" cm="1">
        <f t="array" ref="B164">INDEX(C$1:O$1, MATCH(TRUE, INDEX(($C164:$O164 &lt;&gt; 0), 0),0))</f>
        <v>43830</v>
      </c>
      <c r="C164" s="233">
        <v>2304000</v>
      </c>
      <c r="D164" s="233">
        <v>2580480</v>
      </c>
      <c r="E164" s="233">
        <v>2580480</v>
      </c>
      <c r="F164" s="233">
        <v>2580480</v>
      </c>
      <c r="G164" s="233">
        <v>2580480</v>
      </c>
      <c r="H164" s="233">
        <v>2374040</v>
      </c>
      <c r="I164" s="233">
        <v>2374040</v>
      </c>
      <c r="J164" s="233">
        <v>2184120</v>
      </c>
      <c r="K164" s="233">
        <v>2184120</v>
      </c>
      <c r="L164" s="233">
        <v>0</v>
      </c>
      <c r="M164" s="233">
        <v>0</v>
      </c>
      <c r="N164" s="233">
        <v>0</v>
      </c>
      <c r="O164" s="233">
        <v>0</v>
      </c>
    </row>
    <row r="165" spans="1:15">
      <c r="A165" s="190">
        <f t="shared" si="3"/>
        <v>164</v>
      </c>
      <c r="B165" s="197" cm="1">
        <f t="array" ref="B165">INDEX(C$1:O$1, MATCH(TRUE, INDEX(($C165:$O165 &lt;&gt; 0), 0),0))</f>
        <v>43830</v>
      </c>
      <c r="C165" s="233">
        <v>1059840</v>
      </c>
      <c r="D165" s="233">
        <v>1329464</v>
      </c>
      <c r="E165" s="233">
        <v>1329464</v>
      </c>
      <c r="F165" s="233">
        <v>1223104</v>
      </c>
      <c r="G165" s="233">
        <v>1223104</v>
      </c>
      <c r="H165" s="233">
        <v>1223104</v>
      </c>
      <c r="I165" s="233">
        <v>1223104</v>
      </c>
      <c r="J165" s="233">
        <v>1125256</v>
      </c>
      <c r="K165" s="233">
        <v>0</v>
      </c>
      <c r="L165" s="233">
        <v>0</v>
      </c>
      <c r="M165" s="233">
        <v>0</v>
      </c>
      <c r="N165" s="233">
        <v>0</v>
      </c>
      <c r="O165" s="233">
        <v>0</v>
      </c>
    </row>
    <row r="166" spans="1:15">
      <c r="A166" s="190">
        <f t="shared" si="3"/>
        <v>165</v>
      </c>
      <c r="B166" s="197" cm="1">
        <f t="array" ref="B166">INDEX(C$1:O$1, MATCH(TRUE, INDEX(($C166:$O166 &lt;&gt; 0), 0),0))</f>
        <v>43830</v>
      </c>
      <c r="C166" s="233">
        <v>2119680</v>
      </c>
      <c r="D166" s="233">
        <v>2119680</v>
      </c>
      <c r="E166" s="233">
        <v>2119680</v>
      </c>
      <c r="F166" s="233">
        <v>2119680</v>
      </c>
      <c r="G166" s="233">
        <v>2374040</v>
      </c>
      <c r="H166" s="233">
        <v>2374040</v>
      </c>
      <c r="I166" s="233">
        <v>2184120</v>
      </c>
      <c r="J166" s="233">
        <v>2184120</v>
      </c>
      <c r="K166" s="233">
        <v>2446216</v>
      </c>
      <c r="L166" s="233">
        <v>2446216</v>
      </c>
      <c r="M166" s="233">
        <v>3068528</v>
      </c>
      <c r="N166" s="233">
        <v>2823048</v>
      </c>
      <c r="O166" s="233">
        <v>2823048</v>
      </c>
    </row>
    <row r="167" spans="1:15">
      <c r="A167" s="190">
        <f t="shared" si="3"/>
        <v>166</v>
      </c>
      <c r="B167" s="197" cm="1">
        <f t="array" ref="B167">INDEX(C$1:O$1, MATCH(TRUE, INDEX(($C167:$O167 &lt;&gt; 0), 0),0))</f>
        <v>43830</v>
      </c>
      <c r="C167" s="233">
        <v>1290240</v>
      </c>
      <c r="D167" s="233">
        <v>1290240</v>
      </c>
      <c r="E167" s="233">
        <v>1290240</v>
      </c>
      <c r="F167" s="233">
        <v>1445072</v>
      </c>
      <c r="G167" s="233">
        <v>1618480</v>
      </c>
      <c r="H167" s="233">
        <v>1812696</v>
      </c>
      <c r="I167" s="233">
        <v>1812696</v>
      </c>
      <c r="J167" s="233">
        <v>2030216</v>
      </c>
      <c r="K167" s="233">
        <v>2030216</v>
      </c>
      <c r="L167" s="233">
        <v>2030216</v>
      </c>
      <c r="M167" s="233">
        <v>2030216</v>
      </c>
      <c r="N167" s="233">
        <v>2030216</v>
      </c>
      <c r="O167" s="233">
        <v>2030216</v>
      </c>
    </row>
    <row r="168" spans="1:15">
      <c r="A168" s="190">
        <f t="shared" si="3"/>
        <v>167</v>
      </c>
      <c r="B168" s="197" cm="1">
        <f t="array" ref="B168">INDEX(C$1:O$1, MATCH(TRUE, INDEX(($C168:$O168 &lt;&gt; 0), 0),0))</f>
        <v>43830</v>
      </c>
      <c r="C168" s="233">
        <v>1152000</v>
      </c>
      <c r="D168" s="233">
        <v>1059840</v>
      </c>
      <c r="E168" s="233">
        <v>1059840</v>
      </c>
      <c r="F168" s="233">
        <v>1092056</v>
      </c>
      <c r="G168" s="233">
        <v>1092056</v>
      </c>
      <c r="H168" s="233">
        <v>1092056</v>
      </c>
      <c r="I168" s="233">
        <v>1092056</v>
      </c>
      <c r="J168" s="233">
        <v>0</v>
      </c>
      <c r="K168" s="233">
        <v>0</v>
      </c>
      <c r="L168" s="233">
        <v>0</v>
      </c>
      <c r="M168" s="233">
        <v>0</v>
      </c>
      <c r="N168" s="233">
        <v>0</v>
      </c>
      <c r="O168" s="233">
        <v>0</v>
      </c>
    </row>
    <row r="169" spans="1:15">
      <c r="A169" s="190">
        <f t="shared" si="3"/>
        <v>168</v>
      </c>
      <c r="B169" s="197" cm="1">
        <f t="array" ref="B169">INDEX(C$1:O$1, MATCH(TRUE, INDEX(($C169:$O169 &lt;&gt; 0), 0),0))</f>
        <v>43830</v>
      </c>
      <c r="C169" s="233">
        <v>975056</v>
      </c>
      <c r="D169" s="233">
        <v>975056</v>
      </c>
      <c r="E169" s="233">
        <v>897048</v>
      </c>
      <c r="F169" s="233">
        <v>897048</v>
      </c>
      <c r="G169" s="233">
        <v>897048</v>
      </c>
      <c r="H169" s="233">
        <v>1004696</v>
      </c>
      <c r="I169" s="233">
        <v>1125256</v>
      </c>
      <c r="J169" s="233">
        <v>1125256</v>
      </c>
      <c r="K169" s="233">
        <v>1035240</v>
      </c>
      <c r="L169" s="233">
        <v>1035240</v>
      </c>
      <c r="M169" s="233">
        <v>1035240</v>
      </c>
      <c r="N169" s="233">
        <v>1035240</v>
      </c>
      <c r="O169" s="233">
        <v>1035240</v>
      </c>
    </row>
    <row r="170" spans="1:15">
      <c r="A170" s="190">
        <f t="shared" si="3"/>
        <v>169</v>
      </c>
      <c r="B170" s="197" cm="1">
        <f t="array" ref="B170">INDEX(C$1:O$1, MATCH(TRUE, INDEX(($C170:$O170 &lt;&gt; 0), 0),0))</f>
        <v>43830</v>
      </c>
      <c r="C170" s="233">
        <v>2184120</v>
      </c>
      <c r="D170" s="233">
        <v>2184120</v>
      </c>
      <c r="E170" s="233">
        <v>2184120</v>
      </c>
      <c r="F170" s="233">
        <v>2446216</v>
      </c>
      <c r="G170" s="233">
        <v>2446216</v>
      </c>
      <c r="H170" s="233">
        <v>2446216</v>
      </c>
      <c r="I170" s="233">
        <v>2739760</v>
      </c>
      <c r="J170" s="233">
        <v>2520576</v>
      </c>
      <c r="K170" s="233">
        <v>2520576</v>
      </c>
      <c r="L170" s="233">
        <v>2823048</v>
      </c>
      <c r="M170" s="233">
        <v>3161816</v>
      </c>
      <c r="N170" s="233">
        <v>3161816</v>
      </c>
      <c r="O170" s="233">
        <v>3161816</v>
      </c>
    </row>
    <row r="171" spans="1:15">
      <c r="A171" s="190">
        <f t="shared" si="3"/>
        <v>170</v>
      </c>
      <c r="B171" s="197" cm="1">
        <f t="array" ref="B171">INDEX(C$1:O$1, MATCH(TRUE, INDEX(($C171:$O171 &lt;&gt; 0), 0),0))</f>
        <v>43830</v>
      </c>
      <c r="C171" s="233">
        <v>3276176</v>
      </c>
      <c r="D171" s="233">
        <v>3276176</v>
      </c>
      <c r="E171" s="233">
        <v>3669320</v>
      </c>
      <c r="F171" s="233">
        <v>3669320</v>
      </c>
      <c r="G171" s="233">
        <v>3669320</v>
      </c>
      <c r="H171" s="233">
        <v>0</v>
      </c>
      <c r="I171" s="233">
        <v>0</v>
      </c>
      <c r="J171" s="233">
        <v>0</v>
      </c>
      <c r="K171" s="233">
        <v>0</v>
      </c>
      <c r="L171" s="233">
        <v>0</v>
      </c>
      <c r="M171" s="233">
        <v>0</v>
      </c>
      <c r="N171" s="233">
        <v>0</v>
      </c>
      <c r="O171" s="233">
        <v>0</v>
      </c>
    </row>
    <row r="172" spans="1:15">
      <c r="A172" s="190">
        <f t="shared" si="3"/>
        <v>171</v>
      </c>
      <c r="B172" s="197" cm="1">
        <f t="array" ref="B172">INDEX(C$1:O$1, MATCH(TRUE, INDEX(($C172:$O172 &lt;&gt; 0), 0),0))</f>
        <v>43830</v>
      </c>
      <c r="C172" s="233">
        <v>1290240</v>
      </c>
      <c r="D172" s="233">
        <v>1290240</v>
      </c>
      <c r="E172" s="233">
        <v>1445072</v>
      </c>
      <c r="F172" s="233">
        <v>1329464</v>
      </c>
      <c r="G172" s="233">
        <v>1329464</v>
      </c>
      <c r="H172" s="233">
        <v>1329464</v>
      </c>
      <c r="I172" s="233">
        <v>1329464</v>
      </c>
      <c r="J172" s="233">
        <v>1329464</v>
      </c>
      <c r="K172" s="233">
        <v>1329464</v>
      </c>
      <c r="L172" s="233">
        <v>1329464</v>
      </c>
      <c r="M172" s="233">
        <v>1489000</v>
      </c>
      <c r="N172" s="233">
        <v>1489000</v>
      </c>
      <c r="O172" s="233">
        <v>1667680</v>
      </c>
    </row>
    <row r="173" spans="1:15">
      <c r="A173" s="190">
        <f t="shared" si="3"/>
        <v>172</v>
      </c>
      <c r="B173" s="197" cm="1">
        <f t="array" ref="B173">INDEX(C$1:O$1, MATCH(TRUE, INDEX(($C173:$O173 &lt;&gt; 0), 0),0))</f>
        <v>43830</v>
      </c>
      <c r="C173" s="233">
        <v>3456000</v>
      </c>
      <c r="D173" s="233">
        <v>3456000</v>
      </c>
      <c r="E173" s="233">
        <v>3179520</v>
      </c>
      <c r="F173" s="233">
        <v>3179520</v>
      </c>
      <c r="G173" s="233">
        <v>2925160</v>
      </c>
      <c r="H173" s="233">
        <v>3276176</v>
      </c>
      <c r="I173" s="233">
        <v>3375776</v>
      </c>
      <c r="J173" s="233">
        <v>3780864</v>
      </c>
      <c r="K173" s="233">
        <v>3780864</v>
      </c>
      <c r="L173" s="233">
        <v>3780864</v>
      </c>
      <c r="M173" s="233">
        <v>3780864</v>
      </c>
      <c r="N173" s="233">
        <v>3780864</v>
      </c>
      <c r="O173" s="233">
        <v>3780864</v>
      </c>
    </row>
    <row r="174" spans="1:15">
      <c r="A174" s="190">
        <f t="shared" si="3"/>
        <v>173</v>
      </c>
      <c r="B174" s="197" cm="1">
        <f t="array" ref="B174">INDEX(C$1:O$1, MATCH(TRUE, INDEX(($C174:$O174 &lt;&gt; 0), 0),0))</f>
        <v>43830</v>
      </c>
      <c r="C174" s="233">
        <v>2250512</v>
      </c>
      <c r="D174" s="233">
        <v>2250512</v>
      </c>
      <c r="E174" s="233">
        <v>2250512</v>
      </c>
      <c r="F174" s="233">
        <v>2250512</v>
      </c>
      <c r="G174" s="233">
        <v>2250512</v>
      </c>
      <c r="H174" s="233">
        <v>2250512</v>
      </c>
      <c r="I174" s="233">
        <v>2250512</v>
      </c>
      <c r="J174" s="233">
        <v>2250512</v>
      </c>
      <c r="K174" s="233">
        <v>2070472</v>
      </c>
      <c r="L174" s="233">
        <v>2318928</v>
      </c>
      <c r="M174" s="233">
        <v>2318928</v>
      </c>
      <c r="N174" s="233">
        <v>2318928</v>
      </c>
      <c r="O174" s="233">
        <v>2318928</v>
      </c>
    </row>
    <row r="175" spans="1:15">
      <c r="A175" s="190">
        <f t="shared" si="3"/>
        <v>174</v>
      </c>
      <c r="B175" s="197" cm="1">
        <f t="array" ref="B175">INDEX(C$1:O$1, MATCH(TRUE, INDEX(($C175:$O175 &lt;&gt; 0), 0),0))</f>
        <v>43830</v>
      </c>
      <c r="C175" s="233">
        <v>3870720</v>
      </c>
      <c r="D175" s="233">
        <v>3870720</v>
      </c>
      <c r="E175" s="233">
        <v>3870720</v>
      </c>
      <c r="F175" s="233">
        <v>3870720</v>
      </c>
      <c r="G175" s="233">
        <v>4335208</v>
      </c>
      <c r="H175" s="233">
        <v>4335208</v>
      </c>
      <c r="I175" s="233">
        <v>3988392</v>
      </c>
      <c r="J175" s="233">
        <v>4467000</v>
      </c>
      <c r="K175" s="233">
        <v>4467000</v>
      </c>
      <c r="L175" s="233">
        <v>4467000</v>
      </c>
      <c r="M175" s="233">
        <v>4467000</v>
      </c>
      <c r="N175" s="233">
        <v>4467000</v>
      </c>
      <c r="O175" s="233">
        <v>4467000</v>
      </c>
    </row>
    <row r="176" spans="1:15">
      <c r="A176" s="190">
        <f t="shared" si="3"/>
        <v>175</v>
      </c>
      <c r="B176" s="197" cm="1">
        <f t="array" ref="B176">INDEX(C$1:O$1, MATCH(TRUE, INDEX(($C176:$O176 &lt;&gt; 0), 0),0))</f>
        <v>43830</v>
      </c>
      <c r="C176" s="233">
        <v>1329464</v>
      </c>
      <c r="D176" s="233">
        <v>1329464</v>
      </c>
      <c r="E176" s="233">
        <v>1329464</v>
      </c>
      <c r="F176" s="233">
        <v>1329464</v>
      </c>
      <c r="G176" s="233">
        <v>1329464</v>
      </c>
      <c r="H176" s="233">
        <v>1329464</v>
      </c>
      <c r="I176" s="233">
        <v>1329464</v>
      </c>
      <c r="J176" s="233">
        <v>1329464</v>
      </c>
      <c r="K176" s="233">
        <v>1489000</v>
      </c>
      <c r="L176" s="233">
        <v>1489000</v>
      </c>
      <c r="M176" s="233">
        <v>1489000</v>
      </c>
      <c r="N176" s="233">
        <v>1489000</v>
      </c>
      <c r="O176" s="233">
        <v>1489000</v>
      </c>
    </row>
    <row r="177" spans="1:15">
      <c r="A177" s="190">
        <f t="shared" si="3"/>
        <v>176</v>
      </c>
      <c r="B177" s="197" cm="1">
        <f t="array" ref="B177">INDEX(C$1:O$1, MATCH(TRUE, INDEX(($C177:$O177 &lt;&gt; 0), 0),0))</f>
        <v>43830</v>
      </c>
      <c r="C177" s="233">
        <v>3456000</v>
      </c>
      <c r="D177" s="233">
        <v>3179520</v>
      </c>
      <c r="E177" s="233">
        <v>3179520</v>
      </c>
      <c r="F177" s="233">
        <v>3179520</v>
      </c>
      <c r="G177" s="233">
        <v>3561064</v>
      </c>
      <c r="H177" s="233">
        <v>3988392</v>
      </c>
      <c r="I177" s="233">
        <v>3988392</v>
      </c>
      <c r="J177" s="233">
        <v>3988392</v>
      </c>
      <c r="K177" s="233">
        <v>4467000</v>
      </c>
      <c r="L177" s="233">
        <v>0</v>
      </c>
      <c r="M177" s="233">
        <v>0</v>
      </c>
      <c r="N177" s="233">
        <v>0</v>
      </c>
      <c r="O177" s="233">
        <v>0</v>
      </c>
    </row>
    <row r="178" spans="1:15">
      <c r="A178" s="190">
        <f t="shared" si="3"/>
        <v>177</v>
      </c>
      <c r="B178" s="197" cm="1">
        <f t="array" ref="B178">INDEX(C$1:O$1, MATCH(TRUE, INDEX(($C178:$O178 &lt;&gt; 0), 0),0))</f>
        <v>43830</v>
      </c>
      <c r="C178" s="233">
        <v>2374040</v>
      </c>
      <c r="D178" s="233">
        <v>2374040</v>
      </c>
      <c r="E178" s="233">
        <v>2374040</v>
      </c>
      <c r="F178" s="233">
        <v>2374040</v>
      </c>
      <c r="G178" s="233">
        <v>2374040</v>
      </c>
      <c r="H178" s="233">
        <v>2374040</v>
      </c>
      <c r="I178" s="233">
        <v>2658928</v>
      </c>
      <c r="J178" s="233">
        <v>2978000</v>
      </c>
      <c r="K178" s="233">
        <v>2978000</v>
      </c>
      <c r="L178" s="233">
        <v>2978000</v>
      </c>
      <c r="M178" s="233">
        <v>2978000</v>
      </c>
      <c r="N178" s="233">
        <v>2978000</v>
      </c>
      <c r="O178" s="233">
        <v>2978000</v>
      </c>
    </row>
    <row r="179" spans="1:15">
      <c r="A179" s="190">
        <f t="shared" si="3"/>
        <v>178</v>
      </c>
      <c r="B179" s="197" cm="1">
        <f t="array" ref="B179">INDEX(C$1:O$1, MATCH(TRUE, INDEX(($C179:$O179 &lt;&gt; 0), 0),0))</f>
        <v>43830</v>
      </c>
      <c r="C179" s="233">
        <v>2890136</v>
      </c>
      <c r="D179" s="233">
        <v>2890136</v>
      </c>
      <c r="E179" s="233">
        <v>2890136</v>
      </c>
      <c r="F179" s="233">
        <v>2890136</v>
      </c>
      <c r="G179" s="233">
        <v>2890136</v>
      </c>
      <c r="H179" s="233">
        <v>2890136</v>
      </c>
      <c r="I179" s="233">
        <v>2658928</v>
      </c>
      <c r="J179" s="233">
        <v>2658928</v>
      </c>
      <c r="K179" s="233">
        <v>2658928</v>
      </c>
      <c r="L179" s="233">
        <v>2658928</v>
      </c>
      <c r="M179" s="233">
        <v>2658928</v>
      </c>
      <c r="N179" s="233">
        <v>2658928</v>
      </c>
      <c r="O179" s="233">
        <v>2658928</v>
      </c>
    </row>
    <row r="180" spans="1:15">
      <c r="A180" s="190">
        <f t="shared" si="3"/>
        <v>179</v>
      </c>
      <c r="B180" s="197" cm="1">
        <f t="array" ref="B180">INDEX(C$1:O$1, MATCH(TRUE, INDEX(($C180:$O180 &lt;&gt; 0), 0),0))</f>
        <v>43830</v>
      </c>
      <c r="C180" s="233">
        <v>2374040</v>
      </c>
      <c r="D180" s="233">
        <v>2374040</v>
      </c>
      <c r="E180" s="233">
        <v>2184120</v>
      </c>
      <c r="F180" s="233">
        <v>2184120</v>
      </c>
      <c r="G180" s="233">
        <v>2009392</v>
      </c>
      <c r="H180" s="233">
        <v>2009392</v>
      </c>
      <c r="I180" s="233">
        <v>2009392</v>
      </c>
      <c r="J180" s="233">
        <v>2009392</v>
      </c>
      <c r="K180" s="233">
        <v>1848640</v>
      </c>
      <c r="L180" s="233">
        <v>1848640</v>
      </c>
      <c r="M180" s="233">
        <v>1848640</v>
      </c>
      <c r="N180" s="233">
        <v>1848640</v>
      </c>
      <c r="O180" s="233">
        <v>1848640</v>
      </c>
    </row>
    <row r="181" spans="1:15">
      <c r="A181" s="190">
        <f t="shared" si="3"/>
        <v>180</v>
      </c>
      <c r="B181" s="197" cm="1">
        <f t="array" ref="B181">INDEX(C$1:O$1, MATCH(TRUE, INDEX(($C181:$O181 &lt;&gt; 0), 0),0))</f>
        <v>43830</v>
      </c>
      <c r="C181" s="233">
        <v>2374040</v>
      </c>
      <c r="D181" s="233">
        <v>2374040</v>
      </c>
      <c r="E181" s="233">
        <v>2374040</v>
      </c>
      <c r="F181" s="233">
        <v>2374040</v>
      </c>
      <c r="G181" s="233">
        <v>2374040</v>
      </c>
      <c r="H181" s="233">
        <v>2658928</v>
      </c>
      <c r="I181" s="233">
        <v>2978000</v>
      </c>
      <c r="J181" s="233">
        <v>2978000</v>
      </c>
      <c r="K181" s="233">
        <v>2978000</v>
      </c>
      <c r="L181" s="233">
        <v>2978000</v>
      </c>
      <c r="M181" s="233">
        <v>0</v>
      </c>
      <c r="N181" s="233">
        <v>0</v>
      </c>
      <c r="O181" s="233">
        <v>0</v>
      </c>
    </row>
    <row r="182" spans="1:15">
      <c r="A182" s="190">
        <f t="shared" si="3"/>
        <v>181</v>
      </c>
      <c r="B182" s="197" cm="1">
        <f t="array" ref="B182">INDEX(C$1:O$1, MATCH(TRUE, INDEX(($C182:$O182 &lt;&gt; 0), 0),0))</f>
        <v>43830</v>
      </c>
      <c r="C182" s="233">
        <v>1152000</v>
      </c>
      <c r="D182" s="233">
        <v>1152000</v>
      </c>
      <c r="E182" s="233">
        <v>1152000</v>
      </c>
      <c r="F182" s="233">
        <v>1152000</v>
      </c>
      <c r="G182" s="233">
        <v>1152000</v>
      </c>
      <c r="H182" s="233">
        <v>1152000</v>
      </c>
      <c r="I182" s="233">
        <v>1152000</v>
      </c>
      <c r="J182" s="233">
        <v>1059840</v>
      </c>
      <c r="K182" s="233">
        <v>1187024</v>
      </c>
      <c r="L182" s="233">
        <v>1187024</v>
      </c>
      <c r="M182" s="233">
        <v>1329464</v>
      </c>
      <c r="N182" s="233">
        <v>1223104</v>
      </c>
      <c r="O182" s="233">
        <v>1223104</v>
      </c>
    </row>
    <row r="183" spans="1:15">
      <c r="A183" s="190">
        <f t="shared" si="3"/>
        <v>182</v>
      </c>
      <c r="B183" s="197" cm="1">
        <f t="array" ref="B183">INDEX(C$1:O$1, MATCH(TRUE, INDEX(($C183:$O183 &lt;&gt; 0), 0),0))</f>
        <v>43830</v>
      </c>
      <c r="C183" s="233">
        <v>3335360</v>
      </c>
      <c r="D183" s="233">
        <v>3735600</v>
      </c>
      <c r="E183" s="233">
        <v>3161816</v>
      </c>
      <c r="F183" s="233">
        <v>2908864</v>
      </c>
      <c r="G183" s="233">
        <v>2676160</v>
      </c>
      <c r="H183" s="233">
        <v>2676160</v>
      </c>
      <c r="I183" s="233">
        <v>2997296</v>
      </c>
      <c r="J183" s="233">
        <v>2997296</v>
      </c>
      <c r="K183" s="233">
        <v>3356976</v>
      </c>
      <c r="L183" s="233">
        <v>3759808</v>
      </c>
      <c r="M183" s="233">
        <v>3759808</v>
      </c>
      <c r="N183" s="233">
        <v>3759808</v>
      </c>
      <c r="O183" s="233">
        <v>3759808</v>
      </c>
    </row>
    <row r="184" spans="1:15">
      <c r="A184" s="190">
        <f t="shared" si="3"/>
        <v>183</v>
      </c>
      <c r="B184" s="197" cm="1">
        <f t="array" ref="B184">INDEX(C$1:O$1, MATCH(TRUE, INDEX(($C184:$O184 &lt;&gt; 0), 0),0))</f>
        <v>43830</v>
      </c>
      <c r="C184" s="233">
        <v>2925160</v>
      </c>
      <c r="D184" s="233">
        <v>2925160</v>
      </c>
      <c r="E184" s="233">
        <v>2925160</v>
      </c>
      <c r="F184" s="233">
        <v>2925160</v>
      </c>
      <c r="G184" s="233">
        <v>2925160</v>
      </c>
      <c r="H184" s="233">
        <v>2925160</v>
      </c>
      <c r="I184" s="233">
        <v>2925160</v>
      </c>
      <c r="J184" s="233">
        <v>2475856</v>
      </c>
      <c r="K184" s="233">
        <v>2475856</v>
      </c>
      <c r="L184" s="233">
        <v>2475856</v>
      </c>
      <c r="M184" s="233">
        <v>2475856</v>
      </c>
      <c r="N184" s="233">
        <v>2475856</v>
      </c>
      <c r="O184" s="233">
        <v>2475856</v>
      </c>
    </row>
    <row r="185" spans="1:15">
      <c r="A185" s="190">
        <f t="shared" si="3"/>
        <v>184</v>
      </c>
      <c r="B185" s="197" cm="1">
        <f t="array" ref="B185">INDEX(C$1:O$1, MATCH(TRUE, INDEX(($C185:$O185 &lt;&gt; 0), 0),0))</f>
        <v>43830</v>
      </c>
      <c r="C185" s="233">
        <v>4335208</v>
      </c>
      <c r="D185" s="233">
        <v>4335208</v>
      </c>
      <c r="E185" s="233">
        <v>4855432</v>
      </c>
      <c r="F185" s="233">
        <v>4467000</v>
      </c>
      <c r="G185" s="233">
        <v>4467000</v>
      </c>
      <c r="H185" s="233">
        <v>4467000</v>
      </c>
      <c r="I185" s="233">
        <v>4467000</v>
      </c>
      <c r="J185" s="233">
        <v>4467000</v>
      </c>
      <c r="K185" s="233">
        <v>0</v>
      </c>
      <c r="L185" s="233">
        <v>0</v>
      </c>
      <c r="M185" s="233">
        <v>0</v>
      </c>
      <c r="N185" s="233">
        <v>0</v>
      </c>
      <c r="O185" s="233">
        <v>0</v>
      </c>
    </row>
    <row r="186" spans="1:15">
      <c r="A186" s="190">
        <f t="shared" si="3"/>
        <v>185</v>
      </c>
      <c r="B186" s="197" cm="1">
        <f t="array" ref="B186">INDEX(C$1:O$1, MATCH(TRUE, INDEX(($C186:$O186 &lt;&gt; 0), 0),0))</f>
        <v>43830</v>
      </c>
      <c r="C186" s="233">
        <v>1223104</v>
      </c>
      <c r="D186" s="233">
        <v>1369880</v>
      </c>
      <c r="E186" s="233">
        <v>1369880</v>
      </c>
      <c r="F186" s="233">
        <v>1369880</v>
      </c>
      <c r="G186" s="233">
        <v>1369880</v>
      </c>
      <c r="H186" s="233">
        <v>1369880</v>
      </c>
      <c r="I186" s="233">
        <v>1369880</v>
      </c>
      <c r="J186" s="233">
        <v>1534264</v>
      </c>
      <c r="K186" s="233">
        <v>1770616</v>
      </c>
      <c r="L186" s="233">
        <v>1628968</v>
      </c>
      <c r="M186" s="233">
        <v>1628968</v>
      </c>
      <c r="N186" s="233">
        <v>1628968</v>
      </c>
      <c r="O186" s="233">
        <v>1498648</v>
      </c>
    </row>
    <row r="187" spans="1:15">
      <c r="A187" s="190">
        <f t="shared" si="3"/>
        <v>186</v>
      </c>
      <c r="B187" s="197" cm="1">
        <f t="array" ref="B187">INDEX(C$1:O$1, MATCH(TRUE, INDEX(($C187:$O187 &lt;&gt; 0), 0),0))</f>
        <v>43921</v>
      </c>
      <c r="C187" s="233">
        <v>0</v>
      </c>
      <c r="D187" s="233">
        <v>2304000</v>
      </c>
      <c r="E187" s="233">
        <v>2304000</v>
      </c>
      <c r="F187" s="233">
        <v>2304000</v>
      </c>
      <c r="G187" s="233">
        <v>2304000</v>
      </c>
      <c r="H187" s="233">
        <v>2304000</v>
      </c>
      <c r="I187" s="233">
        <v>2119680</v>
      </c>
      <c r="J187" s="233">
        <v>2119680</v>
      </c>
      <c r="K187" s="233">
        <v>1950104</v>
      </c>
      <c r="L187" s="233">
        <v>2184120</v>
      </c>
      <c r="M187" s="233">
        <v>2009392</v>
      </c>
      <c r="N187" s="233">
        <v>2009392</v>
      </c>
      <c r="O187" s="233">
        <v>2009392</v>
      </c>
    </row>
    <row r="188" spans="1:15">
      <c r="A188" s="190">
        <f t="shared" si="3"/>
        <v>187</v>
      </c>
      <c r="B188" s="197" cm="1">
        <f t="array" ref="B188">INDEX(C$1:O$1, MATCH(TRUE, INDEX(($C188:$O188 &lt;&gt; 0), 0),0))</f>
        <v>43830</v>
      </c>
      <c r="C188" s="233">
        <v>2304000</v>
      </c>
      <c r="D188" s="233">
        <v>2304000</v>
      </c>
      <c r="E188" s="233">
        <v>2119680</v>
      </c>
      <c r="F188" s="233">
        <v>2119680</v>
      </c>
      <c r="G188" s="233">
        <v>2119680</v>
      </c>
      <c r="H188" s="233">
        <v>2374040</v>
      </c>
      <c r="I188" s="233">
        <v>2374040</v>
      </c>
      <c r="J188" s="233">
        <v>2374040</v>
      </c>
      <c r="K188" s="233">
        <v>2374040</v>
      </c>
      <c r="L188" s="233">
        <v>2658928</v>
      </c>
      <c r="M188" s="233">
        <v>2978000</v>
      </c>
      <c r="N188" s="233">
        <v>2978000</v>
      </c>
      <c r="O188" s="233">
        <v>2978000</v>
      </c>
    </row>
    <row r="189" spans="1:15">
      <c r="A189" s="190">
        <f t="shared" si="3"/>
        <v>188</v>
      </c>
      <c r="B189" s="197" cm="1">
        <f t="array" ref="B189">INDEX(C$1:O$1, MATCH(TRUE, INDEX(($C189:$O189 &lt;&gt; 0), 0),0))</f>
        <v>43830</v>
      </c>
      <c r="C189" s="233">
        <v>2374040</v>
      </c>
      <c r="D189" s="233">
        <v>2184120</v>
      </c>
      <c r="E189" s="233">
        <v>2184120</v>
      </c>
      <c r="F189" s="233">
        <v>2184120</v>
      </c>
      <c r="G189" s="233">
        <v>2184120</v>
      </c>
      <c r="H189" s="233">
        <v>2184120</v>
      </c>
      <c r="I189" s="233">
        <v>2446216</v>
      </c>
      <c r="J189" s="233">
        <v>2446216</v>
      </c>
      <c r="K189" s="233">
        <v>2446216</v>
      </c>
      <c r="L189" s="233">
        <v>2446216</v>
      </c>
      <c r="M189" s="233">
        <v>2446216</v>
      </c>
      <c r="N189" s="233">
        <v>2446216</v>
      </c>
      <c r="O189" s="233">
        <v>2739760</v>
      </c>
    </row>
    <row r="190" spans="1:15">
      <c r="A190" s="190">
        <f t="shared" si="3"/>
        <v>189</v>
      </c>
      <c r="B190" s="197" cm="1">
        <f t="array" ref="B190">INDEX(C$1:O$1, MATCH(TRUE, INDEX(($C190:$O190 &lt;&gt; 0), 0),0))</f>
        <v>43830</v>
      </c>
      <c r="C190" s="233">
        <v>3561064</v>
      </c>
      <c r="D190" s="233">
        <v>3561064</v>
      </c>
      <c r="E190" s="233">
        <v>3276176</v>
      </c>
      <c r="F190" s="233">
        <v>3276176</v>
      </c>
      <c r="G190" s="233">
        <v>3276176</v>
      </c>
      <c r="H190" s="233">
        <v>3276176</v>
      </c>
      <c r="I190" s="233">
        <v>3669320</v>
      </c>
      <c r="J190" s="233">
        <v>3669320</v>
      </c>
      <c r="K190" s="233">
        <v>3669320</v>
      </c>
      <c r="L190" s="233">
        <v>3375776</v>
      </c>
      <c r="M190" s="233">
        <v>3375776</v>
      </c>
      <c r="N190" s="233">
        <v>3375776</v>
      </c>
      <c r="O190" s="233">
        <v>3105712</v>
      </c>
    </row>
    <row r="191" spans="1:15">
      <c r="A191" s="190">
        <f t="shared" si="3"/>
        <v>190</v>
      </c>
      <c r="B191" s="197" cm="1">
        <f t="array" ref="B191">INDEX(C$1:O$1, MATCH(TRUE, INDEX(($C191:$O191 &lt;&gt; 0), 0),0))</f>
        <v>43830</v>
      </c>
      <c r="C191" s="233">
        <v>1290240</v>
      </c>
      <c r="D191" s="233">
        <v>1290240</v>
      </c>
      <c r="E191" s="233">
        <v>0</v>
      </c>
      <c r="F191" s="233">
        <v>0</v>
      </c>
      <c r="G191" s="233">
        <v>0</v>
      </c>
      <c r="H191" s="233">
        <v>0</v>
      </c>
      <c r="I191" s="233">
        <v>0</v>
      </c>
      <c r="J191" s="233">
        <v>0</v>
      </c>
      <c r="K191" s="233">
        <v>0</v>
      </c>
      <c r="L191" s="233">
        <v>0</v>
      </c>
      <c r="M191" s="233">
        <v>0</v>
      </c>
      <c r="N191" s="233">
        <v>0</v>
      </c>
      <c r="O191" s="233">
        <v>0</v>
      </c>
    </row>
    <row r="192" spans="1:15">
      <c r="A192" s="190">
        <f t="shared" si="3"/>
        <v>191</v>
      </c>
      <c r="B192" s="197" cm="1">
        <f t="array" ref="B192">INDEX(C$1:O$1, MATCH(TRUE, INDEX(($C192:$O192 &lt;&gt; 0), 0),0))</f>
        <v>43830</v>
      </c>
      <c r="C192" s="233">
        <v>2009392</v>
      </c>
      <c r="D192" s="233">
        <v>2009392</v>
      </c>
      <c r="E192" s="233">
        <v>2009392</v>
      </c>
      <c r="F192" s="233">
        <v>2009392</v>
      </c>
      <c r="G192" s="233">
        <v>2009392</v>
      </c>
      <c r="H192" s="233">
        <v>1848640</v>
      </c>
      <c r="I192" s="233">
        <v>1848640</v>
      </c>
      <c r="J192" s="233">
        <v>1848640</v>
      </c>
      <c r="K192" s="233">
        <v>1848640</v>
      </c>
      <c r="L192" s="233">
        <v>2070472</v>
      </c>
      <c r="M192" s="233">
        <v>2070472</v>
      </c>
      <c r="N192" s="233">
        <v>1904840</v>
      </c>
      <c r="O192" s="233">
        <v>1904840</v>
      </c>
    </row>
    <row r="193" spans="1:15">
      <c r="A193" s="190">
        <f t="shared" si="3"/>
        <v>192</v>
      </c>
      <c r="B193" s="197" cm="1">
        <f t="array" ref="B193">INDEX(C$1:O$1, MATCH(TRUE, INDEX(($C193:$O193 &lt;&gt; 0), 0),0))</f>
        <v>43830</v>
      </c>
      <c r="C193" s="233">
        <v>1059840</v>
      </c>
      <c r="D193" s="233">
        <v>975056</v>
      </c>
      <c r="E193" s="233">
        <v>1092056</v>
      </c>
      <c r="F193" s="233">
        <v>1092056</v>
      </c>
      <c r="G193" s="233">
        <v>1223104</v>
      </c>
      <c r="H193" s="233">
        <v>1125256</v>
      </c>
      <c r="I193" s="233">
        <v>1035240</v>
      </c>
      <c r="J193" s="233">
        <v>1035240</v>
      </c>
      <c r="K193" s="233">
        <v>952416</v>
      </c>
      <c r="L193" s="233">
        <v>876224</v>
      </c>
      <c r="M193" s="233">
        <v>981368</v>
      </c>
      <c r="N193" s="233">
        <v>981368</v>
      </c>
      <c r="O193" s="233">
        <v>981368</v>
      </c>
    </row>
    <row r="194" spans="1:15">
      <c r="A194" s="190">
        <f t="shared" si="3"/>
        <v>193</v>
      </c>
      <c r="B194" s="197" cm="1">
        <f t="array" ref="B194">INDEX(C$1:O$1, MATCH(TRUE, INDEX(($C194:$O194 &lt;&gt; 0), 0),0))</f>
        <v>43830</v>
      </c>
      <c r="C194" s="233">
        <v>3456000</v>
      </c>
      <c r="D194" s="233">
        <v>3456000</v>
      </c>
      <c r="E194" s="233">
        <v>3870720</v>
      </c>
      <c r="F194" s="233">
        <v>3870720</v>
      </c>
      <c r="G194" s="233">
        <v>3870720</v>
      </c>
      <c r="H194" s="233">
        <v>3870720</v>
      </c>
      <c r="I194" s="233">
        <v>3870720</v>
      </c>
      <c r="J194" s="233">
        <v>3870720</v>
      </c>
      <c r="K194" s="233">
        <v>3870720</v>
      </c>
      <c r="L194" s="233">
        <v>3870720</v>
      </c>
      <c r="M194" s="233">
        <v>3870720</v>
      </c>
      <c r="N194" s="233">
        <v>3870720</v>
      </c>
      <c r="O194" s="233">
        <v>3870720</v>
      </c>
    </row>
    <row r="195" spans="1:15">
      <c r="A195" s="190">
        <f t="shared" si="3"/>
        <v>194</v>
      </c>
      <c r="B195" s="197" cm="1">
        <f t="array" ref="B195">INDEX(C$1:O$1, MATCH(TRUE, INDEX(($C195:$O195 &lt;&gt; 0), 0),0))</f>
        <v>43921</v>
      </c>
      <c r="C195" s="233">
        <v>0</v>
      </c>
      <c r="D195" s="233">
        <v>3870720</v>
      </c>
      <c r="E195" s="233">
        <v>3870720</v>
      </c>
      <c r="F195" s="233">
        <v>3870720</v>
      </c>
      <c r="G195" s="233">
        <v>3870720</v>
      </c>
      <c r="H195" s="233">
        <v>3870720</v>
      </c>
      <c r="I195" s="233">
        <v>3870720</v>
      </c>
      <c r="J195" s="233">
        <v>3870720</v>
      </c>
      <c r="K195" s="233">
        <v>3561064</v>
      </c>
      <c r="L195" s="233">
        <v>3561064</v>
      </c>
      <c r="M195" s="233">
        <v>3988392</v>
      </c>
      <c r="N195" s="233">
        <v>3988392</v>
      </c>
      <c r="O195" s="233">
        <v>3669320</v>
      </c>
    </row>
    <row r="196" spans="1:15">
      <c r="A196" s="190">
        <f t="shared" si="3"/>
        <v>195</v>
      </c>
      <c r="B196" s="197" cm="1">
        <f t="array" ref="B196">INDEX(C$1:O$1, MATCH(TRUE, INDEX(($C196:$O196 &lt;&gt; 0), 0),0))</f>
        <v>43830</v>
      </c>
      <c r="C196" s="233">
        <v>2925160</v>
      </c>
      <c r="D196" s="233">
        <v>2925160</v>
      </c>
      <c r="E196" s="233">
        <v>2925160</v>
      </c>
      <c r="F196" s="233">
        <v>2925160</v>
      </c>
      <c r="G196" s="233">
        <v>2691144</v>
      </c>
      <c r="H196" s="233">
        <v>3014080</v>
      </c>
      <c r="I196" s="233">
        <v>3014080</v>
      </c>
      <c r="J196" s="233">
        <v>3014080</v>
      </c>
      <c r="K196" s="233">
        <v>3014080</v>
      </c>
      <c r="L196" s="233">
        <v>3375776</v>
      </c>
      <c r="M196" s="233">
        <v>3375776</v>
      </c>
      <c r="N196" s="233">
        <v>3105712</v>
      </c>
      <c r="O196" s="233">
        <v>3105712</v>
      </c>
    </row>
    <row r="197" spans="1:15">
      <c r="A197" s="190">
        <f t="shared" si="3"/>
        <v>196</v>
      </c>
      <c r="B197" s="197" cm="1">
        <f t="array" ref="B197">INDEX(C$1:O$1, MATCH(TRUE, INDEX(($C197:$O197 &lt;&gt; 0), 0),0))</f>
        <v>43830</v>
      </c>
      <c r="C197" s="233">
        <v>1489000</v>
      </c>
      <c r="D197" s="233">
        <v>1489000</v>
      </c>
      <c r="E197" s="233">
        <v>1489000</v>
      </c>
      <c r="F197" s="233">
        <v>1489000</v>
      </c>
      <c r="G197" s="233">
        <v>1489000</v>
      </c>
      <c r="H197" s="233">
        <v>1489000</v>
      </c>
      <c r="I197" s="233">
        <v>0</v>
      </c>
      <c r="J197" s="233">
        <v>0</v>
      </c>
      <c r="K197" s="233">
        <v>0</v>
      </c>
      <c r="L197" s="233">
        <v>0</v>
      </c>
      <c r="M197" s="233">
        <v>0</v>
      </c>
      <c r="N197" s="233">
        <v>0</v>
      </c>
      <c r="O197" s="233">
        <v>0</v>
      </c>
    </row>
  </sheetData>
  <sortState xmlns:xlrd2="http://schemas.microsoft.com/office/spreadsheetml/2017/richdata2" ref="A2:Q197">
    <sortCondition ref="A2:A197"/>
  </sortState>
  <pageMargins left="0.25" right="0.25" top="0.5" bottom="0.25" header="0.3" footer="0.3"/>
  <pageSetup scale="10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Resources</vt:lpstr>
      <vt:lpstr>Start -&gt;</vt:lpstr>
      <vt:lpstr>Model (Start)</vt:lpstr>
      <vt:lpstr>Raw Customer ARR (Start)</vt:lpstr>
      <vt:lpstr>End -&gt;</vt:lpstr>
      <vt:lpstr>Transaction</vt:lpstr>
      <vt:lpstr>Model</vt:lpstr>
      <vt:lpstr>Billing Waterfall</vt:lpstr>
      <vt:lpstr>Capitalizations</vt:lpstr>
      <vt:lpstr>SaaS Metrics</vt:lpstr>
      <vt:lpstr>Cohorts</vt:lpstr>
      <vt:lpstr>ARR Waterfall</vt:lpstr>
      <vt:lpstr>Raw Customer ARR</vt:lpstr>
      <vt:lpstr>mike</vt:lpstr>
      <vt:lpstr>'ARR Waterfall'!Print_Area</vt:lpstr>
      <vt:lpstr>'Billing Waterfall'!Print_Area</vt:lpstr>
      <vt:lpstr>Capitalizations!Print_Area</vt:lpstr>
      <vt:lpstr>Cohorts!Print_Area</vt:lpstr>
      <vt:lpstr>Model!Print_Area</vt:lpstr>
      <vt:lpstr>'Model (Start)'!Print_Area</vt:lpstr>
      <vt:lpstr>'SaaS Metrics'!Print_Area</vt:lpstr>
      <vt:lpstr>Transaction!Print_Area</vt:lpstr>
      <vt:lpstr>'ARR Waterfall'!unit</vt:lpstr>
      <vt:lpstr>Cohorts!unit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mhinckley</dc:creator>
  <cp:lastModifiedBy>Mike Hinckley</cp:lastModifiedBy>
  <dcterms:created xsi:type="dcterms:W3CDTF">2021-01-06T16:29:03Z</dcterms:created>
  <dcterms:modified xsi:type="dcterms:W3CDTF">2024-01-22T18:57:16Z</dcterms:modified>
</cp:coreProperties>
</file>