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8_{DC196A15-8BA6-4EEC-A201-C867198F8923}" xr6:coauthVersionLast="47" xr6:coauthVersionMax="47" xr10:uidLastSave="{00000000-0000-0000-0000-000000000000}"/>
  <bookViews>
    <workbookView xWindow="-98" yWindow="-98" windowWidth="22875" windowHeight="14356" tabRatio="923" xr2:uid="{149DA278-98FA-47F8-A916-DD05CF127C47}"/>
  </bookViews>
  <sheets>
    <sheet name="Resources" sheetId="97" r:id="rId1"/>
    <sheet name="Start -&gt;" sheetId="78" r:id="rId2"/>
    <sheet name="Model (Start)" sheetId="99" r:id="rId3"/>
    <sheet name="Primary Assumptions (Start)" sheetId="98" r:id="rId4"/>
    <sheet name="End -&gt;" sheetId="96" r:id="rId5"/>
    <sheet name="Transaction" sheetId="93" r:id="rId6"/>
    <sheet name="Model" sheetId="86" r:id="rId7"/>
    <sheet name="Billing Waterfall" sheetId="94" r:id="rId8"/>
    <sheet name="Capitalizations" sheetId="95" r:id="rId9"/>
    <sheet name="SaaS Metrics" sheetId="90" r:id="rId10"/>
    <sheet name="Cohorts" sheetId="92" r:id="rId11"/>
    <sheet name="ARR Waterfall" sheetId="89" r:id="rId12"/>
    <sheet name="Raw Customer ARR" sheetId="85" r:id="rId13"/>
  </sheets>
  <definedNames>
    <definedName name="different">#REF!</definedName>
    <definedName name="mike">'ARR Waterfall'!$A$8</definedName>
    <definedName name="_xlnm.Print_Area" localSheetId="11">'ARR Waterfall'!$A$1:$H$4</definedName>
    <definedName name="_xlnm.Print_Area" localSheetId="7">'Billing Waterfall'!$B$1:$B$68</definedName>
    <definedName name="_xlnm.Print_Area" localSheetId="8">Capitalizations!$B$1:$B$79</definedName>
    <definedName name="_xlnm.Print_Area" localSheetId="10">Cohorts!$A$1:$I$70</definedName>
    <definedName name="_xlnm.Print_Area" localSheetId="6">Model!$B$1:$H$4</definedName>
    <definedName name="_xlnm.Print_Area" localSheetId="2">'Model (Start)'!$B$1:$H$4</definedName>
    <definedName name="_xlnm.Print_Area" localSheetId="9">'SaaS Metrics'!$B$1:$H$4</definedName>
    <definedName name="_xlnm.Print_Area" localSheetId="5">Transaction!$B$1:$I$3</definedName>
    <definedName name="unit" localSheetId="11">'ARR Waterfall'!$A$1</definedName>
    <definedName name="unit" localSheetId="7">'Billing Waterfall'!#REF!</definedName>
    <definedName name="unit" localSheetId="8">Capitalizations!#REF!</definedName>
    <definedName name="unit" localSheetId="10">Cohorts!$A$1</definedName>
    <definedName name="unit" localSheetId="6">Model!#REF!</definedName>
    <definedName name="unit" localSheetId="2">'Model (Start)'!#REF!</definedName>
    <definedName name="unit" localSheetId="9">'SaaS Metrics'!#REF!</definedName>
    <definedName name="unit" localSheetId="5">Transaction!#REF!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0" i="95" l="1"/>
  <c r="AA59" i="95"/>
  <c r="Z59" i="95"/>
  <c r="AA58" i="95"/>
  <c r="Z58" i="95"/>
  <c r="Y58" i="95"/>
  <c r="AA57" i="95"/>
  <c r="Z57" i="95"/>
  <c r="Y57" i="95"/>
  <c r="X57" i="95"/>
  <c r="AC126" i="94"/>
  <c r="AB97" i="94"/>
  <c r="AC124" i="94"/>
  <c r="AH53" i="90"/>
  <c r="AG53" i="90"/>
  <c r="AF53" i="90"/>
  <c r="AE53" i="90"/>
  <c r="AD53" i="90"/>
  <c r="AC53" i="90"/>
  <c r="AB53" i="90"/>
  <c r="AA53" i="90"/>
  <c r="Z53" i="90"/>
  <c r="Y53" i="90"/>
  <c r="X53" i="90"/>
  <c r="W53" i="90"/>
  <c r="V53" i="90"/>
  <c r="U53" i="90"/>
  <c r="T53" i="90"/>
  <c r="S53" i="90"/>
  <c r="R53" i="90"/>
  <c r="Q53" i="90"/>
  <c r="P53" i="90"/>
  <c r="N63" i="99"/>
  <c r="N57" i="99"/>
  <c r="B27" i="99"/>
  <c r="N26" i="99"/>
  <c r="M26" i="99"/>
  <c r="L26" i="99"/>
  <c r="K26" i="99"/>
  <c r="J26" i="99"/>
  <c r="I26" i="99"/>
  <c r="H26" i="99"/>
  <c r="G26" i="99"/>
  <c r="F26" i="99"/>
  <c r="E26" i="99"/>
  <c r="D26" i="99"/>
  <c r="C26" i="99"/>
  <c r="B26" i="99"/>
  <c r="N25" i="99"/>
  <c r="M25" i="99"/>
  <c r="L25" i="99"/>
  <c r="K25" i="99"/>
  <c r="J25" i="99"/>
  <c r="I25" i="99"/>
  <c r="H25" i="99"/>
  <c r="G25" i="99"/>
  <c r="F25" i="99"/>
  <c r="E25" i="99"/>
  <c r="D25" i="99"/>
  <c r="C25" i="99"/>
  <c r="B25" i="99"/>
  <c r="N24" i="99"/>
  <c r="M24" i="99"/>
  <c r="L24" i="99"/>
  <c r="K24" i="99"/>
  <c r="J24" i="99"/>
  <c r="I24" i="99"/>
  <c r="H24" i="99"/>
  <c r="G24" i="99"/>
  <c r="F24" i="99"/>
  <c r="E24" i="99"/>
  <c r="D24" i="99"/>
  <c r="C24" i="99"/>
  <c r="B24" i="99"/>
  <c r="N23" i="99"/>
  <c r="N27" i="99" s="1"/>
  <c r="M23" i="99"/>
  <c r="M27" i="99" s="1"/>
  <c r="L23" i="99"/>
  <c r="L27" i="99" s="1"/>
  <c r="K23" i="99"/>
  <c r="K27" i="99" s="1"/>
  <c r="J23" i="99"/>
  <c r="J27" i="99" s="1"/>
  <c r="I23" i="99"/>
  <c r="I27" i="99" s="1"/>
  <c r="H23" i="99"/>
  <c r="H27" i="99" s="1"/>
  <c r="G23" i="99"/>
  <c r="G27" i="99" s="1"/>
  <c r="F23" i="99"/>
  <c r="F27" i="99" s="1"/>
  <c r="E23" i="99"/>
  <c r="E27" i="99" s="1"/>
  <c r="D23" i="99"/>
  <c r="D27" i="99" s="1"/>
  <c r="C23" i="99"/>
  <c r="C27" i="99" s="1"/>
  <c r="N16" i="99"/>
  <c r="M16" i="99"/>
  <c r="L16" i="99"/>
  <c r="K16" i="99"/>
  <c r="J16" i="99"/>
  <c r="I16" i="99"/>
  <c r="H16" i="99"/>
  <c r="H29" i="99" s="1"/>
  <c r="G16" i="99"/>
  <c r="F16" i="99"/>
  <c r="F17" i="99" s="1"/>
  <c r="E16" i="99"/>
  <c r="E17" i="99" s="1"/>
  <c r="D16" i="99"/>
  <c r="C16" i="99"/>
  <c r="N12" i="99"/>
  <c r="M12" i="99"/>
  <c r="L12" i="99"/>
  <c r="K12" i="99"/>
  <c r="J12" i="99"/>
  <c r="I12" i="99"/>
  <c r="H12" i="99"/>
  <c r="G12" i="99"/>
  <c r="F12" i="99"/>
  <c r="N10" i="99"/>
  <c r="M10" i="99"/>
  <c r="L10" i="99"/>
  <c r="K10" i="99"/>
  <c r="J10" i="99"/>
  <c r="I10" i="99"/>
  <c r="H10" i="99"/>
  <c r="G10" i="99"/>
  <c r="D4" i="99"/>
  <c r="E4" i="99" s="1"/>
  <c r="F4" i="99" s="1"/>
  <c r="C3" i="99"/>
  <c r="G19" i="93"/>
  <c r="C14" i="93"/>
  <c r="C12" i="93"/>
  <c r="N68" i="86"/>
  <c r="L68" i="86"/>
  <c r="B11" i="98"/>
  <c r="B10" i="98"/>
  <c r="B9" i="98"/>
  <c r="G29" i="99" l="1"/>
  <c r="I29" i="99"/>
  <c r="J29" i="99"/>
  <c r="J37" i="99" s="1"/>
  <c r="J42" i="99" s="1"/>
  <c r="J43" i="99" s="1"/>
  <c r="K29" i="99"/>
  <c r="K37" i="99" s="1"/>
  <c r="K42" i="99" s="1"/>
  <c r="K43" i="99" s="1"/>
  <c r="D29" i="99"/>
  <c r="D30" i="99" s="1"/>
  <c r="C29" i="99"/>
  <c r="C30" i="99" s="1"/>
  <c r="E29" i="99"/>
  <c r="E30" i="99" s="1"/>
  <c r="L29" i="99"/>
  <c r="L30" i="99" s="1"/>
  <c r="M29" i="99"/>
  <c r="M30" i="99" s="1"/>
  <c r="H17" i="99"/>
  <c r="N64" i="99"/>
  <c r="G17" i="99"/>
  <c r="I17" i="99"/>
  <c r="M17" i="99"/>
  <c r="G4" i="99"/>
  <c r="F3" i="99"/>
  <c r="H37" i="99"/>
  <c r="H42" i="99" s="1"/>
  <c r="H43" i="99" s="1"/>
  <c r="H30" i="99"/>
  <c r="H33" i="99"/>
  <c r="H34" i="99" s="1"/>
  <c r="I37" i="99"/>
  <c r="I42" i="99" s="1"/>
  <c r="I43" i="99" s="1"/>
  <c r="I33" i="99"/>
  <c r="I34" i="99" s="1"/>
  <c r="I30" i="99"/>
  <c r="N29" i="99"/>
  <c r="N17" i="99"/>
  <c r="E3" i="99"/>
  <c r="G37" i="99"/>
  <c r="G42" i="99" s="1"/>
  <c r="G43" i="99" s="1"/>
  <c r="G30" i="99"/>
  <c r="G33" i="99"/>
  <c r="G34" i="99" s="1"/>
  <c r="F29" i="99"/>
  <c r="J30" i="99"/>
  <c r="K33" i="99"/>
  <c r="K34" i="99" s="1"/>
  <c r="J17" i="99"/>
  <c r="C17" i="99"/>
  <c r="K17" i="99"/>
  <c r="D3" i="99"/>
  <c r="D17" i="99"/>
  <c r="L17" i="99"/>
  <c r="AH70" i="90"/>
  <c r="AG70" i="90"/>
  <c r="AF70" i="90"/>
  <c r="AE70" i="90"/>
  <c r="AD70" i="90"/>
  <c r="AC70" i="90"/>
  <c r="AB70" i="90"/>
  <c r="AA70" i="90"/>
  <c r="Z70" i="90"/>
  <c r="Y70" i="90"/>
  <c r="X70" i="90"/>
  <c r="W70" i="90"/>
  <c r="V70" i="90"/>
  <c r="U70" i="90"/>
  <c r="T70" i="90"/>
  <c r="S70" i="90"/>
  <c r="R70" i="90"/>
  <c r="Q70" i="90"/>
  <c r="P70" i="90"/>
  <c r="O70" i="90"/>
  <c r="J33" i="99" l="1"/>
  <c r="J34" i="99" s="1"/>
  <c r="K30" i="99"/>
  <c r="L33" i="99"/>
  <c r="L34" i="99" s="1"/>
  <c r="M37" i="99"/>
  <c r="M42" i="99" s="1"/>
  <c r="M43" i="99" s="1"/>
  <c r="M33" i="99"/>
  <c r="M34" i="99" s="1"/>
  <c r="L37" i="99"/>
  <c r="L42" i="99" s="1"/>
  <c r="L43" i="99" s="1"/>
  <c r="H4" i="99"/>
  <c r="G3" i="99"/>
  <c r="N30" i="99"/>
  <c r="N37" i="99"/>
  <c r="N42" i="99" s="1"/>
  <c r="N43" i="99" s="1"/>
  <c r="N33" i="99"/>
  <c r="N34" i="99" s="1"/>
  <c r="F30" i="99"/>
  <c r="F33" i="99"/>
  <c r="F34" i="99" s="1"/>
  <c r="F37" i="99"/>
  <c r="F42" i="99" s="1"/>
  <c r="F43" i="99" s="1"/>
  <c r="I16" i="86"/>
  <c r="I17" i="86" s="1"/>
  <c r="I70" i="90" s="1"/>
  <c r="G16" i="86"/>
  <c r="G17" i="86" s="1"/>
  <c r="G70" i="90" s="1"/>
  <c r="C57" i="92" a="1"/>
  <c r="C57" i="92" s="1"/>
  <c r="M59" i="86"/>
  <c r="P17" i="89"/>
  <c r="Q17" i="89" s="1"/>
  <c r="R17" i="89" s="1"/>
  <c r="S17" i="89" s="1"/>
  <c r="T17" i="89" s="1"/>
  <c r="U17" i="89" s="1"/>
  <c r="V17" i="89" s="1"/>
  <c r="W17" i="89" s="1"/>
  <c r="X17" i="89" s="1"/>
  <c r="Y17" i="89" s="1"/>
  <c r="Z17" i="89" s="1"/>
  <c r="AA17" i="89" s="1"/>
  <c r="AB17" i="89" s="1"/>
  <c r="AC17" i="89" s="1"/>
  <c r="AD17" i="89" s="1"/>
  <c r="AE17" i="89" s="1"/>
  <c r="AF17" i="89" s="1"/>
  <c r="AG17" i="89" s="1"/>
  <c r="AH17" i="89" s="1"/>
  <c r="N65" i="86"/>
  <c r="N16" i="86"/>
  <c r="N17" i="86" s="1"/>
  <c r="N70" i="90" s="1"/>
  <c r="C6" i="89"/>
  <c r="C6" i="90" s="1"/>
  <c r="C4" i="90"/>
  <c r="C21" i="89"/>
  <c r="C14" i="90" s="1"/>
  <c r="N10" i="89" a="1"/>
  <c r="N10" i="89" s="1"/>
  <c r="M10" i="89" a="1"/>
  <c r="M10" i="89" s="1"/>
  <c r="L10" i="89" a="1"/>
  <c r="L10" i="89" s="1"/>
  <c r="K10" i="89" a="1"/>
  <c r="K10" i="89" s="1"/>
  <c r="J10" i="89" a="1"/>
  <c r="J10" i="89" s="1"/>
  <c r="I10" i="89" a="1"/>
  <c r="I10" i="89" s="1"/>
  <c r="H10" i="89" a="1"/>
  <c r="H10" i="89" s="1"/>
  <c r="G10" i="89" a="1"/>
  <c r="G10" i="89" s="1"/>
  <c r="F10" i="89" a="1"/>
  <c r="F10" i="89" s="1"/>
  <c r="E10" i="89" a="1"/>
  <c r="E10" i="89" s="1"/>
  <c r="D10" i="89" a="1"/>
  <c r="D10" i="89" s="1"/>
  <c r="N9" i="89" a="1"/>
  <c r="N9" i="89" s="1"/>
  <c r="M9" i="89" a="1"/>
  <c r="M9" i="89" s="1"/>
  <c r="L9" i="89" a="1"/>
  <c r="L9" i="89" s="1"/>
  <c r="K9" i="89" a="1"/>
  <c r="K9" i="89" s="1"/>
  <c r="J9" i="89" a="1"/>
  <c r="J9" i="89" s="1"/>
  <c r="I9" i="89" a="1"/>
  <c r="I9" i="89" s="1"/>
  <c r="H9" i="89" a="1"/>
  <c r="H9" i="89" s="1"/>
  <c r="G9" i="89" a="1"/>
  <c r="G9" i="89" s="1"/>
  <c r="F9" i="89" a="1"/>
  <c r="F9" i="89" s="1"/>
  <c r="E9" i="89" a="1"/>
  <c r="E9" i="89" s="1"/>
  <c r="D9" i="89" a="1"/>
  <c r="D9" i="89" s="1"/>
  <c r="N8" i="89" a="1"/>
  <c r="N8" i="89" s="1"/>
  <c r="M8" i="89" a="1"/>
  <c r="M8" i="89" s="1"/>
  <c r="L8" i="89" a="1"/>
  <c r="L8" i="89" s="1"/>
  <c r="K8" i="89" a="1"/>
  <c r="K8" i="89" s="1"/>
  <c r="J8" i="89" a="1"/>
  <c r="J8" i="89" s="1"/>
  <c r="I8" i="89" a="1"/>
  <c r="I8" i="89" s="1"/>
  <c r="H8" i="89" a="1"/>
  <c r="H8" i="89" s="1"/>
  <c r="G8" i="89" a="1"/>
  <c r="G8" i="89" s="1"/>
  <c r="F8" i="89" a="1"/>
  <c r="F8" i="89" s="1"/>
  <c r="E8" i="89" a="1"/>
  <c r="E8" i="89" s="1"/>
  <c r="D8" i="89" a="1"/>
  <c r="D8" i="89" s="1"/>
  <c r="N7" i="89" a="1"/>
  <c r="N7" i="89" s="1"/>
  <c r="M7" i="89" a="1"/>
  <c r="M7" i="89" s="1"/>
  <c r="L7" i="89" a="1"/>
  <c r="L7" i="89" s="1"/>
  <c r="K7" i="89" a="1"/>
  <c r="K7" i="89" s="1"/>
  <c r="J7" i="89" a="1"/>
  <c r="J7" i="89" s="1"/>
  <c r="I7" i="89" a="1"/>
  <c r="I7" i="89" s="1"/>
  <c r="H7" i="89" a="1"/>
  <c r="H7" i="89" s="1"/>
  <c r="G7" i="89" a="1"/>
  <c r="G7" i="89" s="1"/>
  <c r="F7" i="89" a="1"/>
  <c r="F7" i="89" s="1"/>
  <c r="E7" i="89" a="1"/>
  <c r="E7" i="89" s="1"/>
  <c r="D7" i="89" a="1"/>
  <c r="D7" i="89" s="1"/>
  <c r="D4" i="89"/>
  <c r="C23" i="89"/>
  <c r="C22" i="89"/>
  <c r="C10" i="89" a="1"/>
  <c r="C10" i="89" s="1"/>
  <c r="C9" i="89" a="1"/>
  <c r="C9" i="89" s="1"/>
  <c r="C9" i="90" s="1"/>
  <c r="C8" i="89" a="1"/>
  <c r="C8" i="89" s="1"/>
  <c r="C8" i="90" s="1"/>
  <c r="C7" i="89" a="1"/>
  <c r="C7" i="89" s="1"/>
  <c r="C7" i="90" s="1"/>
  <c r="C1" i="85"/>
  <c r="D5" i="92"/>
  <c r="E1" i="85"/>
  <c r="F1" i="85" s="1"/>
  <c r="G1" i="85" s="1"/>
  <c r="H1" i="85" s="1"/>
  <c r="I1" i="85" s="1"/>
  <c r="J1" i="85" s="1"/>
  <c r="K1" i="85" s="1"/>
  <c r="L1" i="85" s="1"/>
  <c r="M1" i="85" s="1"/>
  <c r="N1" i="85" s="1"/>
  <c r="O1" i="85" s="1"/>
  <c r="B13" i="97"/>
  <c r="H3" i="99" l="1"/>
  <c r="I4" i="99"/>
  <c r="E4" i="89"/>
  <c r="F4" i="89" s="1"/>
  <c r="H16" i="86"/>
  <c r="H17" i="86" s="1"/>
  <c r="H70" i="90" s="1"/>
  <c r="J12" i="86"/>
  <c r="M16" i="86"/>
  <c r="M17" i="86" s="1"/>
  <c r="M70" i="90" s="1"/>
  <c r="L16" i="86"/>
  <c r="L17" i="86" s="1"/>
  <c r="L70" i="90" s="1"/>
  <c r="C16" i="86"/>
  <c r="C17" i="86" s="1"/>
  <c r="C70" i="90" s="1"/>
  <c r="C10" i="90"/>
  <c r="C28" i="89"/>
  <c r="C16" i="90"/>
  <c r="C15" i="90"/>
  <c r="C27" i="89"/>
  <c r="C14" i="89"/>
  <c r="C16" i="89"/>
  <c r="C17" i="89"/>
  <c r="C15" i="89"/>
  <c r="C18" i="89"/>
  <c r="C11" i="89"/>
  <c r="C5" i="99" s="1"/>
  <c r="C9" i="99" s="1"/>
  <c r="F77" i="95"/>
  <c r="E77" i="95"/>
  <c r="F76" i="95"/>
  <c r="E76" i="95"/>
  <c r="F75" i="95"/>
  <c r="E75" i="95"/>
  <c r="F74" i="95"/>
  <c r="E74" i="95"/>
  <c r="F73" i="95"/>
  <c r="E73" i="95"/>
  <c r="F72" i="95"/>
  <c r="E72" i="95"/>
  <c r="F71" i="95"/>
  <c r="E71" i="95"/>
  <c r="F70" i="95"/>
  <c r="E70" i="95"/>
  <c r="F69" i="95"/>
  <c r="E69" i="95"/>
  <c r="F68" i="95"/>
  <c r="E68" i="95"/>
  <c r="F67" i="95"/>
  <c r="E67" i="95"/>
  <c r="F66" i="95"/>
  <c r="E66" i="95"/>
  <c r="F65" i="95"/>
  <c r="E65" i="95"/>
  <c r="F64" i="95"/>
  <c r="E64" i="95"/>
  <c r="F63" i="95"/>
  <c r="E63" i="95"/>
  <c r="F62" i="95"/>
  <c r="E62" i="95"/>
  <c r="F61" i="95"/>
  <c r="E61" i="95"/>
  <c r="F60" i="95"/>
  <c r="E60" i="95"/>
  <c r="F59" i="95"/>
  <c r="E59" i="95"/>
  <c r="F58" i="95"/>
  <c r="E58" i="95"/>
  <c r="F57" i="95"/>
  <c r="E57" i="95"/>
  <c r="I53" i="95"/>
  <c r="J53" i="95" s="1"/>
  <c r="K53" i="95" s="1"/>
  <c r="L53" i="95" s="1"/>
  <c r="M53" i="95" s="1"/>
  <c r="N53" i="95" s="1"/>
  <c r="O53" i="95" s="1"/>
  <c r="P53" i="95" s="1"/>
  <c r="Q53" i="95" s="1"/>
  <c r="R53" i="95" s="1"/>
  <c r="S53" i="95" s="1"/>
  <c r="T53" i="95" s="1"/>
  <c r="U53" i="95" s="1"/>
  <c r="V53" i="95" s="1"/>
  <c r="W53" i="95" s="1"/>
  <c r="X53" i="95" s="1"/>
  <c r="Y53" i="95" s="1"/>
  <c r="Z53" i="95" s="1"/>
  <c r="AA53" i="95" s="1"/>
  <c r="E37" i="95"/>
  <c r="E36" i="95"/>
  <c r="E35" i="95"/>
  <c r="E34" i="95"/>
  <c r="E33" i="95"/>
  <c r="E32" i="95"/>
  <c r="E31" i="95"/>
  <c r="E30" i="95"/>
  <c r="E29" i="95"/>
  <c r="E28" i="95"/>
  <c r="E27" i="95"/>
  <c r="E26" i="95"/>
  <c r="E25" i="95"/>
  <c r="E24" i="95"/>
  <c r="E23" i="95"/>
  <c r="E22" i="95"/>
  <c r="E21" i="95"/>
  <c r="E20" i="95"/>
  <c r="E19" i="95"/>
  <c r="E18" i="95"/>
  <c r="E17" i="95"/>
  <c r="P85" i="86"/>
  <c r="Q85" i="86" s="1"/>
  <c r="R85" i="86" s="1"/>
  <c r="S85" i="86" s="1"/>
  <c r="T85" i="86" s="1"/>
  <c r="U85" i="86" s="1"/>
  <c r="V85" i="86" s="1"/>
  <c r="W85" i="86" s="1"/>
  <c r="X85" i="86" s="1"/>
  <c r="Y85" i="86" s="1"/>
  <c r="Z85" i="86" s="1"/>
  <c r="AA85" i="86" s="1"/>
  <c r="AB85" i="86" s="1"/>
  <c r="AC85" i="86" s="1"/>
  <c r="AD85" i="86" s="1"/>
  <c r="AE85" i="86" s="1"/>
  <c r="AF85" i="86" s="1"/>
  <c r="AG85" i="86" s="1"/>
  <c r="AH85" i="86" s="1"/>
  <c r="H3" i="95"/>
  <c r="D101" i="94"/>
  <c r="D75" i="94"/>
  <c r="D76" i="94" s="1"/>
  <c r="D44" i="94"/>
  <c r="D17" i="94"/>
  <c r="D18" i="94" s="1"/>
  <c r="I4" i="94"/>
  <c r="J4" i="94" s="1"/>
  <c r="K4" i="94" s="1"/>
  <c r="L4" i="94" s="1"/>
  <c r="M4" i="94" s="1"/>
  <c r="N4" i="94" s="1"/>
  <c r="O4" i="94" s="1"/>
  <c r="P4" i="94" s="1"/>
  <c r="Q4" i="94" s="1"/>
  <c r="R4" i="94" s="1"/>
  <c r="S4" i="94" s="1"/>
  <c r="T4" i="94" s="1"/>
  <c r="U4" i="94" s="1"/>
  <c r="V4" i="94" s="1"/>
  <c r="W4" i="94" s="1"/>
  <c r="X4" i="94" s="1"/>
  <c r="Y4" i="94" s="1"/>
  <c r="Z4" i="94" s="1"/>
  <c r="AA4" i="94" s="1"/>
  <c r="AB4" i="94" s="1"/>
  <c r="I3" i="94"/>
  <c r="J3" i="94" s="1"/>
  <c r="K3" i="94" s="1"/>
  <c r="L3" i="94" s="1"/>
  <c r="M3" i="94" s="1"/>
  <c r="N3" i="94" s="1"/>
  <c r="O3" i="94" s="1"/>
  <c r="P3" i="94" s="1"/>
  <c r="Q3" i="94" s="1"/>
  <c r="R3" i="94" s="1"/>
  <c r="S3" i="94" s="1"/>
  <c r="T3" i="94" s="1"/>
  <c r="U3" i="94" s="1"/>
  <c r="V3" i="94" s="1"/>
  <c r="W3" i="94" s="1"/>
  <c r="X3" i="94" s="1"/>
  <c r="Y3" i="94" s="1"/>
  <c r="Z3" i="94" s="1"/>
  <c r="AA3" i="94" s="1"/>
  <c r="AB3" i="94" s="1"/>
  <c r="O65" i="90"/>
  <c r="O48" i="90"/>
  <c r="N59" i="86"/>
  <c r="N58" i="86"/>
  <c r="O58" i="86" s="1"/>
  <c r="P58" i="86" s="1"/>
  <c r="Q58" i="86" s="1"/>
  <c r="R58" i="86" s="1"/>
  <c r="S58" i="86" s="1"/>
  <c r="T58" i="86" s="1"/>
  <c r="U58" i="86" s="1"/>
  <c r="V58" i="86" s="1"/>
  <c r="W58" i="86" s="1"/>
  <c r="X58" i="86" s="1"/>
  <c r="Y58" i="86" s="1"/>
  <c r="Z58" i="86" s="1"/>
  <c r="AA58" i="86" s="1"/>
  <c r="AB58" i="86" s="1"/>
  <c r="AC58" i="86" s="1"/>
  <c r="AD58" i="86" s="1"/>
  <c r="AE58" i="86" s="1"/>
  <c r="AF58" i="86" s="1"/>
  <c r="AG58" i="86" s="1"/>
  <c r="AH58" i="86" s="1"/>
  <c r="C22" i="93" s="1"/>
  <c r="N57" i="86"/>
  <c r="N98" i="86" s="1"/>
  <c r="O95" i="86" s="1"/>
  <c r="N56" i="86"/>
  <c r="N72" i="86" s="1"/>
  <c r="N53" i="86"/>
  <c r="G49" i="95" s="1"/>
  <c r="N52" i="86"/>
  <c r="G9" i="95" s="1"/>
  <c r="N51" i="86"/>
  <c r="N50" i="86"/>
  <c r="N82" i="86" s="1"/>
  <c r="O79" i="86" s="1"/>
  <c r="G5" i="93"/>
  <c r="G8" i="93"/>
  <c r="C8" i="93"/>
  <c r="C7" i="93"/>
  <c r="N67" i="86"/>
  <c r="L67" i="86" s="1"/>
  <c r="N66" i="86"/>
  <c r="L66" i="86" s="1"/>
  <c r="C32" i="93"/>
  <c r="N49" i="86"/>
  <c r="N71" i="86" s="1"/>
  <c r="C89" i="92"/>
  <c r="O36" i="92"/>
  <c r="N36" i="92"/>
  <c r="M36" i="92"/>
  <c r="L36" i="92"/>
  <c r="K36" i="92"/>
  <c r="J36" i="92"/>
  <c r="I36" i="92"/>
  <c r="H36" i="92"/>
  <c r="G36" i="92"/>
  <c r="F36" i="92"/>
  <c r="E36" i="92"/>
  <c r="O35" i="92"/>
  <c r="N35" i="92"/>
  <c r="M35" i="92"/>
  <c r="L35" i="92"/>
  <c r="K35" i="92"/>
  <c r="J35" i="92"/>
  <c r="I35" i="92"/>
  <c r="H35" i="92"/>
  <c r="G35" i="92"/>
  <c r="F35" i="92"/>
  <c r="O34" i="92"/>
  <c r="N34" i="92"/>
  <c r="M34" i="92"/>
  <c r="L34" i="92"/>
  <c r="K34" i="92"/>
  <c r="J34" i="92"/>
  <c r="I34" i="92"/>
  <c r="H34" i="92"/>
  <c r="G34" i="92"/>
  <c r="O33" i="92"/>
  <c r="N33" i="92"/>
  <c r="M33" i="92"/>
  <c r="L33" i="92"/>
  <c r="K33" i="92"/>
  <c r="J33" i="92"/>
  <c r="I33" i="92"/>
  <c r="H33" i="92"/>
  <c r="O32" i="92"/>
  <c r="N32" i="92"/>
  <c r="M32" i="92"/>
  <c r="L32" i="92"/>
  <c r="K32" i="92"/>
  <c r="J32" i="92"/>
  <c r="I32" i="92"/>
  <c r="O31" i="92"/>
  <c r="N31" i="92"/>
  <c r="M31" i="92"/>
  <c r="L31" i="92"/>
  <c r="K31" i="92"/>
  <c r="J31" i="92"/>
  <c r="O30" i="92"/>
  <c r="N30" i="92"/>
  <c r="M30" i="92"/>
  <c r="L30" i="92"/>
  <c r="K30" i="92"/>
  <c r="O29" i="92"/>
  <c r="N29" i="92"/>
  <c r="M29" i="92"/>
  <c r="L29" i="92"/>
  <c r="O28" i="92"/>
  <c r="N28" i="92"/>
  <c r="M28" i="92"/>
  <c r="O27" i="92"/>
  <c r="N27" i="92"/>
  <c r="O26" i="92"/>
  <c r="B422" i="85" a="1"/>
  <c r="B422" i="85" s="1"/>
  <c r="B421" i="85" a="1"/>
  <c r="B421" i="85" s="1"/>
  <c r="B420" i="85" a="1"/>
  <c r="B420" i="85" s="1"/>
  <c r="B419" i="85" a="1"/>
  <c r="B419" i="85" s="1"/>
  <c r="B418" i="85" a="1"/>
  <c r="B418" i="85" s="1"/>
  <c r="B417" i="85" a="1"/>
  <c r="B417" i="85" s="1"/>
  <c r="B416" i="85" a="1"/>
  <c r="B416" i="85" s="1"/>
  <c r="B415" i="85" a="1"/>
  <c r="B415" i="85" s="1"/>
  <c r="B414" i="85" a="1"/>
  <c r="B414" i="85" s="1"/>
  <c r="B413" i="85" a="1"/>
  <c r="B413" i="85" s="1"/>
  <c r="B412" i="85" a="1"/>
  <c r="B412" i="85" s="1"/>
  <c r="B411" i="85" a="1"/>
  <c r="B411" i="85" s="1"/>
  <c r="B410" i="85" a="1"/>
  <c r="B410" i="85" s="1"/>
  <c r="B409" i="85" a="1"/>
  <c r="B409" i="85" s="1"/>
  <c r="B408" i="85" a="1"/>
  <c r="B408" i="85" s="1"/>
  <c r="B407" i="85" a="1"/>
  <c r="B407" i="85" s="1"/>
  <c r="B406" i="85" a="1"/>
  <c r="B406" i="85" s="1"/>
  <c r="B405" i="85" a="1"/>
  <c r="B405" i="85" s="1"/>
  <c r="B404" i="85" a="1"/>
  <c r="B404" i="85" s="1"/>
  <c r="B403" i="85" a="1"/>
  <c r="B403" i="85" s="1"/>
  <c r="B402" i="85" a="1"/>
  <c r="B402" i="85" s="1"/>
  <c r="B401" i="85" a="1"/>
  <c r="B401" i="85" s="1"/>
  <c r="B400" i="85" a="1"/>
  <c r="B400" i="85" s="1"/>
  <c r="B399" i="85" a="1"/>
  <c r="B399" i="85" s="1"/>
  <c r="B398" i="85" a="1"/>
  <c r="B398" i="85" s="1"/>
  <c r="B397" i="85" a="1"/>
  <c r="B397" i="85" s="1"/>
  <c r="B396" i="85" a="1"/>
  <c r="B396" i="85" s="1"/>
  <c r="B395" i="85" a="1"/>
  <c r="B395" i="85" s="1"/>
  <c r="B394" i="85" a="1"/>
  <c r="B394" i="85" s="1"/>
  <c r="B393" i="85" a="1"/>
  <c r="B393" i="85" s="1"/>
  <c r="B392" i="85" a="1"/>
  <c r="B392" i="85" s="1"/>
  <c r="B391" i="85" a="1"/>
  <c r="B391" i="85" s="1"/>
  <c r="B390" i="85" a="1"/>
  <c r="B390" i="85" s="1"/>
  <c r="B389" i="85" a="1"/>
  <c r="B389" i="85" s="1"/>
  <c r="B388" i="85" a="1"/>
  <c r="B388" i="85" s="1"/>
  <c r="B387" i="85" a="1"/>
  <c r="B387" i="85" s="1"/>
  <c r="B386" i="85" a="1"/>
  <c r="B386" i="85" s="1"/>
  <c r="B385" i="85" a="1"/>
  <c r="B385" i="85" s="1"/>
  <c r="B384" i="85" a="1"/>
  <c r="B384" i="85" s="1"/>
  <c r="B383" i="85" a="1"/>
  <c r="B383" i="85" s="1"/>
  <c r="B382" i="85" a="1"/>
  <c r="B382" i="85" s="1"/>
  <c r="B381" i="85" a="1"/>
  <c r="B381" i="85" s="1"/>
  <c r="B380" i="85" a="1"/>
  <c r="B380" i="85" s="1"/>
  <c r="B379" i="85" a="1"/>
  <c r="B379" i="85" s="1"/>
  <c r="B378" i="85" a="1"/>
  <c r="B378" i="85" s="1"/>
  <c r="B377" i="85" a="1"/>
  <c r="B377" i="85" s="1"/>
  <c r="B376" i="85" a="1"/>
  <c r="B376" i="85" s="1"/>
  <c r="B375" i="85" a="1"/>
  <c r="B375" i="85" s="1"/>
  <c r="B374" i="85" a="1"/>
  <c r="B374" i="85" s="1"/>
  <c r="B373" i="85" a="1"/>
  <c r="B373" i="85" s="1"/>
  <c r="B372" i="85" a="1"/>
  <c r="B372" i="85" s="1"/>
  <c r="B371" i="85" a="1"/>
  <c r="B371" i="85" s="1"/>
  <c r="B370" i="85" a="1"/>
  <c r="B370" i="85" s="1"/>
  <c r="B369" i="85" a="1"/>
  <c r="B369" i="85" s="1"/>
  <c r="B368" i="85" a="1"/>
  <c r="B368" i="85" s="1"/>
  <c r="B367" i="85" a="1"/>
  <c r="B367" i="85" s="1"/>
  <c r="B366" i="85" a="1"/>
  <c r="B366" i="85" s="1"/>
  <c r="B365" i="85" a="1"/>
  <c r="B365" i="85" s="1"/>
  <c r="B364" i="85" a="1"/>
  <c r="B364" i="85" s="1"/>
  <c r="B363" i="85" a="1"/>
  <c r="B363" i="85" s="1"/>
  <c r="B362" i="85" a="1"/>
  <c r="B362" i="85" s="1"/>
  <c r="B361" i="85" a="1"/>
  <c r="B361" i="85" s="1"/>
  <c r="B360" i="85" a="1"/>
  <c r="B360" i="85" s="1"/>
  <c r="B359" i="85" a="1"/>
  <c r="B359" i="85" s="1"/>
  <c r="B358" i="85" a="1"/>
  <c r="B358" i="85" s="1"/>
  <c r="B357" i="85" a="1"/>
  <c r="B357" i="85" s="1"/>
  <c r="B356" i="85" a="1"/>
  <c r="B356" i="85" s="1"/>
  <c r="B355" i="85" a="1"/>
  <c r="B355" i="85" s="1"/>
  <c r="B354" i="85" a="1"/>
  <c r="B354" i="85" s="1"/>
  <c r="B353" i="85" a="1"/>
  <c r="B353" i="85" s="1"/>
  <c r="B352" i="85" a="1"/>
  <c r="B352" i="85" s="1"/>
  <c r="B351" i="85" a="1"/>
  <c r="B351" i="85" s="1"/>
  <c r="B350" i="85" a="1"/>
  <c r="B350" i="85" s="1"/>
  <c r="B349" i="85" a="1"/>
  <c r="B349" i="85" s="1"/>
  <c r="B348" i="85" a="1"/>
  <c r="B348" i="85" s="1"/>
  <c r="B347" i="85" a="1"/>
  <c r="B347" i="85" s="1"/>
  <c r="B346" i="85" a="1"/>
  <c r="B346" i="85" s="1"/>
  <c r="B345" i="85" a="1"/>
  <c r="B345" i="85" s="1"/>
  <c r="B344" i="85" a="1"/>
  <c r="B344" i="85" s="1"/>
  <c r="B343" i="85" a="1"/>
  <c r="B343" i="85" s="1"/>
  <c r="B342" i="85" a="1"/>
  <c r="B342" i="85" s="1"/>
  <c r="B341" i="85" a="1"/>
  <c r="B341" i="85" s="1"/>
  <c r="B340" i="85" a="1"/>
  <c r="B340" i="85" s="1"/>
  <c r="B339" i="85" a="1"/>
  <c r="B339" i="85" s="1"/>
  <c r="B338" i="85" a="1"/>
  <c r="B338" i="85" s="1"/>
  <c r="B337" i="85" a="1"/>
  <c r="B337" i="85" s="1"/>
  <c r="B336" i="85" a="1"/>
  <c r="B336" i="85" s="1"/>
  <c r="B335" i="85" a="1"/>
  <c r="B335" i="85" s="1"/>
  <c r="B334" i="85" a="1"/>
  <c r="B334" i="85" s="1"/>
  <c r="B333" i="85" a="1"/>
  <c r="B333" i="85" s="1"/>
  <c r="B332" i="85" a="1"/>
  <c r="B332" i="85" s="1"/>
  <c r="B331" i="85" a="1"/>
  <c r="B331" i="85" s="1"/>
  <c r="B330" i="85" a="1"/>
  <c r="B330" i="85" s="1"/>
  <c r="B329" i="85" a="1"/>
  <c r="B329" i="85" s="1"/>
  <c r="B328" i="85" a="1"/>
  <c r="B328" i="85" s="1"/>
  <c r="B327" i="85" a="1"/>
  <c r="B327" i="85" s="1"/>
  <c r="B326" i="85" a="1"/>
  <c r="B326" i="85" s="1"/>
  <c r="B325" i="85" a="1"/>
  <c r="B325" i="85" s="1"/>
  <c r="B324" i="85" a="1"/>
  <c r="B324" i="85" s="1"/>
  <c r="B323" i="85" a="1"/>
  <c r="B323" i="85" s="1"/>
  <c r="B322" i="85" a="1"/>
  <c r="B322" i="85" s="1"/>
  <c r="B321" i="85" a="1"/>
  <c r="B321" i="85" s="1"/>
  <c r="B320" i="85" a="1"/>
  <c r="B320" i="85" s="1"/>
  <c r="B319" i="85" a="1"/>
  <c r="B319" i="85" s="1"/>
  <c r="B318" i="85" a="1"/>
  <c r="B318" i="85" s="1"/>
  <c r="B317" i="85" a="1"/>
  <c r="B317" i="85" s="1"/>
  <c r="B316" i="85" a="1"/>
  <c r="B316" i="85" s="1"/>
  <c r="B315" i="85" a="1"/>
  <c r="B315" i="85" s="1"/>
  <c r="B314" i="85" a="1"/>
  <c r="B314" i="85" s="1"/>
  <c r="B313" i="85" a="1"/>
  <c r="B313" i="85" s="1"/>
  <c r="B312" i="85" a="1"/>
  <c r="B312" i="85" s="1"/>
  <c r="B311" i="85" a="1"/>
  <c r="B311" i="85" s="1"/>
  <c r="B310" i="85" a="1"/>
  <c r="B310" i="85" s="1"/>
  <c r="B309" i="85" a="1"/>
  <c r="B309" i="85" s="1"/>
  <c r="B308" i="85" a="1"/>
  <c r="B308" i="85" s="1"/>
  <c r="B307" i="85" a="1"/>
  <c r="B307" i="85" s="1"/>
  <c r="B306" i="85" a="1"/>
  <c r="B306" i="85" s="1"/>
  <c r="B305" i="85" a="1"/>
  <c r="B305" i="85" s="1"/>
  <c r="B304" i="85" a="1"/>
  <c r="B304" i="85" s="1"/>
  <c r="B303" i="85" a="1"/>
  <c r="B303" i="85" s="1"/>
  <c r="B302" i="85" a="1"/>
  <c r="B302" i="85" s="1"/>
  <c r="B301" i="85" a="1"/>
  <c r="B301" i="85" s="1"/>
  <c r="B300" i="85" a="1"/>
  <c r="B300" i="85" s="1"/>
  <c r="B299" i="85" a="1"/>
  <c r="B299" i="85" s="1"/>
  <c r="B298" i="85" a="1"/>
  <c r="B298" i="85" s="1"/>
  <c r="B297" i="85" a="1"/>
  <c r="B297" i="85" s="1"/>
  <c r="B296" i="85" a="1"/>
  <c r="B296" i="85" s="1"/>
  <c r="B295" i="85" a="1"/>
  <c r="B295" i="85" s="1"/>
  <c r="B294" i="85" a="1"/>
  <c r="B294" i="85" s="1"/>
  <c r="B293" i="85" a="1"/>
  <c r="B293" i="85" s="1"/>
  <c r="B292" i="85" a="1"/>
  <c r="B292" i="85" s="1"/>
  <c r="B291" i="85" a="1"/>
  <c r="B291" i="85" s="1"/>
  <c r="B290" i="85" a="1"/>
  <c r="B290" i="85" s="1"/>
  <c r="B289" i="85" a="1"/>
  <c r="B289" i="85" s="1"/>
  <c r="B288" i="85" a="1"/>
  <c r="B288" i="85" s="1"/>
  <c r="B287" i="85" a="1"/>
  <c r="B287" i="85" s="1"/>
  <c r="B286" i="85" a="1"/>
  <c r="B286" i="85" s="1"/>
  <c r="B285" i="85" a="1"/>
  <c r="B285" i="85" s="1"/>
  <c r="B284" i="85" a="1"/>
  <c r="B284" i="85" s="1"/>
  <c r="B283" i="85" a="1"/>
  <c r="B283" i="85" s="1"/>
  <c r="B282" i="85" a="1"/>
  <c r="B282" i="85" s="1"/>
  <c r="B281" i="85" a="1"/>
  <c r="B281" i="85" s="1"/>
  <c r="B280" i="85" a="1"/>
  <c r="B280" i="85" s="1"/>
  <c r="B279" i="85" a="1"/>
  <c r="B279" i="85" s="1"/>
  <c r="B278" i="85" a="1"/>
  <c r="B278" i="85" s="1"/>
  <c r="B277" i="85" a="1"/>
  <c r="B277" i="85" s="1"/>
  <c r="B276" i="85" a="1"/>
  <c r="B276" i="85" s="1"/>
  <c r="B275" i="85" a="1"/>
  <c r="B275" i="85" s="1"/>
  <c r="B274" i="85" a="1"/>
  <c r="B274" i="85" s="1"/>
  <c r="B273" i="85" a="1"/>
  <c r="B273" i="85" s="1"/>
  <c r="B272" i="85" a="1"/>
  <c r="B272" i="85" s="1"/>
  <c r="B271" i="85" a="1"/>
  <c r="B271" i="85" s="1"/>
  <c r="B270" i="85" a="1"/>
  <c r="B270" i="85" s="1"/>
  <c r="B269" i="85" a="1"/>
  <c r="B269" i="85" s="1"/>
  <c r="B268" i="85" a="1"/>
  <c r="B268" i="85" s="1"/>
  <c r="B267" i="85" a="1"/>
  <c r="B267" i="85" s="1"/>
  <c r="B266" i="85" a="1"/>
  <c r="B266" i="85" s="1"/>
  <c r="B265" i="85" a="1"/>
  <c r="B265" i="85" s="1"/>
  <c r="B264" i="85" a="1"/>
  <c r="B264" i="85" s="1"/>
  <c r="B263" i="85" a="1"/>
  <c r="B263" i="85" s="1"/>
  <c r="B262" i="85" a="1"/>
  <c r="B262" i="85" s="1"/>
  <c r="B261" i="85" a="1"/>
  <c r="B261" i="85" s="1"/>
  <c r="B260" i="85" a="1"/>
  <c r="B260" i="85" s="1"/>
  <c r="B259" i="85" a="1"/>
  <c r="B259" i="85" s="1"/>
  <c r="B258" i="85" a="1"/>
  <c r="B258" i="85" s="1"/>
  <c r="B257" i="85" a="1"/>
  <c r="B257" i="85" s="1"/>
  <c r="B256" i="85" a="1"/>
  <c r="B256" i="85" s="1"/>
  <c r="B255" i="85" a="1"/>
  <c r="B255" i="85" s="1"/>
  <c r="B254" i="85" a="1"/>
  <c r="B254" i="85" s="1"/>
  <c r="B253" i="85" a="1"/>
  <c r="B253" i="85" s="1"/>
  <c r="B252" i="85" a="1"/>
  <c r="B252" i="85" s="1"/>
  <c r="B251" i="85" a="1"/>
  <c r="B251" i="85" s="1"/>
  <c r="B250" i="85" a="1"/>
  <c r="B250" i="85" s="1"/>
  <c r="B249" i="85" a="1"/>
  <c r="B249" i="85" s="1"/>
  <c r="B248" i="85" a="1"/>
  <c r="B248" i="85" s="1"/>
  <c r="B247" i="85" a="1"/>
  <c r="B247" i="85" s="1"/>
  <c r="B246" i="85" a="1"/>
  <c r="B246" i="85" s="1"/>
  <c r="B245" i="85" a="1"/>
  <c r="B245" i="85" s="1"/>
  <c r="B244" i="85" a="1"/>
  <c r="B244" i="85" s="1"/>
  <c r="B243" i="85" a="1"/>
  <c r="B243" i="85" s="1"/>
  <c r="B242" i="85" a="1"/>
  <c r="B242" i="85" s="1"/>
  <c r="B241" i="85" a="1"/>
  <c r="B241" i="85" s="1"/>
  <c r="B240" i="85" a="1"/>
  <c r="B240" i="85" s="1"/>
  <c r="B239" i="85" a="1"/>
  <c r="B239" i="85" s="1"/>
  <c r="B238" i="85" a="1"/>
  <c r="B238" i="85" s="1"/>
  <c r="B237" i="85" a="1"/>
  <c r="B237" i="85" s="1"/>
  <c r="B236" i="85" a="1"/>
  <c r="B236" i="85" s="1"/>
  <c r="B235" i="85" a="1"/>
  <c r="B235" i="85" s="1"/>
  <c r="B234" i="85" a="1"/>
  <c r="B234" i="85" s="1"/>
  <c r="B233" i="85" a="1"/>
  <c r="B233" i="85" s="1"/>
  <c r="B232" i="85" a="1"/>
  <c r="B232" i="85" s="1"/>
  <c r="B231" i="85" a="1"/>
  <c r="B231" i="85" s="1"/>
  <c r="B230" i="85" a="1"/>
  <c r="B230" i="85" s="1"/>
  <c r="B229" i="85" a="1"/>
  <c r="B229" i="85" s="1"/>
  <c r="B228" i="85" a="1"/>
  <c r="B228" i="85" s="1"/>
  <c r="B227" i="85" a="1"/>
  <c r="B227" i="85" s="1"/>
  <c r="B226" i="85" a="1"/>
  <c r="B226" i="85" s="1"/>
  <c r="B225" i="85" a="1"/>
  <c r="B225" i="85" s="1"/>
  <c r="B224" i="85" a="1"/>
  <c r="B224" i="85" s="1"/>
  <c r="B223" i="85" a="1"/>
  <c r="B223" i="85" s="1"/>
  <c r="B222" i="85" a="1"/>
  <c r="B222" i="85" s="1"/>
  <c r="B221" i="85" a="1"/>
  <c r="B221" i="85" s="1"/>
  <c r="B220" i="85" a="1"/>
  <c r="B220" i="85" s="1"/>
  <c r="B219" i="85" a="1"/>
  <c r="B219" i="85" s="1"/>
  <c r="B218" i="85" a="1"/>
  <c r="B218" i="85" s="1"/>
  <c r="B217" i="85" a="1"/>
  <c r="B217" i="85" s="1"/>
  <c r="B216" i="85" a="1"/>
  <c r="B216" i="85" s="1"/>
  <c r="B215" i="85" a="1"/>
  <c r="B215" i="85" s="1"/>
  <c r="B214" i="85" a="1"/>
  <c r="B214" i="85" s="1"/>
  <c r="B213" i="85" a="1"/>
  <c r="B213" i="85" s="1"/>
  <c r="B212" i="85" a="1"/>
  <c r="B212" i="85" s="1"/>
  <c r="B211" i="85" a="1"/>
  <c r="B211" i="85" s="1"/>
  <c r="B210" i="85" a="1"/>
  <c r="B210" i="85" s="1"/>
  <c r="B209" i="85" a="1"/>
  <c r="B209" i="85" s="1"/>
  <c r="B208" i="85" a="1"/>
  <c r="B208" i="85" s="1"/>
  <c r="B207" i="85" a="1"/>
  <c r="B207" i="85" s="1"/>
  <c r="B206" i="85" a="1"/>
  <c r="B206" i="85" s="1"/>
  <c r="B205" i="85" a="1"/>
  <c r="B205" i="85" s="1"/>
  <c r="B204" i="85" a="1"/>
  <c r="B204" i="85" s="1"/>
  <c r="B203" i="85" a="1"/>
  <c r="B203" i="85" s="1"/>
  <c r="B202" i="85" a="1"/>
  <c r="B202" i="85" s="1"/>
  <c r="B201" i="85" a="1"/>
  <c r="B201" i="85" s="1"/>
  <c r="B200" i="85" a="1"/>
  <c r="B200" i="85" s="1"/>
  <c r="B199" i="85" a="1"/>
  <c r="B199" i="85" s="1"/>
  <c r="B198" i="85" a="1"/>
  <c r="B198" i="85" s="1"/>
  <c r="B197" i="85" a="1"/>
  <c r="B197" i="85" s="1"/>
  <c r="B196" i="85" a="1"/>
  <c r="B196" i="85" s="1"/>
  <c r="B195" i="85" a="1"/>
  <c r="B195" i="85" s="1"/>
  <c r="B194" i="85" a="1"/>
  <c r="B194" i="85" s="1"/>
  <c r="B193" i="85" a="1"/>
  <c r="B193" i="85" s="1"/>
  <c r="B192" i="85" a="1"/>
  <c r="B192" i="85" s="1"/>
  <c r="B191" i="85" a="1"/>
  <c r="B191" i="85" s="1"/>
  <c r="B190" i="85" a="1"/>
  <c r="B190" i="85" s="1"/>
  <c r="B189" i="85" a="1"/>
  <c r="B189" i="85" s="1"/>
  <c r="B188" i="85" a="1"/>
  <c r="B188" i="85" s="1"/>
  <c r="B187" i="85" a="1"/>
  <c r="B187" i="85" s="1"/>
  <c r="B186" i="85" a="1"/>
  <c r="B186" i="85" s="1"/>
  <c r="B185" i="85" a="1"/>
  <c r="B185" i="85" s="1"/>
  <c r="B184" i="85" a="1"/>
  <c r="B184" i="85" s="1"/>
  <c r="B183" i="85" a="1"/>
  <c r="B183" i="85" s="1"/>
  <c r="B182" i="85" a="1"/>
  <c r="B182" i="85" s="1"/>
  <c r="B181" i="85" a="1"/>
  <c r="B181" i="85" s="1"/>
  <c r="B180" i="85" a="1"/>
  <c r="B180" i="85" s="1"/>
  <c r="B179" i="85" a="1"/>
  <c r="B179" i="85" s="1"/>
  <c r="B178" i="85" a="1"/>
  <c r="B178" i="85" s="1"/>
  <c r="B177" i="85" a="1"/>
  <c r="B177" i="85" s="1"/>
  <c r="B176" i="85" a="1"/>
  <c r="B176" i="85" s="1"/>
  <c r="B175" i="85" a="1"/>
  <c r="B175" i="85" s="1"/>
  <c r="B174" i="85" a="1"/>
  <c r="B174" i="85" s="1"/>
  <c r="B173" i="85" a="1"/>
  <c r="B173" i="85" s="1"/>
  <c r="B172" i="85" a="1"/>
  <c r="B172" i="85" s="1"/>
  <c r="B171" i="85" a="1"/>
  <c r="B171" i="85" s="1"/>
  <c r="B170" i="85" a="1"/>
  <c r="B170" i="85" s="1"/>
  <c r="B169" i="85" a="1"/>
  <c r="B169" i="85" s="1"/>
  <c r="B168" i="85" a="1"/>
  <c r="B168" i="85" s="1"/>
  <c r="B167" i="85" a="1"/>
  <c r="B167" i="85" s="1"/>
  <c r="B166" i="85" a="1"/>
  <c r="B166" i="85" s="1"/>
  <c r="B165" i="85" a="1"/>
  <c r="B165" i="85" s="1"/>
  <c r="B164" i="85" a="1"/>
  <c r="B164" i="85" s="1"/>
  <c r="B163" i="85" a="1"/>
  <c r="B163" i="85" s="1"/>
  <c r="B162" i="85" a="1"/>
  <c r="B162" i="85" s="1"/>
  <c r="B161" i="85" a="1"/>
  <c r="B161" i="85" s="1"/>
  <c r="B160" i="85" a="1"/>
  <c r="B160" i="85" s="1"/>
  <c r="B159" i="85" a="1"/>
  <c r="B159" i="85" s="1"/>
  <c r="B158" i="85" a="1"/>
  <c r="B158" i="85" s="1"/>
  <c r="B157" i="85" a="1"/>
  <c r="B157" i="85" s="1"/>
  <c r="B156" i="85" a="1"/>
  <c r="B156" i="85" s="1"/>
  <c r="B155" i="85" a="1"/>
  <c r="B155" i="85" s="1"/>
  <c r="B154" i="85" a="1"/>
  <c r="B154" i="85" s="1"/>
  <c r="B153" i="85" a="1"/>
  <c r="B153" i="85" s="1"/>
  <c r="B152" i="85" a="1"/>
  <c r="B152" i="85" s="1"/>
  <c r="B151" i="85" a="1"/>
  <c r="B151" i="85" s="1"/>
  <c r="B150" i="85" a="1"/>
  <c r="B150" i="85" s="1"/>
  <c r="B149" i="85" a="1"/>
  <c r="B149" i="85" s="1"/>
  <c r="B148" i="85" a="1"/>
  <c r="B148" i="85" s="1"/>
  <c r="B147" i="85" a="1"/>
  <c r="B147" i="85" s="1"/>
  <c r="B146" i="85" a="1"/>
  <c r="B146" i="85" s="1"/>
  <c r="B145" i="85" a="1"/>
  <c r="B145" i="85" s="1"/>
  <c r="B144" i="85" a="1"/>
  <c r="B144" i="85" s="1"/>
  <c r="B143" i="85" a="1"/>
  <c r="B143" i="85" s="1"/>
  <c r="B142" i="85" a="1"/>
  <c r="B142" i="85" s="1"/>
  <c r="B141" i="85" a="1"/>
  <c r="B141" i="85" s="1"/>
  <c r="B140" i="85" a="1"/>
  <c r="B140" i="85" s="1"/>
  <c r="B139" i="85" a="1"/>
  <c r="B139" i="85" s="1"/>
  <c r="B138" i="85" a="1"/>
  <c r="B138" i="85" s="1"/>
  <c r="B137" i="85" a="1"/>
  <c r="B137" i="85" s="1"/>
  <c r="B136" i="85" a="1"/>
  <c r="B136" i="85" s="1"/>
  <c r="B135" i="85" a="1"/>
  <c r="B135" i="85" s="1"/>
  <c r="B134" i="85" a="1"/>
  <c r="B134" i="85" s="1"/>
  <c r="B133" i="85" a="1"/>
  <c r="B133" i="85" s="1"/>
  <c r="B132" i="85" a="1"/>
  <c r="B132" i="85" s="1"/>
  <c r="B131" i="85" a="1"/>
  <c r="B131" i="85" s="1"/>
  <c r="B130" i="85" a="1"/>
  <c r="B130" i="85" s="1"/>
  <c r="B129" i="85" a="1"/>
  <c r="B129" i="85" s="1"/>
  <c r="B128" i="85" a="1"/>
  <c r="B128" i="85" s="1"/>
  <c r="B127" i="85" a="1"/>
  <c r="B127" i="85" s="1"/>
  <c r="B126" i="85" a="1"/>
  <c r="B126" i="85" s="1"/>
  <c r="B125" i="85" a="1"/>
  <c r="B125" i="85" s="1"/>
  <c r="B124" i="85" a="1"/>
  <c r="B124" i="85" s="1"/>
  <c r="B123" i="85" a="1"/>
  <c r="B123" i="85" s="1"/>
  <c r="B122" i="85" a="1"/>
  <c r="B122" i="85" s="1"/>
  <c r="B121" i="85" a="1"/>
  <c r="B121" i="85" s="1"/>
  <c r="B120" i="85" a="1"/>
  <c r="B120" i="85" s="1"/>
  <c r="B119" i="85" a="1"/>
  <c r="B119" i="85" s="1"/>
  <c r="B118" i="85" a="1"/>
  <c r="B118" i="85" s="1"/>
  <c r="B117" i="85" a="1"/>
  <c r="B117" i="85" s="1"/>
  <c r="B116" i="85" a="1"/>
  <c r="B116" i="85" s="1"/>
  <c r="B115" i="85" a="1"/>
  <c r="B115" i="85" s="1"/>
  <c r="B114" i="85" a="1"/>
  <c r="B114" i="85" s="1"/>
  <c r="B113" i="85" a="1"/>
  <c r="B113" i="85" s="1"/>
  <c r="B112" i="85" a="1"/>
  <c r="B112" i="85" s="1"/>
  <c r="B111" i="85" a="1"/>
  <c r="B111" i="85" s="1"/>
  <c r="B110" i="85" a="1"/>
  <c r="B110" i="85" s="1"/>
  <c r="B109" i="85" a="1"/>
  <c r="B109" i="85" s="1"/>
  <c r="B108" i="85" a="1"/>
  <c r="B108" i="85" s="1"/>
  <c r="B107" i="85" a="1"/>
  <c r="B107" i="85" s="1"/>
  <c r="B106" i="85" a="1"/>
  <c r="B106" i="85" s="1"/>
  <c r="B105" i="85" a="1"/>
  <c r="B105" i="85" s="1"/>
  <c r="B104" i="85" a="1"/>
  <c r="B104" i="85" s="1"/>
  <c r="B103" i="85" a="1"/>
  <c r="B103" i="85" s="1"/>
  <c r="B102" i="85" a="1"/>
  <c r="B102" i="85" s="1"/>
  <c r="B101" i="85" a="1"/>
  <c r="B101" i="85" s="1"/>
  <c r="B100" i="85" a="1"/>
  <c r="B100" i="85" s="1"/>
  <c r="B99" i="85" a="1"/>
  <c r="B99" i="85" s="1"/>
  <c r="B98" i="85" a="1"/>
  <c r="B98" i="85" s="1"/>
  <c r="B97" i="85" a="1"/>
  <c r="B97" i="85" s="1"/>
  <c r="B96" i="85" a="1"/>
  <c r="B96" i="85" s="1"/>
  <c r="B95" i="85" a="1"/>
  <c r="B95" i="85" s="1"/>
  <c r="B94" i="85" a="1"/>
  <c r="B94" i="85" s="1"/>
  <c r="B93" i="85" a="1"/>
  <c r="B93" i="85" s="1"/>
  <c r="B92" i="85" a="1"/>
  <c r="B92" i="85" s="1"/>
  <c r="B91" i="85" a="1"/>
  <c r="B91" i="85" s="1"/>
  <c r="B90" i="85" a="1"/>
  <c r="B90" i="85" s="1"/>
  <c r="B89" i="85" a="1"/>
  <c r="B89" i="85" s="1"/>
  <c r="B88" i="85" a="1"/>
  <c r="B88" i="85" s="1"/>
  <c r="B87" i="85" a="1"/>
  <c r="B87" i="85" s="1"/>
  <c r="B86" i="85" a="1"/>
  <c r="B86" i="85" s="1"/>
  <c r="B85" i="85" a="1"/>
  <c r="B85" i="85" s="1"/>
  <c r="B84" i="85" a="1"/>
  <c r="B84" i="85" s="1"/>
  <c r="B83" i="85" a="1"/>
  <c r="B83" i="85" s="1"/>
  <c r="B82" i="85" a="1"/>
  <c r="B82" i="85" s="1"/>
  <c r="B81" i="85" a="1"/>
  <c r="B81" i="85" s="1"/>
  <c r="B80" i="85" a="1"/>
  <c r="B80" i="85" s="1"/>
  <c r="B79" i="85" a="1"/>
  <c r="B79" i="85" s="1"/>
  <c r="B78" i="85" a="1"/>
  <c r="B78" i="85" s="1"/>
  <c r="B77" i="85" a="1"/>
  <c r="B77" i="85" s="1"/>
  <c r="B76" i="85" a="1"/>
  <c r="B76" i="85" s="1"/>
  <c r="B75" i="85" a="1"/>
  <c r="B75" i="85" s="1"/>
  <c r="B74" i="85" a="1"/>
  <c r="B74" i="85" s="1"/>
  <c r="B73" i="85" a="1"/>
  <c r="B73" i="85" s="1"/>
  <c r="B72" i="85" a="1"/>
  <c r="B72" i="85" s="1"/>
  <c r="B71" i="85" a="1"/>
  <c r="B71" i="85" s="1"/>
  <c r="B70" i="85" a="1"/>
  <c r="B70" i="85" s="1"/>
  <c r="B69" i="85" a="1"/>
  <c r="B69" i="85" s="1"/>
  <c r="B68" i="85" a="1"/>
  <c r="B68" i="85" s="1"/>
  <c r="B67" i="85" a="1"/>
  <c r="B67" i="85" s="1"/>
  <c r="B66" i="85" a="1"/>
  <c r="B66" i="85" s="1"/>
  <c r="B65" i="85" a="1"/>
  <c r="B65" i="85" s="1"/>
  <c r="B64" i="85" a="1"/>
  <c r="B64" i="85" s="1"/>
  <c r="B63" i="85" a="1"/>
  <c r="B63" i="85" s="1"/>
  <c r="B62" i="85" a="1"/>
  <c r="B62" i="85" s="1"/>
  <c r="B61" i="85" a="1"/>
  <c r="B61" i="85" s="1"/>
  <c r="B60" i="85" a="1"/>
  <c r="B60" i="85" s="1"/>
  <c r="B59" i="85" a="1"/>
  <c r="B59" i="85" s="1"/>
  <c r="B58" i="85" a="1"/>
  <c r="B58" i="85" s="1"/>
  <c r="B57" i="85" a="1"/>
  <c r="B57" i="85" s="1"/>
  <c r="B56" i="85" a="1"/>
  <c r="B56" i="85" s="1"/>
  <c r="B55" i="85" a="1"/>
  <c r="B55" i="85" s="1"/>
  <c r="B54" i="85" a="1"/>
  <c r="B54" i="85" s="1"/>
  <c r="B53" i="85" a="1"/>
  <c r="B53" i="85" s="1"/>
  <c r="B52" i="85" a="1"/>
  <c r="B52" i="85" s="1"/>
  <c r="B51" i="85" a="1"/>
  <c r="B51" i="85" s="1"/>
  <c r="B50" i="85" a="1"/>
  <c r="B50" i="85" s="1"/>
  <c r="B49" i="85" a="1"/>
  <c r="B49" i="85" s="1"/>
  <c r="B48" i="85" a="1"/>
  <c r="B48" i="85" s="1"/>
  <c r="B47" i="85" a="1"/>
  <c r="B47" i="85" s="1"/>
  <c r="B46" i="85" a="1"/>
  <c r="B46" i="85" s="1"/>
  <c r="B45" i="85" a="1"/>
  <c r="B45" i="85" s="1"/>
  <c r="B44" i="85" a="1"/>
  <c r="B44" i="85" s="1"/>
  <c r="B43" i="85" a="1"/>
  <c r="B43" i="85" s="1"/>
  <c r="B42" i="85" a="1"/>
  <c r="B42" i="85" s="1"/>
  <c r="B41" i="85" a="1"/>
  <c r="B41" i="85" s="1"/>
  <c r="B40" i="85" a="1"/>
  <c r="B40" i="85" s="1"/>
  <c r="B39" i="85" a="1"/>
  <c r="B39" i="85" s="1"/>
  <c r="B38" i="85" a="1"/>
  <c r="B38" i="85" s="1"/>
  <c r="B37" i="85" a="1"/>
  <c r="B37" i="85" s="1"/>
  <c r="B36" i="85" a="1"/>
  <c r="B36" i="85" s="1"/>
  <c r="B35" i="85" a="1"/>
  <c r="B35" i="85" s="1"/>
  <c r="B34" i="85" a="1"/>
  <c r="B34" i="85" s="1"/>
  <c r="B33" i="85" a="1"/>
  <c r="B33" i="85" s="1"/>
  <c r="B32" i="85" a="1"/>
  <c r="B32" i="85" s="1"/>
  <c r="B31" i="85" a="1"/>
  <c r="B31" i="85" s="1"/>
  <c r="B30" i="85" a="1"/>
  <c r="B30" i="85" s="1"/>
  <c r="B29" i="85" a="1"/>
  <c r="B29" i="85" s="1"/>
  <c r="B28" i="85" a="1"/>
  <c r="B28" i="85" s="1"/>
  <c r="B27" i="85" a="1"/>
  <c r="B27" i="85" s="1"/>
  <c r="B26" i="85" a="1"/>
  <c r="B26" i="85" s="1"/>
  <c r="B25" i="85" a="1"/>
  <c r="B25" i="85" s="1"/>
  <c r="B24" i="85" a="1"/>
  <c r="B24" i="85" s="1"/>
  <c r="B23" i="85" a="1"/>
  <c r="B23" i="85" s="1"/>
  <c r="B22" i="85" a="1"/>
  <c r="B22" i="85" s="1"/>
  <c r="B21" i="85" a="1"/>
  <c r="B21" i="85" s="1"/>
  <c r="B20" i="85" a="1"/>
  <c r="B20" i="85" s="1"/>
  <c r="B19" i="85" a="1"/>
  <c r="B19" i="85" s="1"/>
  <c r="B18" i="85" a="1"/>
  <c r="B18" i="85" s="1"/>
  <c r="B17" i="85" a="1"/>
  <c r="B17" i="85" s="1"/>
  <c r="B16" i="85" a="1"/>
  <c r="B16" i="85" s="1"/>
  <c r="B15" i="85" a="1"/>
  <c r="B15" i="85" s="1"/>
  <c r="B14" i="85" a="1"/>
  <c r="B14" i="85" s="1"/>
  <c r="B13" i="85" a="1"/>
  <c r="B13" i="85" s="1"/>
  <c r="B12" i="85" a="1"/>
  <c r="B12" i="85" s="1"/>
  <c r="B11" i="85" a="1"/>
  <c r="B11" i="85" s="1"/>
  <c r="B10" i="85" a="1"/>
  <c r="B10" i="85" s="1"/>
  <c r="B9" i="85" a="1"/>
  <c r="B9" i="85" s="1"/>
  <c r="B8" i="85" a="1"/>
  <c r="B8" i="85" s="1"/>
  <c r="B7" i="85" a="1"/>
  <c r="B7" i="85" s="1"/>
  <c r="B6" i="85" a="1"/>
  <c r="B6" i="85" s="1"/>
  <c r="B4" i="85" a="1"/>
  <c r="B4" i="85" s="1"/>
  <c r="B2" i="85" a="1"/>
  <c r="B2" i="85" s="1"/>
  <c r="J4" i="99" l="1"/>
  <c r="I3" i="99"/>
  <c r="K16" i="86"/>
  <c r="K17" i="86" s="1"/>
  <c r="K70" i="90" s="1"/>
  <c r="N12" i="86"/>
  <c r="H12" i="86"/>
  <c r="E16" i="86"/>
  <c r="E17" i="86" s="1"/>
  <c r="E70" i="90" s="1"/>
  <c r="D16" i="86"/>
  <c r="D17" i="86" s="1"/>
  <c r="D70" i="90" s="1"/>
  <c r="G12" i="86"/>
  <c r="F12" i="86"/>
  <c r="I12" i="86"/>
  <c r="F16" i="86"/>
  <c r="F17" i="86" s="1"/>
  <c r="F70" i="90" s="1"/>
  <c r="J16" i="86"/>
  <c r="J17" i="86" s="1"/>
  <c r="J70" i="90" s="1"/>
  <c r="M12" i="86"/>
  <c r="L12" i="86"/>
  <c r="K12" i="86"/>
  <c r="G9" i="93"/>
  <c r="M48" i="86"/>
  <c r="N48" i="86" s="1"/>
  <c r="N119" i="86" s="1"/>
  <c r="O117" i="86" s="1"/>
  <c r="N92" i="86"/>
  <c r="O89" i="86" s="1"/>
  <c r="C12" i="89"/>
  <c r="C11" i="90"/>
  <c r="C5" i="86"/>
  <c r="C9" i="86" s="1"/>
  <c r="C22" i="90"/>
  <c r="D6" i="89"/>
  <c r="D11" i="89" s="1"/>
  <c r="D5" i="99" s="1"/>
  <c r="D9" i="99" s="1"/>
  <c r="C57" i="95"/>
  <c r="S57" i="95" s="1"/>
  <c r="H46" i="95"/>
  <c r="H6" i="95"/>
  <c r="C17" i="95"/>
  <c r="D102" i="94"/>
  <c r="D77" i="94"/>
  <c r="D103" i="94"/>
  <c r="D45" i="94"/>
  <c r="D19" i="94"/>
  <c r="D46" i="94"/>
  <c r="I3" i="95"/>
  <c r="O72" i="90"/>
  <c r="N75" i="86"/>
  <c r="N74" i="86"/>
  <c r="N60" i="86"/>
  <c r="C92" i="92"/>
  <c r="C100" i="92"/>
  <c r="C93" i="92"/>
  <c r="C95" i="92"/>
  <c r="C94" i="92"/>
  <c r="C96" i="92"/>
  <c r="C97" i="92"/>
  <c r="C90" i="92"/>
  <c r="O90" i="92" s="1"/>
  <c r="C98" i="92"/>
  <c r="C91" i="92"/>
  <c r="C99" i="92"/>
  <c r="K4" i="99" l="1"/>
  <c r="J3" i="99"/>
  <c r="D12" i="89"/>
  <c r="U57" i="95"/>
  <c r="Q57" i="95"/>
  <c r="O57" i="95"/>
  <c r="V57" i="95"/>
  <c r="W57" i="95"/>
  <c r="N57" i="95"/>
  <c r="M57" i="95"/>
  <c r="I57" i="95"/>
  <c r="P57" i="95"/>
  <c r="L57" i="95"/>
  <c r="J57" i="95"/>
  <c r="H57" i="95"/>
  <c r="H78" i="95" s="1"/>
  <c r="H48" i="95" s="1"/>
  <c r="T57" i="95"/>
  <c r="R57" i="95"/>
  <c r="K57" i="95"/>
  <c r="R17" i="95"/>
  <c r="J17" i="95"/>
  <c r="H17" i="95"/>
  <c r="H39" i="95" s="1"/>
  <c r="H8" i="95" s="1"/>
  <c r="N17" i="95"/>
  <c r="L17" i="95"/>
  <c r="Q17" i="95"/>
  <c r="I17" i="95"/>
  <c r="P17" i="95"/>
  <c r="O17" i="95"/>
  <c r="M17" i="95"/>
  <c r="S17" i="95"/>
  <c r="K17" i="95"/>
  <c r="D78" i="94"/>
  <c r="D104" i="94"/>
  <c r="D20" i="94"/>
  <c r="D47" i="94"/>
  <c r="J3" i="95"/>
  <c r="O86" i="90"/>
  <c r="O93" i="92"/>
  <c r="M93" i="92"/>
  <c r="L93" i="92"/>
  <c r="N93" i="92"/>
  <c r="J99" i="92"/>
  <c r="I99" i="92"/>
  <c r="H99" i="92"/>
  <c r="O99" i="92"/>
  <c r="G99" i="92"/>
  <c r="M99" i="92"/>
  <c r="L99" i="92"/>
  <c r="N99" i="92"/>
  <c r="K99" i="92"/>
  <c r="F99" i="92"/>
  <c r="J97" i="92"/>
  <c r="I97" i="92"/>
  <c r="H97" i="92"/>
  <c r="O97" i="92"/>
  <c r="N97" i="92"/>
  <c r="M97" i="92"/>
  <c r="L97" i="92"/>
  <c r="K97" i="92"/>
  <c r="O91" i="92"/>
  <c r="N91" i="92"/>
  <c r="N94" i="92"/>
  <c r="O94" i="92"/>
  <c r="M94" i="92"/>
  <c r="L94" i="92"/>
  <c r="K94" i="92"/>
  <c r="J100" i="92"/>
  <c r="I100" i="92"/>
  <c r="H100" i="92"/>
  <c r="N100" i="92"/>
  <c r="O100" i="92"/>
  <c r="G100" i="92"/>
  <c r="F100" i="92"/>
  <c r="M100" i="92"/>
  <c r="E100" i="92"/>
  <c r="L100" i="92"/>
  <c r="K100" i="92"/>
  <c r="J98" i="92"/>
  <c r="I98" i="92"/>
  <c r="H98" i="92"/>
  <c r="N98" i="92"/>
  <c r="O98" i="92"/>
  <c r="G98" i="92"/>
  <c r="M98" i="92"/>
  <c r="L98" i="92"/>
  <c r="K98" i="92"/>
  <c r="J95" i="92"/>
  <c r="O95" i="92"/>
  <c r="N95" i="92"/>
  <c r="M95" i="92"/>
  <c r="L95" i="92"/>
  <c r="K95" i="92"/>
  <c r="O92" i="92"/>
  <c r="M92" i="92"/>
  <c r="N92" i="92"/>
  <c r="J96" i="92"/>
  <c r="I96" i="92"/>
  <c r="N96" i="92"/>
  <c r="O96" i="92"/>
  <c r="M96" i="92"/>
  <c r="L96" i="92"/>
  <c r="K96" i="92"/>
  <c r="E5" i="92"/>
  <c r="F5" i="92" s="1"/>
  <c r="G5" i="92" s="1"/>
  <c r="H5" i="92" s="1"/>
  <c r="I5" i="92" s="1"/>
  <c r="J5" i="92" s="1"/>
  <c r="K5" i="92" s="1"/>
  <c r="L5" i="92" s="1"/>
  <c r="M5" i="92" s="1"/>
  <c r="N5" i="92" s="1"/>
  <c r="O5" i="92" s="1"/>
  <c r="D4" i="92"/>
  <c r="E4" i="92" s="1"/>
  <c r="F4" i="92" s="1"/>
  <c r="G4" i="92" s="1"/>
  <c r="H4" i="92" s="1"/>
  <c r="I4" i="92" s="1"/>
  <c r="J4" i="92" s="1"/>
  <c r="K4" i="92" s="1"/>
  <c r="L4" i="92" s="1"/>
  <c r="M4" i="92" s="1"/>
  <c r="N4" i="92" s="1"/>
  <c r="O4" i="92" s="1"/>
  <c r="D3" i="92"/>
  <c r="E3" i="92" s="1"/>
  <c r="F3" i="92" s="1"/>
  <c r="G3" i="92" s="1"/>
  <c r="H3" i="92" s="1"/>
  <c r="I3" i="92" s="1"/>
  <c r="J3" i="92" s="1"/>
  <c r="K3" i="92" s="1"/>
  <c r="L3" i="92" s="1"/>
  <c r="M3" i="92" s="1"/>
  <c r="N3" i="92" s="1"/>
  <c r="O3" i="92" s="1"/>
  <c r="N48" i="90"/>
  <c r="N65" i="90"/>
  <c r="N93" i="90"/>
  <c r="N94" i="90"/>
  <c r="N95" i="90"/>
  <c r="M95" i="90"/>
  <c r="L95" i="90"/>
  <c r="K95" i="90"/>
  <c r="J95" i="90"/>
  <c r="I95" i="90"/>
  <c r="H95" i="90"/>
  <c r="G95" i="90"/>
  <c r="F95" i="90"/>
  <c r="E95" i="90"/>
  <c r="D95" i="90"/>
  <c r="C95" i="90"/>
  <c r="M94" i="90"/>
  <c r="L94" i="90"/>
  <c r="K94" i="90"/>
  <c r="J94" i="90"/>
  <c r="I94" i="90"/>
  <c r="H94" i="90"/>
  <c r="G94" i="90"/>
  <c r="F94" i="90"/>
  <c r="E94" i="90"/>
  <c r="D94" i="90"/>
  <c r="C94" i="90"/>
  <c r="M93" i="90"/>
  <c r="L93" i="90"/>
  <c r="K93" i="90"/>
  <c r="J93" i="90"/>
  <c r="I93" i="90"/>
  <c r="H93" i="90"/>
  <c r="G93" i="90"/>
  <c r="F93" i="90"/>
  <c r="E93" i="90"/>
  <c r="D93" i="90"/>
  <c r="C93" i="90"/>
  <c r="M65" i="90"/>
  <c r="M72" i="90" s="1"/>
  <c r="M86" i="90" s="1"/>
  <c r="L65" i="90"/>
  <c r="L72" i="90" s="1"/>
  <c r="L86" i="90" s="1"/>
  <c r="K65" i="90"/>
  <c r="K72" i="90" s="1"/>
  <c r="K86" i="90" s="1"/>
  <c r="J65" i="90"/>
  <c r="J72" i="90" s="1"/>
  <c r="J86" i="90" s="1"/>
  <c r="I65" i="90"/>
  <c r="I72" i="90" s="1"/>
  <c r="I86" i="90" s="1"/>
  <c r="H65" i="90"/>
  <c r="H72" i="90" s="1"/>
  <c r="H86" i="90" s="1"/>
  <c r="G65" i="90"/>
  <c r="G72" i="90" s="1"/>
  <c r="G86" i="90" s="1"/>
  <c r="F65" i="90"/>
  <c r="F72" i="90" s="1"/>
  <c r="F86" i="90" s="1"/>
  <c r="E65" i="90"/>
  <c r="E72" i="90" s="1"/>
  <c r="E86" i="90" s="1"/>
  <c r="D65" i="90"/>
  <c r="D72" i="90" s="1"/>
  <c r="D86" i="90" s="1"/>
  <c r="C72" i="90"/>
  <c r="M48" i="90"/>
  <c r="L48" i="90"/>
  <c r="K48" i="90"/>
  <c r="J48" i="90"/>
  <c r="I48" i="90"/>
  <c r="H48" i="90"/>
  <c r="G48" i="90"/>
  <c r="F48" i="90"/>
  <c r="E48" i="90"/>
  <c r="D48" i="90"/>
  <c r="B17" i="90"/>
  <c r="B16" i="90"/>
  <c r="B15" i="90"/>
  <c r="B14" i="90"/>
  <c r="B13" i="90"/>
  <c r="B11" i="90"/>
  <c r="B10" i="90"/>
  <c r="B9" i="90"/>
  <c r="B8" i="90"/>
  <c r="B7" i="90"/>
  <c r="B6" i="90"/>
  <c r="B5" i="90"/>
  <c r="N23" i="89"/>
  <c r="M23" i="89"/>
  <c r="L23" i="89"/>
  <c r="K23" i="89"/>
  <c r="J23" i="89"/>
  <c r="I23" i="89"/>
  <c r="H23" i="89"/>
  <c r="G23" i="89"/>
  <c r="F23" i="89"/>
  <c r="E23" i="89"/>
  <c r="D23" i="89"/>
  <c r="N22" i="89"/>
  <c r="M22" i="89"/>
  <c r="L22" i="89"/>
  <c r="K22" i="89"/>
  <c r="J22" i="89"/>
  <c r="I22" i="89"/>
  <c r="H22" i="89"/>
  <c r="G22" i="89"/>
  <c r="F22" i="89"/>
  <c r="E22" i="89"/>
  <c r="D22" i="89"/>
  <c r="G11" i="94"/>
  <c r="F11" i="94"/>
  <c r="E11" i="94"/>
  <c r="I10" i="90"/>
  <c r="I34" i="90" s="1"/>
  <c r="G10" i="94"/>
  <c r="F10" i="94"/>
  <c r="E10" i="94"/>
  <c r="H9" i="90"/>
  <c r="H33" i="90" s="1"/>
  <c r="G9" i="90"/>
  <c r="G33" i="90" s="1"/>
  <c r="G9" i="94"/>
  <c r="F9" i="94"/>
  <c r="E9" i="94"/>
  <c r="G8" i="94"/>
  <c r="F8" i="94"/>
  <c r="E8" i="94"/>
  <c r="G7" i="90"/>
  <c r="G31" i="90" s="1"/>
  <c r="C31" i="90"/>
  <c r="L60" i="86"/>
  <c r="B27" i="86"/>
  <c r="B26" i="86"/>
  <c r="B25" i="86"/>
  <c r="B24" i="86"/>
  <c r="N23" i="86"/>
  <c r="M23" i="86"/>
  <c r="L23" i="86"/>
  <c r="K23" i="86"/>
  <c r="J23" i="86"/>
  <c r="I23" i="86"/>
  <c r="H23" i="86"/>
  <c r="G23" i="86"/>
  <c r="F23" i="86"/>
  <c r="E23" i="86"/>
  <c r="D23" i="86"/>
  <c r="C23" i="86"/>
  <c r="P72" i="86"/>
  <c r="Q72" i="86" s="1"/>
  <c r="R72" i="86" s="1"/>
  <c r="S72" i="86" s="1"/>
  <c r="T72" i="86" s="1"/>
  <c r="U72" i="86" s="1"/>
  <c r="V72" i="86" s="1"/>
  <c r="W72" i="86" s="1"/>
  <c r="X72" i="86" s="1"/>
  <c r="Y72" i="86" s="1"/>
  <c r="Z72" i="86" s="1"/>
  <c r="AA72" i="86" s="1"/>
  <c r="AB72" i="86" s="1"/>
  <c r="AC72" i="86" s="1"/>
  <c r="AD72" i="86" s="1"/>
  <c r="AE72" i="86" s="1"/>
  <c r="AF72" i="86" s="1"/>
  <c r="AG72" i="86" s="1"/>
  <c r="AH72" i="86" s="1"/>
  <c r="A3" i="85"/>
  <c r="A4" i="85" s="1"/>
  <c r="A5" i="85" s="1"/>
  <c r="A6" i="85" s="1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94" i="85" s="1"/>
  <c r="A95" i="85" s="1"/>
  <c r="A96" i="85" s="1"/>
  <c r="A97" i="85" s="1"/>
  <c r="A98" i="85" s="1"/>
  <c r="A99" i="85" s="1"/>
  <c r="A100" i="85" s="1"/>
  <c r="A101" i="85" s="1"/>
  <c r="A102" i="85" s="1"/>
  <c r="A103" i="85" s="1"/>
  <c r="A104" i="85" s="1"/>
  <c r="A105" i="85" s="1"/>
  <c r="A106" i="85" s="1"/>
  <c r="A107" i="85" s="1"/>
  <c r="A108" i="85" s="1"/>
  <c r="A109" i="85" s="1"/>
  <c r="A110" i="85" s="1"/>
  <c r="A111" i="85" s="1"/>
  <c r="A112" i="85" s="1"/>
  <c r="A113" i="85" s="1"/>
  <c r="A114" i="85" s="1"/>
  <c r="A115" i="85" s="1"/>
  <c r="A116" i="85" s="1"/>
  <c r="A117" i="85" s="1"/>
  <c r="A118" i="85" s="1"/>
  <c r="A119" i="85" s="1"/>
  <c r="A120" i="85" s="1"/>
  <c r="A121" i="85" s="1"/>
  <c r="A122" i="85" s="1"/>
  <c r="A123" i="85" s="1"/>
  <c r="A124" i="85" s="1"/>
  <c r="A125" i="85" s="1"/>
  <c r="A126" i="85" s="1"/>
  <c r="A127" i="85" s="1"/>
  <c r="A128" i="85" s="1"/>
  <c r="A129" i="85" s="1"/>
  <c r="A130" i="85" s="1"/>
  <c r="A131" i="85" s="1"/>
  <c r="A132" i="85" s="1"/>
  <c r="A133" i="85" s="1"/>
  <c r="A134" i="85" s="1"/>
  <c r="A135" i="85" s="1"/>
  <c r="A136" i="85" s="1"/>
  <c r="A137" i="85" s="1"/>
  <c r="A138" i="85" s="1"/>
  <c r="A139" i="85" s="1"/>
  <c r="A140" i="85" s="1"/>
  <c r="A141" i="85" s="1"/>
  <c r="A142" i="85" s="1"/>
  <c r="A143" i="85" s="1"/>
  <c r="A144" i="85" s="1"/>
  <c r="A145" i="85" s="1"/>
  <c r="A146" i="85" s="1"/>
  <c r="A147" i="85" s="1"/>
  <c r="A148" i="85" s="1"/>
  <c r="A149" i="85" s="1"/>
  <c r="A150" i="85" s="1"/>
  <c r="A151" i="85" s="1"/>
  <c r="A152" i="85" s="1"/>
  <c r="A153" i="85" s="1"/>
  <c r="A154" i="85" s="1"/>
  <c r="A155" i="85" s="1"/>
  <c r="A156" i="85" s="1"/>
  <c r="A157" i="85" s="1"/>
  <c r="A158" i="85" s="1"/>
  <c r="A159" i="85" s="1"/>
  <c r="A160" i="85" s="1"/>
  <c r="A161" i="85" s="1"/>
  <c r="A162" i="85" s="1"/>
  <c r="A163" i="85" s="1"/>
  <c r="A164" i="85" s="1"/>
  <c r="A165" i="85" s="1"/>
  <c r="A166" i="85" s="1"/>
  <c r="A167" i="85" s="1"/>
  <c r="A168" i="85" s="1"/>
  <c r="A169" i="85" s="1"/>
  <c r="A170" i="85" s="1"/>
  <c r="A171" i="85" s="1"/>
  <c r="A172" i="85" s="1"/>
  <c r="A173" i="85" s="1"/>
  <c r="A174" i="85" s="1"/>
  <c r="A175" i="85" s="1"/>
  <c r="A176" i="85" s="1"/>
  <c r="A177" i="85" s="1"/>
  <c r="A178" i="85" s="1"/>
  <c r="A179" i="85" s="1"/>
  <c r="A180" i="85" s="1"/>
  <c r="A181" i="85" s="1"/>
  <c r="A182" i="85" s="1"/>
  <c r="A183" i="85" s="1"/>
  <c r="A184" i="85" s="1"/>
  <c r="A185" i="85" s="1"/>
  <c r="A186" i="85" s="1"/>
  <c r="A187" i="85" s="1"/>
  <c r="A188" i="85" s="1"/>
  <c r="A189" i="85" s="1"/>
  <c r="A190" i="85" s="1"/>
  <c r="A191" i="85" s="1"/>
  <c r="A192" i="85" s="1"/>
  <c r="A193" i="85" s="1"/>
  <c r="A194" i="85" s="1"/>
  <c r="A195" i="85" s="1"/>
  <c r="A196" i="85" s="1"/>
  <c r="A197" i="85" s="1"/>
  <c r="A198" i="85" s="1"/>
  <c r="A199" i="85" s="1"/>
  <c r="A200" i="85" s="1"/>
  <c r="A201" i="85" s="1"/>
  <c r="A202" i="85" s="1"/>
  <c r="A203" i="85" s="1"/>
  <c r="A204" i="85" s="1"/>
  <c r="A205" i="85" s="1"/>
  <c r="A206" i="85" s="1"/>
  <c r="A207" i="85" s="1"/>
  <c r="A208" i="85" s="1"/>
  <c r="A209" i="85" s="1"/>
  <c r="A210" i="85" s="1"/>
  <c r="A211" i="85" s="1"/>
  <c r="A212" i="85" s="1"/>
  <c r="A213" i="85" s="1"/>
  <c r="A214" i="85" s="1"/>
  <c r="A215" i="85" s="1"/>
  <c r="A216" i="85" s="1"/>
  <c r="A217" i="85" s="1"/>
  <c r="A218" i="85" s="1"/>
  <c r="A219" i="85" s="1"/>
  <c r="A220" i="85" s="1"/>
  <c r="A221" i="85" s="1"/>
  <c r="A222" i="85" s="1"/>
  <c r="A223" i="85" s="1"/>
  <c r="A224" i="85" s="1"/>
  <c r="A225" i="85" s="1"/>
  <c r="A226" i="85" s="1"/>
  <c r="A227" i="85" s="1"/>
  <c r="A228" i="85" s="1"/>
  <c r="A229" i="85" s="1"/>
  <c r="A230" i="85" s="1"/>
  <c r="A231" i="85" s="1"/>
  <c r="A232" i="85" s="1"/>
  <c r="A233" i="85" s="1"/>
  <c r="A234" i="85" s="1"/>
  <c r="A235" i="85" s="1"/>
  <c r="A236" i="85" s="1"/>
  <c r="A237" i="85" s="1"/>
  <c r="A238" i="85" s="1"/>
  <c r="A239" i="85" s="1"/>
  <c r="A240" i="85" s="1"/>
  <c r="A241" i="85" s="1"/>
  <c r="A242" i="85" s="1"/>
  <c r="A243" i="85" s="1"/>
  <c r="A244" i="85" s="1"/>
  <c r="A245" i="85" s="1"/>
  <c r="A246" i="85" s="1"/>
  <c r="A247" i="85" s="1"/>
  <c r="A248" i="85" s="1"/>
  <c r="A249" i="85" s="1"/>
  <c r="A250" i="85" s="1"/>
  <c r="A251" i="85" s="1"/>
  <c r="A252" i="85" s="1"/>
  <c r="A253" i="85" s="1"/>
  <c r="A254" i="85" s="1"/>
  <c r="A255" i="85" s="1"/>
  <c r="A256" i="85" s="1"/>
  <c r="A257" i="85" s="1"/>
  <c r="A258" i="85" s="1"/>
  <c r="A259" i="85" s="1"/>
  <c r="A260" i="85" s="1"/>
  <c r="A261" i="85" s="1"/>
  <c r="A262" i="85" s="1"/>
  <c r="A263" i="85" s="1"/>
  <c r="A264" i="85" s="1"/>
  <c r="A265" i="85" s="1"/>
  <c r="A266" i="85" s="1"/>
  <c r="A267" i="85" s="1"/>
  <c r="A268" i="85" s="1"/>
  <c r="A269" i="85" s="1"/>
  <c r="A270" i="85" s="1"/>
  <c r="A271" i="85" s="1"/>
  <c r="A272" i="85" s="1"/>
  <c r="A273" i="85" s="1"/>
  <c r="A274" i="85" s="1"/>
  <c r="A275" i="85" s="1"/>
  <c r="A276" i="85" s="1"/>
  <c r="A277" i="85" s="1"/>
  <c r="A278" i="85" s="1"/>
  <c r="A279" i="85" s="1"/>
  <c r="A280" i="85" s="1"/>
  <c r="A281" i="85" s="1"/>
  <c r="A282" i="85" s="1"/>
  <c r="A283" i="85" s="1"/>
  <c r="A284" i="85" s="1"/>
  <c r="A285" i="85" s="1"/>
  <c r="A286" i="85" s="1"/>
  <c r="A287" i="85" s="1"/>
  <c r="A288" i="85" s="1"/>
  <c r="A289" i="85" s="1"/>
  <c r="A290" i="85" s="1"/>
  <c r="A291" i="85" s="1"/>
  <c r="A292" i="85" s="1"/>
  <c r="A293" i="85" s="1"/>
  <c r="A294" i="85" s="1"/>
  <c r="A295" i="85" s="1"/>
  <c r="A296" i="85" s="1"/>
  <c r="A297" i="85" s="1"/>
  <c r="A298" i="85" s="1"/>
  <c r="A299" i="85" s="1"/>
  <c r="A300" i="85" s="1"/>
  <c r="A301" i="85" s="1"/>
  <c r="A302" i="85" s="1"/>
  <c r="A303" i="85" s="1"/>
  <c r="A304" i="85" s="1"/>
  <c r="A305" i="85" s="1"/>
  <c r="A306" i="85" s="1"/>
  <c r="A307" i="85" s="1"/>
  <c r="A308" i="85" s="1"/>
  <c r="A309" i="85" s="1"/>
  <c r="A310" i="85" s="1"/>
  <c r="A311" i="85" s="1"/>
  <c r="A312" i="85" s="1"/>
  <c r="A313" i="85" s="1"/>
  <c r="A314" i="85" s="1"/>
  <c r="A315" i="85" s="1"/>
  <c r="A316" i="85" s="1"/>
  <c r="A317" i="85" s="1"/>
  <c r="A318" i="85" s="1"/>
  <c r="A319" i="85" s="1"/>
  <c r="A320" i="85" s="1"/>
  <c r="A321" i="85" s="1"/>
  <c r="A322" i="85" s="1"/>
  <c r="A323" i="85" s="1"/>
  <c r="A324" i="85" s="1"/>
  <c r="A325" i="85" s="1"/>
  <c r="A326" i="85" s="1"/>
  <c r="A327" i="85" s="1"/>
  <c r="A328" i="85" s="1"/>
  <c r="A329" i="85" s="1"/>
  <c r="A330" i="85" s="1"/>
  <c r="A331" i="85" s="1"/>
  <c r="A332" i="85" s="1"/>
  <c r="A333" i="85" s="1"/>
  <c r="A334" i="85" s="1"/>
  <c r="A335" i="85" s="1"/>
  <c r="A336" i="85" s="1"/>
  <c r="A337" i="85" s="1"/>
  <c r="A338" i="85" s="1"/>
  <c r="A339" i="85" s="1"/>
  <c r="A340" i="85" s="1"/>
  <c r="A341" i="85" s="1"/>
  <c r="A342" i="85" s="1"/>
  <c r="A343" i="85" s="1"/>
  <c r="A344" i="85" s="1"/>
  <c r="A345" i="85" s="1"/>
  <c r="A346" i="85" s="1"/>
  <c r="A347" i="85" s="1"/>
  <c r="A348" i="85" s="1"/>
  <c r="A349" i="85" s="1"/>
  <c r="A350" i="85" s="1"/>
  <c r="A351" i="85" s="1"/>
  <c r="A352" i="85" s="1"/>
  <c r="A353" i="85" s="1"/>
  <c r="A354" i="85" s="1"/>
  <c r="A355" i="85" s="1"/>
  <c r="A356" i="85" s="1"/>
  <c r="A357" i="85" s="1"/>
  <c r="A358" i="85" s="1"/>
  <c r="A359" i="85" s="1"/>
  <c r="A360" i="85" s="1"/>
  <c r="A361" i="85" s="1"/>
  <c r="A362" i="85" s="1"/>
  <c r="A363" i="85" s="1"/>
  <c r="A364" i="85" s="1"/>
  <c r="A365" i="85" s="1"/>
  <c r="A366" i="85" s="1"/>
  <c r="A367" i="85" s="1"/>
  <c r="A368" i="85" s="1"/>
  <c r="A369" i="85" s="1"/>
  <c r="A370" i="85" s="1"/>
  <c r="A371" i="85" s="1"/>
  <c r="A372" i="85" s="1"/>
  <c r="A373" i="85" s="1"/>
  <c r="A374" i="85" s="1"/>
  <c r="A375" i="85" s="1"/>
  <c r="A376" i="85" s="1"/>
  <c r="A377" i="85" s="1"/>
  <c r="A378" i="85" s="1"/>
  <c r="A379" i="85" s="1"/>
  <c r="A380" i="85" s="1"/>
  <c r="A381" i="85" s="1"/>
  <c r="A382" i="85" s="1"/>
  <c r="A383" i="85" s="1"/>
  <c r="A384" i="85" s="1"/>
  <c r="A385" i="85" s="1"/>
  <c r="A386" i="85" s="1"/>
  <c r="A387" i="85" s="1"/>
  <c r="A388" i="85" s="1"/>
  <c r="A389" i="85" s="1"/>
  <c r="A390" i="85" s="1"/>
  <c r="A391" i="85" s="1"/>
  <c r="A392" i="85" s="1"/>
  <c r="A393" i="85" s="1"/>
  <c r="A394" i="85" s="1"/>
  <c r="A395" i="85" s="1"/>
  <c r="A396" i="85" s="1"/>
  <c r="A397" i="85" s="1"/>
  <c r="A398" i="85" s="1"/>
  <c r="A399" i="85" s="1"/>
  <c r="A400" i="85" s="1"/>
  <c r="A401" i="85" s="1"/>
  <c r="A402" i="85" s="1"/>
  <c r="A403" i="85" s="1"/>
  <c r="A404" i="85" s="1"/>
  <c r="A405" i="85" s="1"/>
  <c r="A406" i="85" s="1"/>
  <c r="A407" i="85" s="1"/>
  <c r="A408" i="85" s="1"/>
  <c r="A409" i="85" s="1"/>
  <c r="A410" i="85" s="1"/>
  <c r="A411" i="85" s="1"/>
  <c r="A412" i="85" s="1"/>
  <c r="A413" i="85" s="1"/>
  <c r="A414" i="85" s="1"/>
  <c r="A415" i="85" s="1"/>
  <c r="A416" i="85" s="1"/>
  <c r="A417" i="85" s="1"/>
  <c r="A418" i="85" s="1"/>
  <c r="A419" i="85" s="1"/>
  <c r="A420" i="85" s="1"/>
  <c r="A421" i="85" s="1"/>
  <c r="A422" i="85" s="1"/>
  <c r="K3" i="99" l="1"/>
  <c r="L4" i="99"/>
  <c r="L15" i="90"/>
  <c r="L64" i="90" s="1"/>
  <c r="L66" i="90" s="1"/>
  <c r="L27" i="89"/>
  <c r="J16" i="90"/>
  <c r="J28" i="89"/>
  <c r="F15" i="90"/>
  <c r="F64" i="90" s="1"/>
  <c r="F66" i="90" s="1"/>
  <c r="F27" i="89"/>
  <c r="G27" i="89"/>
  <c r="E16" i="90"/>
  <c r="E28" i="89"/>
  <c r="I15" i="90"/>
  <c r="I64" i="90" s="1"/>
  <c r="I66" i="90" s="1"/>
  <c r="I27" i="89"/>
  <c r="F16" i="90"/>
  <c r="F28" i="89"/>
  <c r="N28" i="89"/>
  <c r="D15" i="90"/>
  <c r="D64" i="90" s="1"/>
  <c r="D66" i="90" s="1"/>
  <c r="D27" i="89"/>
  <c r="E15" i="90"/>
  <c r="E64" i="90" s="1"/>
  <c r="E66" i="90" s="1"/>
  <c r="E27" i="89"/>
  <c r="K16" i="90"/>
  <c r="K28" i="89"/>
  <c r="D16" i="90"/>
  <c r="D28" i="89"/>
  <c r="H15" i="90"/>
  <c r="H64" i="90" s="1"/>
  <c r="H66" i="90" s="1"/>
  <c r="H27" i="89"/>
  <c r="J15" i="90"/>
  <c r="J64" i="90" s="1"/>
  <c r="J66" i="90" s="1"/>
  <c r="J27" i="89"/>
  <c r="G16" i="90"/>
  <c r="G28" i="89"/>
  <c r="I16" i="90"/>
  <c r="I28" i="89"/>
  <c r="M15" i="90"/>
  <c r="M64" i="90" s="1"/>
  <c r="M66" i="90" s="1"/>
  <c r="M27" i="89"/>
  <c r="N27" i="89"/>
  <c r="L16" i="90"/>
  <c r="L28" i="89"/>
  <c r="M16" i="90"/>
  <c r="M28" i="89"/>
  <c r="K15" i="90"/>
  <c r="K64" i="90" s="1"/>
  <c r="K66" i="90" s="1"/>
  <c r="K27" i="89"/>
  <c r="H28" i="89"/>
  <c r="L60" i="90"/>
  <c r="M60" i="90"/>
  <c r="F12" i="94"/>
  <c r="J7" i="94" s="1"/>
  <c r="E12" i="94"/>
  <c r="I7" i="94" s="1"/>
  <c r="O107" i="86"/>
  <c r="N9" i="90"/>
  <c r="N33" i="90" s="1"/>
  <c r="H10" i="94"/>
  <c r="G12" i="94"/>
  <c r="K7" i="94" s="1"/>
  <c r="N7" i="90"/>
  <c r="N31" i="90" s="1"/>
  <c r="H8" i="94"/>
  <c r="N10" i="90"/>
  <c r="N34" i="90" s="1"/>
  <c r="H11" i="94"/>
  <c r="N8" i="90"/>
  <c r="N47" i="90" s="1"/>
  <c r="H9" i="94"/>
  <c r="D79" i="94"/>
  <c r="D105" i="94"/>
  <c r="D21" i="94"/>
  <c r="D48" i="94"/>
  <c r="K3" i="95"/>
  <c r="N60" i="90"/>
  <c r="N64" i="86"/>
  <c r="C4" i="93" s="1"/>
  <c r="L54" i="86"/>
  <c r="L61" i="86" s="1"/>
  <c r="L65" i="86"/>
  <c r="H26" i="86"/>
  <c r="I24" i="86"/>
  <c r="J92" i="90"/>
  <c r="C25" i="86"/>
  <c r="K92" i="90"/>
  <c r="D60" i="90"/>
  <c r="E24" i="86"/>
  <c r="F92" i="90"/>
  <c r="G26" i="86"/>
  <c r="B3" i="85" a="1"/>
  <c r="B3" i="85" s="1"/>
  <c r="C92" i="90"/>
  <c r="D92" i="90"/>
  <c r="E92" i="90"/>
  <c r="N92" i="90"/>
  <c r="C39" i="90"/>
  <c r="L24" i="86"/>
  <c r="N39" i="90"/>
  <c r="M24" i="86"/>
  <c r="G15" i="90"/>
  <c r="G64" i="90" s="1"/>
  <c r="G66" i="90" s="1"/>
  <c r="H16" i="90"/>
  <c r="N16" i="90"/>
  <c r="N15" i="90"/>
  <c r="N64" i="90" s="1"/>
  <c r="N66" i="90" s="1"/>
  <c r="B7" i="92" a="1"/>
  <c r="N72" i="90"/>
  <c r="L39" i="90"/>
  <c r="M39" i="90"/>
  <c r="L92" i="90"/>
  <c r="E60" i="90"/>
  <c r="M92" i="90"/>
  <c r="N10" i="86"/>
  <c r="G27" i="86"/>
  <c r="N27" i="86"/>
  <c r="F60" i="90"/>
  <c r="F39" i="90"/>
  <c r="G39" i="90"/>
  <c r="G60" i="90"/>
  <c r="H39" i="90"/>
  <c r="F27" i="86"/>
  <c r="D39" i="90"/>
  <c r="I39" i="90"/>
  <c r="J60" i="90"/>
  <c r="H92" i="90"/>
  <c r="G92" i="90"/>
  <c r="E39" i="90"/>
  <c r="J39" i="90"/>
  <c r="C60" i="90"/>
  <c r="K60" i="90"/>
  <c r="I92" i="90"/>
  <c r="L10" i="86"/>
  <c r="H60" i="90"/>
  <c r="I60" i="90"/>
  <c r="M27" i="86"/>
  <c r="H27" i="86"/>
  <c r="K39" i="90"/>
  <c r="F8" i="90"/>
  <c r="F32" i="90" s="1"/>
  <c r="E9" i="90"/>
  <c r="E33" i="90" s="1"/>
  <c r="M9" i="90"/>
  <c r="M33" i="90" s="1"/>
  <c r="E10" i="90"/>
  <c r="E34" i="90" s="1"/>
  <c r="H7" i="90"/>
  <c r="H31" i="90" s="1"/>
  <c r="G8" i="90"/>
  <c r="G47" i="90" s="1"/>
  <c r="F9" i="90"/>
  <c r="F33" i="90" s="1"/>
  <c r="F10" i="90"/>
  <c r="F34" i="90" s="1"/>
  <c r="D10" i="90"/>
  <c r="D34" i="90" s="1"/>
  <c r="L10" i="90"/>
  <c r="L34" i="90" s="1"/>
  <c r="I7" i="90"/>
  <c r="I31" i="90" s="1"/>
  <c r="H8" i="90"/>
  <c r="H32" i="90" s="1"/>
  <c r="G10" i="90"/>
  <c r="G34" i="90" s="1"/>
  <c r="J7" i="90"/>
  <c r="J31" i="90" s="1"/>
  <c r="I8" i="90"/>
  <c r="I32" i="90" s="1"/>
  <c r="H10" i="90"/>
  <c r="H34" i="90" s="1"/>
  <c r="K7" i="90"/>
  <c r="K31" i="90" s="1"/>
  <c r="J8" i="90"/>
  <c r="J32" i="90" s="1"/>
  <c r="I9" i="90"/>
  <c r="I33" i="90" s="1"/>
  <c r="D7" i="90"/>
  <c r="D31" i="90" s="1"/>
  <c r="L7" i="90"/>
  <c r="L31" i="90" s="1"/>
  <c r="C32" i="90"/>
  <c r="K8" i="90"/>
  <c r="K32" i="90" s="1"/>
  <c r="J9" i="90"/>
  <c r="J33" i="90" s="1"/>
  <c r="J10" i="90"/>
  <c r="J34" i="90" s="1"/>
  <c r="E7" i="90"/>
  <c r="E31" i="90" s="1"/>
  <c r="M7" i="90"/>
  <c r="M31" i="90" s="1"/>
  <c r="D8" i="90"/>
  <c r="D32" i="90" s="1"/>
  <c r="L8" i="90"/>
  <c r="L32" i="90" s="1"/>
  <c r="C33" i="90"/>
  <c r="K9" i="90"/>
  <c r="K33" i="90" s="1"/>
  <c r="K10" i="90"/>
  <c r="K34" i="90" s="1"/>
  <c r="F7" i="90"/>
  <c r="F31" i="90" s="1"/>
  <c r="E8" i="90"/>
  <c r="E32" i="90" s="1"/>
  <c r="M8" i="90"/>
  <c r="M32" i="90" s="1"/>
  <c r="D9" i="90"/>
  <c r="D33" i="90" s="1"/>
  <c r="L9" i="90"/>
  <c r="L33" i="90" s="1"/>
  <c r="C34" i="90"/>
  <c r="M10" i="90"/>
  <c r="M34" i="90" s="1"/>
  <c r="G78" i="90"/>
  <c r="G69" i="90"/>
  <c r="G71" i="90" s="1"/>
  <c r="G73" i="90" s="1"/>
  <c r="C69" i="90"/>
  <c r="G46" i="90"/>
  <c r="C26" i="86"/>
  <c r="C24" i="86"/>
  <c r="G10" i="86"/>
  <c r="K26" i="86"/>
  <c r="K10" i="86"/>
  <c r="K25" i="86"/>
  <c r="K24" i="86"/>
  <c r="J24" i="86"/>
  <c r="J26" i="86"/>
  <c r="M10" i="86"/>
  <c r="L26" i="86"/>
  <c r="L25" i="86"/>
  <c r="I25" i="86"/>
  <c r="E26" i="86"/>
  <c r="E25" i="86"/>
  <c r="M26" i="86"/>
  <c r="M25" i="86"/>
  <c r="H10" i="86"/>
  <c r="J27" i="86"/>
  <c r="J25" i="86"/>
  <c r="D26" i="86"/>
  <c r="D25" i="86"/>
  <c r="F26" i="86"/>
  <c r="F25" i="86"/>
  <c r="F24" i="86"/>
  <c r="N26" i="86"/>
  <c r="N25" i="86"/>
  <c r="N24" i="86"/>
  <c r="I10" i="86"/>
  <c r="C27" i="86"/>
  <c r="K27" i="86"/>
  <c r="G25" i="86"/>
  <c r="G24" i="86"/>
  <c r="J10" i="86"/>
  <c r="D27" i="86"/>
  <c r="L27" i="86"/>
  <c r="E27" i="86"/>
  <c r="I27" i="86"/>
  <c r="H25" i="86"/>
  <c r="H24" i="86"/>
  <c r="D24" i="86"/>
  <c r="I26" i="86"/>
  <c r="M4" i="99" l="1"/>
  <c r="L3" i="99"/>
  <c r="P27" i="89"/>
  <c r="Q27" i="89" s="1"/>
  <c r="R27" i="89" s="1"/>
  <c r="S27" i="89" s="1"/>
  <c r="T27" i="89" s="1"/>
  <c r="U27" i="89" s="1"/>
  <c r="V27" i="89" s="1"/>
  <c r="W27" i="89" s="1"/>
  <c r="X27" i="89" s="1"/>
  <c r="Y27" i="89" s="1"/>
  <c r="Z27" i="89" s="1"/>
  <c r="AA27" i="89" s="1"/>
  <c r="AB27" i="89" s="1"/>
  <c r="AC27" i="89" s="1"/>
  <c r="AD27" i="89" s="1"/>
  <c r="AE27" i="89" s="1"/>
  <c r="AF27" i="89" s="1"/>
  <c r="AG27" i="89" s="1"/>
  <c r="AH27" i="89" s="1"/>
  <c r="P28" i="89"/>
  <c r="Q28" i="89" s="1"/>
  <c r="R28" i="89" s="1"/>
  <c r="S28" i="89" s="1"/>
  <c r="T28" i="89" s="1"/>
  <c r="U28" i="89" s="1"/>
  <c r="V28" i="89" s="1"/>
  <c r="W28" i="89" s="1"/>
  <c r="X28" i="89" s="1"/>
  <c r="Y28" i="89" s="1"/>
  <c r="Z28" i="89" s="1"/>
  <c r="AA28" i="89" s="1"/>
  <c r="AB28" i="89" s="1"/>
  <c r="AC28" i="89" s="1"/>
  <c r="AD28" i="89" s="1"/>
  <c r="AE28" i="89" s="1"/>
  <c r="AF28" i="89" s="1"/>
  <c r="AG28" i="89" s="1"/>
  <c r="AH28" i="89" s="1"/>
  <c r="N78" i="90"/>
  <c r="N46" i="90"/>
  <c r="N49" i="90" s="1"/>
  <c r="N32" i="90"/>
  <c r="N35" i="90" s="1"/>
  <c r="N69" i="90"/>
  <c r="N71" i="90" s="1"/>
  <c r="N73" i="90" s="1"/>
  <c r="H12" i="94"/>
  <c r="L7" i="94" s="1"/>
  <c r="D80" i="94"/>
  <c r="D106" i="94"/>
  <c r="D22" i="94"/>
  <c r="D49" i="94"/>
  <c r="L3" i="95"/>
  <c r="N54" i="86"/>
  <c r="N61" i="86" s="1"/>
  <c r="L64" i="86"/>
  <c r="N73" i="86"/>
  <c r="P73" i="86" s="1"/>
  <c r="Q73" i="86" s="1"/>
  <c r="R73" i="86" s="1"/>
  <c r="S73" i="86" s="1"/>
  <c r="T73" i="86" s="1"/>
  <c r="U73" i="86" s="1"/>
  <c r="V73" i="86" s="1"/>
  <c r="W73" i="86" s="1"/>
  <c r="X73" i="86" s="1"/>
  <c r="Y73" i="86" s="1"/>
  <c r="Z73" i="86" s="1"/>
  <c r="AA73" i="86" s="1"/>
  <c r="AB73" i="86" s="1"/>
  <c r="AC73" i="86" s="1"/>
  <c r="AD73" i="86" s="1"/>
  <c r="AE73" i="86" s="1"/>
  <c r="AF73" i="86" s="1"/>
  <c r="AG73" i="86" s="1"/>
  <c r="AH73" i="86" s="1"/>
  <c r="C6" i="93"/>
  <c r="C9" i="93" s="1"/>
  <c r="F98" i="90"/>
  <c r="L98" i="90"/>
  <c r="F99" i="90"/>
  <c r="J99" i="90"/>
  <c r="D99" i="90"/>
  <c r="F97" i="90"/>
  <c r="G4" i="89"/>
  <c r="D78" i="90"/>
  <c r="I35" i="90"/>
  <c r="B5" i="85" a="1"/>
  <c r="B5" i="85" s="1"/>
  <c r="F8" i="92" s="1"/>
  <c r="E26" i="92" s="1"/>
  <c r="G41" i="90"/>
  <c r="M97" i="90"/>
  <c r="K41" i="90"/>
  <c r="N41" i="90"/>
  <c r="E97" i="90"/>
  <c r="D97" i="90"/>
  <c r="M41" i="90"/>
  <c r="N98" i="90"/>
  <c r="N99" i="90"/>
  <c r="G98" i="90"/>
  <c r="D98" i="90"/>
  <c r="E98" i="90"/>
  <c r="G97" i="90"/>
  <c r="M99" i="90"/>
  <c r="E99" i="90"/>
  <c r="J41" i="90"/>
  <c r="C99" i="90"/>
  <c r="N97" i="90"/>
  <c r="I46" i="90"/>
  <c r="I49" i="90" s="1"/>
  <c r="I78" i="90"/>
  <c r="M35" i="90"/>
  <c r="L78" i="90"/>
  <c r="J47" i="90"/>
  <c r="K35" i="90"/>
  <c r="H35" i="90"/>
  <c r="G74" i="90"/>
  <c r="C35" i="90"/>
  <c r="B32" i="92"/>
  <c r="B48" i="92" s="1"/>
  <c r="B64" i="92" s="1"/>
  <c r="B80" i="92" s="1"/>
  <c r="B96" i="92" s="1"/>
  <c r="B30" i="92"/>
  <c r="B46" i="92" s="1"/>
  <c r="B62" i="92" s="1"/>
  <c r="B78" i="92" s="1"/>
  <c r="B94" i="92" s="1"/>
  <c r="B36" i="92"/>
  <c r="B52" i="92" s="1"/>
  <c r="B68" i="92" s="1"/>
  <c r="B84" i="92" s="1"/>
  <c r="B100" i="92" s="1"/>
  <c r="B28" i="92"/>
  <c r="B44" i="92" s="1"/>
  <c r="B60" i="92" s="1"/>
  <c r="B76" i="92" s="1"/>
  <c r="B92" i="92" s="1"/>
  <c r="B29" i="92"/>
  <c r="B45" i="92" s="1"/>
  <c r="B61" i="92" s="1"/>
  <c r="B77" i="92" s="1"/>
  <c r="B93" i="92" s="1"/>
  <c r="B26" i="92"/>
  <c r="B42" i="92" s="1"/>
  <c r="B58" i="92" s="1"/>
  <c r="B74" i="92" s="1"/>
  <c r="B90" i="92" s="1"/>
  <c r="B35" i="92"/>
  <c r="B51" i="92" s="1"/>
  <c r="B67" i="92" s="1"/>
  <c r="B83" i="92" s="1"/>
  <c r="B99" i="92" s="1"/>
  <c r="B7" i="92"/>
  <c r="B34" i="92"/>
  <c r="B50" i="92" s="1"/>
  <c r="B66" i="92" s="1"/>
  <c r="B82" i="92" s="1"/>
  <c r="B98" i="92" s="1"/>
  <c r="B33" i="92"/>
  <c r="B49" i="92" s="1"/>
  <c r="B65" i="92" s="1"/>
  <c r="B81" i="92" s="1"/>
  <c r="B97" i="92" s="1"/>
  <c r="B31" i="92"/>
  <c r="B47" i="92" s="1"/>
  <c r="B63" i="92" s="1"/>
  <c r="B79" i="92" s="1"/>
  <c r="B95" i="92" s="1"/>
  <c r="B27" i="92"/>
  <c r="B43" i="92" s="1"/>
  <c r="B59" i="92" s="1"/>
  <c r="B75" i="92" s="1"/>
  <c r="B91" i="92" s="1"/>
  <c r="G32" i="90"/>
  <c r="G35" i="90" s="1"/>
  <c r="I74" i="90"/>
  <c r="J35" i="90"/>
  <c r="J46" i="90"/>
  <c r="J49" i="90" s="1"/>
  <c r="I47" i="90"/>
  <c r="J69" i="90"/>
  <c r="J71" i="90" s="1"/>
  <c r="J73" i="90" s="1"/>
  <c r="J74" i="90"/>
  <c r="E35" i="90"/>
  <c r="N74" i="90"/>
  <c r="N86" i="90"/>
  <c r="H46" i="90"/>
  <c r="H49" i="90" s="1"/>
  <c r="E78" i="90"/>
  <c r="D46" i="90"/>
  <c r="D49" i="90" s="1"/>
  <c r="I69" i="90"/>
  <c r="I71" i="90" s="1"/>
  <c r="I73" i="90" s="1"/>
  <c r="D69" i="90"/>
  <c r="D71" i="90" s="1"/>
  <c r="D73" i="90" s="1"/>
  <c r="J78" i="90"/>
  <c r="H69" i="90"/>
  <c r="H71" i="90" s="1"/>
  <c r="H73" i="90" s="1"/>
  <c r="K46" i="90"/>
  <c r="K49" i="90" s="1"/>
  <c r="F69" i="90"/>
  <c r="F71" i="90" s="1"/>
  <c r="F73" i="90" s="1"/>
  <c r="M46" i="90"/>
  <c r="M49" i="90" s="1"/>
  <c r="L47" i="90"/>
  <c r="I41" i="90"/>
  <c r="E74" i="90"/>
  <c r="M78" i="90"/>
  <c r="F35" i="90"/>
  <c r="C74" i="90"/>
  <c r="H78" i="90"/>
  <c r="E46" i="90"/>
  <c r="E49" i="90" s="1"/>
  <c r="E69" i="90"/>
  <c r="E71" i="90" s="1"/>
  <c r="E73" i="90" s="1"/>
  <c r="C98" i="90"/>
  <c r="K98" i="90"/>
  <c r="L41" i="90"/>
  <c r="H98" i="90"/>
  <c r="K97" i="90"/>
  <c r="M98" i="90"/>
  <c r="I98" i="90"/>
  <c r="H97" i="90"/>
  <c r="C97" i="90"/>
  <c r="L97" i="90"/>
  <c r="K99" i="90"/>
  <c r="I99" i="90"/>
  <c r="H41" i="90"/>
  <c r="J97" i="90"/>
  <c r="G99" i="90"/>
  <c r="I97" i="90"/>
  <c r="L99" i="90"/>
  <c r="J98" i="90"/>
  <c r="C71" i="90"/>
  <c r="C73" i="90" s="1"/>
  <c r="H99" i="90"/>
  <c r="D35" i="90"/>
  <c r="D47" i="90"/>
  <c r="D74" i="90"/>
  <c r="M69" i="90"/>
  <c r="M71" i="90" s="1"/>
  <c r="M73" i="90" s="1"/>
  <c r="F78" i="90"/>
  <c r="M74" i="90"/>
  <c r="H74" i="90"/>
  <c r="E47" i="90"/>
  <c r="K69" i="90"/>
  <c r="K71" i="90" s="1"/>
  <c r="K73" i="90" s="1"/>
  <c r="L69" i="90"/>
  <c r="L71" i="90" s="1"/>
  <c r="L73" i="90" s="1"/>
  <c r="K78" i="90"/>
  <c r="M47" i="90"/>
  <c r="K47" i="90"/>
  <c r="F47" i="90"/>
  <c r="K74" i="90"/>
  <c r="L46" i="90"/>
  <c r="L49" i="90" s="1"/>
  <c r="H47" i="90"/>
  <c r="L35" i="90"/>
  <c r="L74" i="90"/>
  <c r="F46" i="90"/>
  <c r="F49" i="90" s="1"/>
  <c r="F74" i="90"/>
  <c r="G49" i="90"/>
  <c r="N4" i="99" l="1"/>
  <c r="M3" i="99"/>
  <c r="H4" i="89"/>
  <c r="E10" i="92"/>
  <c r="E16" i="92"/>
  <c r="I13" i="92"/>
  <c r="E11" i="92"/>
  <c r="L13" i="92"/>
  <c r="F31" i="92" s="1"/>
  <c r="H8" i="92"/>
  <c r="G26" i="92" s="1"/>
  <c r="I18" i="92"/>
  <c r="F12" i="92"/>
  <c r="M8" i="92"/>
  <c r="L26" i="92" s="1"/>
  <c r="L12" i="92"/>
  <c r="G30" i="92" s="1"/>
  <c r="E8" i="92"/>
  <c r="D26" i="92" s="1"/>
  <c r="N18" i="92"/>
  <c r="N16" i="92"/>
  <c r="E34" i="92" s="1"/>
  <c r="F18" i="92"/>
  <c r="I14" i="92"/>
  <c r="E9" i="92"/>
  <c r="M18" i="92"/>
  <c r="J13" i="92"/>
  <c r="D31" i="92" s="1"/>
  <c r="L10" i="92"/>
  <c r="I28" i="92" s="1"/>
  <c r="L9" i="92"/>
  <c r="J27" i="92" s="1"/>
  <c r="M9" i="92"/>
  <c r="K27" i="92" s="1"/>
  <c r="J12" i="92"/>
  <c r="E30" i="92" s="1"/>
  <c r="E14" i="92"/>
  <c r="J10" i="92"/>
  <c r="G28" i="92" s="1"/>
  <c r="N14" i="92"/>
  <c r="G32" i="92" s="1"/>
  <c r="L15" i="92"/>
  <c r="D33" i="92" s="1"/>
  <c r="N8" i="92"/>
  <c r="M26" i="92" s="1"/>
  <c r="M42" i="92" s="1"/>
  <c r="G17" i="92"/>
  <c r="H9" i="92"/>
  <c r="F27" i="92" s="1"/>
  <c r="G16" i="92"/>
  <c r="F13" i="92"/>
  <c r="J17" i="92"/>
  <c r="N9" i="92"/>
  <c r="L27" i="92" s="1"/>
  <c r="K15" i="92"/>
  <c r="F10" i="92"/>
  <c r="K14" i="92"/>
  <c r="D32" i="92" s="1"/>
  <c r="N12" i="92"/>
  <c r="I30" i="92" s="1"/>
  <c r="M10" i="92"/>
  <c r="J28" i="92" s="1"/>
  <c r="K9" i="92"/>
  <c r="I27" i="92" s="1"/>
  <c r="N10" i="92"/>
  <c r="K28" i="92" s="1"/>
  <c r="K13" i="92"/>
  <c r="E31" i="92" s="1"/>
  <c r="G15" i="92"/>
  <c r="M16" i="92"/>
  <c r="D34" i="92" s="1"/>
  <c r="O9" i="92"/>
  <c r="M27" i="92" s="1"/>
  <c r="H18" i="92"/>
  <c r="I10" i="92"/>
  <c r="F28" i="92" s="1"/>
  <c r="O16" i="92"/>
  <c r="F34" i="92" s="1"/>
  <c r="J9" i="92"/>
  <c r="H27" i="92" s="1"/>
  <c r="N13" i="92"/>
  <c r="H31" i="92" s="1"/>
  <c r="D17" i="92"/>
  <c r="G11" i="92"/>
  <c r="D16" i="92"/>
  <c r="N11" i="92"/>
  <c r="J29" i="92" s="1"/>
  <c r="M11" i="92"/>
  <c r="I29" i="92" s="1"/>
  <c r="O11" i="92"/>
  <c r="K29" i="92" s="1"/>
  <c r="L14" i="92"/>
  <c r="E32" i="92" s="1"/>
  <c r="K11" i="92"/>
  <c r="G29" i="92" s="1"/>
  <c r="O15" i="92"/>
  <c r="G33" i="92" s="1"/>
  <c r="G49" i="92" s="1"/>
  <c r="N17" i="92"/>
  <c r="D35" i="92" s="1"/>
  <c r="J11" i="92"/>
  <c r="F29" i="92" s="1"/>
  <c r="H17" i="92"/>
  <c r="G14" i="92"/>
  <c r="K18" i="92"/>
  <c r="D10" i="92"/>
  <c r="D9" i="92"/>
  <c r="L18" i="92"/>
  <c r="H12" i="92"/>
  <c r="K17" i="92"/>
  <c r="L17" i="92"/>
  <c r="O12" i="92"/>
  <c r="J30" i="92" s="1"/>
  <c r="O13" i="92"/>
  <c r="I31" i="92" s="1"/>
  <c r="D15" i="92"/>
  <c r="M15" i="92"/>
  <c r="E33" i="92" s="1"/>
  <c r="O8" i="92"/>
  <c r="N26" i="92" s="1"/>
  <c r="D12" i="92"/>
  <c r="H16" i="92"/>
  <c r="K12" i="92"/>
  <c r="F30" i="92" s="1"/>
  <c r="K10" i="92"/>
  <c r="H28" i="92" s="1"/>
  <c r="O14" i="92"/>
  <c r="H32" i="92" s="1"/>
  <c r="D11" i="92"/>
  <c r="H15" i="92"/>
  <c r="G13" i="92"/>
  <c r="I15" i="92"/>
  <c r="H14" i="92"/>
  <c r="F11" i="92"/>
  <c r="J14" i="92"/>
  <c r="F9" i="92"/>
  <c r="D27" i="92" s="1"/>
  <c r="O10" i="92"/>
  <c r="L28" i="92" s="1"/>
  <c r="F17" i="92"/>
  <c r="G9" i="92"/>
  <c r="E27" i="92" s="1"/>
  <c r="O17" i="92"/>
  <c r="E35" i="92" s="1"/>
  <c r="E51" i="92" s="1"/>
  <c r="E13" i="92"/>
  <c r="I17" i="92"/>
  <c r="D14" i="92"/>
  <c r="M14" i="92"/>
  <c r="F32" i="92" s="1"/>
  <c r="L11" i="92"/>
  <c r="H29" i="92" s="1"/>
  <c r="J15" i="92"/>
  <c r="G12" i="92"/>
  <c r="H11" i="92"/>
  <c r="D29" i="92" s="1"/>
  <c r="J16" i="92"/>
  <c r="K16" i="92"/>
  <c r="G18" i="92"/>
  <c r="H10" i="92"/>
  <c r="E28" i="92" s="1"/>
  <c r="I9" i="92"/>
  <c r="G27" i="92" s="1"/>
  <c r="M13" i="92"/>
  <c r="G31" i="92" s="1"/>
  <c r="E15" i="92"/>
  <c r="F15" i="92"/>
  <c r="E12" i="92"/>
  <c r="I16" i="92"/>
  <c r="L16" i="92"/>
  <c r="E18" i="92"/>
  <c r="H13" i="92"/>
  <c r="D8" i="92"/>
  <c r="E17" i="92"/>
  <c r="I12" i="92"/>
  <c r="D30" i="92" s="1"/>
  <c r="J8" i="92"/>
  <c r="I26" i="92" s="1"/>
  <c r="I42" i="92" s="1"/>
  <c r="K8" i="92"/>
  <c r="J26" i="92" s="1"/>
  <c r="J42" i="92" s="1"/>
  <c r="M17" i="92"/>
  <c r="G10" i="92"/>
  <c r="D28" i="92" s="1"/>
  <c r="L8" i="92"/>
  <c r="K26" i="92" s="1"/>
  <c r="D18" i="92"/>
  <c r="O18" i="92"/>
  <c r="D36" i="92" s="1"/>
  <c r="I11" i="92"/>
  <c r="E29" i="92" s="1"/>
  <c r="E45" i="92" s="1"/>
  <c r="D13" i="92"/>
  <c r="F14" i="92"/>
  <c r="J18" i="92"/>
  <c r="F16" i="92"/>
  <c r="G8" i="92"/>
  <c r="F26" i="92" s="1"/>
  <c r="N15" i="92"/>
  <c r="F33" i="92" s="1"/>
  <c r="I8" i="92"/>
  <c r="H26" i="92" s="1"/>
  <c r="M12" i="92"/>
  <c r="H30" i="92" s="1"/>
  <c r="H46" i="92" s="1"/>
  <c r="D81" i="94"/>
  <c r="D107" i="94"/>
  <c r="D23" i="94"/>
  <c r="D50" i="94"/>
  <c r="M3" i="95"/>
  <c r="H7" i="92"/>
  <c r="F7" i="92"/>
  <c r="M7" i="92"/>
  <c r="E7" i="92"/>
  <c r="O7" i="92"/>
  <c r="G7" i="92"/>
  <c r="N7" i="92"/>
  <c r="K7" i="92"/>
  <c r="I7" i="92"/>
  <c r="D7" i="92"/>
  <c r="J7" i="92"/>
  <c r="L7" i="92"/>
  <c r="B25" i="92"/>
  <c r="B41" i="92" s="1"/>
  <c r="B57" i="92" s="1"/>
  <c r="B73" i="92" s="1"/>
  <c r="B89" i="92" s="1"/>
  <c r="D87" i="92"/>
  <c r="D71" i="92"/>
  <c r="E23" i="92"/>
  <c r="D55" i="92"/>
  <c r="D39" i="92"/>
  <c r="N50" i="99" l="1"/>
  <c r="O4" i="99"/>
  <c r="N3" i="99"/>
  <c r="I4" i="89"/>
  <c r="F49" i="92"/>
  <c r="G47" i="92"/>
  <c r="E49" i="92"/>
  <c r="H47" i="92"/>
  <c r="F48" i="92"/>
  <c r="H48" i="92"/>
  <c r="I47" i="92"/>
  <c r="K45" i="92"/>
  <c r="F50" i="92"/>
  <c r="C24" i="89"/>
  <c r="F42" i="92"/>
  <c r="K42" i="92"/>
  <c r="E47" i="92"/>
  <c r="G43" i="92"/>
  <c r="H45" i="92"/>
  <c r="L44" i="92"/>
  <c r="E48" i="92"/>
  <c r="H43" i="92"/>
  <c r="K44" i="92"/>
  <c r="G44" i="92"/>
  <c r="J46" i="92"/>
  <c r="I45" i="92"/>
  <c r="E46" i="92"/>
  <c r="G42" i="92"/>
  <c r="F46" i="92"/>
  <c r="J45" i="92"/>
  <c r="I46" i="92"/>
  <c r="E50" i="92"/>
  <c r="F47" i="92"/>
  <c r="H42" i="92"/>
  <c r="N42" i="92"/>
  <c r="I43" i="92"/>
  <c r="K43" i="92"/>
  <c r="F45" i="92"/>
  <c r="M43" i="92"/>
  <c r="D48" i="92"/>
  <c r="O48" i="92"/>
  <c r="L48" i="92"/>
  <c r="I48" i="92"/>
  <c r="N48" i="92"/>
  <c r="J48" i="92"/>
  <c r="M48" i="92"/>
  <c r="K48" i="92"/>
  <c r="J43" i="92"/>
  <c r="E44" i="92"/>
  <c r="F44" i="92"/>
  <c r="D46" i="92"/>
  <c r="N46" i="92"/>
  <c r="K46" i="92"/>
  <c r="L46" i="92"/>
  <c r="M46" i="92"/>
  <c r="O46" i="92"/>
  <c r="D45" i="92"/>
  <c r="O45" i="92"/>
  <c r="L45" i="92"/>
  <c r="M45" i="92"/>
  <c r="N45" i="92"/>
  <c r="D51" i="92"/>
  <c r="H51" i="92"/>
  <c r="K51" i="92"/>
  <c r="N51" i="92"/>
  <c r="O51" i="92"/>
  <c r="L51" i="92"/>
  <c r="G51" i="92"/>
  <c r="M51" i="92"/>
  <c r="I51" i="92"/>
  <c r="J51" i="92"/>
  <c r="F51" i="92"/>
  <c r="D50" i="92"/>
  <c r="M50" i="92"/>
  <c r="H50" i="92"/>
  <c r="K50" i="92"/>
  <c r="I50" i="92"/>
  <c r="N50" i="92"/>
  <c r="J50" i="92"/>
  <c r="L50" i="92"/>
  <c r="G50" i="92"/>
  <c r="O50" i="92"/>
  <c r="I44" i="92"/>
  <c r="D42" i="92"/>
  <c r="O42" i="92"/>
  <c r="D44" i="92"/>
  <c r="O44" i="92"/>
  <c r="N44" i="92"/>
  <c r="M44" i="92"/>
  <c r="J44" i="92"/>
  <c r="F43" i="92"/>
  <c r="D52" i="92"/>
  <c r="O52" i="92"/>
  <c r="H52" i="92"/>
  <c r="K52" i="92"/>
  <c r="I52" i="92"/>
  <c r="E52" i="92"/>
  <c r="M52" i="92"/>
  <c r="J52" i="92"/>
  <c r="L52" i="92"/>
  <c r="N52" i="92"/>
  <c r="F52" i="92"/>
  <c r="G52" i="92"/>
  <c r="E43" i="92"/>
  <c r="D49" i="92"/>
  <c r="J49" i="92"/>
  <c r="L49" i="92"/>
  <c r="H49" i="92"/>
  <c r="O49" i="92"/>
  <c r="M49" i="92"/>
  <c r="I49" i="92"/>
  <c r="K49" i="92"/>
  <c r="N49" i="92"/>
  <c r="D47" i="92"/>
  <c r="L47" i="92"/>
  <c r="J47" i="92"/>
  <c r="O47" i="92"/>
  <c r="K47" i="92"/>
  <c r="N47" i="92"/>
  <c r="M47" i="92"/>
  <c r="G46" i="92"/>
  <c r="D43" i="92"/>
  <c r="N43" i="92"/>
  <c r="O43" i="92"/>
  <c r="H44" i="92"/>
  <c r="G45" i="92"/>
  <c r="L43" i="92"/>
  <c r="G48" i="92"/>
  <c r="L42" i="92"/>
  <c r="E42" i="92"/>
  <c r="D82" i="94"/>
  <c r="D108" i="94"/>
  <c r="D24" i="94"/>
  <c r="D51" i="94"/>
  <c r="N3" i="95"/>
  <c r="L25" i="92"/>
  <c r="L19" i="92"/>
  <c r="N19" i="92"/>
  <c r="N25" i="92"/>
  <c r="G25" i="92"/>
  <c r="G19" i="92"/>
  <c r="O19" i="92"/>
  <c r="O25" i="92"/>
  <c r="J25" i="92"/>
  <c r="J19" i="92"/>
  <c r="M25" i="92"/>
  <c r="M19" i="92"/>
  <c r="D25" i="92"/>
  <c r="D19" i="92"/>
  <c r="D20" i="92" s="1"/>
  <c r="F25" i="92"/>
  <c r="F19" i="92"/>
  <c r="K25" i="92"/>
  <c r="K19" i="92"/>
  <c r="E25" i="92"/>
  <c r="E19" i="92"/>
  <c r="I25" i="92"/>
  <c r="I19" i="92"/>
  <c r="H25" i="92"/>
  <c r="H19" i="92"/>
  <c r="E87" i="92"/>
  <c r="E71" i="92"/>
  <c r="E55" i="92"/>
  <c r="E39" i="92"/>
  <c r="F23" i="92"/>
  <c r="D4" i="90"/>
  <c r="C3" i="90"/>
  <c r="C103" i="86"/>
  <c r="C102" i="86" s="1"/>
  <c r="C3" i="86"/>
  <c r="D4" i="86"/>
  <c r="O3" i="99" l="1"/>
  <c r="O50" i="99"/>
  <c r="P4" i="99"/>
  <c r="D41" i="92"/>
  <c r="C29" i="89"/>
  <c r="J4" i="89"/>
  <c r="D21" i="89"/>
  <c r="C17" i="90"/>
  <c r="I41" i="92"/>
  <c r="C25" i="89"/>
  <c r="H41" i="92"/>
  <c r="F41" i="92"/>
  <c r="O41" i="92"/>
  <c r="G41" i="92"/>
  <c r="E41" i="92"/>
  <c r="N41" i="92"/>
  <c r="M41" i="92"/>
  <c r="K41" i="92"/>
  <c r="J41" i="92"/>
  <c r="L41" i="92"/>
  <c r="D83" i="94"/>
  <c r="D109" i="94"/>
  <c r="D25" i="94"/>
  <c r="D52" i="94"/>
  <c r="O3" i="95"/>
  <c r="F87" i="92"/>
  <c r="F71" i="92"/>
  <c r="F55" i="92"/>
  <c r="F39" i="92"/>
  <c r="G23" i="92"/>
  <c r="E4" i="90"/>
  <c r="D3" i="90"/>
  <c r="D103" i="86"/>
  <c r="D102" i="86" s="1"/>
  <c r="D3" i="86"/>
  <c r="E4" i="86"/>
  <c r="P3" i="99" l="1"/>
  <c r="P50" i="99"/>
  <c r="Q4" i="99"/>
  <c r="K4" i="89"/>
  <c r="D84" i="94"/>
  <c r="D110" i="94"/>
  <c r="D26" i="94"/>
  <c r="D53" i="94"/>
  <c r="P3" i="95"/>
  <c r="G87" i="92"/>
  <c r="G71" i="92"/>
  <c r="G55" i="92"/>
  <c r="G39" i="92"/>
  <c r="H23" i="92"/>
  <c r="E3" i="90"/>
  <c r="F4" i="90"/>
  <c r="E103" i="86"/>
  <c r="E102" i="86" s="1"/>
  <c r="F4" i="86"/>
  <c r="E3" i="86"/>
  <c r="Q50" i="99" l="1"/>
  <c r="R4" i="99"/>
  <c r="Q3" i="99"/>
  <c r="L4" i="89"/>
  <c r="D85" i="94"/>
  <c r="D111" i="94"/>
  <c r="D27" i="94"/>
  <c r="D54" i="94"/>
  <c r="Q3" i="95"/>
  <c r="H87" i="92"/>
  <c r="H55" i="92"/>
  <c r="H39" i="92"/>
  <c r="H71" i="92"/>
  <c r="I23" i="92"/>
  <c r="F3" i="90"/>
  <c r="G4" i="90"/>
  <c r="F103" i="86"/>
  <c r="F102" i="86" s="1"/>
  <c r="G4" i="86"/>
  <c r="F3" i="86"/>
  <c r="S4" i="99" l="1"/>
  <c r="R3" i="99"/>
  <c r="R50" i="99"/>
  <c r="M4" i="89"/>
  <c r="D86" i="94"/>
  <c r="D112" i="94"/>
  <c r="D28" i="94"/>
  <c r="D55" i="94"/>
  <c r="R3" i="95"/>
  <c r="C28" i="90"/>
  <c r="I87" i="92"/>
  <c r="I55" i="92"/>
  <c r="I39" i="92"/>
  <c r="J23" i="92"/>
  <c r="I71" i="92"/>
  <c r="H4" i="90"/>
  <c r="G3" i="90"/>
  <c r="G103" i="86"/>
  <c r="G102" i="86" s="1"/>
  <c r="H4" i="86"/>
  <c r="G3" i="86"/>
  <c r="S3" i="99" l="1"/>
  <c r="T4" i="99"/>
  <c r="S50" i="99"/>
  <c r="N4" i="89"/>
  <c r="D87" i="94"/>
  <c r="D113" i="94"/>
  <c r="D29" i="94"/>
  <c r="D56" i="94"/>
  <c r="S3" i="95"/>
  <c r="J87" i="92"/>
  <c r="K23" i="92"/>
  <c r="J39" i="92"/>
  <c r="J55" i="92"/>
  <c r="J71" i="92"/>
  <c r="H3" i="90"/>
  <c r="I4" i="90"/>
  <c r="H3" i="86"/>
  <c r="I4" i="86"/>
  <c r="H103" i="86"/>
  <c r="H102" i="86" s="1"/>
  <c r="U4" i="99" l="1"/>
  <c r="T3" i="99"/>
  <c r="T50" i="99"/>
  <c r="O4" i="89"/>
  <c r="O3" i="89" s="1"/>
  <c r="D88" i="94"/>
  <c r="D114" i="94"/>
  <c r="D30" i="94"/>
  <c r="D57" i="94"/>
  <c r="T3" i="95"/>
  <c r="D24" i="89"/>
  <c r="D14" i="90"/>
  <c r="D28" i="90" s="1"/>
  <c r="K87" i="92"/>
  <c r="K71" i="92"/>
  <c r="K55" i="92"/>
  <c r="K39" i="92"/>
  <c r="L23" i="92"/>
  <c r="C27" i="90"/>
  <c r="C26" i="90" a="1"/>
  <c r="C26" i="90" s="1"/>
  <c r="J4" i="90"/>
  <c r="I3" i="90"/>
  <c r="I3" i="86"/>
  <c r="I103" i="86"/>
  <c r="I102" i="86" s="1"/>
  <c r="J4" i="86"/>
  <c r="U50" i="99" l="1"/>
  <c r="U3" i="99"/>
  <c r="V4" i="99"/>
  <c r="D77" i="90"/>
  <c r="D83" i="90" s="1"/>
  <c r="D87" i="90" s="1"/>
  <c r="D29" i="89"/>
  <c r="P4" i="89"/>
  <c r="P3" i="89" s="1"/>
  <c r="E21" i="89"/>
  <c r="D89" i="94"/>
  <c r="D115" i="94"/>
  <c r="D31" i="94"/>
  <c r="D58" i="94"/>
  <c r="U3" i="95"/>
  <c r="D17" i="90"/>
  <c r="D25" i="89"/>
  <c r="L87" i="92"/>
  <c r="L71" i="92"/>
  <c r="L39" i="92"/>
  <c r="M23" i="92"/>
  <c r="L55" i="92"/>
  <c r="D6" i="90"/>
  <c r="K4" i="90"/>
  <c r="J3" i="90"/>
  <c r="D14" i="89"/>
  <c r="D18" i="89"/>
  <c r="D15" i="89"/>
  <c r="D16" i="89"/>
  <c r="D17" i="89"/>
  <c r="J3" i="86"/>
  <c r="K4" i="86"/>
  <c r="J103" i="86"/>
  <c r="J102" i="86" s="1"/>
  <c r="V3" i="99" l="1"/>
  <c r="W4" i="99"/>
  <c r="V50" i="99"/>
  <c r="Q4" i="89"/>
  <c r="Q3" i="89" s="1"/>
  <c r="D90" i="94"/>
  <c r="D116" i="94"/>
  <c r="D32" i="94"/>
  <c r="D59" i="94"/>
  <c r="V3" i="95"/>
  <c r="E20" i="92"/>
  <c r="D5" i="86"/>
  <c r="D9" i="86" s="1"/>
  <c r="E24" i="89"/>
  <c r="E14" i="90"/>
  <c r="E28" i="90" s="1"/>
  <c r="M87" i="92"/>
  <c r="M71" i="92"/>
  <c r="M55" i="92"/>
  <c r="M39" i="92"/>
  <c r="N23" i="92"/>
  <c r="D11" i="90"/>
  <c r="D22" i="90"/>
  <c r="D26" i="90" a="1"/>
  <c r="D26" i="90" s="1"/>
  <c r="D79" i="90" s="1"/>
  <c r="D27" i="90"/>
  <c r="K3" i="90"/>
  <c r="L4" i="90"/>
  <c r="E6" i="89"/>
  <c r="E11" i="89" s="1"/>
  <c r="E5" i="99" s="1"/>
  <c r="E9" i="99" s="1"/>
  <c r="K103" i="86"/>
  <c r="K102" i="86" s="1"/>
  <c r="K3" i="86"/>
  <c r="L4" i="86"/>
  <c r="W50" i="99" l="1"/>
  <c r="X4" i="99"/>
  <c r="W3" i="99"/>
  <c r="E77" i="90"/>
  <c r="E83" i="90" s="1"/>
  <c r="E87" i="90" s="1"/>
  <c r="E29" i="89"/>
  <c r="R4" i="89"/>
  <c r="R3" i="89" s="1"/>
  <c r="E12" i="89"/>
  <c r="F21" i="89"/>
  <c r="D91" i="94"/>
  <c r="D117" i="94"/>
  <c r="D33" i="94"/>
  <c r="D60" i="94"/>
  <c r="W3" i="95"/>
  <c r="E17" i="90"/>
  <c r="E25" i="89"/>
  <c r="N87" i="92"/>
  <c r="N71" i="92"/>
  <c r="N55" i="92"/>
  <c r="O23" i="92"/>
  <c r="N39" i="92"/>
  <c r="E6" i="90"/>
  <c r="D80" i="90"/>
  <c r="L3" i="90"/>
  <c r="M4" i="90"/>
  <c r="E14" i="89"/>
  <c r="E16" i="89"/>
  <c r="E15" i="89"/>
  <c r="E18" i="89"/>
  <c r="E17" i="89"/>
  <c r="L103" i="86"/>
  <c r="L102" i="86" s="1"/>
  <c r="L3" i="86"/>
  <c r="M4" i="86"/>
  <c r="X50" i="99" l="1"/>
  <c r="Y4" i="99"/>
  <c r="X3" i="99"/>
  <c r="S4" i="89"/>
  <c r="S3" i="89" s="1"/>
  <c r="D92" i="94"/>
  <c r="D118" i="94"/>
  <c r="D34" i="94"/>
  <c r="D61" i="94"/>
  <c r="X3" i="95"/>
  <c r="F20" i="92"/>
  <c r="E5" i="86"/>
  <c r="E9" i="86" s="1"/>
  <c r="F24" i="89"/>
  <c r="F14" i="90"/>
  <c r="F28" i="90" s="1"/>
  <c r="O87" i="92"/>
  <c r="O71" i="92"/>
  <c r="O55" i="92"/>
  <c r="O39" i="92"/>
  <c r="E11" i="90"/>
  <c r="E22" i="90"/>
  <c r="D84" i="90"/>
  <c r="D88" i="90" s="1"/>
  <c r="D81" i="90"/>
  <c r="E27" i="90"/>
  <c r="E26" i="90" a="1"/>
  <c r="E26" i="90" s="1"/>
  <c r="E79" i="90" s="1"/>
  <c r="M3" i="90"/>
  <c r="N4" i="90"/>
  <c r="F6" i="89"/>
  <c r="F11" i="89" s="1"/>
  <c r="F5" i="99" s="1"/>
  <c r="F9" i="99" s="1"/>
  <c r="M103" i="86"/>
  <c r="M102" i="86" s="1"/>
  <c r="N4" i="86"/>
  <c r="C34" i="93" s="1"/>
  <c r="M3" i="86"/>
  <c r="Y50" i="99" l="1"/>
  <c r="Z4" i="99"/>
  <c r="Y3" i="99"/>
  <c r="F77" i="90"/>
  <c r="F83" i="90" s="1"/>
  <c r="F87" i="90" s="1"/>
  <c r="F29" i="89"/>
  <c r="T4" i="89"/>
  <c r="T3" i="89" s="1"/>
  <c r="F12" i="89"/>
  <c r="G21" i="89"/>
  <c r="D93" i="94"/>
  <c r="D119" i="94"/>
  <c r="D35" i="94"/>
  <c r="D62" i="94"/>
  <c r="Y3" i="95"/>
  <c r="F17" i="90"/>
  <c r="F25" i="89"/>
  <c r="N3" i="90"/>
  <c r="O4" i="90"/>
  <c r="D82" i="90"/>
  <c r="D85" i="90" s="1"/>
  <c r="D89" i="90" s="1"/>
  <c r="E80" i="90"/>
  <c r="E81" i="90" s="1"/>
  <c r="E82" i="90" s="1"/>
  <c r="F6" i="90"/>
  <c r="F14" i="89"/>
  <c r="F16" i="89"/>
  <c r="F15" i="89"/>
  <c r="F18" i="89"/>
  <c r="F17" i="89"/>
  <c r="N103" i="86"/>
  <c r="N102" i="86" s="1"/>
  <c r="L47" i="86"/>
  <c r="N47" i="86" s="1"/>
  <c r="O4" i="86"/>
  <c r="I5" i="94" s="1"/>
  <c r="N3" i="86"/>
  <c r="Z50" i="99" l="1"/>
  <c r="AA4" i="99"/>
  <c r="Z3" i="99"/>
  <c r="U4" i="89"/>
  <c r="U3" i="89" s="1"/>
  <c r="D94" i="94"/>
  <c r="D120" i="94"/>
  <c r="D36" i="94"/>
  <c r="D63" i="94"/>
  <c r="J5" i="94"/>
  <c r="K5" i="94" s="1"/>
  <c r="L5" i="94" s="1"/>
  <c r="M5" i="94" s="1"/>
  <c r="N5" i="94" s="1"/>
  <c r="O5" i="94" s="1"/>
  <c r="P5" i="94" s="1"/>
  <c r="Q5" i="94" s="1"/>
  <c r="R5" i="94" s="1"/>
  <c r="S5" i="94" s="1"/>
  <c r="T5" i="94" s="1"/>
  <c r="U5" i="94" s="1"/>
  <c r="V5" i="94" s="1"/>
  <c r="W5" i="94" s="1"/>
  <c r="X5" i="94" s="1"/>
  <c r="Y5" i="94" s="1"/>
  <c r="Z5" i="94" s="1"/>
  <c r="AA5" i="94" s="1"/>
  <c r="AB5" i="94" s="1"/>
  <c r="H5" i="94"/>
  <c r="G5" i="94" s="1"/>
  <c r="F5" i="94" s="1"/>
  <c r="E5" i="94" s="1"/>
  <c r="Z3" i="95"/>
  <c r="G20" i="92"/>
  <c r="F5" i="86"/>
  <c r="F9" i="86" s="1"/>
  <c r="E84" i="90"/>
  <c r="E88" i="90" s="1"/>
  <c r="G24" i="89"/>
  <c r="G14" i="90"/>
  <c r="G28" i="90" s="1"/>
  <c r="E85" i="90"/>
  <c r="E89" i="90" s="1"/>
  <c r="P4" i="90"/>
  <c r="O3" i="90"/>
  <c r="F26" i="90" a="1"/>
  <c r="F26" i="90" s="1"/>
  <c r="F79" i="90" s="1"/>
  <c r="F27" i="90"/>
  <c r="F11" i="90"/>
  <c r="F22" i="90"/>
  <c r="G6" i="89"/>
  <c r="G11" i="89" s="1"/>
  <c r="O103" i="86"/>
  <c r="O102" i="86" s="1"/>
  <c r="O47" i="86"/>
  <c r="P4" i="86"/>
  <c r="O3" i="86"/>
  <c r="AA3" i="99" l="1"/>
  <c r="AB4" i="99"/>
  <c r="AA50" i="99"/>
  <c r="G29" i="89"/>
  <c r="G5" i="99"/>
  <c r="G77" i="90"/>
  <c r="G83" i="90" s="1"/>
  <c r="G87" i="90" s="1"/>
  <c r="V4" i="89"/>
  <c r="V3" i="89" s="1"/>
  <c r="G12" i="89"/>
  <c r="H21" i="89"/>
  <c r="D95" i="94"/>
  <c r="D121" i="94"/>
  <c r="D37" i="94"/>
  <c r="D64" i="94"/>
  <c r="B16" i="94" a="1"/>
  <c r="AA3" i="95"/>
  <c r="B17" i="95" s="1" a="1"/>
  <c r="G17" i="90"/>
  <c r="G25" i="89"/>
  <c r="P3" i="90"/>
  <c r="Q4" i="90"/>
  <c r="F80" i="90"/>
  <c r="F81" i="90" s="1"/>
  <c r="F82" i="90" s="1"/>
  <c r="G6" i="90"/>
  <c r="G14" i="89"/>
  <c r="G16" i="89"/>
  <c r="G17" i="89"/>
  <c r="G18" i="89"/>
  <c r="G15" i="89"/>
  <c r="P47" i="86"/>
  <c r="P103" i="86"/>
  <c r="P102" i="86" s="1"/>
  <c r="P3" i="86"/>
  <c r="Q4" i="86"/>
  <c r="G6" i="99" l="1"/>
  <c r="G9" i="99"/>
  <c r="AC4" i="99"/>
  <c r="AB3" i="99"/>
  <c r="AB50" i="99"/>
  <c r="W4" i="89"/>
  <c r="W3" i="89" s="1"/>
  <c r="B17" i="95"/>
  <c r="F17" i="95" s="1"/>
  <c r="F35" i="95"/>
  <c r="F31" i="95"/>
  <c r="F27" i="95"/>
  <c r="F23" i="95"/>
  <c r="F19" i="95"/>
  <c r="F33" i="95"/>
  <c r="F25" i="95"/>
  <c r="F34" i="95"/>
  <c r="F30" i="95"/>
  <c r="F26" i="95"/>
  <c r="F22" i="95"/>
  <c r="F18" i="95"/>
  <c r="F37" i="95"/>
  <c r="F29" i="95"/>
  <c r="F21" i="95"/>
  <c r="F36" i="95"/>
  <c r="F28" i="95"/>
  <c r="F20" i="95"/>
  <c r="F24" i="95"/>
  <c r="F32" i="95"/>
  <c r="D96" i="94"/>
  <c r="D122" i="94"/>
  <c r="D38" i="94"/>
  <c r="D65" i="94"/>
  <c r="B60" i="94"/>
  <c r="B90" i="94" s="1"/>
  <c r="B117" i="94" s="1"/>
  <c r="B53" i="94"/>
  <c r="B83" i="94" s="1"/>
  <c r="B110" i="94" s="1"/>
  <c r="B67" i="94"/>
  <c r="B97" i="94" s="1"/>
  <c r="B124" i="94" s="1"/>
  <c r="B49" i="94"/>
  <c r="B79" i="94" s="1"/>
  <c r="B106" i="94" s="1"/>
  <c r="B45" i="94"/>
  <c r="B75" i="94" s="1"/>
  <c r="B102" i="94" s="1"/>
  <c r="B55" i="94"/>
  <c r="B85" i="94" s="1"/>
  <c r="B112" i="94" s="1"/>
  <c r="B52" i="94"/>
  <c r="B82" i="94" s="1"/>
  <c r="B109" i="94" s="1"/>
  <c r="B51" i="94"/>
  <c r="B81" i="94" s="1"/>
  <c r="B108" i="94" s="1"/>
  <c r="B47" i="94"/>
  <c r="B77" i="94" s="1"/>
  <c r="B104" i="94" s="1"/>
  <c r="B63" i="94"/>
  <c r="B93" i="94" s="1"/>
  <c r="B120" i="94" s="1"/>
  <c r="B66" i="94"/>
  <c r="B96" i="94" s="1"/>
  <c r="B123" i="94" s="1"/>
  <c r="B65" i="94"/>
  <c r="B95" i="94" s="1"/>
  <c r="B122" i="94" s="1"/>
  <c r="B57" i="94"/>
  <c r="B87" i="94" s="1"/>
  <c r="B114" i="94" s="1"/>
  <c r="B54" i="94"/>
  <c r="B84" i="94" s="1"/>
  <c r="B111" i="94" s="1"/>
  <c r="B59" i="94"/>
  <c r="B89" i="94" s="1"/>
  <c r="B116" i="94" s="1"/>
  <c r="B50" i="94"/>
  <c r="B80" i="94" s="1"/>
  <c r="B107" i="94" s="1"/>
  <c r="B64" i="94"/>
  <c r="B94" i="94" s="1"/>
  <c r="B121" i="94" s="1"/>
  <c r="B46" i="94"/>
  <c r="B76" i="94" s="1"/>
  <c r="B103" i="94" s="1"/>
  <c r="B56" i="94"/>
  <c r="B86" i="94" s="1"/>
  <c r="B113" i="94" s="1"/>
  <c r="B62" i="94"/>
  <c r="B92" i="94" s="1"/>
  <c r="B119" i="94" s="1"/>
  <c r="B61" i="94"/>
  <c r="B91" i="94" s="1"/>
  <c r="B118" i="94" s="1"/>
  <c r="B16" i="94"/>
  <c r="B48" i="94"/>
  <c r="B78" i="94" s="1"/>
  <c r="B105" i="94" s="1"/>
  <c r="B58" i="94"/>
  <c r="B88" i="94" s="1"/>
  <c r="B115" i="94" s="1"/>
  <c r="B57" i="95" a="1"/>
  <c r="H20" i="92"/>
  <c r="G5" i="86"/>
  <c r="G9" i="86" s="1"/>
  <c r="H24" i="89"/>
  <c r="H14" i="90"/>
  <c r="H28" i="90" s="1"/>
  <c r="F84" i="90"/>
  <c r="F88" i="90" s="1"/>
  <c r="R4" i="90"/>
  <c r="Q3" i="90"/>
  <c r="G22" i="90"/>
  <c r="G11" i="90"/>
  <c r="G26" i="90" a="1"/>
  <c r="G26" i="90" s="1"/>
  <c r="G79" i="90" s="1"/>
  <c r="G27" i="90"/>
  <c r="F85" i="90"/>
  <c r="F89" i="90" s="1"/>
  <c r="H6" i="89"/>
  <c r="H11" i="89" s="1"/>
  <c r="H5" i="99" s="1"/>
  <c r="Q47" i="86"/>
  <c r="Q103" i="86"/>
  <c r="Q102" i="86" s="1"/>
  <c r="Q3" i="86"/>
  <c r="R4" i="86"/>
  <c r="AC50" i="99" l="1"/>
  <c r="AC3" i="99"/>
  <c r="AD4" i="99"/>
  <c r="H6" i="99"/>
  <c r="H9" i="99"/>
  <c r="H77" i="90"/>
  <c r="H83" i="90" s="1"/>
  <c r="H87" i="90" s="1"/>
  <c r="H29" i="89"/>
  <c r="X4" i="89"/>
  <c r="X3" i="89" s="1"/>
  <c r="G6" i="86"/>
  <c r="H12" i="89"/>
  <c r="I21" i="89"/>
  <c r="D97" i="94"/>
  <c r="D124" i="94" s="1"/>
  <c r="D123" i="94"/>
  <c r="D39" i="94"/>
  <c r="D67" i="94" s="1"/>
  <c r="D66" i="94"/>
  <c r="B44" i="94"/>
  <c r="B74" i="94" s="1"/>
  <c r="B101" i="94" s="1"/>
  <c r="B57" i="95"/>
  <c r="G23" i="90"/>
  <c r="H17" i="90"/>
  <c r="H25" i="89"/>
  <c r="R3" i="90"/>
  <c r="S4" i="90"/>
  <c r="G80" i="90"/>
  <c r="G81" i="90" s="1"/>
  <c r="G82" i="90" s="1"/>
  <c r="H6" i="90"/>
  <c r="H14" i="89"/>
  <c r="H18" i="89"/>
  <c r="H17" i="89"/>
  <c r="H15" i="89"/>
  <c r="H16" i="89"/>
  <c r="R47" i="86"/>
  <c r="S4" i="86"/>
  <c r="R103" i="86"/>
  <c r="R102" i="86" s="1"/>
  <c r="R3" i="86"/>
  <c r="AD3" i="99" l="1"/>
  <c r="AE4" i="99"/>
  <c r="AD50" i="99"/>
  <c r="Y4" i="89"/>
  <c r="Y3" i="89" s="1"/>
  <c r="I20" i="92"/>
  <c r="H5" i="86"/>
  <c r="H9" i="86" s="1"/>
  <c r="G84" i="90"/>
  <c r="G88" i="90" s="1"/>
  <c r="I24" i="89"/>
  <c r="I14" i="90"/>
  <c r="I28" i="90" s="1"/>
  <c r="G85" i="90"/>
  <c r="G89" i="90" s="1"/>
  <c r="T4" i="90"/>
  <c r="S3" i="90"/>
  <c r="H22" i="90"/>
  <c r="H11" i="90"/>
  <c r="H27" i="90"/>
  <c r="H26" i="90" a="1"/>
  <c r="H26" i="90" s="1"/>
  <c r="H79" i="90" s="1"/>
  <c r="I6" i="89"/>
  <c r="I11" i="89" s="1"/>
  <c r="I5" i="99" s="1"/>
  <c r="S103" i="86"/>
  <c r="S102" i="86" s="1"/>
  <c r="S47" i="86"/>
  <c r="S3" i="86"/>
  <c r="T4" i="86"/>
  <c r="I6" i="99" l="1"/>
  <c r="I9" i="99"/>
  <c r="AE3" i="99"/>
  <c r="AF4" i="99"/>
  <c r="AE50" i="99"/>
  <c r="I77" i="90"/>
  <c r="I83" i="90" s="1"/>
  <c r="I87" i="90" s="1"/>
  <c r="I29" i="89"/>
  <c r="Z4" i="89"/>
  <c r="Z3" i="89" s="1"/>
  <c r="H6" i="86"/>
  <c r="I12" i="89"/>
  <c r="J21" i="89"/>
  <c r="H23" i="90"/>
  <c r="I17" i="90"/>
  <c r="I25" i="89"/>
  <c r="U4" i="90"/>
  <c r="T3" i="90"/>
  <c r="H80" i="90"/>
  <c r="H81" i="90" s="1"/>
  <c r="H82" i="90" s="1"/>
  <c r="H85" i="90" s="1"/>
  <c r="H89" i="90" s="1"/>
  <c r="I6" i="90"/>
  <c r="I14" i="89"/>
  <c r="I16" i="89"/>
  <c r="I17" i="89"/>
  <c r="I15" i="89"/>
  <c r="I18" i="89"/>
  <c r="T103" i="86"/>
  <c r="T102" i="86" s="1"/>
  <c r="T47" i="86"/>
  <c r="T3" i="86"/>
  <c r="U4" i="86"/>
  <c r="AF50" i="99" l="1"/>
  <c r="AF3" i="99"/>
  <c r="AG4" i="99"/>
  <c r="AA4" i="89"/>
  <c r="AA3" i="89" s="1"/>
  <c r="J20" i="92"/>
  <c r="I5" i="86"/>
  <c r="I9" i="86" s="1"/>
  <c r="H84" i="90"/>
  <c r="H88" i="90" s="1"/>
  <c r="J24" i="89"/>
  <c r="J14" i="90"/>
  <c r="J28" i="90" s="1"/>
  <c r="U3" i="90"/>
  <c r="V4" i="90"/>
  <c r="I22" i="90"/>
  <c r="I11" i="90"/>
  <c r="I26" i="90" a="1"/>
  <c r="I26" i="90" s="1"/>
  <c r="I79" i="90" s="1"/>
  <c r="I27" i="90"/>
  <c r="J6" i="89"/>
  <c r="J11" i="89" s="1"/>
  <c r="J5" i="99" s="1"/>
  <c r="U103" i="86"/>
  <c r="U102" i="86" s="1"/>
  <c r="U47" i="86"/>
  <c r="V4" i="86"/>
  <c r="U3" i="86"/>
  <c r="J9" i="99" l="1"/>
  <c r="J6" i="99"/>
  <c r="AG3" i="99"/>
  <c r="AH4" i="99"/>
  <c r="AG50" i="99"/>
  <c r="J77" i="90"/>
  <c r="J83" i="90" s="1"/>
  <c r="J87" i="90" s="1"/>
  <c r="J29" i="89"/>
  <c r="AB4" i="89"/>
  <c r="AB3" i="89" s="1"/>
  <c r="I6" i="86"/>
  <c r="J12" i="89"/>
  <c r="K21" i="89"/>
  <c r="I23" i="90"/>
  <c r="J17" i="90"/>
  <c r="J25" i="89"/>
  <c r="V3" i="90"/>
  <c r="W4" i="90"/>
  <c r="J6" i="90"/>
  <c r="I80" i="90"/>
  <c r="I81" i="90" s="1"/>
  <c r="I82" i="90" s="1"/>
  <c r="J14" i="89"/>
  <c r="J17" i="89"/>
  <c r="J15" i="89"/>
  <c r="J16" i="89"/>
  <c r="J18" i="89"/>
  <c r="V103" i="86"/>
  <c r="V102" i="86" s="1"/>
  <c r="V47" i="86"/>
  <c r="W4" i="86"/>
  <c r="V3" i="86"/>
  <c r="AH50" i="99" l="1"/>
  <c r="AH3" i="99"/>
  <c r="AC4" i="89"/>
  <c r="AC3" i="89" s="1"/>
  <c r="K20" i="92"/>
  <c r="J5" i="86"/>
  <c r="J9" i="86" s="1"/>
  <c r="I85" i="90"/>
  <c r="I89" i="90" s="1"/>
  <c r="I84" i="90"/>
  <c r="I88" i="90" s="1"/>
  <c r="K24" i="89"/>
  <c r="K14" i="90"/>
  <c r="K28" i="90" s="1"/>
  <c r="W3" i="90"/>
  <c r="X4" i="90"/>
  <c r="J11" i="90"/>
  <c r="J22" i="90"/>
  <c r="J26" i="90" a="1"/>
  <c r="J26" i="90" s="1"/>
  <c r="J79" i="90" s="1"/>
  <c r="J27" i="90"/>
  <c r="K6" i="89"/>
  <c r="K11" i="89" s="1"/>
  <c r="K5" i="99" s="1"/>
  <c r="W103" i="86"/>
  <c r="W102" i="86" s="1"/>
  <c r="W47" i="86"/>
  <c r="X4" i="86"/>
  <c r="W3" i="86"/>
  <c r="K9" i="99" l="1"/>
  <c r="K6" i="99"/>
  <c r="K77" i="90"/>
  <c r="K83" i="90" s="1"/>
  <c r="K87" i="90" s="1"/>
  <c r="K29" i="89"/>
  <c r="AD4" i="89"/>
  <c r="AD3" i="89" s="1"/>
  <c r="K12" i="89"/>
  <c r="J6" i="86"/>
  <c r="L21" i="89"/>
  <c r="J23" i="90"/>
  <c r="K17" i="90"/>
  <c r="K25" i="89"/>
  <c r="Y4" i="90"/>
  <c r="X3" i="90"/>
  <c r="J80" i="90"/>
  <c r="J81" i="90" s="1"/>
  <c r="J82" i="90" s="1"/>
  <c r="K6" i="90"/>
  <c r="K14" i="89"/>
  <c r="K17" i="89"/>
  <c r="K18" i="89"/>
  <c r="K16" i="89"/>
  <c r="K15" i="89"/>
  <c r="X103" i="86"/>
  <c r="X102" i="86" s="1"/>
  <c r="X3" i="86"/>
  <c r="Y4" i="86"/>
  <c r="X47" i="86"/>
  <c r="AE4" i="89" l="1"/>
  <c r="AE3" i="89" s="1"/>
  <c r="L20" i="92"/>
  <c r="K5" i="86"/>
  <c r="K9" i="86" s="1"/>
  <c r="J84" i="90"/>
  <c r="J88" i="90" s="1"/>
  <c r="J85" i="90"/>
  <c r="J89" i="90" s="1"/>
  <c r="L24" i="89"/>
  <c r="L14" i="90"/>
  <c r="L28" i="90" s="1"/>
  <c r="Z4" i="90"/>
  <c r="Y3" i="90"/>
  <c r="K26" i="90" a="1"/>
  <c r="K26" i="90" s="1"/>
  <c r="K79" i="90" s="1"/>
  <c r="K27" i="90"/>
  <c r="K11" i="90"/>
  <c r="K22" i="90"/>
  <c r="L6" i="89"/>
  <c r="L11" i="89" s="1"/>
  <c r="Y103" i="86"/>
  <c r="Y102" i="86" s="1"/>
  <c r="Y3" i="86"/>
  <c r="Y47" i="86"/>
  <c r="Z4" i="86"/>
  <c r="L29" i="89" l="1"/>
  <c r="L5" i="99"/>
  <c r="L77" i="90"/>
  <c r="L83" i="90" s="1"/>
  <c r="L87" i="90" s="1"/>
  <c r="AF4" i="89"/>
  <c r="AF3" i="89" s="1"/>
  <c r="L12" i="89"/>
  <c r="K6" i="86"/>
  <c r="M21" i="89"/>
  <c r="K23" i="90"/>
  <c r="L17" i="90"/>
  <c r="L25" i="89"/>
  <c r="Z3" i="90"/>
  <c r="AA4" i="90"/>
  <c r="L6" i="90"/>
  <c r="K80" i="90"/>
  <c r="K81" i="90" s="1"/>
  <c r="K82" i="90" s="1"/>
  <c r="L14" i="89"/>
  <c r="L16" i="89"/>
  <c r="L17" i="89"/>
  <c r="L18" i="89"/>
  <c r="L15" i="89"/>
  <c r="Z3" i="86"/>
  <c r="Z47" i="86"/>
  <c r="AA4" i="86"/>
  <c r="Z103" i="86"/>
  <c r="Z102" i="86" s="1"/>
  <c r="L9" i="99" l="1"/>
  <c r="L6" i="99"/>
  <c r="AG4" i="89"/>
  <c r="AG3" i="89" s="1"/>
  <c r="M20" i="92"/>
  <c r="L5" i="86"/>
  <c r="L9" i="86" s="1"/>
  <c r="K85" i="90"/>
  <c r="K89" i="90" s="1"/>
  <c r="M24" i="89"/>
  <c r="M14" i="90"/>
  <c r="M28" i="90" s="1"/>
  <c r="AB4" i="90"/>
  <c r="AA3" i="90"/>
  <c r="K84" i="90"/>
  <c r="K88" i="90" s="1"/>
  <c r="L11" i="90"/>
  <c r="L22" i="90"/>
  <c r="L27" i="90"/>
  <c r="L26" i="90" a="1"/>
  <c r="L26" i="90" s="1"/>
  <c r="L79" i="90" s="1"/>
  <c r="M6" i="89"/>
  <c r="M11" i="89" s="1"/>
  <c r="AA103" i="86"/>
  <c r="AA102" i="86" s="1"/>
  <c r="AA47" i="86"/>
  <c r="AA3" i="86"/>
  <c r="AB4" i="86"/>
  <c r="M29" i="89" l="1"/>
  <c r="M5" i="99"/>
  <c r="M77" i="90"/>
  <c r="M83" i="90" s="1"/>
  <c r="M87" i="90" s="1"/>
  <c r="AH4" i="89"/>
  <c r="M12" i="89"/>
  <c r="L6" i="86"/>
  <c r="N21" i="89"/>
  <c r="L23" i="90"/>
  <c r="M17" i="90"/>
  <c r="M25" i="89"/>
  <c r="AB3" i="90"/>
  <c r="AC4" i="90"/>
  <c r="M6" i="90"/>
  <c r="L80" i="90"/>
  <c r="L81" i="90" s="1"/>
  <c r="L82" i="90" s="1"/>
  <c r="M14" i="89"/>
  <c r="M17" i="89"/>
  <c r="M15" i="89"/>
  <c r="M18" i="89"/>
  <c r="M16" i="89"/>
  <c r="AB103" i="86"/>
  <c r="AB102" i="86" s="1"/>
  <c r="AB47" i="86"/>
  <c r="AB3" i="86"/>
  <c r="AC4" i="86"/>
  <c r="M9" i="99" l="1"/>
  <c r="M6" i="99"/>
  <c r="AH3" i="89"/>
  <c r="N20" i="92"/>
  <c r="M5" i="86"/>
  <c r="M9" i="86" s="1"/>
  <c r="L84" i="90"/>
  <c r="L88" i="90" s="1"/>
  <c r="L85" i="90"/>
  <c r="L89" i="90" s="1"/>
  <c r="N24" i="89"/>
  <c r="N14" i="90"/>
  <c r="N28" i="90" s="1"/>
  <c r="N77" i="90" s="1"/>
  <c r="AC3" i="90"/>
  <c r="AD4" i="90"/>
  <c r="M11" i="90"/>
  <c r="M22" i="90"/>
  <c r="M26" i="90" a="1"/>
  <c r="M26" i="90" s="1"/>
  <c r="M79" i="90" s="1"/>
  <c r="M27" i="90"/>
  <c r="N6" i="89"/>
  <c r="AC103" i="86"/>
  <c r="AC102" i="86" s="1"/>
  <c r="AC47" i="86"/>
  <c r="AD4" i="86"/>
  <c r="AC3" i="86"/>
  <c r="O21" i="89" l="1"/>
  <c r="O14" i="90" s="1"/>
  <c r="M6" i="86"/>
  <c r="N6" i="90"/>
  <c r="N27" i="90" s="1"/>
  <c r="N11" i="89"/>
  <c r="M23" i="90"/>
  <c r="N83" i="90"/>
  <c r="N87" i="90" s="1"/>
  <c r="N25" i="89"/>
  <c r="N17" i="90"/>
  <c r="AE4" i="90"/>
  <c r="AD3" i="90"/>
  <c r="M80" i="90"/>
  <c r="M81" i="90" s="1"/>
  <c r="M82" i="90" s="1"/>
  <c r="N14" i="89"/>
  <c r="N18" i="89"/>
  <c r="P18" i="89" s="1"/>
  <c r="Q18" i="89" s="1"/>
  <c r="R18" i="89" s="1"/>
  <c r="S18" i="89" s="1"/>
  <c r="T18" i="89" s="1"/>
  <c r="U18" i="89" s="1"/>
  <c r="V18" i="89" s="1"/>
  <c r="W18" i="89" s="1"/>
  <c r="X18" i="89" s="1"/>
  <c r="Y18" i="89" s="1"/>
  <c r="Z18" i="89" s="1"/>
  <c r="AA18" i="89" s="1"/>
  <c r="AB18" i="89" s="1"/>
  <c r="AC18" i="89" s="1"/>
  <c r="AD18" i="89" s="1"/>
  <c r="AE18" i="89" s="1"/>
  <c r="AF18" i="89" s="1"/>
  <c r="AG18" i="89" s="1"/>
  <c r="AH18" i="89" s="1"/>
  <c r="N16" i="89"/>
  <c r="N15" i="89"/>
  <c r="N17" i="89"/>
  <c r="AD103" i="86"/>
  <c r="AD102" i="86" s="1"/>
  <c r="AD47" i="86"/>
  <c r="AE4" i="86"/>
  <c r="AD3" i="86"/>
  <c r="N29" i="89" l="1"/>
  <c r="N5" i="99"/>
  <c r="N26" i="90" a="1"/>
  <c r="N26" i="90" s="1"/>
  <c r="N79" i="90" s="1"/>
  <c r="N80" i="90" s="1"/>
  <c r="N81" i="90" s="1"/>
  <c r="N82" i="90" s="1"/>
  <c r="N12" i="89"/>
  <c r="N5" i="86"/>
  <c r="N9" i="86" s="1"/>
  <c r="O20" i="92"/>
  <c r="O6" i="89"/>
  <c r="M84" i="90"/>
  <c r="M88" i="90" s="1"/>
  <c r="N22" i="90"/>
  <c r="N11" i="90"/>
  <c r="AE3" i="90"/>
  <c r="AF4" i="90"/>
  <c r="M85" i="90"/>
  <c r="M89" i="90" s="1"/>
  <c r="AE103" i="86"/>
  <c r="AE102" i="86" s="1"/>
  <c r="AE47" i="86"/>
  <c r="AF4" i="86"/>
  <c r="AE3" i="86"/>
  <c r="N9" i="99" l="1"/>
  <c r="N6" i="99"/>
  <c r="O10" i="89"/>
  <c r="I11" i="94" s="1"/>
  <c r="O7" i="89"/>
  <c r="O9" i="89"/>
  <c r="O8" i="89"/>
  <c r="O6" i="90"/>
  <c r="N6" i="86"/>
  <c r="N76" i="86"/>
  <c r="N23" i="90"/>
  <c r="N84" i="90"/>
  <c r="N88" i="90" s="1"/>
  <c r="N85" i="90"/>
  <c r="N89" i="90" s="1"/>
  <c r="AG4" i="90"/>
  <c r="AF3" i="90"/>
  <c r="AF3" i="86"/>
  <c r="AF47" i="86"/>
  <c r="AF103" i="86"/>
  <c r="AF102" i="86" s="1"/>
  <c r="AG4" i="86"/>
  <c r="I9" i="94" l="1"/>
  <c r="O8" i="90"/>
  <c r="O23" i="89"/>
  <c r="O10" i="90"/>
  <c r="O34" i="90" s="1"/>
  <c r="AH4" i="90"/>
  <c r="AH3" i="90" s="1"/>
  <c r="AG3" i="90"/>
  <c r="AG103" i="86"/>
  <c r="AG102" i="86" s="1"/>
  <c r="AG47" i="86"/>
  <c r="AG3" i="86"/>
  <c r="AH4" i="86"/>
  <c r="C35" i="93" s="1"/>
  <c r="O47" i="90" l="1"/>
  <c r="O32" i="90"/>
  <c r="O16" i="90"/>
  <c r="O28" i="90" s="1"/>
  <c r="O77" i="90" s="1"/>
  <c r="AH47" i="86"/>
  <c r="AH3" i="86"/>
  <c r="AH103" i="86"/>
  <c r="AH102" i="86" s="1"/>
  <c r="P57" i="92" l="1" a="1"/>
  <c r="D29" i="86"/>
  <c r="D30" i="86" s="1"/>
  <c r="E29" i="86"/>
  <c r="E30" i="86" s="1"/>
  <c r="L29" i="86"/>
  <c r="L30" i="86" s="1"/>
  <c r="M29" i="86"/>
  <c r="M30" i="86" s="1"/>
  <c r="F29" i="86"/>
  <c r="G29" i="86"/>
  <c r="J59" i="90"/>
  <c r="N29" i="86"/>
  <c r="H29" i="86"/>
  <c r="I29" i="86"/>
  <c r="F59" i="90"/>
  <c r="G59" i="90"/>
  <c r="H59" i="90"/>
  <c r="I59" i="90"/>
  <c r="L59" i="90"/>
  <c r="M59" i="90"/>
  <c r="P57" i="92" l="1"/>
  <c r="P79" i="92"/>
  <c r="P83" i="92"/>
  <c r="P78" i="92"/>
  <c r="P76" i="92"/>
  <c r="P74" i="92"/>
  <c r="P80" i="92"/>
  <c r="P77" i="92"/>
  <c r="P75" i="92"/>
  <c r="P81" i="92"/>
  <c r="P84" i="92"/>
  <c r="D84" i="92" s="1"/>
  <c r="D100" i="92" s="1"/>
  <c r="P100" i="92" s="1"/>
  <c r="P82" i="92"/>
  <c r="D60" i="92"/>
  <c r="E60" i="92" s="1"/>
  <c r="F60" i="92" s="1"/>
  <c r="G60" i="92" s="1"/>
  <c r="H60" i="92" s="1"/>
  <c r="I60" i="92" s="1"/>
  <c r="J60" i="92" s="1"/>
  <c r="K60" i="92" s="1"/>
  <c r="L60" i="92" s="1"/>
  <c r="D67" i="92"/>
  <c r="E67" i="92" s="1"/>
  <c r="D58" i="92"/>
  <c r="E58" i="92" s="1"/>
  <c r="F58" i="92" s="1"/>
  <c r="G58" i="92" s="1"/>
  <c r="H58" i="92" s="1"/>
  <c r="I58" i="92" s="1"/>
  <c r="J58" i="92" s="1"/>
  <c r="K58" i="92" s="1"/>
  <c r="L58" i="92" s="1"/>
  <c r="M58" i="92" s="1"/>
  <c r="N58" i="92" s="1"/>
  <c r="D68" i="92"/>
  <c r="D59" i="92"/>
  <c r="E59" i="92" s="1"/>
  <c r="F59" i="92" s="1"/>
  <c r="G59" i="92" s="1"/>
  <c r="H59" i="92" s="1"/>
  <c r="I59" i="92" s="1"/>
  <c r="J59" i="92" s="1"/>
  <c r="K59" i="92" s="1"/>
  <c r="L59" i="92" s="1"/>
  <c r="M59" i="92" s="1"/>
  <c r="D63" i="92"/>
  <c r="D62" i="92"/>
  <c r="E62" i="92" s="1"/>
  <c r="F62" i="92" s="1"/>
  <c r="G62" i="92" s="1"/>
  <c r="H62" i="92" s="1"/>
  <c r="I62" i="92" s="1"/>
  <c r="J62" i="92" s="1"/>
  <c r="D61" i="92"/>
  <c r="E61" i="92" s="1"/>
  <c r="F61" i="92" s="1"/>
  <c r="G61" i="92" s="1"/>
  <c r="H61" i="92" s="1"/>
  <c r="I61" i="92" s="1"/>
  <c r="J61" i="92" s="1"/>
  <c r="K61" i="92" s="1"/>
  <c r="D66" i="92"/>
  <c r="E66" i="92" s="1"/>
  <c r="F66" i="92" s="1"/>
  <c r="D65" i="92"/>
  <c r="E65" i="92" s="1"/>
  <c r="F65" i="92" s="1"/>
  <c r="G65" i="92" s="1"/>
  <c r="D64" i="92"/>
  <c r="E64" i="92" s="1"/>
  <c r="F64" i="92" s="1"/>
  <c r="G64" i="92" s="1"/>
  <c r="H64" i="92" s="1"/>
  <c r="J61" i="90"/>
  <c r="I61" i="90"/>
  <c r="E63" i="92"/>
  <c r="F63" i="92" s="1"/>
  <c r="G63" i="92" s="1"/>
  <c r="H63" i="92" s="1"/>
  <c r="I63" i="92" s="1"/>
  <c r="N30" i="86"/>
  <c r="N33" i="86"/>
  <c r="N34" i="86" s="1"/>
  <c r="N37" i="86"/>
  <c r="N42" i="86" s="1"/>
  <c r="N43" i="86" s="1"/>
  <c r="N59" i="90"/>
  <c r="D59" i="90"/>
  <c r="E59" i="90"/>
  <c r="H61" i="90" s="1"/>
  <c r="K29" i="86"/>
  <c r="K59" i="90"/>
  <c r="J29" i="86"/>
  <c r="H30" i="86"/>
  <c r="H33" i="86"/>
  <c r="H37" i="86"/>
  <c r="H42" i="86" s="1"/>
  <c r="H43" i="86" s="1"/>
  <c r="C29" i="86"/>
  <c r="C59" i="90"/>
  <c r="I30" i="86"/>
  <c r="I33" i="86"/>
  <c r="I37" i="86"/>
  <c r="I42" i="86" s="1"/>
  <c r="I43" i="86" s="1"/>
  <c r="F33" i="86"/>
  <c r="F37" i="86"/>
  <c r="F42" i="86" s="1"/>
  <c r="F43" i="86" s="1"/>
  <c r="F30" i="86"/>
  <c r="G30" i="86"/>
  <c r="G33" i="86"/>
  <c r="G37" i="86"/>
  <c r="G42" i="86" s="1"/>
  <c r="G43" i="86" s="1"/>
  <c r="M33" i="86"/>
  <c r="M37" i="86"/>
  <c r="M42" i="86" s="1"/>
  <c r="M43" i="86" s="1"/>
  <c r="L33" i="86"/>
  <c r="L37" i="86"/>
  <c r="L42" i="86" s="1"/>
  <c r="L43" i="86" s="1"/>
  <c r="H80" i="92" l="1"/>
  <c r="H96" i="92" s="1"/>
  <c r="D80" i="92"/>
  <c r="D96" i="92" s="1"/>
  <c r="E80" i="92"/>
  <c r="E96" i="92" s="1"/>
  <c r="G80" i="92"/>
  <c r="G96" i="92" s="1"/>
  <c r="F80" i="92"/>
  <c r="F96" i="92" s="1"/>
  <c r="H74" i="92"/>
  <c r="H90" i="92" s="1"/>
  <c r="D74" i="92"/>
  <c r="D90" i="92" s="1"/>
  <c r="I74" i="92"/>
  <c r="I90" i="92" s="1"/>
  <c r="M74" i="92"/>
  <c r="M90" i="92" s="1"/>
  <c r="J74" i="92"/>
  <c r="J90" i="92" s="1"/>
  <c r="F74" i="92"/>
  <c r="F90" i="92" s="1"/>
  <c r="E74" i="92"/>
  <c r="E90" i="92" s="1"/>
  <c r="N74" i="92"/>
  <c r="N90" i="92" s="1"/>
  <c r="K74" i="92"/>
  <c r="K90" i="92" s="1"/>
  <c r="G74" i="92"/>
  <c r="G90" i="92" s="1"/>
  <c r="L74" i="92"/>
  <c r="L90" i="92" s="1"/>
  <c r="I76" i="92"/>
  <c r="I92" i="92" s="1"/>
  <c r="L76" i="92"/>
  <c r="L92" i="92" s="1"/>
  <c r="D76" i="92"/>
  <c r="D92" i="92" s="1"/>
  <c r="F76" i="92"/>
  <c r="F92" i="92" s="1"/>
  <c r="E76" i="92"/>
  <c r="E92" i="92" s="1"/>
  <c r="H76" i="92"/>
  <c r="H92" i="92" s="1"/>
  <c r="G76" i="92"/>
  <c r="G92" i="92" s="1"/>
  <c r="K76" i="92"/>
  <c r="K92" i="92" s="1"/>
  <c r="J76" i="92"/>
  <c r="J92" i="92" s="1"/>
  <c r="E82" i="92"/>
  <c r="E98" i="92" s="1"/>
  <c r="F82" i="92"/>
  <c r="F98" i="92" s="1"/>
  <c r="D82" i="92"/>
  <c r="D98" i="92" s="1"/>
  <c r="D78" i="92"/>
  <c r="D94" i="92" s="1"/>
  <c r="G78" i="92"/>
  <c r="G94" i="92" s="1"/>
  <c r="J78" i="92"/>
  <c r="J94" i="92" s="1"/>
  <c r="F78" i="92"/>
  <c r="F94" i="92" s="1"/>
  <c r="I78" i="92"/>
  <c r="I94" i="92" s="1"/>
  <c r="E78" i="92"/>
  <c r="E94" i="92" s="1"/>
  <c r="H78" i="92"/>
  <c r="H94" i="92" s="1"/>
  <c r="E83" i="92"/>
  <c r="E99" i="92" s="1"/>
  <c r="D83" i="92"/>
  <c r="D99" i="92" s="1"/>
  <c r="J77" i="92"/>
  <c r="J93" i="92" s="1"/>
  <c r="K77" i="92"/>
  <c r="K93" i="92" s="1"/>
  <c r="G77" i="92"/>
  <c r="G93" i="92" s="1"/>
  <c r="F77" i="92"/>
  <c r="F93" i="92" s="1"/>
  <c r="E77" i="92"/>
  <c r="E93" i="92" s="1"/>
  <c r="D77" i="92"/>
  <c r="D93" i="92" s="1"/>
  <c r="H77" i="92"/>
  <c r="H93" i="92" s="1"/>
  <c r="I77" i="92"/>
  <c r="I93" i="92" s="1"/>
  <c r="D81" i="92"/>
  <c r="D97" i="92" s="1"/>
  <c r="G81" i="92"/>
  <c r="G97" i="92" s="1"/>
  <c r="F81" i="92"/>
  <c r="F97" i="92" s="1"/>
  <c r="E81" i="92"/>
  <c r="E97" i="92" s="1"/>
  <c r="I79" i="92"/>
  <c r="I95" i="92" s="1"/>
  <c r="H79" i="92"/>
  <c r="H95" i="92" s="1"/>
  <c r="G79" i="92"/>
  <c r="G95" i="92" s="1"/>
  <c r="E79" i="92"/>
  <c r="E95" i="92" s="1"/>
  <c r="F79" i="92"/>
  <c r="F95" i="92" s="1"/>
  <c r="D79" i="92"/>
  <c r="D95" i="92" s="1"/>
  <c r="M75" i="92"/>
  <c r="M91" i="92" s="1"/>
  <c r="L75" i="92"/>
  <c r="L91" i="92" s="1"/>
  <c r="F75" i="92"/>
  <c r="F91" i="92" s="1"/>
  <c r="H75" i="92"/>
  <c r="H91" i="92" s="1"/>
  <c r="D75" i="92"/>
  <c r="D91" i="92" s="1"/>
  <c r="J75" i="92"/>
  <c r="J91" i="92" s="1"/>
  <c r="E75" i="92"/>
  <c r="E91" i="92" s="1"/>
  <c r="K75" i="92"/>
  <c r="K91" i="92" s="1"/>
  <c r="G75" i="92"/>
  <c r="G91" i="92" s="1"/>
  <c r="I75" i="92"/>
  <c r="I91" i="92" s="1"/>
  <c r="P73" i="92"/>
  <c r="D57" i="92"/>
  <c r="E57" i="92" s="1"/>
  <c r="F57" i="92" s="1"/>
  <c r="G57" i="92" s="1"/>
  <c r="H57" i="92" s="1"/>
  <c r="I57" i="92" s="1"/>
  <c r="J57" i="92" s="1"/>
  <c r="K57" i="92" s="1"/>
  <c r="L57" i="92" s="1"/>
  <c r="M57" i="92" s="1"/>
  <c r="N57" i="92" s="1"/>
  <c r="O57" i="92" s="1"/>
  <c r="N61" i="90"/>
  <c r="M61" i="90"/>
  <c r="K61" i="90"/>
  <c r="G61" i="90"/>
  <c r="L61" i="90"/>
  <c r="I40" i="90"/>
  <c r="I42" i="90" s="1"/>
  <c r="I43" i="90" s="1"/>
  <c r="F34" i="86"/>
  <c r="J33" i="86"/>
  <c r="J37" i="86"/>
  <c r="J42" i="86" s="1"/>
  <c r="J43" i="86" s="1"/>
  <c r="J30" i="86"/>
  <c r="M34" i="86"/>
  <c r="G34" i="86"/>
  <c r="C61" i="90"/>
  <c r="F61" i="90"/>
  <c r="D61" i="90"/>
  <c r="E61" i="90"/>
  <c r="K33" i="86"/>
  <c r="K37" i="86"/>
  <c r="K42" i="86" s="1"/>
  <c r="K43" i="86" s="1"/>
  <c r="K30" i="86"/>
  <c r="C30" i="86"/>
  <c r="I34" i="86"/>
  <c r="G40" i="90"/>
  <c r="G42" i="90" s="1"/>
  <c r="G43" i="90" s="1"/>
  <c r="L34" i="86"/>
  <c r="H40" i="90"/>
  <c r="H42" i="90" s="1"/>
  <c r="H43" i="90" s="1"/>
  <c r="H34" i="86"/>
  <c r="P95" i="92" l="1"/>
  <c r="P99" i="92"/>
  <c r="P94" i="92"/>
  <c r="P91" i="92"/>
  <c r="P98" i="92"/>
  <c r="P97" i="92"/>
  <c r="P92" i="92"/>
  <c r="P93" i="92"/>
  <c r="P96" i="92"/>
  <c r="P90" i="92"/>
  <c r="D73" i="92"/>
  <c r="D89" i="92" s="1"/>
  <c r="F73" i="92"/>
  <c r="F89" i="92" s="1"/>
  <c r="F101" i="92" s="1"/>
  <c r="M73" i="92"/>
  <c r="M89" i="92" s="1"/>
  <c r="M101" i="92" s="1"/>
  <c r="K73" i="92"/>
  <c r="K89" i="92" s="1"/>
  <c r="K101" i="92" s="1"/>
  <c r="O73" i="92"/>
  <c r="O89" i="92" s="1"/>
  <c r="O101" i="92" s="1"/>
  <c r="J73" i="92"/>
  <c r="J89" i="92" s="1"/>
  <c r="J101" i="92" s="1"/>
  <c r="E73" i="92"/>
  <c r="E89" i="92" s="1"/>
  <c r="E101" i="92" s="1"/>
  <c r="I73" i="92"/>
  <c r="I89" i="92" s="1"/>
  <c r="I101" i="92" s="1"/>
  <c r="L73" i="92"/>
  <c r="L89" i="92" s="1"/>
  <c r="L101" i="92" s="1"/>
  <c r="H73" i="92"/>
  <c r="H89" i="92" s="1"/>
  <c r="H101" i="92" s="1"/>
  <c r="G73" i="92"/>
  <c r="G89" i="92" s="1"/>
  <c r="G101" i="92" s="1"/>
  <c r="N73" i="92"/>
  <c r="N89" i="92" s="1"/>
  <c r="N101" i="92" s="1"/>
  <c r="K40" i="90"/>
  <c r="K42" i="90" s="1"/>
  <c r="K43" i="90" s="1"/>
  <c r="J40" i="90"/>
  <c r="J42" i="90" s="1"/>
  <c r="J43" i="90" s="1"/>
  <c r="L40" i="90"/>
  <c r="L42" i="90" s="1"/>
  <c r="L43" i="90" s="1"/>
  <c r="J34" i="86"/>
  <c r="M40" i="90"/>
  <c r="M42" i="90" s="1"/>
  <c r="M43" i="90" s="1"/>
  <c r="K34" i="86"/>
  <c r="N40" i="90"/>
  <c r="N42" i="90" s="1"/>
  <c r="N43" i="90" s="1"/>
  <c r="D40" i="90"/>
  <c r="F40" i="90"/>
  <c r="C40" i="90"/>
  <c r="E40" i="90"/>
  <c r="O22" i="89"/>
  <c r="O24" i="89" s="1"/>
  <c r="O11" i="89"/>
  <c r="I8" i="94"/>
  <c r="I10" i="94"/>
  <c r="O7" i="90"/>
  <c r="O74" i="90" s="1"/>
  <c r="O9" i="90"/>
  <c r="D101" i="92" l="1"/>
  <c r="P89" i="92"/>
  <c r="O29" i="89"/>
  <c r="P21" i="89"/>
  <c r="P14" i="90" s="1"/>
  <c r="O15" i="90"/>
  <c r="O64" i="90" s="1"/>
  <c r="O66" i="90" s="1"/>
  <c r="O78" i="90"/>
  <c r="O31" i="90"/>
  <c r="O46" i="90"/>
  <c r="I12" i="94"/>
  <c r="M7" i="94" s="1"/>
  <c r="P6" i="89"/>
  <c r="O5" i="86"/>
  <c r="O6" i="86" s="1"/>
  <c r="O22" i="90"/>
  <c r="O11" i="90"/>
  <c r="O69" i="90"/>
  <c r="O71" i="90" s="1"/>
  <c r="O73" i="90" s="1"/>
  <c r="O17" i="90"/>
  <c r="O26" i="90" a="1"/>
  <c r="O26" i="90" s="1"/>
  <c r="O27" i="90"/>
  <c r="O33" i="90"/>
  <c r="O14" i="89"/>
  <c r="O79" i="90" l="1"/>
  <c r="O80" i="90" s="1"/>
  <c r="O81" i="90" s="1"/>
  <c r="O82" i="90" s="1"/>
  <c r="O83" i="90"/>
  <c r="O87" i="90" s="1"/>
  <c r="O35" i="90"/>
  <c r="O8" i="86"/>
  <c r="P6" i="90"/>
  <c r="P8" i="89"/>
  <c r="P10" i="89"/>
  <c r="J11" i="94" s="1"/>
  <c r="P7" i="89"/>
  <c r="P9" i="89"/>
  <c r="O49" i="90"/>
  <c r="O23" i="90"/>
  <c r="O85" i="90" l="1"/>
  <c r="O89" i="90" s="1"/>
  <c r="O84" i="90"/>
  <c r="O88" i="90" s="1"/>
  <c r="P10" i="90"/>
  <c r="P34" i="90" s="1"/>
  <c r="P23" i="89"/>
  <c r="P16" i="90" s="1"/>
  <c r="P28" i="90" s="1"/>
  <c r="P77" i="90" s="1"/>
  <c r="O12" i="86"/>
  <c r="O20" i="86"/>
  <c r="O22" i="86"/>
  <c r="O95" i="90" s="1"/>
  <c r="O21" i="86"/>
  <c r="H52" i="95" s="1"/>
  <c r="H47" i="95" s="1"/>
  <c r="O97" i="86"/>
  <c r="O64" i="86"/>
  <c r="O81" i="86" s="1"/>
  <c r="O106" i="86" s="1"/>
  <c r="O32" i="86" s="1"/>
  <c r="O39" i="90"/>
  <c r="O41" i="90" s="1"/>
  <c r="O15" i="86"/>
  <c r="O16" i="86" s="1"/>
  <c r="O60" i="90"/>
  <c r="O10" i="86"/>
  <c r="J9" i="94"/>
  <c r="P8" i="90"/>
  <c r="O92" i="90"/>
  <c r="O99" i="90" l="1"/>
  <c r="O111" i="86"/>
  <c r="H49" i="95"/>
  <c r="O122" i="86"/>
  <c r="O124" i="86" s="1"/>
  <c r="O126" i="86" s="1"/>
  <c r="H12" i="95"/>
  <c r="H7" i="95" s="1"/>
  <c r="O94" i="90"/>
  <c r="O98" i="90" s="1"/>
  <c r="O67" i="86"/>
  <c r="P65" i="90"/>
  <c r="P72" i="90" s="1"/>
  <c r="P86" i="90" s="1"/>
  <c r="P48" i="90"/>
  <c r="O23" i="86"/>
  <c r="O93" i="90"/>
  <c r="O97" i="90" s="1"/>
  <c r="O66" i="86"/>
  <c r="O51" i="86"/>
  <c r="O80" i="86"/>
  <c r="O82" i="86" s="1"/>
  <c r="O65" i="86"/>
  <c r="O59" i="90"/>
  <c r="O61" i="90" s="1"/>
  <c r="O56" i="86"/>
  <c r="P32" i="90"/>
  <c r="P47" i="90"/>
  <c r="O110" i="86" l="1"/>
  <c r="H9" i="95"/>
  <c r="O109" i="86"/>
  <c r="I46" i="95"/>
  <c r="O53" i="86"/>
  <c r="O75" i="86" s="1"/>
  <c r="O27" i="86"/>
  <c r="O112" i="86"/>
  <c r="O29" i="86"/>
  <c r="O50" i="86"/>
  <c r="P79" i="86"/>
  <c r="O52" i="86" l="1"/>
  <c r="O74" i="86" s="1"/>
  <c r="I6" i="95"/>
  <c r="O37" i="86"/>
  <c r="O39" i="86" s="1"/>
  <c r="O42" i="86" s="1"/>
  <c r="O105" i="86" s="1"/>
  <c r="O30" i="86"/>
  <c r="O33" i="86"/>
  <c r="P11" i="89"/>
  <c r="P14" i="89"/>
  <c r="P22" i="89"/>
  <c r="J8" i="94"/>
  <c r="J10" i="94"/>
  <c r="P7" i="90"/>
  <c r="P69" i="90" s="1"/>
  <c r="P71" i="90" s="1"/>
  <c r="P73" i="90" s="1"/>
  <c r="P9" i="90"/>
  <c r="P26" i="90" s="1" a="1"/>
  <c r="P26" i="90" s="1"/>
  <c r="O43" i="86" l="1"/>
  <c r="O59" i="86"/>
  <c r="O40" i="90"/>
  <c r="O42" i="90" s="1"/>
  <c r="O43" i="90" s="1"/>
  <c r="O34" i="86"/>
  <c r="P78" i="90"/>
  <c r="P83" i="90" s="1"/>
  <c r="P87" i="90" s="1"/>
  <c r="P74" i="90"/>
  <c r="P46" i="90"/>
  <c r="P49" i="90" s="1"/>
  <c r="P31" i="90"/>
  <c r="Q6" i="89"/>
  <c r="Q7" i="89" s="1"/>
  <c r="P15" i="90"/>
  <c r="P64" i="90" s="1"/>
  <c r="P66" i="90" s="1"/>
  <c r="P22" i="90"/>
  <c r="P23" i="90" s="1"/>
  <c r="P11" i="90"/>
  <c r="J12" i="94"/>
  <c r="N7" i="94" s="1"/>
  <c r="P27" i="90"/>
  <c r="P33" i="90"/>
  <c r="P5" i="86"/>
  <c r="P24" i="89"/>
  <c r="Q8" i="89" l="1"/>
  <c r="Q8" i="90" s="1"/>
  <c r="P35" i="90"/>
  <c r="P79" i="90"/>
  <c r="P80" i="90" s="1"/>
  <c r="P81" i="90" s="1"/>
  <c r="P82" i="90" s="1"/>
  <c r="Q10" i="89"/>
  <c r="Q23" i="89" s="1"/>
  <c r="Q6" i="90"/>
  <c r="Q9" i="89"/>
  <c r="P29" i="89"/>
  <c r="P8" i="86"/>
  <c r="P6" i="86"/>
  <c r="Q21" i="89"/>
  <c r="P17" i="90"/>
  <c r="K8" i="94"/>
  <c r="Q22" i="89"/>
  <c r="Q7" i="90"/>
  <c r="P85" i="90" l="1"/>
  <c r="P89" i="90" s="1"/>
  <c r="P84" i="90"/>
  <c r="P88" i="90" s="1"/>
  <c r="K9" i="94"/>
  <c r="P21" i="86"/>
  <c r="I52" i="95" s="1"/>
  <c r="I47" i="95" s="1"/>
  <c r="P20" i="86"/>
  <c r="P22" i="86"/>
  <c r="P95" i="90" s="1"/>
  <c r="Q10" i="90"/>
  <c r="Q34" i="90" s="1"/>
  <c r="K11" i="94"/>
  <c r="Q14" i="89"/>
  <c r="Q9" i="90"/>
  <c r="K10" i="94"/>
  <c r="Q11" i="89"/>
  <c r="Q15" i="90"/>
  <c r="Q64" i="90" s="1"/>
  <c r="P10" i="86"/>
  <c r="P64" i="86"/>
  <c r="P97" i="86"/>
  <c r="P39" i="90"/>
  <c r="P41" i="90" s="1"/>
  <c r="P92" i="90"/>
  <c r="P15" i="86"/>
  <c r="P16" i="86" s="1"/>
  <c r="P12" i="86"/>
  <c r="P60" i="90"/>
  <c r="Q24" i="89"/>
  <c r="Q14" i="90"/>
  <c r="Q16" i="90"/>
  <c r="Q31" i="90"/>
  <c r="Q46" i="90"/>
  <c r="Q78" i="90"/>
  <c r="Q69" i="90"/>
  <c r="Q71" i="90" s="1"/>
  <c r="Q32" i="90"/>
  <c r="Q47" i="90"/>
  <c r="R6" i="89" l="1"/>
  <c r="R8" i="89" s="1"/>
  <c r="K12" i="94"/>
  <c r="O7" i="94" s="1"/>
  <c r="Q11" i="90"/>
  <c r="Q27" i="90"/>
  <c r="I12" i="95"/>
  <c r="I7" i="95" s="1"/>
  <c r="P122" i="86"/>
  <c r="P124" i="86" s="1"/>
  <c r="P126" i="86" s="1"/>
  <c r="P111" i="86"/>
  <c r="P23" i="86"/>
  <c r="P29" i="86" s="1"/>
  <c r="P93" i="90"/>
  <c r="P97" i="90" s="1"/>
  <c r="Q65" i="90"/>
  <c r="Q72" i="90" s="1"/>
  <c r="Q48" i="90"/>
  <c r="P66" i="86"/>
  <c r="P94" i="90"/>
  <c r="P98" i="90" s="1"/>
  <c r="P67" i="86"/>
  <c r="Q26" i="90" a="1"/>
  <c r="Q26" i="90" s="1"/>
  <c r="Q79" i="90" s="1"/>
  <c r="Q80" i="90" s="1"/>
  <c r="Q81" i="90" s="1"/>
  <c r="Q82" i="90" s="1"/>
  <c r="Q33" i="90"/>
  <c r="Q35" i="90" s="1"/>
  <c r="R6" i="90"/>
  <c r="Q28" i="90"/>
  <c r="R7" i="89"/>
  <c r="R22" i="89" s="1"/>
  <c r="Q22" i="90"/>
  <c r="Q29" i="89"/>
  <c r="Q5" i="86"/>
  <c r="R10" i="89"/>
  <c r="L11" i="94" s="1"/>
  <c r="P59" i="90"/>
  <c r="P56" i="86"/>
  <c r="P65" i="86"/>
  <c r="P99" i="90"/>
  <c r="R21" i="89"/>
  <c r="Q17" i="90"/>
  <c r="P51" i="86"/>
  <c r="P81" i="86"/>
  <c r="P106" i="86" s="1"/>
  <c r="P80" i="86"/>
  <c r="L9" i="94"/>
  <c r="R8" i="90"/>
  <c r="R9" i="89" l="1"/>
  <c r="L10" i="94" s="1"/>
  <c r="P110" i="86"/>
  <c r="Q84" i="90"/>
  <c r="Q77" i="90"/>
  <c r="Q83" i="90" s="1"/>
  <c r="Q85" i="90"/>
  <c r="L8" i="94"/>
  <c r="P109" i="86"/>
  <c r="Q49" i="90"/>
  <c r="Q86" i="90"/>
  <c r="Q74" i="90"/>
  <c r="Q73" i="90"/>
  <c r="P27" i="86"/>
  <c r="Q66" i="90"/>
  <c r="R7" i="90"/>
  <c r="R78" i="90" s="1"/>
  <c r="R23" i="89"/>
  <c r="R24" i="89" s="1"/>
  <c r="R14" i="89"/>
  <c r="Q23" i="90"/>
  <c r="R11" i="89"/>
  <c r="Q8" i="86"/>
  <c r="Q6" i="86"/>
  <c r="R10" i="90"/>
  <c r="R34" i="90" s="1"/>
  <c r="R47" i="90"/>
  <c r="R32" i="90"/>
  <c r="R14" i="90"/>
  <c r="P61" i="90"/>
  <c r="P82" i="86"/>
  <c r="P112" i="86"/>
  <c r="R15" i="90"/>
  <c r="R64" i="90" s="1"/>
  <c r="P30" i="86"/>
  <c r="P37" i="86"/>
  <c r="R5" i="86" l="1"/>
  <c r="R8" i="86" s="1"/>
  <c r="R9" i="90"/>
  <c r="R33" i="90" s="1"/>
  <c r="L12" i="94"/>
  <c r="Q89" i="90"/>
  <c r="R31" i="90"/>
  <c r="R35" i="90" s="1"/>
  <c r="Q87" i="90"/>
  <c r="Q88" i="90"/>
  <c r="Q21" i="86"/>
  <c r="J52" i="95" s="1"/>
  <c r="J47" i="95" s="1"/>
  <c r="Q22" i="86"/>
  <c r="Q95" i="90" s="1"/>
  <c r="Q20" i="86"/>
  <c r="R16" i="90"/>
  <c r="R28" i="90" s="1"/>
  <c r="R22" i="90"/>
  <c r="R46" i="90"/>
  <c r="R69" i="90"/>
  <c r="R71" i="90" s="1"/>
  <c r="S6" i="89"/>
  <c r="S7" i="89" s="1"/>
  <c r="R27" i="90"/>
  <c r="Q64" i="86"/>
  <c r="Q10" i="86"/>
  <c r="Q97" i="86"/>
  <c r="Q15" i="86"/>
  <c r="Q16" i="86" s="1"/>
  <c r="Q92" i="90"/>
  <c r="Q60" i="90"/>
  <c r="Q12" i="86"/>
  <c r="Q39" i="90"/>
  <c r="Q41" i="90" s="1"/>
  <c r="R29" i="89"/>
  <c r="R11" i="90"/>
  <c r="R26" i="90" a="1"/>
  <c r="R26" i="90" s="1"/>
  <c r="R79" i="90" s="1"/>
  <c r="R80" i="90" s="1"/>
  <c r="R81" i="90" s="1"/>
  <c r="R82" i="90" s="1"/>
  <c r="S21" i="89"/>
  <c r="R17" i="90"/>
  <c r="P7" i="94"/>
  <c r="P39" i="86"/>
  <c r="P42" i="86" s="1"/>
  <c r="P50" i="86"/>
  <c r="Q79" i="86"/>
  <c r="R6" i="86"/>
  <c r="R84" i="90" l="1"/>
  <c r="R77" i="90"/>
  <c r="R83" i="90" s="1"/>
  <c r="R85" i="90"/>
  <c r="S6" i="90"/>
  <c r="S10" i="89"/>
  <c r="S23" i="89" s="1"/>
  <c r="S8" i="89"/>
  <c r="S8" i="90" s="1"/>
  <c r="S9" i="89"/>
  <c r="S9" i="90" s="1"/>
  <c r="R23" i="90"/>
  <c r="J12" i="95"/>
  <c r="J7" i="95" s="1"/>
  <c r="Q122" i="86"/>
  <c r="Q124" i="86" s="1"/>
  <c r="Q126" i="86" s="1"/>
  <c r="Q111" i="86"/>
  <c r="Q23" i="86"/>
  <c r="Q29" i="86" s="1"/>
  <c r="R65" i="90"/>
  <c r="R48" i="90"/>
  <c r="Q93" i="90"/>
  <c r="Q97" i="90" s="1"/>
  <c r="Q66" i="86"/>
  <c r="R20" i="86"/>
  <c r="R22" i="86"/>
  <c r="R95" i="90" s="1"/>
  <c r="R21" i="86"/>
  <c r="K52" i="95" s="1"/>
  <c r="K47" i="95" s="1"/>
  <c r="Q94" i="90"/>
  <c r="Q98" i="90" s="1"/>
  <c r="Q67" i="86"/>
  <c r="Q59" i="90"/>
  <c r="Q61" i="90" s="1"/>
  <c r="Q99" i="90"/>
  <c r="Q65" i="86"/>
  <c r="Q56" i="86"/>
  <c r="Q51" i="86"/>
  <c r="Q81" i="86"/>
  <c r="Q106" i="86" s="1"/>
  <c r="Q80" i="86"/>
  <c r="Q112" i="86" s="1"/>
  <c r="S22" i="89"/>
  <c r="M8" i="94"/>
  <c r="S7" i="90"/>
  <c r="P43" i="86"/>
  <c r="P105" i="86"/>
  <c r="P59" i="86"/>
  <c r="R15" i="86"/>
  <c r="R16" i="86" s="1"/>
  <c r="R97" i="86"/>
  <c r="R92" i="90"/>
  <c r="R60" i="90"/>
  <c r="R10" i="86"/>
  <c r="R64" i="86"/>
  <c r="R39" i="90"/>
  <c r="R41" i="90" s="1"/>
  <c r="R12" i="86"/>
  <c r="S14" i="90"/>
  <c r="Q110" i="86" l="1"/>
  <c r="R111" i="86"/>
  <c r="M9" i="94"/>
  <c r="S10" i="90"/>
  <c r="S34" i="90" s="1"/>
  <c r="M11" i="94"/>
  <c r="S11" i="89"/>
  <c r="M10" i="94"/>
  <c r="S14" i="89"/>
  <c r="Q109" i="86"/>
  <c r="K12" i="95"/>
  <c r="K7" i="95" s="1"/>
  <c r="R122" i="86"/>
  <c r="R124" i="86" s="1"/>
  <c r="R126" i="86" s="1"/>
  <c r="Q30" i="86"/>
  <c r="Q37" i="86"/>
  <c r="Q39" i="86" s="1"/>
  <c r="Q42" i="86" s="1"/>
  <c r="R67" i="86"/>
  <c r="R94" i="90"/>
  <c r="R98" i="90" s="1"/>
  <c r="R49" i="90"/>
  <c r="R72" i="90"/>
  <c r="R66" i="90"/>
  <c r="R23" i="86"/>
  <c r="R29" i="86" s="1"/>
  <c r="S65" i="90"/>
  <c r="S72" i="90" s="1"/>
  <c r="S86" i="90" s="1"/>
  <c r="R93" i="90"/>
  <c r="R97" i="90" s="1"/>
  <c r="S48" i="90"/>
  <c r="Q27" i="86"/>
  <c r="R66" i="86"/>
  <c r="Q82" i="86"/>
  <c r="S33" i="90"/>
  <c r="R56" i="86"/>
  <c r="R65" i="86"/>
  <c r="S31" i="90"/>
  <c r="S78" i="90"/>
  <c r="S46" i="90"/>
  <c r="S69" i="90"/>
  <c r="S71" i="90" s="1"/>
  <c r="R59" i="90"/>
  <c r="S16" i="90"/>
  <c r="S28" i="90" s="1"/>
  <c r="S77" i="90" s="1"/>
  <c r="R99" i="90"/>
  <c r="R80" i="86"/>
  <c r="R112" i="86" s="1"/>
  <c r="R51" i="86"/>
  <c r="R81" i="86"/>
  <c r="R106" i="86" s="1"/>
  <c r="S24" i="89"/>
  <c r="S32" i="90"/>
  <c r="S47" i="90"/>
  <c r="S15" i="90"/>
  <c r="S64" i="90" s="1"/>
  <c r="R110" i="86" l="1"/>
  <c r="S11" i="90"/>
  <c r="S27" i="90"/>
  <c r="M12" i="94"/>
  <c r="Q7" i="94" s="1"/>
  <c r="T6" i="89"/>
  <c r="T7" i="89" s="1"/>
  <c r="S26" i="90" a="1"/>
  <c r="S26" i="90" s="1"/>
  <c r="S79" i="90" s="1"/>
  <c r="S80" i="90" s="1"/>
  <c r="S81" i="90" s="1"/>
  <c r="S82" i="90" s="1"/>
  <c r="S22" i="90"/>
  <c r="S5" i="86"/>
  <c r="S8" i="86" s="1"/>
  <c r="Q59" i="86"/>
  <c r="R109" i="86"/>
  <c r="S66" i="90"/>
  <c r="S74" i="90"/>
  <c r="R86" i="90"/>
  <c r="R74" i="90"/>
  <c r="R73" i="90"/>
  <c r="S73" i="90"/>
  <c r="R27" i="86"/>
  <c r="R79" i="86"/>
  <c r="R82" i="86" s="1"/>
  <c r="Q50" i="86"/>
  <c r="S29" i="89"/>
  <c r="S83" i="90"/>
  <c r="S87" i="90" s="1"/>
  <c r="S35" i="90"/>
  <c r="R61" i="90"/>
  <c r="R37" i="86"/>
  <c r="R30" i="86"/>
  <c r="T21" i="89"/>
  <c r="S17" i="90"/>
  <c r="Q43" i="86"/>
  <c r="Q105" i="86"/>
  <c r="S49" i="90"/>
  <c r="S84" i="90" l="1"/>
  <c r="S88" i="90" s="1"/>
  <c r="S85" i="90"/>
  <c r="S89" i="90" s="1"/>
  <c r="T8" i="89"/>
  <c r="N9" i="94" s="1"/>
  <c r="T10" i="89"/>
  <c r="T23" i="89" s="1"/>
  <c r="T9" i="89"/>
  <c r="T9" i="90" s="1"/>
  <c r="T6" i="90"/>
  <c r="S23" i="90"/>
  <c r="S6" i="86"/>
  <c r="S20" i="86"/>
  <c r="S21" i="86"/>
  <c r="L52" i="95" s="1"/>
  <c r="L47" i="95" s="1"/>
  <c r="S22" i="86"/>
  <c r="S95" i="90" s="1"/>
  <c r="R88" i="90"/>
  <c r="R89" i="90"/>
  <c r="R87" i="90"/>
  <c r="R50" i="86"/>
  <c r="S79" i="86"/>
  <c r="T22" i="89"/>
  <c r="N8" i="94"/>
  <c r="T7" i="90"/>
  <c r="T14" i="90"/>
  <c r="S15" i="86"/>
  <c r="S16" i="86" s="1"/>
  <c r="S97" i="86"/>
  <c r="S60" i="90"/>
  <c r="S92" i="90"/>
  <c r="S10" i="86"/>
  <c r="S12" i="86"/>
  <c r="S39" i="90"/>
  <c r="S41" i="90" s="1"/>
  <c r="S64" i="86"/>
  <c r="R39" i="86"/>
  <c r="R42" i="86" s="1"/>
  <c r="T8" i="90" l="1"/>
  <c r="T47" i="90" s="1"/>
  <c r="T10" i="90"/>
  <c r="T34" i="90" s="1"/>
  <c r="N11" i="94"/>
  <c r="T11" i="89"/>
  <c r="N10" i="94"/>
  <c r="T14" i="89"/>
  <c r="L12" i="95"/>
  <c r="L7" i="95" s="1"/>
  <c r="S122" i="86"/>
  <c r="S124" i="86" s="1"/>
  <c r="S126" i="86" s="1"/>
  <c r="S111" i="86"/>
  <c r="S94" i="90"/>
  <c r="S98" i="90" s="1"/>
  <c r="S67" i="86"/>
  <c r="S23" i="86"/>
  <c r="S29" i="86" s="1"/>
  <c r="T65" i="90"/>
  <c r="T72" i="90" s="1"/>
  <c r="T86" i="90" s="1"/>
  <c r="T48" i="90"/>
  <c r="S93" i="90"/>
  <c r="S97" i="90" s="1"/>
  <c r="S66" i="86"/>
  <c r="T24" i="89"/>
  <c r="T17" i="90" s="1"/>
  <c r="R43" i="86"/>
  <c r="R105" i="86"/>
  <c r="R59" i="86"/>
  <c r="S59" i="90"/>
  <c r="T16" i="90"/>
  <c r="T28" i="90" s="1"/>
  <c r="T77" i="90" s="1"/>
  <c r="S80" i="86"/>
  <c r="S112" i="86" s="1"/>
  <c r="S81" i="86"/>
  <c r="S106" i="86" s="1"/>
  <c r="S51" i="86"/>
  <c r="T15" i="90"/>
  <c r="T64" i="90" s="1"/>
  <c r="T33" i="90"/>
  <c r="T31" i="90"/>
  <c r="T78" i="90"/>
  <c r="T46" i="90"/>
  <c r="T69" i="90"/>
  <c r="T71" i="90" s="1"/>
  <c r="S99" i="90"/>
  <c r="S65" i="86"/>
  <c r="S56" i="86"/>
  <c r="S110" i="86" l="1"/>
  <c r="T22" i="90"/>
  <c r="T32" i="90"/>
  <c r="T35" i="90" s="1"/>
  <c r="N12" i="94"/>
  <c r="R7" i="94" s="1"/>
  <c r="T26" i="90" a="1"/>
  <c r="T26" i="90" s="1"/>
  <c r="T79" i="90" s="1"/>
  <c r="T80" i="90" s="1"/>
  <c r="T81" i="90" s="1"/>
  <c r="T82" i="90" s="1"/>
  <c r="T27" i="90"/>
  <c r="U6" i="89"/>
  <c r="U7" i="89" s="1"/>
  <c r="U7" i="90" s="1"/>
  <c r="T11" i="90"/>
  <c r="T5" i="86"/>
  <c r="T8" i="86" s="1"/>
  <c r="T92" i="90" s="1"/>
  <c r="T74" i="90"/>
  <c r="T66" i="90"/>
  <c r="S109" i="86"/>
  <c r="T73" i="90"/>
  <c r="S27" i="86"/>
  <c r="T29" i="89"/>
  <c r="U21" i="89"/>
  <c r="U14" i="90" s="1"/>
  <c r="T23" i="90"/>
  <c r="T83" i="90"/>
  <c r="T87" i="90" s="1"/>
  <c r="S37" i="86"/>
  <c r="S30" i="86"/>
  <c r="S82" i="86"/>
  <c r="S61" i="90"/>
  <c r="T49" i="90"/>
  <c r="T84" i="90" l="1"/>
  <c r="T88" i="90" s="1"/>
  <c r="T85" i="90"/>
  <c r="T89" i="90" s="1"/>
  <c r="U10" i="89"/>
  <c r="U10" i="90" s="1"/>
  <c r="U34" i="90" s="1"/>
  <c r="O8" i="94"/>
  <c r="U8" i="89"/>
  <c r="U8" i="90" s="1"/>
  <c r="U47" i="90" s="1"/>
  <c r="T20" i="86"/>
  <c r="T93" i="90" s="1"/>
  <c r="T97" i="90" s="1"/>
  <c r="T39" i="90"/>
  <c r="T41" i="90" s="1"/>
  <c r="U22" i="89"/>
  <c r="U15" i="90" s="1"/>
  <c r="U64" i="90" s="1"/>
  <c r="T15" i="86"/>
  <c r="T16" i="86" s="1"/>
  <c r="U9" i="89"/>
  <c r="U6" i="90"/>
  <c r="T12" i="86"/>
  <c r="T10" i="86"/>
  <c r="T97" i="86"/>
  <c r="T22" i="86"/>
  <c r="T95" i="90" s="1"/>
  <c r="T99" i="90" s="1"/>
  <c r="T21" i="86"/>
  <c r="M52" i="95" s="1"/>
  <c r="M47" i="95" s="1"/>
  <c r="T64" i="86"/>
  <c r="T81" i="86" s="1"/>
  <c r="T106" i="86" s="1"/>
  <c r="T60" i="90"/>
  <c r="T6" i="86"/>
  <c r="U65" i="90"/>
  <c r="U72" i="90" s="1"/>
  <c r="U86" i="90" s="1"/>
  <c r="S39" i="86"/>
  <c r="S42" i="86" s="1"/>
  <c r="S50" i="86"/>
  <c r="T79" i="86"/>
  <c r="U31" i="90"/>
  <c r="U46" i="90"/>
  <c r="U78" i="90"/>
  <c r="U69" i="90"/>
  <c r="U71" i="90" s="1"/>
  <c r="M12" i="95" l="1"/>
  <c r="M7" i="95" s="1"/>
  <c r="T111" i="86"/>
  <c r="U48" i="90"/>
  <c r="U49" i="90" s="1"/>
  <c r="U32" i="90"/>
  <c r="U11" i="89"/>
  <c r="U23" i="89"/>
  <c r="U24" i="89" s="1"/>
  <c r="T56" i="86"/>
  <c r="T65" i="86"/>
  <c r="O11" i="94"/>
  <c r="T66" i="86"/>
  <c r="O9" i="94"/>
  <c r="U14" i="89"/>
  <c r="U9" i="90"/>
  <c r="O10" i="94"/>
  <c r="T122" i="86"/>
  <c r="T124" i="86" s="1"/>
  <c r="T126" i="86" s="1"/>
  <c r="T109" i="86" s="1"/>
  <c r="T51" i="86"/>
  <c r="T80" i="86"/>
  <c r="T112" i="86" s="1"/>
  <c r="T23" i="86"/>
  <c r="T27" i="86" s="1"/>
  <c r="T67" i="86"/>
  <c r="T94" i="90"/>
  <c r="T98" i="90" s="1"/>
  <c r="U22" i="90"/>
  <c r="U23" i="90" s="1"/>
  <c r="U5" i="86"/>
  <c r="U6" i="86" s="1"/>
  <c r="U66" i="90"/>
  <c r="U73" i="90"/>
  <c r="U74" i="90"/>
  <c r="S43" i="86"/>
  <c r="S105" i="86"/>
  <c r="S59" i="86"/>
  <c r="T59" i="90"/>
  <c r="V6" i="89" l="1"/>
  <c r="T110" i="86"/>
  <c r="U29" i="89"/>
  <c r="U11" i="90"/>
  <c r="U16" i="90"/>
  <c r="U28" i="90" s="1"/>
  <c r="O12" i="94"/>
  <c r="S7" i="94" s="1"/>
  <c r="U17" i="90"/>
  <c r="V21" i="89"/>
  <c r="V14" i="90" s="1"/>
  <c r="U26" i="90" a="1"/>
  <c r="U26" i="90" s="1"/>
  <c r="U79" i="90" s="1"/>
  <c r="U27" i="90"/>
  <c r="U33" i="90"/>
  <c r="U35" i="90" s="1"/>
  <c r="T82" i="86"/>
  <c r="U79" i="86" s="1"/>
  <c r="T29" i="86"/>
  <c r="T37" i="86" s="1"/>
  <c r="U8" i="86"/>
  <c r="U22" i="86" s="1"/>
  <c r="U95" i="90" s="1"/>
  <c r="T61" i="90"/>
  <c r="V6" i="90" l="1"/>
  <c r="V10" i="89"/>
  <c r="V7" i="89"/>
  <c r="V8" i="89"/>
  <c r="V9" i="89"/>
  <c r="V14" i="89" s="1"/>
  <c r="U77" i="90"/>
  <c r="U83" i="90" s="1"/>
  <c r="U87" i="90" s="1"/>
  <c r="U80" i="90"/>
  <c r="U81" i="90" s="1"/>
  <c r="U82" i="90" s="1"/>
  <c r="T50" i="86"/>
  <c r="T30" i="86"/>
  <c r="U60" i="90"/>
  <c r="U92" i="90"/>
  <c r="U99" i="90" s="1"/>
  <c r="U12" i="86"/>
  <c r="U15" i="86"/>
  <c r="U16" i="86" s="1"/>
  <c r="U59" i="90" s="1"/>
  <c r="U10" i="86"/>
  <c r="U97" i="86"/>
  <c r="U21" i="86"/>
  <c r="N52" i="95" s="1"/>
  <c r="N47" i="95" s="1"/>
  <c r="U39" i="90"/>
  <c r="U41" i="90" s="1"/>
  <c r="U20" i="86"/>
  <c r="U66" i="86" s="1"/>
  <c r="U64" i="86"/>
  <c r="U51" i="86" s="1"/>
  <c r="T39" i="86"/>
  <c r="T42" i="86" s="1"/>
  <c r="U111" i="86" l="1"/>
  <c r="P10" i="94"/>
  <c r="V8" i="90"/>
  <c r="P9" i="94"/>
  <c r="V22" i="89"/>
  <c r="P8" i="94"/>
  <c r="V7" i="90"/>
  <c r="V11" i="89"/>
  <c r="V9" i="90"/>
  <c r="V23" i="89"/>
  <c r="V16" i="90" s="1"/>
  <c r="V28" i="90" s="1"/>
  <c r="V77" i="90" s="1"/>
  <c r="P11" i="94"/>
  <c r="V10" i="90"/>
  <c r="V34" i="90" s="1"/>
  <c r="V26" i="90" a="1"/>
  <c r="V26" i="90" s="1"/>
  <c r="U85" i="90"/>
  <c r="U89" i="90" s="1"/>
  <c r="U84" i="90"/>
  <c r="U88" i="90" s="1"/>
  <c r="U81" i="86"/>
  <c r="U106" i="86" s="1"/>
  <c r="U56" i="86"/>
  <c r="U80" i="86"/>
  <c r="U112" i="86" s="1"/>
  <c r="N12" i="95"/>
  <c r="N7" i="95" s="1"/>
  <c r="U65" i="86"/>
  <c r="U23" i="86"/>
  <c r="U29" i="86" s="1"/>
  <c r="U37" i="86" s="1"/>
  <c r="U67" i="86"/>
  <c r="U122" i="86"/>
  <c r="U124" i="86" s="1"/>
  <c r="U126" i="86" s="1"/>
  <c r="V48" i="90"/>
  <c r="V65" i="90"/>
  <c r="V72" i="90" s="1"/>
  <c r="V86" i="90" s="1"/>
  <c r="U94" i="90"/>
  <c r="U98" i="90" s="1"/>
  <c r="U93" i="90"/>
  <c r="U97" i="90" s="1"/>
  <c r="T105" i="86"/>
  <c r="T43" i="86"/>
  <c r="T59" i="86"/>
  <c r="U61" i="90"/>
  <c r="W6" i="89" l="1"/>
  <c r="V22" i="90"/>
  <c r="V23" i="90" s="1"/>
  <c r="V11" i="90"/>
  <c r="V5" i="86"/>
  <c r="P12" i="94"/>
  <c r="T7" i="94" s="1"/>
  <c r="V69" i="90"/>
  <c r="V71" i="90" s="1"/>
  <c r="V46" i="90"/>
  <c r="V31" i="90"/>
  <c r="V78" i="90"/>
  <c r="U110" i="86"/>
  <c r="V15" i="90"/>
  <c r="V64" i="90" s="1"/>
  <c r="V66" i="90" s="1"/>
  <c r="V24" i="89"/>
  <c r="V47" i="90"/>
  <c r="V32" i="90"/>
  <c r="V49" i="90"/>
  <c r="V33" i="90"/>
  <c r="V27" i="90"/>
  <c r="U82" i="86"/>
  <c r="U50" i="86" s="1"/>
  <c r="U27" i="86"/>
  <c r="U30" i="86"/>
  <c r="U109" i="86"/>
  <c r="V74" i="90"/>
  <c r="V73" i="90"/>
  <c r="U39" i="86"/>
  <c r="U42" i="86" s="1"/>
  <c r="V6" i="86" l="1"/>
  <c r="V8" i="86"/>
  <c r="V29" i="89"/>
  <c r="W21" i="89"/>
  <c r="W14" i="90" s="1"/>
  <c r="V17" i="90"/>
  <c r="V79" i="90"/>
  <c r="V83" i="90"/>
  <c r="V87" i="90" s="1"/>
  <c r="V35" i="90"/>
  <c r="W7" i="89"/>
  <c r="W9" i="89"/>
  <c r="W6" i="90"/>
  <c r="W10" i="89"/>
  <c r="W8" i="89"/>
  <c r="V79" i="86"/>
  <c r="U59" i="86"/>
  <c r="U105" i="86"/>
  <c r="U43" i="86"/>
  <c r="V22" i="86" l="1"/>
  <c r="V95" i="90" s="1"/>
  <c r="V39" i="90"/>
  <c r="V41" i="90" s="1"/>
  <c r="V20" i="86"/>
  <c r="V10" i="86"/>
  <c r="V64" i="86"/>
  <c r="V12" i="86"/>
  <c r="V21" i="86"/>
  <c r="V97" i="86"/>
  <c r="V15" i="86"/>
  <c r="V60" i="90"/>
  <c r="V92" i="90"/>
  <c r="Q11" i="94"/>
  <c r="W10" i="90"/>
  <c r="W34" i="90" s="1"/>
  <c r="W23" i="89"/>
  <c r="W16" i="90" s="1"/>
  <c r="W28" i="90" s="1"/>
  <c r="W77" i="90" s="1"/>
  <c r="W14" i="89"/>
  <c r="Q9" i="94"/>
  <c r="W8" i="90"/>
  <c r="V80" i="90"/>
  <c r="V81" i="90" s="1"/>
  <c r="V82" i="90" s="1"/>
  <c r="V85" i="90"/>
  <c r="V89" i="90" s="1"/>
  <c r="V84" i="90"/>
  <c r="V88" i="90" s="1"/>
  <c r="W22" i="89"/>
  <c r="W15" i="90" s="1"/>
  <c r="W64" i="90" s="1"/>
  <c r="W11" i="89"/>
  <c r="Q8" i="94"/>
  <c r="Q12" i="94" s="1"/>
  <c r="U7" i="94" s="1"/>
  <c r="W7" i="90"/>
  <c r="Q10" i="94"/>
  <c r="W9" i="90"/>
  <c r="O52" i="95" l="1"/>
  <c r="O47" i="95" s="1"/>
  <c r="V94" i="90"/>
  <c r="V98" i="90" s="1"/>
  <c r="V67" i="86"/>
  <c r="X6" i="89"/>
  <c r="W5" i="86"/>
  <c r="W11" i="90"/>
  <c r="W22" i="90"/>
  <c r="W23" i="90" s="1"/>
  <c r="W24" i="89"/>
  <c r="W69" i="90"/>
  <c r="W71" i="90" s="1"/>
  <c r="W78" i="90"/>
  <c r="W79" i="90" s="1"/>
  <c r="W80" i="90" s="1"/>
  <c r="W81" i="90" s="1"/>
  <c r="W82" i="90" s="1"/>
  <c r="W31" i="90"/>
  <c r="W46" i="90"/>
  <c r="V23" i="86"/>
  <c r="V27" i="86" s="1"/>
  <c r="V66" i="86"/>
  <c r="V122" i="86"/>
  <c r="V124" i="86" s="1"/>
  <c r="V126" i="86" s="1"/>
  <c r="V109" i="86" s="1"/>
  <c r="V93" i="90"/>
  <c r="V97" i="90" s="1"/>
  <c r="O12" i="95"/>
  <c r="O7" i="95" s="1"/>
  <c r="W65" i="90"/>
  <c r="W48" i="90"/>
  <c r="V51" i="86"/>
  <c r="V81" i="86"/>
  <c r="V106" i="86" s="1"/>
  <c r="V80" i="86"/>
  <c r="W27" i="90"/>
  <c r="W33" i="90"/>
  <c r="W26" i="90" a="1"/>
  <c r="W26" i="90" s="1"/>
  <c r="W47" i="90"/>
  <c r="W32" i="90"/>
  <c r="V65" i="86"/>
  <c r="V56" i="86"/>
  <c r="V16" i="86"/>
  <c r="V99" i="90"/>
  <c r="W85" i="90"/>
  <c r="W84" i="90"/>
  <c r="W72" i="90" l="1"/>
  <c r="W66" i="90"/>
  <c r="V29" i="86"/>
  <c r="V59" i="90"/>
  <c r="V61" i="90" s="1"/>
  <c r="V110" i="86"/>
  <c r="W35" i="90"/>
  <c r="X7" i="89"/>
  <c r="X11" i="89" s="1"/>
  <c r="X6" i="90"/>
  <c r="X9" i="89"/>
  <c r="X10" i="89"/>
  <c r="X8" i="89"/>
  <c r="X14" i="89"/>
  <c r="W17" i="90"/>
  <c r="X21" i="89"/>
  <c r="W29" i="89"/>
  <c r="V112" i="86"/>
  <c r="V82" i="86"/>
  <c r="V111" i="86"/>
  <c r="W49" i="90"/>
  <c r="W6" i="86"/>
  <c r="W8" i="86"/>
  <c r="W83" i="90"/>
  <c r="X11" i="90" l="1"/>
  <c r="X5" i="86"/>
  <c r="X22" i="90"/>
  <c r="X23" i="90" s="1"/>
  <c r="Y6" i="89"/>
  <c r="W79" i="86"/>
  <c r="V50" i="86"/>
  <c r="W87" i="90"/>
  <c r="V30" i="86"/>
  <c r="V37" i="86"/>
  <c r="V39" i="86" s="1"/>
  <c r="V42" i="86" s="1"/>
  <c r="X7" i="90"/>
  <c r="X22" i="89"/>
  <c r="X15" i="90" s="1"/>
  <c r="X64" i="90" s="1"/>
  <c r="R8" i="94"/>
  <c r="X8" i="90"/>
  <c r="R9" i="94"/>
  <c r="R11" i="94"/>
  <c r="X23" i="89"/>
  <c r="X16" i="90" s="1"/>
  <c r="X28" i="90" s="1"/>
  <c r="X77" i="90" s="1"/>
  <c r="X10" i="90"/>
  <c r="X34" i="90" s="1"/>
  <c r="W15" i="86"/>
  <c r="W16" i="86" s="1"/>
  <c r="W97" i="86"/>
  <c r="W21" i="86"/>
  <c r="W39" i="90"/>
  <c r="W41" i="90" s="1"/>
  <c r="W20" i="86"/>
  <c r="W10" i="86"/>
  <c r="W22" i="86"/>
  <c r="W95" i="90" s="1"/>
  <c r="W99" i="90" s="1"/>
  <c r="W64" i="86"/>
  <c r="W92" i="90"/>
  <c r="W12" i="86"/>
  <c r="W60" i="90"/>
  <c r="W86" i="90"/>
  <c r="W74" i="90"/>
  <c r="W73" i="90"/>
  <c r="X9" i="90"/>
  <c r="R10" i="94"/>
  <c r="X14" i="90"/>
  <c r="V105" i="86"/>
  <c r="V43" i="86"/>
  <c r="V59" i="86"/>
  <c r="W59" i="90" l="1"/>
  <c r="W61" i="90" s="1"/>
  <c r="R12" i="94"/>
  <c r="V7" i="94" s="1"/>
  <c r="Y6" i="90"/>
  <c r="Y7" i="89"/>
  <c r="Y10" i="89"/>
  <c r="Y9" i="89"/>
  <c r="Y8" i="89"/>
  <c r="W56" i="86"/>
  <c r="W65" i="86"/>
  <c r="W88" i="90"/>
  <c r="W89" i="90"/>
  <c r="W93" i="90"/>
  <c r="W97" i="90" s="1"/>
  <c r="X48" i="90"/>
  <c r="W122" i="86"/>
  <c r="W124" i="86" s="1"/>
  <c r="W126" i="86" s="1"/>
  <c r="W109" i="86" s="1"/>
  <c r="X65" i="90"/>
  <c r="W66" i="86"/>
  <c r="P12" i="95"/>
  <c r="P7" i="95" s="1"/>
  <c r="W23" i="86"/>
  <c r="W27" i="86" s="1"/>
  <c r="X32" i="90"/>
  <c r="X26" i="90" a="1"/>
  <c r="X26" i="90" s="1"/>
  <c r="X47" i="90"/>
  <c r="X78" i="90"/>
  <c r="X83" i="90" s="1"/>
  <c r="X31" i="90"/>
  <c r="X35" i="90" s="1"/>
  <c r="X46" i="90"/>
  <c r="X49" i="90" s="1"/>
  <c r="X69" i="90"/>
  <c r="X71" i="90" s="1"/>
  <c r="X6" i="86"/>
  <c r="X8" i="86"/>
  <c r="X27" i="90"/>
  <c r="X33" i="90"/>
  <c r="X24" i="89"/>
  <c r="P52" i="95"/>
  <c r="P47" i="95" s="1"/>
  <c r="W67" i="86"/>
  <c r="W94" i="90"/>
  <c r="W98" i="90" s="1"/>
  <c r="W80" i="86"/>
  <c r="W51" i="86"/>
  <c r="W81" i="86"/>
  <c r="W106" i="86" s="1"/>
  <c r="X16" i="86" l="1"/>
  <c r="X59" i="90" s="1"/>
  <c r="Y8" i="90"/>
  <c r="S9" i="94"/>
  <c r="Y14" i="89"/>
  <c r="W111" i="86"/>
  <c r="Y21" i="89"/>
  <c r="X17" i="90"/>
  <c r="X29" i="89"/>
  <c r="S10" i="94"/>
  <c r="Y9" i="90"/>
  <c r="W29" i="86"/>
  <c r="X20" i="86"/>
  <c r="X22" i="86"/>
  <c r="X95" i="90" s="1"/>
  <c r="X15" i="86"/>
  <c r="X10" i="86"/>
  <c r="X97" i="86"/>
  <c r="X12" i="86"/>
  <c r="X60" i="90"/>
  <c r="X21" i="86"/>
  <c r="X64" i="86"/>
  <c r="X92" i="90"/>
  <c r="X39" i="90"/>
  <c r="X41" i="90" s="1"/>
  <c r="Y7" i="90"/>
  <c r="Y11" i="89"/>
  <c r="Y22" i="89"/>
  <c r="Y15" i="90" s="1"/>
  <c r="Y64" i="90" s="1"/>
  <c r="S8" i="94"/>
  <c r="X85" i="90"/>
  <c r="X79" i="90"/>
  <c r="X80" i="90" s="1"/>
  <c r="X81" i="90" s="1"/>
  <c r="X82" i="90" s="1"/>
  <c r="X72" i="90"/>
  <c r="X66" i="90"/>
  <c r="W112" i="86"/>
  <c r="W82" i="86"/>
  <c r="W110" i="86"/>
  <c r="Y10" i="90"/>
  <c r="Y34" i="90" s="1"/>
  <c r="Y23" i="89"/>
  <c r="Y16" i="90" s="1"/>
  <c r="S11" i="94"/>
  <c r="X61" i="90"/>
  <c r="Y26" i="90" l="1" a="1"/>
  <c r="Y26" i="90" s="1"/>
  <c r="Y33" i="90"/>
  <c r="Y27" i="90"/>
  <c r="X51" i="86"/>
  <c r="X80" i="86"/>
  <c r="X112" i="86" s="1"/>
  <c r="X81" i="86"/>
  <c r="X106" i="86" s="1"/>
  <c r="Q12" i="95"/>
  <c r="Q7" i="95" s="1"/>
  <c r="X93" i="90"/>
  <c r="X97" i="90" s="1"/>
  <c r="Y65" i="90"/>
  <c r="Y48" i="90"/>
  <c r="X23" i="86"/>
  <c r="X66" i="86"/>
  <c r="X122" i="86"/>
  <c r="X124" i="86" s="1"/>
  <c r="X126" i="86" s="1"/>
  <c r="X109" i="86" s="1"/>
  <c r="S12" i="94"/>
  <c r="W7" i="94" s="1"/>
  <c r="Y11" i="90"/>
  <c r="Z6" i="89"/>
  <c r="Y22" i="90"/>
  <c r="Y23" i="90" s="1"/>
  <c r="Y5" i="86"/>
  <c r="Y29" i="89"/>
  <c r="Y69" i="90"/>
  <c r="Y71" i="90" s="1"/>
  <c r="Y78" i="90"/>
  <c r="Y31" i="90"/>
  <c r="Y46" i="90"/>
  <c r="Y49" i="90" s="1"/>
  <c r="Y14" i="90"/>
  <c r="Y24" i="89"/>
  <c r="W37" i="86"/>
  <c r="W39" i="86" s="1"/>
  <c r="W42" i="86" s="1"/>
  <c r="W30" i="86"/>
  <c r="Q52" i="95"/>
  <c r="Q47" i="95" s="1"/>
  <c r="X94" i="90"/>
  <c r="X98" i="90" s="1"/>
  <c r="X67" i="86"/>
  <c r="X56" i="86"/>
  <c r="X65" i="86"/>
  <c r="W50" i="86"/>
  <c r="X79" i="86"/>
  <c r="Y28" i="90"/>
  <c r="Y77" i="90" s="1"/>
  <c r="Y83" i="90" s="1"/>
  <c r="X74" i="90"/>
  <c r="X86" i="90"/>
  <c r="X73" i="90"/>
  <c r="X84" i="90"/>
  <c r="X99" i="90"/>
  <c r="Y32" i="90"/>
  <c r="Y47" i="90"/>
  <c r="X110" i="86" l="1"/>
  <c r="X82" i="86"/>
  <c r="Z21" i="89"/>
  <c r="Z14" i="90" s="1"/>
  <c r="Y17" i="90"/>
  <c r="X88" i="90"/>
  <c r="W43" i="86"/>
  <c r="W105" i="86"/>
  <c r="W59" i="86"/>
  <c r="Y6" i="86"/>
  <c r="Y8" i="86"/>
  <c r="X27" i="86"/>
  <c r="X29" i="86"/>
  <c r="Z10" i="89"/>
  <c r="Z7" i="89"/>
  <c r="Z9" i="89"/>
  <c r="Z6" i="90"/>
  <c r="Z8" i="89"/>
  <c r="Y72" i="90"/>
  <c r="Y66" i="90"/>
  <c r="X89" i="90"/>
  <c r="X87" i="90"/>
  <c r="X111" i="86"/>
  <c r="Y79" i="90"/>
  <c r="Y80" i="90" s="1"/>
  <c r="Y81" i="90" s="1"/>
  <c r="Y82" i="90" s="1"/>
  <c r="Y85" i="90"/>
  <c r="Y84" i="90"/>
  <c r="Y35" i="90"/>
  <c r="X30" i="86" l="1"/>
  <c r="X37" i="86"/>
  <c r="X39" i="86" s="1"/>
  <c r="X42" i="86" s="1"/>
  <c r="Y89" i="90"/>
  <c r="T9" i="94"/>
  <c r="Z14" i="89"/>
  <c r="Z8" i="90"/>
  <c r="Y60" i="90"/>
  <c r="Y64" i="86"/>
  <c r="Y39" i="90"/>
  <c r="Y41" i="90" s="1"/>
  <c r="Y15" i="86"/>
  <c r="Y92" i="90"/>
  <c r="Y21" i="86"/>
  <c r="Y12" i="86"/>
  <c r="Y22" i="86"/>
  <c r="Y95" i="90" s="1"/>
  <c r="Y99" i="90" s="1"/>
  <c r="Y10" i="86"/>
  <c r="Y97" i="86"/>
  <c r="Y20" i="86"/>
  <c r="T11" i="94"/>
  <c r="Z23" i="89"/>
  <c r="Z16" i="90" s="1"/>
  <c r="Z28" i="90" s="1"/>
  <c r="Z77" i="90" s="1"/>
  <c r="Z10" i="90"/>
  <c r="Z34" i="90" s="1"/>
  <c r="Z7" i="90"/>
  <c r="Z11" i="89"/>
  <c r="Z22" i="89"/>
  <c r="T8" i="94"/>
  <c r="T12" i="94" s="1"/>
  <c r="X7" i="94" s="1"/>
  <c r="Y79" i="86"/>
  <c r="X50" i="86"/>
  <c r="Y86" i="90"/>
  <c r="Y87" i="90" s="1"/>
  <c r="Y74" i="90"/>
  <c r="Y73" i="90"/>
  <c r="Z9" i="90"/>
  <c r="T10" i="94"/>
  <c r="Z24" i="89" l="1"/>
  <c r="Z15" i="90"/>
  <c r="Z64" i="90" s="1"/>
  <c r="Z83" i="90"/>
  <c r="Z32" i="90"/>
  <c r="Z47" i="90"/>
  <c r="Z26" i="90" a="1"/>
  <c r="Z26" i="90" s="1"/>
  <c r="Z79" i="90" s="1"/>
  <c r="Z80" i="90" s="1"/>
  <c r="Z81" i="90" s="1"/>
  <c r="Z82" i="90" s="1"/>
  <c r="Z33" i="90"/>
  <c r="Z27" i="90"/>
  <c r="AA6" i="89"/>
  <c r="Z22" i="90"/>
  <c r="Z23" i="90" s="1"/>
  <c r="Z29" i="89"/>
  <c r="Z11" i="90"/>
  <c r="Z5" i="86"/>
  <c r="R52" i="95"/>
  <c r="R47" i="95" s="1"/>
  <c r="Y94" i="90"/>
  <c r="Y98" i="90" s="1"/>
  <c r="Y67" i="86"/>
  <c r="Y16" i="86"/>
  <c r="Y56" i="86"/>
  <c r="Y65" i="86"/>
  <c r="X59" i="86"/>
  <c r="X43" i="86"/>
  <c r="X105" i="86"/>
  <c r="Y80" i="86"/>
  <c r="Y112" i="86" s="1"/>
  <c r="Y51" i="86"/>
  <c r="Y81" i="86"/>
  <c r="Y106" i="86" s="1"/>
  <c r="Z46" i="90"/>
  <c r="Z78" i="90"/>
  <c r="Z31" i="90"/>
  <c r="Z69" i="90"/>
  <c r="Z71" i="90" s="1"/>
  <c r="Y88" i="90"/>
  <c r="R12" i="95"/>
  <c r="R7" i="95" s="1"/>
  <c r="Z65" i="90"/>
  <c r="Z72" i="90" s="1"/>
  <c r="Y93" i="90"/>
  <c r="Y97" i="90" s="1"/>
  <c r="Y122" i="86"/>
  <c r="Y124" i="86" s="1"/>
  <c r="Y126" i="86" s="1"/>
  <c r="Y109" i="86" s="1"/>
  <c r="Y66" i="86"/>
  <c r="Y23" i="86"/>
  <c r="Y27" i="86" s="1"/>
  <c r="Z48" i="90"/>
  <c r="Z74" i="90" l="1"/>
  <c r="Z86" i="90"/>
  <c r="Z73" i="90"/>
  <c r="Z66" i="90"/>
  <c r="Z49" i="90"/>
  <c r="Y111" i="86"/>
  <c r="Z87" i="90"/>
  <c r="AA9" i="89"/>
  <c r="AA10" i="89"/>
  <c r="AA7" i="89"/>
  <c r="AA8" i="89"/>
  <c r="AA6" i="90"/>
  <c r="AA11" i="89"/>
  <c r="AA21" i="89"/>
  <c r="Z17" i="90"/>
  <c r="Y59" i="90"/>
  <c r="Y29" i="86"/>
  <c r="Y110" i="86"/>
  <c r="Z35" i="90"/>
  <c r="Z8" i="86"/>
  <c r="Z6" i="86"/>
  <c r="Z85" i="90"/>
  <c r="Z89" i="90" s="1"/>
  <c r="Z84" i="90"/>
  <c r="Z88" i="90" s="1"/>
  <c r="Y82" i="86"/>
  <c r="Y61" i="90" l="1"/>
  <c r="AA22" i="89"/>
  <c r="AA15" i="90" s="1"/>
  <c r="AA64" i="90" s="1"/>
  <c r="AA7" i="90"/>
  <c r="U8" i="94"/>
  <c r="U11" i="94"/>
  <c r="AA23" i="89"/>
  <c r="AA16" i="90" s="1"/>
  <c r="AA10" i="90"/>
  <c r="AA34" i="90" s="1"/>
  <c r="U10" i="94"/>
  <c r="AA9" i="90"/>
  <c r="Z79" i="86"/>
  <c r="Y50" i="86"/>
  <c r="AA14" i="90"/>
  <c r="AA24" i="89"/>
  <c r="AA5" i="86"/>
  <c r="AB6" i="89"/>
  <c r="AA22" i="90"/>
  <c r="AA23" i="90" s="1"/>
  <c r="AA11" i="90"/>
  <c r="AA14" i="89"/>
  <c r="Z22" i="86"/>
  <c r="Z95" i="90" s="1"/>
  <c r="Z97" i="86"/>
  <c r="Z39" i="90"/>
  <c r="Z41" i="90" s="1"/>
  <c r="Z12" i="86"/>
  <c r="Z92" i="90"/>
  <c r="Z99" i="90" s="1"/>
  <c r="Z15" i="86"/>
  <c r="Z20" i="86"/>
  <c r="Z21" i="86"/>
  <c r="Z10" i="86"/>
  <c r="Z60" i="90"/>
  <c r="Z64" i="86"/>
  <c r="Y30" i="86"/>
  <c r="Y37" i="86"/>
  <c r="Y39" i="86" s="1"/>
  <c r="Y42" i="86" s="1"/>
  <c r="AA8" i="90"/>
  <c r="U9" i="94"/>
  <c r="S52" i="95" l="1"/>
  <c r="S47" i="95" s="1"/>
  <c r="Z67" i="86"/>
  <c r="Z94" i="90"/>
  <c r="Z98" i="90" s="1"/>
  <c r="AA28" i="90"/>
  <c r="AA77" i="90" s="1"/>
  <c r="Z16" i="86"/>
  <c r="Z59" i="90" s="1"/>
  <c r="Z56" i="86"/>
  <c r="Z65" i="86"/>
  <c r="U12" i="94"/>
  <c r="Y7" i="94" s="1"/>
  <c r="AA8" i="86"/>
  <c r="AA6" i="86"/>
  <c r="AB21" i="89"/>
  <c r="AB14" i="90" s="1"/>
  <c r="AA17" i="90"/>
  <c r="S12" i="95"/>
  <c r="S7" i="95" s="1"/>
  <c r="Z122" i="86"/>
  <c r="Z124" i="86" s="1"/>
  <c r="Z126" i="86" s="1"/>
  <c r="Z109" i="86" s="1"/>
  <c r="Z93" i="90"/>
  <c r="Z97" i="90" s="1"/>
  <c r="Z66" i="86"/>
  <c r="AA48" i="90"/>
  <c r="Z23" i="86"/>
  <c r="AA65" i="90"/>
  <c r="AA29" i="89"/>
  <c r="AB8" i="89"/>
  <c r="AB10" i="89"/>
  <c r="AB7" i="89"/>
  <c r="AB9" i="89"/>
  <c r="AB6" i="90"/>
  <c r="Y59" i="86"/>
  <c r="Y43" i="86"/>
  <c r="Y105" i="86"/>
  <c r="AA33" i="90"/>
  <c r="AA27" i="90"/>
  <c r="AA69" i="90"/>
  <c r="AA71" i="90" s="1"/>
  <c r="AA31" i="90"/>
  <c r="AA46" i="90"/>
  <c r="AA78" i="90"/>
  <c r="Z81" i="86"/>
  <c r="Z106" i="86" s="1"/>
  <c r="Z80" i="86"/>
  <c r="Z112" i="86" s="1"/>
  <c r="Z51" i="86"/>
  <c r="AA47" i="90"/>
  <c r="AA32" i="90"/>
  <c r="AA26" i="90" a="1"/>
  <c r="AA26" i="90" s="1"/>
  <c r="AB8" i="90" l="1"/>
  <c r="V9" i="94"/>
  <c r="AB14" i="89"/>
  <c r="Z82" i="86"/>
  <c r="Z110" i="86"/>
  <c r="AA83" i="90"/>
  <c r="AA79" i="90"/>
  <c r="AA80" i="90" s="1"/>
  <c r="AA81" i="90" s="1"/>
  <c r="AA82" i="90" s="1"/>
  <c r="AA85" i="90"/>
  <c r="AA84" i="90"/>
  <c r="V10" i="94"/>
  <c r="AB9" i="90"/>
  <c r="AA72" i="90"/>
  <c r="AA66" i="90"/>
  <c r="AA49" i="90"/>
  <c r="V8" i="94"/>
  <c r="AB11" i="89"/>
  <c r="AB7" i="90"/>
  <c r="AB22" i="89"/>
  <c r="Z29" i="86"/>
  <c r="Z27" i="86"/>
  <c r="AA35" i="90"/>
  <c r="V11" i="94"/>
  <c r="AB23" i="89"/>
  <c r="AB16" i="90" s="1"/>
  <c r="AB28" i="90" s="1"/>
  <c r="AB77" i="90" s="1"/>
  <c r="AB10" i="90"/>
  <c r="AB34" i="90" s="1"/>
  <c r="AA21" i="86"/>
  <c r="AA10" i="86"/>
  <c r="AA20" i="86"/>
  <c r="AA22" i="86"/>
  <c r="AA95" i="90" s="1"/>
  <c r="AA99" i="90" s="1"/>
  <c r="AA15" i="86"/>
  <c r="AA97" i="86"/>
  <c r="AA60" i="90"/>
  <c r="AA92" i="90"/>
  <c r="AA39" i="90"/>
  <c r="AA41" i="90" s="1"/>
  <c r="AA64" i="86"/>
  <c r="AA12" i="86"/>
  <c r="Z61" i="90"/>
  <c r="Z111" i="86"/>
  <c r="AA86" i="90" l="1"/>
  <c r="AA74" i="90"/>
  <c r="AA73" i="90"/>
  <c r="Z50" i="86"/>
  <c r="AA79" i="86"/>
  <c r="T52" i="95"/>
  <c r="T47" i="95" s="1"/>
  <c r="AA94" i="90"/>
  <c r="AA98" i="90" s="1"/>
  <c r="AA67" i="86"/>
  <c r="Z30" i="86"/>
  <c r="Z37" i="86"/>
  <c r="Z39" i="86" s="1"/>
  <c r="Z42" i="86" s="1"/>
  <c r="AB33" i="90"/>
  <c r="AB27" i="90"/>
  <c r="AB15" i="90"/>
  <c r="AB64" i="90" s="1"/>
  <c r="AB66" i="90" s="1"/>
  <c r="AB24" i="89"/>
  <c r="AA23" i="86"/>
  <c r="AB48" i="90"/>
  <c r="AB65" i="90"/>
  <c r="AB72" i="90" s="1"/>
  <c r="AA93" i="90"/>
  <c r="AA97" i="90" s="1"/>
  <c r="T12" i="95"/>
  <c r="T7" i="95" s="1"/>
  <c r="AA122" i="86"/>
  <c r="AA124" i="86" s="1"/>
  <c r="AA126" i="86" s="1"/>
  <c r="AA109" i="86" s="1"/>
  <c r="AA66" i="86"/>
  <c r="AA80" i="86"/>
  <c r="AA112" i="86" s="1"/>
  <c r="AA51" i="86"/>
  <c r="AA81" i="86"/>
  <c r="AA106" i="86" s="1"/>
  <c r="AB46" i="90"/>
  <c r="AB31" i="90"/>
  <c r="AB35" i="90" s="1"/>
  <c r="AB78" i="90"/>
  <c r="AB79" i="90" s="1"/>
  <c r="AB80" i="90" s="1"/>
  <c r="AB81" i="90" s="1"/>
  <c r="AB82" i="90" s="1"/>
  <c r="AB69" i="90"/>
  <c r="AB71" i="90" s="1"/>
  <c r="AB73" i="90" s="1"/>
  <c r="AA88" i="90"/>
  <c r="AB5" i="86"/>
  <c r="AB11" i="90"/>
  <c r="AC6" i="89"/>
  <c r="AB22" i="90"/>
  <c r="AB23" i="90" s="1"/>
  <c r="AA16" i="86"/>
  <c r="AA59" i="90" s="1"/>
  <c r="AA61" i="90" s="1"/>
  <c r="AA65" i="86"/>
  <c r="AA56" i="86"/>
  <c r="V12" i="94"/>
  <c r="Z7" i="94" s="1"/>
  <c r="AB47" i="90"/>
  <c r="AB32" i="90"/>
  <c r="AB26" i="90" a="1"/>
  <c r="AB26" i="90" s="1"/>
  <c r="AA89" i="90"/>
  <c r="AA87" i="90"/>
  <c r="AB6" i="86" l="1"/>
  <c r="AB8" i="86"/>
  <c r="AB29" i="89"/>
  <c r="AC21" i="89"/>
  <c r="AB17" i="90"/>
  <c r="AA111" i="86"/>
  <c r="AB85" i="90"/>
  <c r="AB89" i="90" s="1"/>
  <c r="AA110" i="86"/>
  <c r="AA82" i="86"/>
  <c r="AB84" i="90"/>
  <c r="AB88" i="90" s="1"/>
  <c r="AB86" i="90"/>
  <c r="AB74" i="90"/>
  <c r="Z43" i="86"/>
  <c r="Z105" i="86"/>
  <c r="Z59" i="86"/>
  <c r="AA29" i="86"/>
  <c r="AA27" i="86"/>
  <c r="AC9" i="89"/>
  <c r="AC6" i="90"/>
  <c r="AC8" i="89"/>
  <c r="AC7" i="89"/>
  <c r="AC11" i="89" s="1"/>
  <c r="AC10" i="89"/>
  <c r="AB49" i="90"/>
  <c r="AB83" i="90"/>
  <c r="AD6" i="89" l="1"/>
  <c r="AC5" i="86"/>
  <c r="AC6" i="86" s="1"/>
  <c r="AC11" i="90"/>
  <c r="AC22" i="90"/>
  <c r="AC23" i="90" s="1"/>
  <c r="AC8" i="90"/>
  <c r="W9" i="94"/>
  <c r="AA50" i="86"/>
  <c r="AB79" i="86"/>
  <c r="AC22" i="89"/>
  <c r="AC15" i="90" s="1"/>
  <c r="AC64" i="90" s="1"/>
  <c r="AC7" i="90"/>
  <c r="W8" i="94"/>
  <c r="AA59" i="86"/>
  <c r="AC14" i="90"/>
  <c r="AC9" i="90"/>
  <c r="W10" i="94"/>
  <c r="AA30" i="86"/>
  <c r="AA37" i="86"/>
  <c r="AA39" i="86" s="1"/>
  <c r="AA42" i="86" s="1"/>
  <c r="AC23" i="89"/>
  <c r="AC16" i="90" s="1"/>
  <c r="W11" i="94"/>
  <c r="AC10" i="90"/>
  <c r="AC34" i="90" s="1"/>
  <c r="AB97" i="86"/>
  <c r="AB10" i="86"/>
  <c r="AB39" i="90"/>
  <c r="AB41" i="90" s="1"/>
  <c r="AB12" i="86"/>
  <c r="AB22" i="86"/>
  <c r="AB95" i="90" s="1"/>
  <c r="AB99" i="90" s="1"/>
  <c r="AB15" i="86"/>
  <c r="AB64" i="86"/>
  <c r="AB20" i="86"/>
  <c r="AB21" i="86"/>
  <c r="AB92" i="90"/>
  <c r="AB60" i="90"/>
  <c r="AB87" i="90"/>
  <c r="AC14" i="89"/>
  <c r="AC28" i="90" l="1"/>
  <c r="AC77" i="90" s="1"/>
  <c r="AC69" i="90"/>
  <c r="AC71" i="90" s="1"/>
  <c r="AC31" i="90"/>
  <c r="AC78" i="90"/>
  <c r="AC46" i="90"/>
  <c r="AC49" i="90" s="1"/>
  <c r="AC8" i="86"/>
  <c r="AC60" i="90" s="1"/>
  <c r="AA43" i="86"/>
  <c r="AA105" i="86"/>
  <c r="U12" i="95"/>
  <c r="U7" i="95" s="1"/>
  <c r="AB93" i="90"/>
  <c r="AB97" i="90" s="1"/>
  <c r="AB66" i="86"/>
  <c r="AB122" i="86"/>
  <c r="AB124" i="86" s="1"/>
  <c r="AB126" i="86" s="1"/>
  <c r="AB109" i="86" s="1"/>
  <c r="AC65" i="90"/>
  <c r="AC48" i="90"/>
  <c r="AB23" i="86"/>
  <c r="AC32" i="90"/>
  <c r="AC47" i="90"/>
  <c r="AC26" i="90" a="1"/>
  <c r="AC26" i="90" s="1"/>
  <c r="AB51" i="86"/>
  <c r="AB80" i="86"/>
  <c r="AB112" i="86" s="1"/>
  <c r="AB81" i="86"/>
  <c r="AB106" i="86" s="1"/>
  <c r="AB16" i="86"/>
  <c r="AB59" i="90" s="1"/>
  <c r="AB61" i="90" s="1"/>
  <c r="AB65" i="86"/>
  <c r="AB56" i="86"/>
  <c r="AB82" i="86"/>
  <c r="W12" i="94"/>
  <c r="AA7" i="94" s="1"/>
  <c r="AC33" i="90"/>
  <c r="AC27" i="90"/>
  <c r="U52" i="95"/>
  <c r="U47" i="95" s="1"/>
  <c r="AB67" i="86"/>
  <c r="AB94" i="90"/>
  <c r="AB98" i="90" s="1"/>
  <c r="AC24" i="89"/>
  <c r="AD8" i="89"/>
  <c r="AD7" i="89"/>
  <c r="AD6" i="90"/>
  <c r="AD10" i="89"/>
  <c r="AD9" i="89"/>
  <c r="AC22" i="86"/>
  <c r="AC95" i="90" s="1"/>
  <c r="AC21" i="86"/>
  <c r="AC94" i="90" s="1"/>
  <c r="AC97" i="86"/>
  <c r="AC64" i="86"/>
  <c r="AC80" i="86" s="1"/>
  <c r="AC39" i="90"/>
  <c r="AC41" i="90" s="1"/>
  <c r="AC12" i="86"/>
  <c r="AC92" i="90"/>
  <c r="AD22" i="89" l="1"/>
  <c r="AD15" i="90" s="1"/>
  <c r="AD64" i="90" s="1"/>
  <c r="X8" i="94"/>
  <c r="AD11" i="89"/>
  <c r="AD7" i="90"/>
  <c r="AB50" i="86"/>
  <c r="AC79" i="86"/>
  <c r="AB110" i="86"/>
  <c r="AD21" i="89"/>
  <c r="AC17" i="90"/>
  <c r="AC29" i="89"/>
  <c r="AC79" i="90"/>
  <c r="AC35" i="90"/>
  <c r="AB29" i="86"/>
  <c r="AB27" i="86"/>
  <c r="AC20" i="86"/>
  <c r="AC10" i="86"/>
  <c r="X10" i="94"/>
  <c r="AD9" i="90"/>
  <c r="AC72" i="90"/>
  <c r="AC66" i="90"/>
  <c r="AC83" i="90"/>
  <c r="AB111" i="86"/>
  <c r="AD8" i="90"/>
  <c r="X9" i="94"/>
  <c r="AD14" i="89"/>
  <c r="AC15" i="86"/>
  <c r="AC56" i="86" s="1"/>
  <c r="AD23" i="89"/>
  <c r="AD16" i="90" s="1"/>
  <c r="AD10" i="90"/>
  <c r="AD34" i="90" s="1"/>
  <c r="X11" i="94"/>
  <c r="AC67" i="86"/>
  <c r="V52" i="95"/>
  <c r="V47" i="95" s="1"/>
  <c r="AC99" i="90"/>
  <c r="AC122" i="86"/>
  <c r="AC124" i="86" s="1"/>
  <c r="AC126" i="86" s="1"/>
  <c r="AC109" i="86" s="1"/>
  <c r="AC23" i="86"/>
  <c r="AC16" i="86"/>
  <c r="AC59" i="90" s="1"/>
  <c r="AC61" i="90" s="1"/>
  <c r="AC51" i="86"/>
  <c r="AC81" i="86"/>
  <c r="AC106" i="86" s="1"/>
  <c r="AD48" i="90"/>
  <c r="AC93" i="90"/>
  <c r="AC97" i="90" s="1"/>
  <c r="AC98" i="90"/>
  <c r="AC29" i="86"/>
  <c r="AC27" i="86"/>
  <c r="AC112" i="86"/>
  <c r="AD46" i="90" l="1"/>
  <c r="AD69" i="90"/>
  <c r="AD71" i="90" s="1"/>
  <c r="AD31" i="90"/>
  <c r="AD78" i="90"/>
  <c r="AC82" i="86"/>
  <c r="AD28" i="90"/>
  <c r="AD77" i="90" s="1"/>
  <c r="AD83" i="90" s="1"/>
  <c r="AC87" i="90"/>
  <c r="AC66" i="86"/>
  <c r="V12" i="95"/>
  <c r="V7" i="95" s="1"/>
  <c r="AD65" i="90"/>
  <c r="AD14" i="90"/>
  <c r="AD24" i="89"/>
  <c r="AD5" i="86"/>
  <c r="AD11" i="90"/>
  <c r="AE6" i="89"/>
  <c r="AD22" i="90"/>
  <c r="AD23" i="90" s="1"/>
  <c r="X12" i="94"/>
  <c r="AB7" i="94" s="1"/>
  <c r="AD49" i="90"/>
  <c r="AD33" i="90"/>
  <c r="AD27" i="90"/>
  <c r="AC86" i="90"/>
  <c r="AC73" i="90"/>
  <c r="AC74" i="90"/>
  <c r="AB30" i="86"/>
  <c r="AB37" i="86"/>
  <c r="AB39" i="86" s="1"/>
  <c r="AB42" i="86" s="1"/>
  <c r="AC65" i="86"/>
  <c r="AC111" i="86"/>
  <c r="AC80" i="90"/>
  <c r="AC81" i="90" s="1"/>
  <c r="AC82" i="90" s="1"/>
  <c r="AC85" i="90"/>
  <c r="AC89" i="90" s="1"/>
  <c r="AC84" i="90"/>
  <c r="AC88" i="90" s="1"/>
  <c r="AD47" i="90"/>
  <c r="AD32" i="90"/>
  <c r="AD26" i="90" a="1"/>
  <c r="AD26" i="90" s="1"/>
  <c r="AD79" i="86"/>
  <c r="AC50" i="86"/>
  <c r="AC37" i="86"/>
  <c r="AC39" i="86" s="1"/>
  <c r="AC42" i="86" s="1"/>
  <c r="AC30" i="86"/>
  <c r="AE6" i="90" l="1"/>
  <c r="AE10" i="89"/>
  <c r="AE8" i="89"/>
  <c r="AE14" i="89" s="1"/>
  <c r="AE7" i="89"/>
  <c r="AE9" i="89"/>
  <c r="AD6" i="86"/>
  <c r="AD8" i="86"/>
  <c r="AE21" i="89"/>
  <c r="AE14" i="90" s="1"/>
  <c r="AD17" i="90"/>
  <c r="AD29" i="89"/>
  <c r="AD79" i="90"/>
  <c r="AD35" i="90"/>
  <c r="AD66" i="90"/>
  <c r="AD72" i="90"/>
  <c r="AB105" i="86"/>
  <c r="AB43" i="86"/>
  <c r="AB59" i="86"/>
  <c r="AC110" i="86"/>
  <c r="AC43" i="86"/>
  <c r="AC59" i="86"/>
  <c r="AC105" i="86"/>
  <c r="AE9" i="90" l="1"/>
  <c r="Y10" i="94"/>
  <c r="AE7" i="90"/>
  <c r="Y8" i="94"/>
  <c r="AE22" i="89"/>
  <c r="AE11" i="89"/>
  <c r="AD15" i="86"/>
  <c r="AD60" i="90"/>
  <c r="AD20" i="86"/>
  <c r="AD64" i="86"/>
  <c r="AD39" i="90"/>
  <c r="AD41" i="90" s="1"/>
  <c r="AD97" i="86"/>
  <c r="AD92" i="90"/>
  <c r="AD21" i="86"/>
  <c r="AD12" i="86"/>
  <c r="AD22" i="86"/>
  <c r="AD95" i="90" s="1"/>
  <c r="AD99" i="90" s="1"/>
  <c r="AD10" i="86"/>
  <c r="AE10" i="90"/>
  <c r="AE34" i="90" s="1"/>
  <c r="Y11" i="94"/>
  <c r="AE23" i="89"/>
  <c r="AE16" i="90" s="1"/>
  <c r="AE28" i="90" s="1"/>
  <c r="AE77" i="90" s="1"/>
  <c r="AE8" i="90"/>
  <c r="Y9" i="94"/>
  <c r="AD86" i="90"/>
  <c r="AD87" i="90" s="1"/>
  <c r="AD74" i="90"/>
  <c r="AD73" i="90"/>
  <c r="AD80" i="90"/>
  <c r="AD81" i="90" s="1"/>
  <c r="AD82" i="90" s="1"/>
  <c r="AE26" i="90" l="1" a="1"/>
  <c r="AE26" i="90" s="1"/>
  <c r="AE47" i="90"/>
  <c r="AE32" i="90"/>
  <c r="AD65" i="86"/>
  <c r="AD56" i="86"/>
  <c r="AD84" i="90"/>
  <c r="AD88" i="90" s="1"/>
  <c r="W52" i="95"/>
  <c r="W47" i="95" s="1"/>
  <c r="AD94" i="90"/>
  <c r="AD98" i="90" s="1"/>
  <c r="AD67" i="86"/>
  <c r="AE11" i="90"/>
  <c r="AF6" i="89"/>
  <c r="AE5" i="86"/>
  <c r="AE22" i="90"/>
  <c r="AE23" i="90" s="1"/>
  <c r="AD85" i="90"/>
  <c r="AD89" i="90" s="1"/>
  <c r="AE15" i="90"/>
  <c r="AE64" i="90" s="1"/>
  <c r="AE24" i="89"/>
  <c r="Y12" i="94"/>
  <c r="AE78" i="90"/>
  <c r="AE69" i="90"/>
  <c r="AE71" i="90" s="1"/>
  <c r="AE46" i="90"/>
  <c r="AE31" i="90"/>
  <c r="AD80" i="86"/>
  <c r="AD51" i="86"/>
  <c r="AD81" i="86"/>
  <c r="AD106" i="86" s="1"/>
  <c r="AE27" i="90"/>
  <c r="AE33" i="90"/>
  <c r="W12" i="95"/>
  <c r="W7" i="95" s="1"/>
  <c r="AD122" i="86"/>
  <c r="AD124" i="86" s="1"/>
  <c r="AD126" i="86" s="1"/>
  <c r="AD109" i="86" s="1"/>
  <c r="AD93" i="90"/>
  <c r="AD97" i="90" s="1"/>
  <c r="AD66" i="86"/>
  <c r="AD23" i="86"/>
  <c r="AD27" i="86" s="1"/>
  <c r="AE65" i="90"/>
  <c r="AE48" i="90"/>
  <c r="AD16" i="86"/>
  <c r="AE17" i="90" l="1"/>
  <c r="AF21" i="89"/>
  <c r="AF14" i="90" s="1"/>
  <c r="AE29" i="89"/>
  <c r="AD112" i="86"/>
  <c r="AD82" i="86"/>
  <c r="AE72" i="90"/>
  <c r="AE66" i="90"/>
  <c r="AE79" i="90"/>
  <c r="AE80" i="90" s="1"/>
  <c r="AE81" i="90" s="1"/>
  <c r="AE82" i="90" s="1"/>
  <c r="AD111" i="86"/>
  <c r="AE6" i="86"/>
  <c r="AE8" i="86"/>
  <c r="AE85" i="90"/>
  <c r="AF8" i="89"/>
  <c r="AF7" i="89"/>
  <c r="AF6" i="90"/>
  <c r="AF9" i="89"/>
  <c r="AF10" i="89"/>
  <c r="AE49" i="90"/>
  <c r="AD110" i="86"/>
  <c r="AE84" i="90"/>
  <c r="AD59" i="90"/>
  <c r="AD61" i="90" s="1"/>
  <c r="AD29" i="86"/>
  <c r="AE35" i="90"/>
  <c r="AE83" i="90"/>
  <c r="AF10" i="90" l="1"/>
  <c r="AF34" i="90" s="1"/>
  <c r="AF23" i="89"/>
  <c r="AF16" i="90" s="1"/>
  <c r="AF28" i="90" s="1"/>
  <c r="Z11" i="94"/>
  <c r="Z10" i="94"/>
  <c r="AF9" i="90"/>
  <c r="AD30" i="86"/>
  <c r="AD37" i="86"/>
  <c r="AD39" i="86" s="1"/>
  <c r="AD42" i="86" s="1"/>
  <c r="AF22" i="89"/>
  <c r="AF11" i="89"/>
  <c r="AF7" i="90"/>
  <c r="Z8" i="94"/>
  <c r="Z9" i="94"/>
  <c r="AF8" i="90"/>
  <c r="AF14" i="89"/>
  <c r="AE15" i="86"/>
  <c r="AE10" i="86"/>
  <c r="AE39" i="90"/>
  <c r="AE41" i="90" s="1"/>
  <c r="AE20" i="86"/>
  <c r="AE60" i="90"/>
  <c r="AE92" i="90"/>
  <c r="AE97" i="86"/>
  <c r="AE22" i="86"/>
  <c r="AE95" i="90" s="1"/>
  <c r="AE99" i="90" s="1"/>
  <c r="AE21" i="86"/>
  <c r="AE12" i="86"/>
  <c r="AE64" i="86"/>
  <c r="AE86" i="90"/>
  <c r="AE74" i="90"/>
  <c r="AE73" i="90"/>
  <c r="AD50" i="86"/>
  <c r="AE79" i="86"/>
  <c r="AF77" i="90"/>
  <c r="AE65" i="86" l="1"/>
  <c r="AE56" i="86"/>
  <c r="AF78" i="90"/>
  <c r="AF46" i="90"/>
  <c r="AF49" i="90" s="1"/>
  <c r="AF31" i="90"/>
  <c r="AF69" i="90"/>
  <c r="AF71" i="90" s="1"/>
  <c r="AG6" i="89"/>
  <c r="AF11" i="90"/>
  <c r="AF5" i="86"/>
  <c r="AF22" i="90"/>
  <c r="AF23" i="90" s="1"/>
  <c r="AF33" i="90"/>
  <c r="AF27" i="90"/>
  <c r="AF15" i="90"/>
  <c r="AF64" i="90" s="1"/>
  <c r="AF24" i="89"/>
  <c r="AE67" i="86"/>
  <c r="X52" i="95"/>
  <c r="X47" i="95" s="1"/>
  <c r="AE94" i="90"/>
  <c r="AE98" i="90" s="1"/>
  <c r="AD59" i="86"/>
  <c r="AD105" i="86"/>
  <c r="AD43" i="86"/>
  <c r="AE87" i="90"/>
  <c r="AE89" i="90"/>
  <c r="AE93" i="90"/>
  <c r="AE97" i="90" s="1"/>
  <c r="AE66" i="86"/>
  <c r="X12" i="95"/>
  <c r="X7" i="95" s="1"/>
  <c r="AF48" i="90"/>
  <c r="AE122" i="86"/>
  <c r="AE124" i="86" s="1"/>
  <c r="AE126" i="86" s="1"/>
  <c r="AE109" i="86" s="1"/>
  <c r="AE23" i="86"/>
  <c r="AE27" i="86" s="1"/>
  <c r="AF65" i="90"/>
  <c r="AF83" i="90"/>
  <c r="Z12" i="94"/>
  <c r="AE80" i="86"/>
  <c r="AE112" i="86" s="1"/>
  <c r="AE51" i="86"/>
  <c r="AE81" i="86"/>
  <c r="AE106" i="86" s="1"/>
  <c r="AE16" i="86"/>
  <c r="AF47" i="90"/>
  <c r="AF32" i="90"/>
  <c r="AF26" i="90" a="1"/>
  <c r="AF26" i="90" s="1"/>
  <c r="AE88" i="90"/>
  <c r="AF72" i="90" l="1"/>
  <c r="AF66" i="90"/>
  <c r="AF8" i="86"/>
  <c r="AF6" i="86"/>
  <c r="AF79" i="90"/>
  <c r="AF80" i="90" s="1"/>
  <c r="AF81" i="90" s="1"/>
  <c r="AF82" i="90" s="1"/>
  <c r="AF85" i="90"/>
  <c r="AF84" i="90"/>
  <c r="AF35" i="90"/>
  <c r="AE59" i="90"/>
  <c r="AE61" i="90" s="1"/>
  <c r="AE29" i="86"/>
  <c r="AE111" i="86"/>
  <c r="AF17" i="90"/>
  <c r="AG21" i="89"/>
  <c r="AF29" i="89"/>
  <c r="AG7" i="89"/>
  <c r="AG9" i="89"/>
  <c r="AG10" i="89"/>
  <c r="AG11" i="89" s="1"/>
  <c r="AG8" i="89"/>
  <c r="AG6" i="90"/>
  <c r="AG14" i="89"/>
  <c r="AE110" i="86"/>
  <c r="AE82" i="86"/>
  <c r="AG5" i="86" l="1"/>
  <c r="AH6" i="89"/>
  <c r="AG11" i="90"/>
  <c r="AG22" i="90"/>
  <c r="AG23" i="90" s="1"/>
  <c r="AE50" i="86"/>
  <c r="AF79" i="86"/>
  <c r="AG8" i="90"/>
  <c r="AA9" i="94"/>
  <c r="AF97" i="86"/>
  <c r="AF21" i="86"/>
  <c r="AF20" i="86"/>
  <c r="AF15" i="86"/>
  <c r="AF92" i="90"/>
  <c r="AF60" i="90"/>
  <c r="AF10" i="86"/>
  <c r="AF39" i="90"/>
  <c r="AF41" i="90" s="1"/>
  <c r="AF12" i="86"/>
  <c r="AF64" i="86"/>
  <c r="AF22" i="86"/>
  <c r="AF95" i="90" s="1"/>
  <c r="AF16" i="86"/>
  <c r="AA11" i="94"/>
  <c r="AG23" i="89"/>
  <c r="AG16" i="90" s="1"/>
  <c r="AG28" i="90" s="1"/>
  <c r="AG77" i="90" s="1"/>
  <c r="AG10" i="90"/>
  <c r="AG34" i="90" s="1"/>
  <c r="AG14" i="90"/>
  <c r="AE30" i="86"/>
  <c r="AE37" i="86"/>
  <c r="AE39" i="86" s="1"/>
  <c r="AE42" i="86" s="1"/>
  <c r="AG9" i="90"/>
  <c r="AA10" i="94"/>
  <c r="AF86" i="90"/>
  <c r="AF87" i="90" s="1"/>
  <c r="AF73" i="90"/>
  <c r="AF74" i="90"/>
  <c r="AG22" i="89"/>
  <c r="AG15" i="90" s="1"/>
  <c r="AG64" i="90" s="1"/>
  <c r="AG7" i="90"/>
  <c r="AA8" i="94"/>
  <c r="AE59" i="86" l="1"/>
  <c r="AE43" i="86"/>
  <c r="AE105" i="86"/>
  <c r="AF59" i="90"/>
  <c r="AF61" i="90" s="1"/>
  <c r="AF56" i="86"/>
  <c r="AF65" i="86"/>
  <c r="AA12" i="94"/>
  <c r="AG24" i="89"/>
  <c r="AF99" i="90"/>
  <c r="AF122" i="86"/>
  <c r="AF124" i="86" s="1"/>
  <c r="AF126" i="86" s="1"/>
  <c r="AF109" i="86" s="1"/>
  <c r="AF66" i="86"/>
  <c r="AF93" i="90"/>
  <c r="AF97" i="90" s="1"/>
  <c r="Y12" i="95"/>
  <c r="Y7" i="95" s="1"/>
  <c r="AF23" i="86"/>
  <c r="AF27" i="86" s="1"/>
  <c r="AG65" i="90"/>
  <c r="AG48" i="90"/>
  <c r="AF89" i="90"/>
  <c r="AG69" i="90"/>
  <c r="AG71" i="90" s="1"/>
  <c r="AG31" i="90"/>
  <c r="AG78" i="90"/>
  <c r="AG46" i="90"/>
  <c r="AG49" i="90" s="1"/>
  <c r="AF80" i="86"/>
  <c r="AF112" i="86" s="1"/>
  <c r="AF81" i="86"/>
  <c r="AF106" i="86" s="1"/>
  <c r="AF51" i="86"/>
  <c r="Y52" i="95"/>
  <c r="Y47" i="95" s="1"/>
  <c r="AF67" i="86"/>
  <c r="AF94" i="90"/>
  <c r="AF98" i="90" s="1"/>
  <c r="AH7" i="89"/>
  <c r="AH6" i="90"/>
  <c r="AH9" i="89"/>
  <c r="AH8" i="89"/>
  <c r="AH10" i="89"/>
  <c r="AG27" i="90"/>
  <c r="AG33" i="90"/>
  <c r="AG47" i="90"/>
  <c r="AG26" i="90" a="1"/>
  <c r="AG26" i="90" s="1"/>
  <c r="AG32" i="90"/>
  <c r="AG83" i="90"/>
  <c r="AF88" i="90"/>
  <c r="AG6" i="86"/>
  <c r="AG8" i="86"/>
  <c r="AF111" i="86" l="1"/>
  <c r="AG79" i="90"/>
  <c r="AG80" i="90" s="1"/>
  <c r="AG81" i="90" s="1"/>
  <c r="AG82" i="90" s="1"/>
  <c r="AG85" i="90"/>
  <c r="AG29" i="89"/>
  <c r="AH21" i="89"/>
  <c r="AG17" i="90"/>
  <c r="AF29" i="86"/>
  <c r="AG64" i="86"/>
  <c r="AG21" i="86"/>
  <c r="AG39" i="90"/>
  <c r="AG41" i="90" s="1"/>
  <c r="AG60" i="90"/>
  <c r="AG15" i="86"/>
  <c r="AG12" i="86"/>
  <c r="AG92" i="90"/>
  <c r="AG22" i="86"/>
  <c r="AG95" i="90" s="1"/>
  <c r="AG99" i="90" s="1"/>
  <c r="AG10" i="86"/>
  <c r="AG97" i="86"/>
  <c r="AG20" i="86"/>
  <c r="AG16" i="86"/>
  <c r="AH10" i="90"/>
  <c r="AH34" i="90" s="1"/>
  <c r="AH23" i="89"/>
  <c r="AH16" i="90" s="1"/>
  <c r="AB11" i="94"/>
  <c r="AG35" i="90"/>
  <c r="AG66" i="90"/>
  <c r="AG72" i="90"/>
  <c r="AF82" i="86"/>
  <c r="AH8" i="90"/>
  <c r="AB9" i="94"/>
  <c r="AH14" i="89"/>
  <c r="AH9" i="90"/>
  <c r="AB10" i="94"/>
  <c r="AF110" i="86"/>
  <c r="AB8" i="94"/>
  <c r="AH22" i="89"/>
  <c r="AH15" i="90" s="1"/>
  <c r="AH64" i="90" s="1"/>
  <c r="AH7" i="90"/>
  <c r="AH11" i="89"/>
  <c r="AH33" i="90" l="1"/>
  <c r="AH27" i="90"/>
  <c r="AF37" i="86"/>
  <c r="AF39" i="86" s="1"/>
  <c r="AF42" i="86" s="1"/>
  <c r="AF30" i="86"/>
  <c r="AG81" i="86"/>
  <c r="AG106" i="86" s="1"/>
  <c r="AG80" i="86"/>
  <c r="AG112" i="86" s="1"/>
  <c r="AG51" i="86"/>
  <c r="AH5" i="86"/>
  <c r="AH22" i="90"/>
  <c r="AH23" i="90" s="1"/>
  <c r="AH11" i="90"/>
  <c r="AH32" i="90"/>
  <c r="AH47" i="90"/>
  <c r="AH26" i="90" a="1"/>
  <c r="AH26" i="90" s="1"/>
  <c r="AG56" i="86"/>
  <c r="AG65" i="86"/>
  <c r="AH69" i="90"/>
  <c r="AH71" i="90" s="1"/>
  <c r="AH31" i="90"/>
  <c r="AH78" i="90"/>
  <c r="AH46" i="90"/>
  <c r="AG79" i="86"/>
  <c r="AF50" i="86"/>
  <c r="AG59" i="90"/>
  <c r="AG61" i="90" s="1"/>
  <c r="AH14" i="90"/>
  <c r="AH28" i="90" s="1"/>
  <c r="AH77" i="90" s="1"/>
  <c r="AH83" i="90" s="1"/>
  <c r="AH24" i="89"/>
  <c r="AH65" i="90"/>
  <c r="AG93" i="90"/>
  <c r="AG97" i="90" s="1"/>
  <c r="Z12" i="95"/>
  <c r="Z7" i="95" s="1"/>
  <c r="AG122" i="86"/>
  <c r="AG124" i="86" s="1"/>
  <c r="AG126" i="86" s="1"/>
  <c r="AG109" i="86" s="1"/>
  <c r="AG66" i="86"/>
  <c r="AG23" i="86"/>
  <c r="AG27" i="86" s="1"/>
  <c r="AH48" i="90"/>
  <c r="AB12" i="94"/>
  <c r="C16" i="94" s="1" a="1"/>
  <c r="AG73" i="90"/>
  <c r="AG74" i="90"/>
  <c r="AG86" i="90"/>
  <c r="AG87" i="90" s="1"/>
  <c r="AG67" i="86"/>
  <c r="Z52" i="95"/>
  <c r="Z47" i="95" s="1"/>
  <c r="AG94" i="90"/>
  <c r="AG98" i="90" s="1"/>
  <c r="AG84" i="90"/>
  <c r="C55" i="94" l="1"/>
  <c r="C47" i="94"/>
  <c r="C58" i="94"/>
  <c r="M24" i="94"/>
  <c r="C16" i="94"/>
  <c r="G18" i="94"/>
  <c r="Z37" i="94"/>
  <c r="C56" i="94"/>
  <c r="C52" i="94"/>
  <c r="V33" i="94"/>
  <c r="C60" i="94"/>
  <c r="C54" i="94"/>
  <c r="X35" i="94"/>
  <c r="C53" i="94"/>
  <c r="AB39" i="94"/>
  <c r="H19" i="94"/>
  <c r="C49" i="94"/>
  <c r="J21" i="94"/>
  <c r="C45" i="94"/>
  <c r="K22" i="94"/>
  <c r="C59" i="94"/>
  <c r="O26" i="94"/>
  <c r="C48" i="94"/>
  <c r="C65" i="94"/>
  <c r="C67" i="94"/>
  <c r="AB67" i="94" s="1"/>
  <c r="I20" i="94"/>
  <c r="S30" i="94"/>
  <c r="R29" i="94"/>
  <c r="Q28" i="94"/>
  <c r="W34" i="94"/>
  <c r="C66" i="94"/>
  <c r="N25" i="94"/>
  <c r="AA38" i="94"/>
  <c r="U32" i="94"/>
  <c r="C50" i="94"/>
  <c r="Y36" i="94"/>
  <c r="C64" i="94"/>
  <c r="C61" i="94"/>
  <c r="C57" i="94"/>
  <c r="L23" i="94"/>
  <c r="C62" i="94"/>
  <c r="F17" i="94"/>
  <c r="C63" i="94"/>
  <c r="P27" i="94"/>
  <c r="C51" i="94"/>
  <c r="T31" i="94"/>
  <c r="C46" i="94"/>
  <c r="AG110" i="86"/>
  <c r="AH17" i="90"/>
  <c r="AH29" i="89"/>
  <c r="AG88" i="90"/>
  <c r="AG29" i="86"/>
  <c r="AH49" i="90"/>
  <c r="AF43" i="86"/>
  <c r="AF105" i="86"/>
  <c r="AF59" i="86"/>
  <c r="AG111" i="86"/>
  <c r="AH66" i="90"/>
  <c r="AH72" i="90"/>
  <c r="AH79" i="90"/>
  <c r="AH80" i="90" s="1"/>
  <c r="AH81" i="90" s="1"/>
  <c r="AH82" i="90" s="1"/>
  <c r="AH85" i="90"/>
  <c r="AH35" i="90"/>
  <c r="AG82" i="86"/>
  <c r="AH8" i="86"/>
  <c r="AH6" i="86"/>
  <c r="AG89" i="90"/>
  <c r="AB65" i="94" l="1"/>
  <c r="AA65" i="94"/>
  <c r="Z65" i="94"/>
  <c r="T56" i="94"/>
  <c r="T69" i="94" s="1"/>
  <c r="Q56" i="94"/>
  <c r="S56" i="94"/>
  <c r="R56" i="94"/>
  <c r="AH84" i="90"/>
  <c r="AH88" i="90" s="1"/>
  <c r="J46" i="94"/>
  <c r="H46" i="94"/>
  <c r="I46" i="94"/>
  <c r="G46" i="94"/>
  <c r="U57" i="94"/>
  <c r="S57" i="94"/>
  <c r="R57" i="94"/>
  <c r="T57" i="94"/>
  <c r="AA66" i="94"/>
  <c r="AB66" i="94"/>
  <c r="J48" i="94"/>
  <c r="L48" i="94"/>
  <c r="L69" i="94" s="1"/>
  <c r="I48" i="94"/>
  <c r="K48" i="94"/>
  <c r="O51" i="94"/>
  <c r="O69" i="94" s="1"/>
  <c r="M51" i="94"/>
  <c r="N51" i="94"/>
  <c r="L51" i="94"/>
  <c r="AB64" i="94"/>
  <c r="Y64" i="94"/>
  <c r="Z64" i="94"/>
  <c r="AA64" i="94"/>
  <c r="U59" i="94"/>
  <c r="V59" i="94"/>
  <c r="W59" i="94"/>
  <c r="W69" i="94" s="1"/>
  <c r="T59" i="94"/>
  <c r="E16" i="94"/>
  <c r="C44" i="94"/>
  <c r="AH89" i="90"/>
  <c r="X61" i="94"/>
  <c r="W61" i="94"/>
  <c r="V61" i="94"/>
  <c r="Y61" i="94"/>
  <c r="P53" i="94"/>
  <c r="Q53" i="94"/>
  <c r="N53" i="94"/>
  <c r="O53" i="94"/>
  <c r="AH60" i="90"/>
  <c r="AH39" i="90"/>
  <c r="AH41" i="90" s="1"/>
  <c r="AH12" i="86"/>
  <c r="AH10" i="86"/>
  <c r="AH21" i="86"/>
  <c r="AH97" i="86"/>
  <c r="C19" i="93"/>
  <c r="C21" i="93" s="1"/>
  <c r="AH15" i="86"/>
  <c r="AH16" i="86" s="1"/>
  <c r="AH22" i="86"/>
  <c r="AH95" i="90" s="1"/>
  <c r="AH99" i="90" s="1"/>
  <c r="AH20" i="86"/>
  <c r="AH64" i="86"/>
  <c r="AH92" i="90"/>
  <c r="AH73" i="90"/>
  <c r="AH86" i="90"/>
  <c r="AH87" i="90" s="1"/>
  <c r="AH74" i="90"/>
  <c r="AG30" i="86"/>
  <c r="AG37" i="86"/>
  <c r="AG39" i="86" s="1"/>
  <c r="AG42" i="86" s="1"/>
  <c r="P54" i="94"/>
  <c r="R54" i="94"/>
  <c r="O54" i="94"/>
  <c r="Q54" i="94"/>
  <c r="Z63" i="94"/>
  <c r="Y63" i="94"/>
  <c r="X63" i="94"/>
  <c r="AA63" i="94"/>
  <c r="N50" i="94"/>
  <c r="K50" i="94"/>
  <c r="L50" i="94"/>
  <c r="M50" i="94"/>
  <c r="F45" i="94"/>
  <c r="G45" i="94"/>
  <c r="I45" i="94"/>
  <c r="H45" i="94"/>
  <c r="U60" i="94"/>
  <c r="V60" i="94"/>
  <c r="W60" i="94"/>
  <c r="X60" i="94"/>
  <c r="U58" i="94"/>
  <c r="U69" i="94" s="1"/>
  <c r="S58" i="94"/>
  <c r="V58" i="94"/>
  <c r="V69" i="94" s="1"/>
  <c r="T58" i="94"/>
  <c r="AH79" i="86"/>
  <c r="AG50" i="86"/>
  <c r="K47" i="94"/>
  <c r="I47" i="94"/>
  <c r="H47" i="94"/>
  <c r="J47" i="94"/>
  <c r="X62" i="94"/>
  <c r="Z62" i="94"/>
  <c r="Y62" i="94"/>
  <c r="W62" i="94"/>
  <c r="L49" i="94"/>
  <c r="J49" i="94"/>
  <c r="K49" i="94"/>
  <c r="M49" i="94"/>
  <c r="M69" i="94" s="1"/>
  <c r="P52" i="94"/>
  <c r="P69" i="94" s="1"/>
  <c r="N52" i="94"/>
  <c r="N69" i="94" s="1"/>
  <c r="O52" i="94"/>
  <c r="M52" i="94"/>
  <c r="P55" i="94"/>
  <c r="Q55" i="94"/>
  <c r="R55" i="94"/>
  <c r="S55" i="94"/>
  <c r="R90" i="86" l="1"/>
  <c r="R96" i="86" s="1"/>
  <c r="T90" i="86"/>
  <c r="T96" i="86" s="1"/>
  <c r="V90" i="86"/>
  <c r="V96" i="86" s="1"/>
  <c r="AC90" i="86"/>
  <c r="AC96" i="86" s="1"/>
  <c r="AA90" i="86"/>
  <c r="AA96" i="86" s="1"/>
  <c r="Z90" i="86"/>
  <c r="Z96" i="86" s="1"/>
  <c r="U90" i="86"/>
  <c r="U96" i="86" s="1"/>
  <c r="AH59" i="90"/>
  <c r="AH61" i="90" s="1"/>
  <c r="AG43" i="86"/>
  <c r="AG105" i="86"/>
  <c r="S69" i="94"/>
  <c r="S90" i="86"/>
  <c r="S96" i="86" s="1"/>
  <c r="F44" i="94"/>
  <c r="F69" i="94" s="1"/>
  <c r="G44" i="94"/>
  <c r="G69" i="94" s="1"/>
  <c r="H44" i="94"/>
  <c r="H69" i="94" s="1"/>
  <c r="E44" i="94"/>
  <c r="E69" i="94" s="1"/>
  <c r="R69" i="94"/>
  <c r="Q69" i="94"/>
  <c r="AH94" i="90"/>
  <c r="AH98" i="90" s="1"/>
  <c r="AA52" i="95"/>
  <c r="AA47" i="95" s="1"/>
  <c r="AH67" i="86"/>
  <c r="AB69" i="94"/>
  <c r="X69" i="94"/>
  <c r="AH65" i="86"/>
  <c r="AH56" i="86"/>
  <c r="AA69" i="94"/>
  <c r="Y69" i="94"/>
  <c r="J69" i="94"/>
  <c r="AG59" i="86"/>
  <c r="AB90" i="86"/>
  <c r="AB96" i="86" s="1"/>
  <c r="I69" i="94"/>
  <c r="AH51" i="86"/>
  <c r="AH80" i="86"/>
  <c r="AH81" i="86"/>
  <c r="AH106" i="86" s="1"/>
  <c r="Z69" i="94"/>
  <c r="K69" i="94"/>
  <c r="AH23" i="86"/>
  <c r="AH27" i="86" s="1"/>
  <c r="AA12" i="95"/>
  <c r="AA7" i="95" s="1"/>
  <c r="AH93" i="90"/>
  <c r="AH97" i="90" s="1"/>
  <c r="AH122" i="86"/>
  <c r="AH124" i="86" s="1"/>
  <c r="AH126" i="86" s="1"/>
  <c r="AH109" i="86" s="1"/>
  <c r="AH66" i="86"/>
  <c r="Q90" i="86" l="1"/>
  <c r="Q96" i="86" s="1"/>
  <c r="AF90" i="86"/>
  <c r="AF96" i="86" s="1"/>
  <c r="AD90" i="86"/>
  <c r="AD96" i="86" s="1"/>
  <c r="W90" i="86"/>
  <c r="W96" i="86" s="1"/>
  <c r="X90" i="86"/>
  <c r="X96" i="86" s="1"/>
  <c r="AH90" i="86"/>
  <c r="AH96" i="86" s="1"/>
  <c r="Y90" i="86"/>
  <c r="Y96" i="86" s="1"/>
  <c r="P90" i="86"/>
  <c r="P96" i="86" s="1"/>
  <c r="C74" i="94" a="1"/>
  <c r="O90" i="86"/>
  <c r="O96" i="86" s="1"/>
  <c r="O98" i="86" s="1"/>
  <c r="AE90" i="86"/>
  <c r="AE96" i="86" s="1"/>
  <c r="AH111" i="86"/>
  <c r="C58" i="95" a="1"/>
  <c r="AH82" i="86"/>
  <c r="AH50" i="86" s="1"/>
  <c r="AH112" i="86"/>
  <c r="AH110" i="86"/>
  <c r="C18" i="95" a="1"/>
  <c r="AG90" i="86"/>
  <c r="AG96" i="86" s="1"/>
  <c r="AH29" i="86"/>
  <c r="P95" i="86" l="1"/>
  <c r="P98" i="86" s="1"/>
  <c r="O57" i="86"/>
  <c r="AH37" i="86"/>
  <c r="AH39" i="86" s="1"/>
  <c r="AH42" i="86" s="1"/>
  <c r="AH30" i="86"/>
  <c r="V71" i="95"/>
  <c r="Y66" i="95"/>
  <c r="Y73" i="95"/>
  <c r="R62" i="95"/>
  <c r="Z65" i="95"/>
  <c r="P65" i="95"/>
  <c r="Q62" i="95"/>
  <c r="W63" i="95"/>
  <c r="W60" i="95"/>
  <c r="U63" i="95"/>
  <c r="K59" i="95"/>
  <c r="M61" i="95"/>
  <c r="Y64" i="95"/>
  <c r="T59" i="95"/>
  <c r="V67" i="95"/>
  <c r="S59" i="95"/>
  <c r="V65" i="95"/>
  <c r="V66" i="95"/>
  <c r="Y60" i="95"/>
  <c r="AA63" i="95"/>
  <c r="J59" i="95"/>
  <c r="U67" i="95"/>
  <c r="Z74" i="95"/>
  <c r="L59" i="95"/>
  <c r="W71" i="95"/>
  <c r="O63" i="95"/>
  <c r="X59" i="95"/>
  <c r="V63" i="95"/>
  <c r="U61" i="95"/>
  <c r="Z62" i="95"/>
  <c r="X60" i="95"/>
  <c r="M59" i="95"/>
  <c r="V62" i="95"/>
  <c r="AA69" i="95"/>
  <c r="AA74" i="95"/>
  <c r="X62" i="95"/>
  <c r="X70" i="95"/>
  <c r="C58" i="95"/>
  <c r="R66" i="95"/>
  <c r="W69" i="95"/>
  <c r="X65" i="95"/>
  <c r="W66" i="95"/>
  <c r="X66" i="95"/>
  <c r="P61" i="95"/>
  <c r="AA76" i="95"/>
  <c r="X61" i="95"/>
  <c r="AA71" i="95"/>
  <c r="O59" i="95"/>
  <c r="M60" i="95"/>
  <c r="R63" i="95"/>
  <c r="V60" i="95"/>
  <c r="R64" i="95"/>
  <c r="U60" i="95"/>
  <c r="Y68" i="95"/>
  <c r="Z75" i="95"/>
  <c r="Y59" i="95"/>
  <c r="T64" i="95"/>
  <c r="N59" i="95"/>
  <c r="R60" i="95"/>
  <c r="S63" i="95"/>
  <c r="X73" i="95"/>
  <c r="U66" i="95"/>
  <c r="Z73" i="95"/>
  <c r="R65" i="95"/>
  <c r="T63" i="95"/>
  <c r="Q64" i="95"/>
  <c r="L61" i="95"/>
  <c r="U69" i="95"/>
  <c r="W70" i="95"/>
  <c r="Q66" i="95"/>
  <c r="W68" i="95"/>
  <c r="AA72" i="95"/>
  <c r="T69" i="95"/>
  <c r="W59" i="95"/>
  <c r="Y72" i="95"/>
  <c r="X69" i="95"/>
  <c r="S67" i="95"/>
  <c r="V70" i="95"/>
  <c r="O61" i="95"/>
  <c r="Q65" i="95"/>
  <c r="Y70" i="95"/>
  <c r="N60" i="95"/>
  <c r="T65" i="95"/>
  <c r="U62" i="95"/>
  <c r="R67" i="95"/>
  <c r="AA62" i="95"/>
  <c r="T67" i="95"/>
  <c r="Q59" i="95"/>
  <c r="U59" i="95"/>
  <c r="X64" i="95"/>
  <c r="Q60" i="95"/>
  <c r="P62" i="95"/>
  <c r="X63" i="95"/>
  <c r="W64" i="95"/>
  <c r="Z63" i="95"/>
  <c r="P60" i="95"/>
  <c r="U68" i="95"/>
  <c r="W62" i="95"/>
  <c r="V68" i="95"/>
  <c r="V61" i="95"/>
  <c r="S68" i="95"/>
  <c r="Y71" i="95"/>
  <c r="K60" i="95"/>
  <c r="Y74" i="95"/>
  <c r="AA61" i="95"/>
  <c r="Z66" i="95"/>
  <c r="O60" i="95"/>
  <c r="S62" i="95"/>
  <c r="Z64" i="95"/>
  <c r="U70" i="95"/>
  <c r="U64" i="95"/>
  <c r="N61" i="95"/>
  <c r="AA68" i="95"/>
  <c r="N63" i="95"/>
  <c r="Y69" i="95"/>
  <c r="P63" i="95"/>
  <c r="R61" i="95"/>
  <c r="T60" i="95"/>
  <c r="N62" i="95"/>
  <c r="V69" i="95"/>
  <c r="M62" i="95"/>
  <c r="T62" i="95"/>
  <c r="AA66" i="95"/>
  <c r="AA75" i="95"/>
  <c r="AA64" i="95"/>
  <c r="Y65" i="95"/>
  <c r="S60" i="95"/>
  <c r="Z61" i="95"/>
  <c r="R59" i="95"/>
  <c r="Z68" i="95"/>
  <c r="V64" i="95"/>
  <c r="Q61" i="95"/>
  <c r="AA73" i="95"/>
  <c r="Z70" i="95"/>
  <c r="Y67" i="95"/>
  <c r="O62" i="95"/>
  <c r="S65" i="95"/>
  <c r="AA67" i="95"/>
  <c r="T61" i="95"/>
  <c r="X71" i="95"/>
  <c r="X67" i="95"/>
  <c r="X68" i="95"/>
  <c r="S61" i="95"/>
  <c r="U65" i="95"/>
  <c r="L60" i="95"/>
  <c r="Z69" i="95"/>
  <c r="O64" i="95"/>
  <c r="Z67" i="95"/>
  <c r="V59" i="95"/>
  <c r="AA70" i="95"/>
  <c r="P59" i="95"/>
  <c r="Z71" i="95"/>
  <c r="P64" i="95"/>
  <c r="Y61" i="95"/>
  <c r="Y62" i="95"/>
  <c r="W61" i="95"/>
  <c r="W67" i="95"/>
  <c r="Z60" i="95"/>
  <c r="T66" i="95"/>
  <c r="Y63" i="95"/>
  <c r="Z72" i="95"/>
  <c r="W65" i="95"/>
  <c r="T68" i="95"/>
  <c r="S66" i="95"/>
  <c r="S64" i="95"/>
  <c r="AA65" i="95"/>
  <c r="X72" i="95"/>
  <c r="Q63" i="95"/>
  <c r="W72" i="95"/>
  <c r="K80" i="94"/>
  <c r="X93" i="94"/>
  <c r="C117" i="94"/>
  <c r="V117" i="94" s="1"/>
  <c r="C124" i="94"/>
  <c r="V91" i="94"/>
  <c r="V126" i="94" s="1"/>
  <c r="C106" i="94"/>
  <c r="K106" i="94" s="1"/>
  <c r="Q86" i="94"/>
  <c r="Q126" i="94" s="1"/>
  <c r="U90" i="94"/>
  <c r="U126" i="94" s="1"/>
  <c r="AA96" i="94"/>
  <c r="AA126" i="94" s="1"/>
  <c r="C104" i="94"/>
  <c r="I104" i="94" s="1"/>
  <c r="C111" i="94"/>
  <c r="P111" i="94" s="1"/>
  <c r="C74" i="94"/>
  <c r="Z95" i="94"/>
  <c r="N83" i="94"/>
  <c r="M82" i="94"/>
  <c r="M126" i="94" s="1"/>
  <c r="C105" i="94"/>
  <c r="J105" i="94" s="1"/>
  <c r="S88" i="94"/>
  <c r="S126" i="94" s="1"/>
  <c r="R87" i="94"/>
  <c r="P85" i="94"/>
  <c r="P126" i="94" s="1"/>
  <c r="C118" i="94"/>
  <c r="W118" i="94" s="1"/>
  <c r="C120" i="94"/>
  <c r="Y120" i="94" s="1"/>
  <c r="H77" i="94"/>
  <c r="H126" i="94" s="1"/>
  <c r="C113" i="94"/>
  <c r="R113" i="94" s="1"/>
  <c r="Y94" i="94"/>
  <c r="Y126" i="94" s="1"/>
  <c r="L81" i="94"/>
  <c r="L126" i="94" s="1"/>
  <c r="O84" i="94"/>
  <c r="T89" i="94"/>
  <c r="T126" i="94" s="1"/>
  <c r="C108" i="94"/>
  <c r="M108" i="94" s="1"/>
  <c r="C112" i="94"/>
  <c r="Q112" i="94" s="1"/>
  <c r="C109" i="94"/>
  <c r="N109" i="94" s="1"/>
  <c r="C123" i="94"/>
  <c r="AB123" i="94" s="1"/>
  <c r="W92" i="94"/>
  <c r="W126" i="94" s="1"/>
  <c r="C116" i="94"/>
  <c r="U116" i="94" s="1"/>
  <c r="C110" i="94"/>
  <c r="O110" i="94" s="1"/>
  <c r="G76" i="94"/>
  <c r="I78" i="94"/>
  <c r="I126" i="94" s="1"/>
  <c r="C115" i="94"/>
  <c r="T115" i="94" s="1"/>
  <c r="C102" i="94"/>
  <c r="G102" i="94" s="1"/>
  <c r="G126" i="94" s="1"/>
  <c r="C119" i="94"/>
  <c r="X119" i="94" s="1"/>
  <c r="C121" i="94"/>
  <c r="Z121" i="94" s="1"/>
  <c r="C103" i="94"/>
  <c r="H103" i="94" s="1"/>
  <c r="F75" i="94"/>
  <c r="C122" i="94"/>
  <c r="AA122" i="94" s="1"/>
  <c r="C107" i="94"/>
  <c r="L107" i="94" s="1"/>
  <c r="J79" i="94"/>
  <c r="C114" i="94"/>
  <c r="S114" i="94" s="1"/>
  <c r="N22" i="95"/>
  <c r="N21" i="95"/>
  <c r="Q26" i="95"/>
  <c r="U30" i="95"/>
  <c r="Z25" i="95"/>
  <c r="U21" i="95"/>
  <c r="Z30" i="95"/>
  <c r="X22" i="95"/>
  <c r="V31" i="95"/>
  <c r="W30" i="95"/>
  <c r="Q19" i="95"/>
  <c r="X31" i="95"/>
  <c r="T23" i="95"/>
  <c r="V26" i="95"/>
  <c r="T26" i="95"/>
  <c r="R27" i="95"/>
  <c r="U24" i="95"/>
  <c r="M20" i="95"/>
  <c r="N23" i="95"/>
  <c r="V23" i="95"/>
  <c r="X33" i="95"/>
  <c r="P24" i="95"/>
  <c r="Z31" i="95"/>
  <c r="U22" i="95"/>
  <c r="T21" i="95"/>
  <c r="Q24" i="95"/>
  <c r="AA34" i="95"/>
  <c r="Q25" i="95"/>
  <c r="L19" i="95"/>
  <c r="W32" i="95"/>
  <c r="P21" i="95"/>
  <c r="S23" i="95"/>
  <c r="Y25" i="95"/>
  <c r="U23" i="95"/>
  <c r="R26" i="95"/>
  <c r="AA26" i="95"/>
  <c r="O22" i="95"/>
  <c r="V21" i="95"/>
  <c r="Y26" i="95"/>
  <c r="X24" i="95"/>
  <c r="M22" i="95"/>
  <c r="X29" i="95"/>
  <c r="V30" i="95"/>
  <c r="Y27" i="95"/>
  <c r="U19" i="95"/>
  <c r="T27" i="95"/>
  <c r="V22" i="95"/>
  <c r="U28" i="95"/>
  <c r="T28" i="95"/>
  <c r="V20" i="95"/>
  <c r="Z33" i="95"/>
  <c r="O19" i="95"/>
  <c r="C18" i="95"/>
  <c r="L21" i="95"/>
  <c r="AA29" i="95"/>
  <c r="L20" i="95"/>
  <c r="O20" i="95"/>
  <c r="R21" i="95"/>
  <c r="R22" i="95"/>
  <c r="K20" i="95"/>
  <c r="W26" i="95"/>
  <c r="T29" i="95"/>
  <c r="X23" i="95"/>
  <c r="R20" i="95"/>
  <c r="W23" i="95"/>
  <c r="Z24" i="95"/>
  <c r="W28" i="95"/>
  <c r="O24" i="95"/>
  <c r="N20" i="95"/>
  <c r="W21" i="95"/>
  <c r="X30" i="95"/>
  <c r="Y23" i="95"/>
  <c r="J19" i="95"/>
  <c r="U29" i="95"/>
  <c r="V25" i="95"/>
  <c r="U27" i="95"/>
  <c r="R25" i="95"/>
  <c r="X28" i="95"/>
  <c r="AA27" i="95"/>
  <c r="T25" i="95"/>
  <c r="U25" i="95"/>
  <c r="R24" i="95"/>
  <c r="X27" i="95"/>
  <c r="AA30" i="95"/>
  <c r="P23" i="95"/>
  <c r="W29" i="95"/>
  <c r="S25" i="95"/>
  <c r="Z27" i="95"/>
  <c r="P19" i="95"/>
  <c r="Q22" i="95"/>
  <c r="U20" i="95"/>
  <c r="T20" i="95"/>
  <c r="R19" i="95"/>
  <c r="V27" i="95"/>
  <c r="Y32" i="95"/>
  <c r="S22" i="95"/>
  <c r="S27" i="95"/>
  <c r="AA36" i="95"/>
  <c r="Y33" i="95"/>
  <c r="S19" i="95"/>
  <c r="X32" i="95"/>
  <c r="AA33" i="95"/>
  <c r="AA25" i="95"/>
  <c r="Q23" i="95"/>
  <c r="AA35" i="95"/>
  <c r="S21" i="95"/>
  <c r="V28" i="95"/>
  <c r="AA32" i="95"/>
  <c r="T22" i="95"/>
  <c r="K19" i="95"/>
  <c r="Q20" i="95"/>
  <c r="S28" i="95"/>
  <c r="O23" i="95"/>
  <c r="Z26" i="95"/>
  <c r="P20" i="95"/>
  <c r="Z29" i="95"/>
  <c r="V24" i="95"/>
  <c r="U26" i="95"/>
  <c r="W27" i="95"/>
  <c r="W22" i="95"/>
  <c r="Z35" i="95"/>
  <c r="S26" i="95"/>
  <c r="X26" i="95"/>
  <c r="P25" i="95"/>
  <c r="W24" i="95"/>
  <c r="R23" i="95"/>
  <c r="T24" i="95"/>
  <c r="AA28" i="95"/>
  <c r="Y31" i="95"/>
  <c r="P22" i="95"/>
  <c r="O21" i="95"/>
  <c r="Z32" i="95"/>
  <c r="X25" i="95"/>
  <c r="Y28" i="95"/>
  <c r="S20" i="95"/>
  <c r="S24" i="95"/>
  <c r="AA31" i="95"/>
  <c r="N19" i="95"/>
  <c r="Y24" i="95"/>
  <c r="M21" i="95"/>
  <c r="Z28" i="95"/>
  <c r="Y34" i="95"/>
  <c r="W25" i="95"/>
  <c r="M19" i="95"/>
  <c r="Y29" i="95"/>
  <c r="Q21" i="95"/>
  <c r="Z34" i="95"/>
  <c r="T19" i="95"/>
  <c r="W31" i="95"/>
  <c r="Y30" i="95"/>
  <c r="V29" i="95"/>
  <c r="S91" i="86" l="1"/>
  <c r="W91" i="86"/>
  <c r="Y78" i="95"/>
  <c r="Y48" i="95" s="1"/>
  <c r="R91" i="86"/>
  <c r="AA78" i="95"/>
  <c r="AA48" i="95" s="1"/>
  <c r="J126" i="94"/>
  <c r="N126" i="94"/>
  <c r="K126" i="94"/>
  <c r="AH43" i="86"/>
  <c r="AH59" i="86"/>
  <c r="AH105" i="86"/>
  <c r="AE91" i="86"/>
  <c r="V39" i="95"/>
  <c r="V8" i="95" s="1"/>
  <c r="R18" i="95"/>
  <c r="R39" i="95" s="1"/>
  <c r="R8" i="95" s="1"/>
  <c r="Q18" i="95"/>
  <c r="Q39" i="95" s="1"/>
  <c r="Q8" i="95" s="1"/>
  <c r="N18" i="95"/>
  <c r="N39" i="95" s="1"/>
  <c r="N8" i="95" s="1"/>
  <c r="L18" i="95"/>
  <c r="L39" i="95" s="1"/>
  <c r="L8" i="95" s="1"/>
  <c r="J18" i="95"/>
  <c r="J39" i="95" s="1"/>
  <c r="J8" i="95" s="1"/>
  <c r="P18" i="95"/>
  <c r="P39" i="95" s="1"/>
  <c r="P8" i="95" s="1"/>
  <c r="O18" i="95"/>
  <c r="O39" i="95" s="1"/>
  <c r="O8" i="95" s="1"/>
  <c r="X39" i="95"/>
  <c r="X8" i="95" s="1"/>
  <c r="T18" i="95"/>
  <c r="T39" i="95" s="1"/>
  <c r="T8" i="95" s="1"/>
  <c r="U39" i="95"/>
  <c r="U8" i="95" s="1"/>
  <c r="I18" i="95"/>
  <c r="I39" i="95" s="1"/>
  <c r="I8" i="95" s="1"/>
  <c r="S18" i="95"/>
  <c r="S39" i="95" s="1"/>
  <c r="S8" i="95" s="1"/>
  <c r="W39" i="95"/>
  <c r="W8" i="95" s="1"/>
  <c r="K18" i="95"/>
  <c r="K39" i="95" s="1"/>
  <c r="K8" i="95" s="1"/>
  <c r="M18" i="95"/>
  <c r="M39" i="95" s="1"/>
  <c r="M8" i="95" s="1"/>
  <c r="Y39" i="95"/>
  <c r="Y8" i="95" s="1"/>
  <c r="O91" i="86"/>
  <c r="O92" i="86" s="1"/>
  <c r="AB126" i="94"/>
  <c r="Z126" i="94"/>
  <c r="AB91" i="86"/>
  <c r="Z78" i="95"/>
  <c r="Z48" i="95" s="1"/>
  <c r="O58" i="95"/>
  <c r="O78" i="95" s="1"/>
  <c r="O48" i="95" s="1"/>
  <c r="R58" i="95"/>
  <c r="R78" i="95" s="1"/>
  <c r="R48" i="95" s="1"/>
  <c r="P58" i="95"/>
  <c r="P78" i="95" s="1"/>
  <c r="P48" i="95" s="1"/>
  <c r="I58" i="95"/>
  <c r="I78" i="95" s="1"/>
  <c r="I48" i="95" s="1"/>
  <c r="I49" i="95" s="1"/>
  <c r="X58" i="95"/>
  <c r="X78" i="95" s="1"/>
  <c r="X48" i="95" s="1"/>
  <c r="M58" i="95"/>
  <c r="M78" i="95" s="1"/>
  <c r="M48" i="95" s="1"/>
  <c r="L58" i="95"/>
  <c r="L78" i="95" s="1"/>
  <c r="L48" i="95" s="1"/>
  <c r="J58" i="95"/>
  <c r="J78" i="95" s="1"/>
  <c r="J48" i="95" s="1"/>
  <c r="W58" i="95"/>
  <c r="W78" i="95" s="1"/>
  <c r="W48" i="95" s="1"/>
  <c r="N58" i="95"/>
  <c r="N78" i="95" s="1"/>
  <c r="N48" i="95" s="1"/>
  <c r="U58" i="95"/>
  <c r="U78" i="95" s="1"/>
  <c r="U48" i="95" s="1"/>
  <c r="S58" i="95"/>
  <c r="S78" i="95" s="1"/>
  <c r="S48" i="95" s="1"/>
  <c r="V58" i="95"/>
  <c r="V78" i="95" s="1"/>
  <c r="V48" i="95" s="1"/>
  <c r="K58" i="95"/>
  <c r="K78" i="95" s="1"/>
  <c r="K48" i="95" s="1"/>
  <c r="Q58" i="95"/>
  <c r="Q78" i="95" s="1"/>
  <c r="Q48" i="95" s="1"/>
  <c r="T58" i="95"/>
  <c r="T78" i="95" s="1"/>
  <c r="T48" i="95" s="1"/>
  <c r="O76" i="86"/>
  <c r="O60" i="86"/>
  <c r="Y91" i="86"/>
  <c r="AA91" i="86"/>
  <c r="AA39" i="95"/>
  <c r="AA8" i="95" s="1"/>
  <c r="C101" i="94"/>
  <c r="F101" i="94" s="1"/>
  <c r="F126" i="94" s="1"/>
  <c r="E74" i="94"/>
  <c r="E126" i="94" s="1"/>
  <c r="P57" i="86"/>
  <c r="Q95" i="86"/>
  <c r="Q98" i="86" s="1"/>
  <c r="AC91" i="86"/>
  <c r="AG91" i="86"/>
  <c r="Z39" i="95"/>
  <c r="Z8" i="95" s="1"/>
  <c r="Z91" i="86"/>
  <c r="V91" i="86"/>
  <c r="O126" i="94"/>
  <c r="R126" i="94"/>
  <c r="X126" i="94"/>
  <c r="R107" i="86" l="1"/>
  <c r="R32" i="86" s="1"/>
  <c r="R33" i="86" s="1"/>
  <c r="W107" i="86"/>
  <c r="W32" i="86" s="1"/>
  <c r="W33" i="86" s="1"/>
  <c r="U91" i="86"/>
  <c r="AH107" i="86"/>
  <c r="AH32" i="86" s="1"/>
  <c r="AH33" i="86" s="1"/>
  <c r="AH34" i="86" s="1"/>
  <c r="Q107" i="86"/>
  <c r="Q32" i="86" s="1"/>
  <c r="Q33" i="86" s="1"/>
  <c r="AD107" i="86"/>
  <c r="AD32" i="86" s="1"/>
  <c r="AD33" i="86" s="1"/>
  <c r="AF91" i="86"/>
  <c r="Z107" i="86"/>
  <c r="Z32" i="86" s="1"/>
  <c r="Z33" i="86" s="1"/>
  <c r="S107" i="86"/>
  <c r="S32" i="86" s="1"/>
  <c r="S33" i="86" s="1"/>
  <c r="U107" i="86"/>
  <c r="U32" i="86" s="1"/>
  <c r="U33" i="86" s="1"/>
  <c r="Q57" i="86"/>
  <c r="R95" i="86"/>
  <c r="R98" i="86" s="1"/>
  <c r="AB107" i="86"/>
  <c r="AB32" i="86" s="1"/>
  <c r="AB33" i="86" s="1"/>
  <c r="X107" i="86"/>
  <c r="X32" i="86" s="1"/>
  <c r="X33" i="86" s="1"/>
  <c r="Q91" i="86"/>
  <c r="AG107" i="86"/>
  <c r="AG32" i="86" s="1"/>
  <c r="AG33" i="86" s="1"/>
  <c r="AG34" i="86" s="1"/>
  <c r="AD91" i="86"/>
  <c r="P76" i="86"/>
  <c r="P60" i="86"/>
  <c r="O49" i="86"/>
  <c r="P89" i="86"/>
  <c r="AA107" i="86"/>
  <c r="AA32" i="86" s="1"/>
  <c r="AA33" i="86" s="1"/>
  <c r="T91" i="86"/>
  <c r="T107" i="86"/>
  <c r="T32" i="86" s="1"/>
  <c r="T33" i="86" s="1"/>
  <c r="V107" i="86"/>
  <c r="V32" i="86" s="1"/>
  <c r="V33" i="86" s="1"/>
  <c r="P53" i="86"/>
  <c r="P75" i="86" s="1"/>
  <c r="J46" i="95"/>
  <c r="J49" i="95" s="1"/>
  <c r="AH91" i="86"/>
  <c r="P107" i="86"/>
  <c r="P32" i="86" s="1"/>
  <c r="P33" i="86" s="1"/>
  <c r="I9" i="95"/>
  <c r="Y107" i="86"/>
  <c r="Y32" i="86" s="1"/>
  <c r="Y33" i="86" s="1"/>
  <c r="X91" i="86"/>
  <c r="AF107" i="86"/>
  <c r="AF32" i="86" s="1"/>
  <c r="AF33" i="86" s="1"/>
  <c r="AF34" i="86" s="1"/>
  <c r="AE107" i="86"/>
  <c r="AE32" i="86" s="1"/>
  <c r="AE33" i="86" s="1"/>
  <c r="AC107" i="86"/>
  <c r="AC32" i="86" s="1"/>
  <c r="AC33" i="86" s="1"/>
  <c r="P91" i="86"/>
  <c r="P92" i="86" l="1"/>
  <c r="R57" i="86"/>
  <c r="S95" i="86"/>
  <c r="S98" i="86" s="1"/>
  <c r="Z34" i="86"/>
  <c r="AC40" i="90"/>
  <c r="AC42" i="90" s="1"/>
  <c r="AC43" i="90" s="1"/>
  <c r="Q60" i="86"/>
  <c r="Q76" i="86"/>
  <c r="Y34" i="86"/>
  <c r="AB40" i="90"/>
  <c r="AB42" i="90" s="1"/>
  <c r="AB43" i="90" s="1"/>
  <c r="T34" i="86"/>
  <c r="W40" i="90"/>
  <c r="W42" i="90" s="1"/>
  <c r="W43" i="90" s="1"/>
  <c r="X34" i="86"/>
  <c r="AA40" i="90"/>
  <c r="AA42" i="90" s="1"/>
  <c r="AA43" i="90" s="1"/>
  <c r="AE34" i="86"/>
  <c r="AH40" i="90"/>
  <c r="AH42" i="90" s="1"/>
  <c r="AH43" i="90" s="1"/>
  <c r="Q53" i="86"/>
  <c r="Q75" i="86" s="1"/>
  <c r="K46" i="95"/>
  <c r="K49" i="95" s="1"/>
  <c r="AC34" i="86"/>
  <c r="AF40" i="90"/>
  <c r="AF42" i="90" s="1"/>
  <c r="AF43" i="90" s="1"/>
  <c r="O68" i="86"/>
  <c r="O71" i="86"/>
  <c r="AB34" i="86"/>
  <c r="AE40" i="90"/>
  <c r="AE42" i="90" s="1"/>
  <c r="AE43" i="90" s="1"/>
  <c r="U34" i="86"/>
  <c r="X40" i="90"/>
  <c r="X42" i="90" s="1"/>
  <c r="X43" i="90" s="1"/>
  <c r="AD34" i="86"/>
  <c r="AG40" i="90"/>
  <c r="AG42" i="90" s="1"/>
  <c r="AG43" i="90" s="1"/>
  <c r="W34" i="86"/>
  <c r="Z40" i="90"/>
  <c r="Z42" i="90" s="1"/>
  <c r="Z43" i="90" s="1"/>
  <c r="V34" i="86"/>
  <c r="Y40" i="90"/>
  <c r="Y42" i="90" s="1"/>
  <c r="Y43" i="90" s="1"/>
  <c r="P52" i="86"/>
  <c r="P74" i="86" s="1"/>
  <c r="J6" i="95"/>
  <c r="J9" i="95" s="1"/>
  <c r="AA34" i="86"/>
  <c r="AD40" i="90"/>
  <c r="AD42" i="90" s="1"/>
  <c r="AD43" i="90" s="1"/>
  <c r="S34" i="86"/>
  <c r="V40" i="90"/>
  <c r="V42" i="90" s="1"/>
  <c r="V43" i="90" s="1"/>
  <c r="R34" i="86"/>
  <c r="U40" i="90"/>
  <c r="U42" i="90" s="1"/>
  <c r="U43" i="90" s="1"/>
  <c r="P34" i="86"/>
  <c r="R40" i="90"/>
  <c r="R42" i="90" s="1"/>
  <c r="R43" i="90" s="1"/>
  <c r="P40" i="90"/>
  <c r="P42" i="90" s="1"/>
  <c r="P43" i="90" s="1"/>
  <c r="S40" i="90"/>
  <c r="S42" i="90" s="1"/>
  <c r="S43" i="90" s="1"/>
  <c r="Q40" i="90"/>
  <c r="Q42" i="90" s="1"/>
  <c r="Q43" i="90" s="1"/>
  <c r="Q34" i="86"/>
  <c r="T40" i="90"/>
  <c r="T42" i="90" s="1"/>
  <c r="T43" i="90" s="1"/>
  <c r="R53" i="86" l="1"/>
  <c r="R75" i="86" s="1"/>
  <c r="L46" i="95"/>
  <c r="L49" i="95" s="1"/>
  <c r="T95" i="86"/>
  <c r="T98" i="86" s="1"/>
  <c r="S57" i="86"/>
  <c r="R76" i="86"/>
  <c r="R60" i="86"/>
  <c r="Q52" i="86"/>
  <c r="Q74" i="86" s="1"/>
  <c r="K6" i="95"/>
  <c r="K9" i="95" s="1"/>
  <c r="O108" i="86"/>
  <c r="O113" i="86" s="1"/>
  <c r="P52" i="90" s="1"/>
  <c r="Q89" i="86"/>
  <c r="Q92" i="86" s="1"/>
  <c r="P49" i="86"/>
  <c r="P71" i="86" l="1"/>
  <c r="P68" i="86"/>
  <c r="R89" i="86"/>
  <c r="R92" i="86" s="1"/>
  <c r="Q49" i="86"/>
  <c r="S76" i="86"/>
  <c r="S60" i="86"/>
  <c r="P54" i="90"/>
  <c r="O118" i="86"/>
  <c r="O119" i="86" s="1"/>
  <c r="O96" i="90"/>
  <c r="T57" i="86"/>
  <c r="U95" i="86"/>
  <c r="U98" i="86" s="1"/>
  <c r="S53" i="86"/>
  <c r="S75" i="86" s="1"/>
  <c r="M46" i="95"/>
  <c r="M49" i="95" s="1"/>
  <c r="L6" i="95"/>
  <c r="L9" i="95" s="1"/>
  <c r="R52" i="86"/>
  <c r="R74" i="86" s="1"/>
  <c r="S89" i="86" l="1"/>
  <c r="S92" i="86" s="1"/>
  <c r="R49" i="86"/>
  <c r="N46" i="95"/>
  <c r="N49" i="95" s="1"/>
  <c r="T53" i="86"/>
  <c r="T75" i="86" s="1"/>
  <c r="M6" i="95"/>
  <c r="M9" i="95" s="1"/>
  <c r="S52" i="86"/>
  <c r="S74" i="86" s="1"/>
  <c r="T76" i="86"/>
  <c r="T60" i="86"/>
  <c r="P108" i="86"/>
  <c r="P113" i="86" s="1"/>
  <c r="Q52" i="90" s="1"/>
  <c r="O48" i="86"/>
  <c r="O54" i="86" s="1"/>
  <c r="O61" i="86" s="1"/>
  <c r="P117" i="86"/>
  <c r="Q68" i="86"/>
  <c r="Q108" i="86" s="1"/>
  <c r="Q113" i="86" s="1"/>
  <c r="R52" i="90" s="1"/>
  <c r="Q71" i="86"/>
  <c r="V95" i="86"/>
  <c r="V98" i="86" s="1"/>
  <c r="U57" i="86"/>
  <c r="Q96" i="90" l="1"/>
  <c r="R54" i="90"/>
  <c r="Q118" i="86"/>
  <c r="T52" i="86"/>
  <c r="T74" i="86" s="1"/>
  <c r="N6" i="95"/>
  <c r="N9" i="95" s="1"/>
  <c r="U53" i="86"/>
  <c r="U75" i="86" s="1"/>
  <c r="O46" i="95"/>
  <c r="O49" i="95" s="1"/>
  <c r="W95" i="86"/>
  <c r="W98" i="86" s="1"/>
  <c r="V57" i="86"/>
  <c r="S49" i="86"/>
  <c r="T89" i="86"/>
  <c r="T92" i="86" s="1"/>
  <c r="U60" i="86"/>
  <c r="U76" i="86"/>
  <c r="Q54" i="90"/>
  <c r="P118" i="86"/>
  <c r="P119" i="86" s="1"/>
  <c r="P96" i="90"/>
  <c r="R68" i="86"/>
  <c r="R108" i="86" s="1"/>
  <c r="R113" i="86" s="1"/>
  <c r="S52" i="90" s="1"/>
  <c r="R71" i="86"/>
  <c r="S54" i="90" l="1"/>
  <c r="R118" i="86"/>
  <c r="R96" i="90"/>
  <c r="R100" i="90" s="1"/>
  <c r="T49" i="86"/>
  <c r="U89" i="86"/>
  <c r="U92" i="86" s="1"/>
  <c r="S68" i="86"/>
  <c r="S71" i="86"/>
  <c r="Q117" i="86"/>
  <c r="Q119" i="86" s="1"/>
  <c r="P48" i="86"/>
  <c r="P54" i="86" s="1"/>
  <c r="P61" i="86" s="1"/>
  <c r="O6" i="95"/>
  <c r="O9" i="95" s="1"/>
  <c r="U52" i="86"/>
  <c r="U74" i="86" s="1"/>
  <c r="V76" i="86"/>
  <c r="V60" i="86"/>
  <c r="S108" i="86"/>
  <c r="S113" i="86" s="1"/>
  <c r="T52" i="90" s="1"/>
  <c r="X95" i="86"/>
  <c r="X98" i="86" s="1"/>
  <c r="W57" i="86"/>
  <c r="P46" i="95"/>
  <c r="P49" i="95" s="1"/>
  <c r="V53" i="86"/>
  <c r="V75" i="86" s="1"/>
  <c r="T68" i="86" l="1"/>
  <c r="T71" i="86"/>
  <c r="W76" i="86"/>
  <c r="W60" i="86"/>
  <c r="X57" i="86"/>
  <c r="Y95" i="86"/>
  <c r="Y98" i="86" s="1"/>
  <c r="V89" i="86"/>
  <c r="V92" i="86" s="1"/>
  <c r="U49" i="86"/>
  <c r="S96" i="90"/>
  <c r="S100" i="90" s="1"/>
  <c r="S118" i="86"/>
  <c r="T54" i="90"/>
  <c r="R117" i="86"/>
  <c r="R119" i="86" s="1"/>
  <c r="Q48" i="86"/>
  <c r="Q54" i="86" s="1"/>
  <c r="Q61" i="86" s="1"/>
  <c r="P6" i="95"/>
  <c r="P9" i="95" s="1"/>
  <c r="V52" i="86"/>
  <c r="V74" i="86" s="1"/>
  <c r="T108" i="86"/>
  <c r="T113" i="86" s="1"/>
  <c r="U52" i="90" s="1"/>
  <c r="W53" i="86"/>
  <c r="W75" i="86" s="1"/>
  <c r="Q46" i="95"/>
  <c r="Q49" i="95" s="1"/>
  <c r="U54" i="90" l="1"/>
  <c r="T118" i="86"/>
  <c r="T96" i="90"/>
  <c r="Q6" i="95"/>
  <c r="Q9" i="95" s="1"/>
  <c r="W52" i="86"/>
  <c r="W74" i="86" s="1"/>
  <c r="Z95" i="86"/>
  <c r="Z98" i="86" s="1"/>
  <c r="Y57" i="86"/>
  <c r="X60" i="86"/>
  <c r="X76" i="86"/>
  <c r="U68" i="86"/>
  <c r="U71" i="86"/>
  <c r="R46" i="95"/>
  <c r="R49" i="95" s="1"/>
  <c r="X53" i="86"/>
  <c r="X75" i="86" s="1"/>
  <c r="S117" i="86"/>
  <c r="S119" i="86" s="1"/>
  <c r="R48" i="86"/>
  <c r="R54" i="86" s="1"/>
  <c r="R61" i="86" s="1"/>
  <c r="V49" i="86"/>
  <c r="W89" i="86"/>
  <c r="W92" i="86" s="1"/>
  <c r="AA95" i="86" l="1"/>
  <c r="AA98" i="86" s="1"/>
  <c r="Z57" i="86"/>
  <c r="T100" i="90"/>
  <c r="Y53" i="86"/>
  <c r="Y75" i="86" s="1"/>
  <c r="S46" i="95"/>
  <c r="S49" i="95" s="1"/>
  <c r="Y76" i="86"/>
  <c r="Y60" i="86"/>
  <c r="V108" i="86"/>
  <c r="V113" i="86" s="1"/>
  <c r="W52" i="90" s="1"/>
  <c r="W49" i="86"/>
  <c r="X89" i="86"/>
  <c r="X92" i="86" s="1"/>
  <c r="V68" i="86"/>
  <c r="V71" i="86"/>
  <c r="X52" i="86"/>
  <c r="X74" i="86" s="1"/>
  <c r="R6" i="95"/>
  <c r="R9" i="95" s="1"/>
  <c r="S48" i="86"/>
  <c r="S54" i="86" s="1"/>
  <c r="S61" i="86" s="1"/>
  <c r="T117" i="86"/>
  <c r="T119" i="86" s="1"/>
  <c r="U108" i="86"/>
  <c r="U113" i="86" s="1"/>
  <c r="V52" i="90" s="1"/>
  <c r="X49" i="86" l="1"/>
  <c r="Y89" i="86"/>
  <c r="Y92" i="86" s="1"/>
  <c r="U96" i="90"/>
  <c r="U118" i="86"/>
  <c r="V54" i="90"/>
  <c r="W68" i="86"/>
  <c r="W71" i="86"/>
  <c r="S6" i="95"/>
  <c r="S9" i="95" s="1"/>
  <c r="Y52" i="86"/>
  <c r="Y74" i="86" s="1"/>
  <c r="V96" i="90"/>
  <c r="V118" i="86"/>
  <c r="W54" i="90"/>
  <c r="U117" i="86"/>
  <c r="U119" i="86" s="1"/>
  <c r="T48" i="86"/>
  <c r="T54" i="86" s="1"/>
  <c r="T61" i="86" s="1"/>
  <c r="Z76" i="86"/>
  <c r="Z60" i="86"/>
  <c r="Z53" i="86"/>
  <c r="Z75" i="86" s="1"/>
  <c r="T46" i="95"/>
  <c r="T49" i="95" s="1"/>
  <c r="AB95" i="86"/>
  <c r="AB98" i="86" s="1"/>
  <c r="AA57" i="86"/>
  <c r="AA53" i="86" l="1"/>
  <c r="AA75" i="86" s="1"/>
  <c r="U46" i="95"/>
  <c r="U49" i="95" s="1"/>
  <c r="T6" i="95"/>
  <c r="T9" i="95" s="1"/>
  <c r="Z52" i="86"/>
  <c r="Z74" i="86" s="1"/>
  <c r="W108" i="86"/>
  <c r="W113" i="86" s="1"/>
  <c r="X52" i="90" s="1"/>
  <c r="Y49" i="86"/>
  <c r="Z89" i="86"/>
  <c r="Z92" i="86" s="1"/>
  <c r="V100" i="90"/>
  <c r="U100" i="90"/>
  <c r="X68" i="86"/>
  <c r="X71" i="86"/>
  <c r="AA76" i="86"/>
  <c r="AA60" i="86"/>
  <c r="U48" i="86"/>
  <c r="U54" i="86" s="1"/>
  <c r="U61" i="86" s="1"/>
  <c r="V117" i="86"/>
  <c r="V119" i="86" s="1"/>
  <c r="AC95" i="86"/>
  <c r="AC98" i="86" s="1"/>
  <c r="AB57" i="86"/>
  <c r="AB76" i="86" l="1"/>
  <c r="AB60" i="86"/>
  <c r="AA89" i="86"/>
  <c r="AA92" i="86" s="1"/>
  <c r="Z49" i="86"/>
  <c r="AD95" i="86"/>
  <c r="AD98" i="86" s="1"/>
  <c r="AC57" i="86"/>
  <c r="Y68" i="86"/>
  <c r="Y108" i="86" s="1"/>
  <c r="Y113" i="86" s="1"/>
  <c r="Z52" i="90" s="1"/>
  <c r="Y71" i="86"/>
  <c r="W96" i="90"/>
  <c r="W118" i="86"/>
  <c r="X54" i="90"/>
  <c r="X108" i="86"/>
  <c r="X113" i="86" s="1"/>
  <c r="Y52" i="90" s="1"/>
  <c r="W117" i="86"/>
  <c r="V48" i="86"/>
  <c r="V54" i="86" s="1"/>
  <c r="V61" i="86" s="1"/>
  <c r="V46" i="95"/>
  <c r="V49" i="95" s="1"/>
  <c r="AB53" i="86"/>
  <c r="AB75" i="86" s="1"/>
  <c r="U6" i="95"/>
  <c r="U9" i="95" s="1"/>
  <c r="AA52" i="86"/>
  <c r="AA74" i="86" s="1"/>
  <c r="Y96" i="90" l="1"/>
  <c r="Z54" i="90"/>
  <c r="Y118" i="86"/>
  <c r="V6" i="95"/>
  <c r="V9" i="95" s="1"/>
  <c r="AB52" i="86"/>
  <c r="AB74" i="86" s="1"/>
  <c r="W119" i="86"/>
  <c r="W100" i="90"/>
  <c r="Z68" i="86"/>
  <c r="Z71" i="86"/>
  <c r="AB89" i="86"/>
  <c r="AB92" i="86" s="1"/>
  <c r="AA49" i="86"/>
  <c r="AC76" i="86"/>
  <c r="AC60" i="86"/>
  <c r="W46" i="95"/>
  <c r="W49" i="95" s="1"/>
  <c r="AC53" i="86"/>
  <c r="AC75" i="86" s="1"/>
  <c r="X118" i="86"/>
  <c r="X96" i="90"/>
  <c r="Y54" i="90"/>
  <c r="AD57" i="86"/>
  <c r="AE95" i="86"/>
  <c r="AE98" i="86" s="1"/>
  <c r="Y100" i="90" l="1"/>
  <c r="AE57" i="86"/>
  <c r="AF95" i="86"/>
  <c r="AF98" i="86" s="1"/>
  <c r="AD53" i="86"/>
  <c r="AD75" i="86" s="1"/>
  <c r="X46" i="95"/>
  <c r="X49" i="95" s="1"/>
  <c r="X100" i="90"/>
  <c r="AA68" i="86"/>
  <c r="AA71" i="86"/>
  <c r="AC89" i="86"/>
  <c r="AC92" i="86" s="1"/>
  <c r="AB49" i="86"/>
  <c r="W6" i="95"/>
  <c r="W9" i="95" s="1"/>
  <c r="AC52" i="86"/>
  <c r="AC74" i="86" s="1"/>
  <c r="AD60" i="86"/>
  <c r="AD76" i="86"/>
  <c r="W48" i="86"/>
  <c r="W54" i="86" s="1"/>
  <c r="W61" i="86" s="1"/>
  <c r="X117" i="86"/>
  <c r="X119" i="86" s="1"/>
  <c r="AA108" i="86"/>
  <c r="AA113" i="86" s="1"/>
  <c r="AB52" i="90" s="1"/>
  <c r="Z108" i="86"/>
  <c r="Z113" i="86" s="1"/>
  <c r="AA52" i="90" s="1"/>
  <c r="AE76" i="86" l="1"/>
  <c r="AE60" i="86"/>
  <c r="Z96" i="90"/>
  <c r="Z118" i="86"/>
  <c r="AA54" i="90"/>
  <c r="AD52" i="86"/>
  <c r="AD74" i="86" s="1"/>
  <c r="X6" i="95"/>
  <c r="X9" i="95" s="1"/>
  <c r="AE53" i="86"/>
  <c r="AE75" i="86" s="1"/>
  <c r="Y46" i="95"/>
  <c r="Y49" i="95" s="1"/>
  <c r="X48" i="86"/>
  <c r="X54" i="86" s="1"/>
  <c r="X61" i="86" s="1"/>
  <c r="Y117" i="86"/>
  <c r="Y119" i="86" s="1"/>
  <c r="AB68" i="86"/>
  <c r="AB71" i="86"/>
  <c r="AA118" i="86"/>
  <c r="AB54" i="90"/>
  <c r="AA96" i="90"/>
  <c r="AC49" i="86"/>
  <c r="AD89" i="86"/>
  <c r="AD92" i="86" s="1"/>
  <c r="AG95" i="86"/>
  <c r="AG98" i="86" s="1"/>
  <c r="AF57" i="86"/>
  <c r="AH95" i="86" l="1"/>
  <c r="AH98" i="86" s="1"/>
  <c r="AH57" i="86" s="1"/>
  <c r="AG57" i="86"/>
  <c r="AD49" i="86"/>
  <c r="AE89" i="86"/>
  <c r="AE92" i="86" s="1"/>
  <c r="AC108" i="86"/>
  <c r="AC113" i="86" s="1"/>
  <c r="AD52" i="90" s="1"/>
  <c r="AF76" i="86"/>
  <c r="AF60" i="86"/>
  <c r="AC68" i="86"/>
  <c r="AC71" i="86"/>
  <c r="Z46" i="95"/>
  <c r="Z49" i="95" s="1"/>
  <c r="AF53" i="86"/>
  <c r="AF75" i="86" s="1"/>
  <c r="Y48" i="86"/>
  <c r="Y54" i="86" s="1"/>
  <c r="Y61" i="86" s="1"/>
  <c r="Z117" i="86"/>
  <c r="Z119" i="86" s="1"/>
  <c r="Z100" i="90"/>
  <c r="AA100" i="90"/>
  <c r="Y6" i="95"/>
  <c r="Y9" i="95" s="1"/>
  <c r="AE52" i="86"/>
  <c r="AE74" i="86" s="1"/>
  <c r="AB108" i="86"/>
  <c r="AB113" i="86" s="1"/>
  <c r="AC52" i="90" s="1"/>
  <c r="AA46" i="95" l="1"/>
  <c r="AA49" i="95" s="1"/>
  <c r="AG53" i="86"/>
  <c r="AG75" i="86" s="1"/>
  <c r="AC118" i="86"/>
  <c r="AC96" i="90"/>
  <c r="AD54" i="90"/>
  <c r="AF89" i="86"/>
  <c r="AF92" i="86" s="1"/>
  <c r="AE49" i="86"/>
  <c r="AB96" i="90"/>
  <c r="AC54" i="90"/>
  <c r="AB118" i="86"/>
  <c r="AD68" i="86"/>
  <c r="AD71" i="86"/>
  <c r="AA117" i="86"/>
  <c r="AA119" i="86" s="1"/>
  <c r="Z48" i="86"/>
  <c r="Z54" i="86" s="1"/>
  <c r="Z61" i="86" s="1"/>
  <c r="AG76" i="86"/>
  <c r="AG60" i="86"/>
  <c r="Z6" i="95"/>
  <c r="Z9" i="95" s="1"/>
  <c r="AF52" i="86"/>
  <c r="AF74" i="86" s="1"/>
  <c r="AH76" i="86"/>
  <c r="AH60" i="86"/>
  <c r="AA6" i="95" l="1"/>
  <c r="AA9" i="95" s="1"/>
  <c r="AG52" i="86"/>
  <c r="AG74" i="86" s="1"/>
  <c r="AB100" i="90"/>
  <c r="AC100" i="90"/>
  <c r="AE108" i="86"/>
  <c r="AE113" i="86" s="1"/>
  <c r="AF52" i="90" s="1"/>
  <c r="AB117" i="86"/>
  <c r="AB119" i="86" s="1"/>
  <c r="AA48" i="86"/>
  <c r="AA54" i="86" s="1"/>
  <c r="AA61" i="86" s="1"/>
  <c r="AE68" i="86"/>
  <c r="AE71" i="86"/>
  <c r="AG89" i="86"/>
  <c r="AG92" i="86" s="1"/>
  <c r="AF49" i="86"/>
  <c r="AD108" i="86"/>
  <c r="AD113" i="86" s="1"/>
  <c r="AE52" i="90" s="1"/>
  <c r="AH53" i="86"/>
  <c r="AH75" i="86" s="1"/>
  <c r="AD118" i="86" l="1"/>
  <c r="AE54" i="90"/>
  <c r="AD96" i="90"/>
  <c r="AH52" i="86"/>
  <c r="AH74" i="86" s="1"/>
  <c r="AF68" i="86"/>
  <c r="AF71" i="86"/>
  <c r="AC117" i="86"/>
  <c r="AC119" i="86" s="1"/>
  <c r="AB48" i="86"/>
  <c r="AB54" i="86" s="1"/>
  <c r="AB61" i="86" s="1"/>
  <c r="AE96" i="90"/>
  <c r="AE118" i="86"/>
  <c r="AF54" i="90"/>
  <c r="AH89" i="86"/>
  <c r="AH92" i="86" s="1"/>
  <c r="AH49" i="86" s="1"/>
  <c r="AG49" i="86"/>
  <c r="N135" i="86"/>
  <c r="O133" i="86" s="1"/>
  <c r="N128" i="86"/>
  <c r="O128" i="86" s="1"/>
  <c r="C13" i="93"/>
  <c r="AD100" i="90" l="1"/>
  <c r="AE100" i="90"/>
  <c r="AF108" i="86"/>
  <c r="AF113" i="86" s="1"/>
  <c r="AG52" i="90" s="1"/>
  <c r="AH68" i="86"/>
  <c r="AH71" i="86"/>
  <c r="AD117" i="86"/>
  <c r="AD119" i="86" s="1"/>
  <c r="AC48" i="86"/>
  <c r="AC54" i="86" s="1"/>
  <c r="AC61" i="86" s="1"/>
  <c r="AG68" i="86"/>
  <c r="AH108" i="86" s="1"/>
  <c r="AH113" i="86" s="1"/>
  <c r="AG71" i="86"/>
  <c r="P128" i="86"/>
  <c r="O130" i="86"/>
  <c r="O134" i="86" s="1"/>
  <c r="O135" i="86" s="1"/>
  <c r="AG54" i="90" l="1"/>
  <c r="AF118" i="86"/>
  <c r="AF96" i="90"/>
  <c r="AF100" i="90" s="1"/>
  <c r="AD48" i="86"/>
  <c r="AD54" i="86" s="1"/>
  <c r="AD61" i="86" s="1"/>
  <c r="AE117" i="86"/>
  <c r="AE119" i="86" s="1"/>
  <c r="AH96" i="90"/>
  <c r="AH118" i="86"/>
  <c r="AG108" i="86"/>
  <c r="AG113" i="86" s="1"/>
  <c r="AH52" i="90" s="1"/>
  <c r="P130" i="86"/>
  <c r="P134" i="86" s="1"/>
  <c r="Q128" i="86"/>
  <c r="O136" i="86"/>
  <c r="P133" i="86"/>
  <c r="AF117" i="86" l="1"/>
  <c r="AF119" i="86" s="1"/>
  <c r="AE48" i="86"/>
  <c r="AE54" i="86" s="1"/>
  <c r="AE61" i="86" s="1"/>
  <c r="AG118" i="86"/>
  <c r="AG96" i="90"/>
  <c r="AG100" i="90" s="1"/>
  <c r="AH54" i="90"/>
  <c r="AH100" i="90"/>
  <c r="Q130" i="86"/>
  <c r="Q134" i="86" s="1"/>
  <c r="R128" i="86"/>
  <c r="P135" i="86"/>
  <c r="AG117" i="86" l="1"/>
  <c r="AG119" i="86" s="1"/>
  <c r="AF48" i="86"/>
  <c r="AF54" i="86" s="1"/>
  <c r="AF61" i="86" s="1"/>
  <c r="Q133" i="86"/>
  <c r="Q135" i="86" s="1"/>
  <c r="P136" i="86"/>
  <c r="R130" i="86"/>
  <c r="R134" i="86" s="1"/>
  <c r="S128" i="86"/>
  <c r="AG48" i="86" l="1"/>
  <c r="AG54" i="86" s="1"/>
  <c r="AG61" i="86" s="1"/>
  <c r="AH117" i="86"/>
  <c r="AH119" i="86" s="1"/>
  <c r="AH48" i="86" s="1"/>
  <c r="T128" i="86"/>
  <c r="S130" i="86"/>
  <c r="S134" i="86" s="1"/>
  <c r="R133" i="86"/>
  <c r="R135" i="86" s="1"/>
  <c r="Q136" i="86"/>
  <c r="AH54" i="86" l="1"/>
  <c r="AH61" i="86" s="1"/>
  <c r="C23" i="93"/>
  <c r="C24" i="93" s="1"/>
  <c r="R136" i="86"/>
  <c r="S133" i="86"/>
  <c r="S135" i="86"/>
  <c r="U128" i="86"/>
  <c r="T130" i="86"/>
  <c r="T134" i="86" s="1"/>
  <c r="V128" i="86" l="1"/>
  <c r="U130" i="86"/>
  <c r="U134" i="86" s="1"/>
  <c r="T133" i="86"/>
  <c r="T135" i="86" s="1"/>
  <c r="S136" i="86"/>
  <c r="T136" i="86" l="1"/>
  <c r="U133" i="86"/>
  <c r="U135" i="86"/>
  <c r="V130" i="86"/>
  <c r="V134" i="86" s="1"/>
  <c r="W128" i="86"/>
  <c r="X128" i="86" l="1"/>
  <c r="W130" i="86"/>
  <c r="W134" i="86" s="1"/>
  <c r="U136" i="86"/>
  <c r="V133" i="86"/>
  <c r="V135" i="86" s="1"/>
  <c r="W133" i="86" l="1"/>
  <c r="V136" i="86"/>
  <c r="X130" i="86"/>
  <c r="X134" i="86" s="1"/>
  <c r="Y128" i="86"/>
  <c r="W135" i="86"/>
  <c r="W136" i="86" l="1"/>
  <c r="X133" i="86"/>
  <c r="X135" i="86" s="1"/>
  <c r="Z128" i="86"/>
  <c r="Y130" i="86"/>
  <c r="Y134" i="86" s="1"/>
  <c r="Z130" i="86" l="1"/>
  <c r="Z134" i="86" s="1"/>
  <c r="AA128" i="86"/>
  <c r="X136" i="86"/>
  <c r="Y133" i="86"/>
  <c r="Y135" i="86" s="1"/>
  <c r="Y136" i="86" l="1"/>
  <c r="Z133" i="86"/>
  <c r="AB128" i="86"/>
  <c r="AA130" i="86"/>
  <c r="AA134" i="86" s="1"/>
  <c r="Z135" i="86"/>
  <c r="AA133" i="86" l="1"/>
  <c r="AA135" i="86" s="1"/>
  <c r="Z136" i="86"/>
  <c r="AB130" i="86"/>
  <c r="AB134" i="86" s="1"/>
  <c r="AC128" i="86"/>
  <c r="AB133" i="86" l="1"/>
  <c r="AB135" i="86" s="1"/>
  <c r="AA136" i="86"/>
  <c r="AD128" i="86"/>
  <c r="AC130" i="86"/>
  <c r="AC134" i="86" s="1"/>
  <c r="AC133" i="86" l="1"/>
  <c r="AC135" i="86" s="1"/>
  <c r="AB136" i="86"/>
  <c r="AE128" i="86"/>
  <c r="AD130" i="86"/>
  <c r="AD134" i="86" s="1"/>
  <c r="AD133" i="86" l="1"/>
  <c r="AD135" i="86" s="1"/>
  <c r="AC136" i="86"/>
  <c r="AF128" i="86"/>
  <c r="AE130" i="86"/>
  <c r="AE134" i="86" s="1"/>
  <c r="AD136" i="86" l="1"/>
  <c r="AE133" i="86"/>
  <c r="AE135" i="86"/>
  <c r="AF130" i="86"/>
  <c r="AF134" i="86" s="1"/>
  <c r="AG128" i="86"/>
  <c r="AG130" i="86" l="1"/>
  <c r="AG134" i="86" s="1"/>
  <c r="AH128" i="86"/>
  <c r="AH130" i="86" s="1"/>
  <c r="AH134" i="86" s="1"/>
  <c r="AE136" i="86"/>
  <c r="AF133" i="86"/>
  <c r="AF135" i="86" s="1"/>
  <c r="AG133" i="86" l="1"/>
  <c r="AG135" i="86" s="1"/>
  <c r="AF136" i="86"/>
  <c r="AH133" i="86" l="1"/>
  <c r="AH135" i="86" s="1"/>
  <c r="AH136" i="86" s="1"/>
  <c r="G20" i="93" s="1"/>
  <c r="G21" i="93" s="1"/>
  <c r="C25" i="93" s="1"/>
  <c r="C26" i="93" s="1"/>
  <c r="C33" i="93" s="1"/>
  <c r="AG136" i="86"/>
  <c r="C28" i="93" l="1"/>
  <c r="C29" i="9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<sst xmlns="http://schemas.openxmlformats.org/spreadsheetml/2006/main" count="388" uniqueCount="253">
  <si>
    <t>Rule of 40</t>
  </si>
  <si>
    <t>ARR Build</t>
  </si>
  <si>
    <t>Taxes</t>
  </si>
  <si>
    <t>Customer</t>
  </si>
  <si>
    <t>Cohort</t>
  </si>
  <si>
    <t>New Logo ARR</t>
  </si>
  <si>
    <t>Upsell ARR</t>
  </si>
  <si>
    <t>Downsell ARR</t>
  </si>
  <si>
    <t>Churn ARR</t>
  </si>
  <si>
    <t>Beginning ARR</t>
  </si>
  <si>
    <t>Ending ARR</t>
  </si>
  <si>
    <t>Check?</t>
  </si>
  <si>
    <t>Beginning Customers</t>
  </si>
  <si>
    <t>New Customers</t>
  </si>
  <si>
    <t>Ending Customers</t>
  </si>
  <si>
    <t>Churn Customers</t>
  </si>
  <si>
    <t>Customer Bridge</t>
  </si>
  <si>
    <t>Recognized Revenue</t>
  </si>
  <si>
    <t>Deferred Revenue</t>
  </si>
  <si>
    <t>Total Cash Collected</t>
  </si>
  <si>
    <t>ARR by Cohort</t>
  </si>
  <si>
    <t>S&amp;M</t>
  </si>
  <si>
    <t>CAC Payback by Cohort</t>
  </si>
  <si>
    <t>Cohorts</t>
  </si>
  <si>
    <t>GM%</t>
  </si>
  <si>
    <t>NRR</t>
  </si>
  <si>
    <t>Upsell as % of Beginning</t>
  </si>
  <si>
    <t>Downsell as % of Beginning</t>
  </si>
  <si>
    <t>Churn as % of Beginning</t>
  </si>
  <si>
    <t>New Logo as % of Beginning</t>
  </si>
  <si>
    <t>Total Billed Amount</t>
  </si>
  <si>
    <t>Cohort %</t>
  </si>
  <si>
    <t>Upfront (Annual) Billing</t>
  </si>
  <si>
    <t>Quarterly Billing</t>
  </si>
  <si>
    <t>Cash Collections in Same Quarter</t>
  </si>
  <si>
    <t>Cash Collections in Next Quarter</t>
  </si>
  <si>
    <t>Accounts Receivable</t>
  </si>
  <si>
    <t>New Billings</t>
  </si>
  <si>
    <t>Cash Collected</t>
  </si>
  <si>
    <t>Beginning Deferred Revenue</t>
  </si>
  <si>
    <t>Ending Deferred Revenue</t>
  </si>
  <si>
    <t>Beginning Accounts Receivable</t>
  </si>
  <si>
    <t>% YoY Growth</t>
  </si>
  <si>
    <t>Gross Profit</t>
  </si>
  <si>
    <t>GAAP Revenue</t>
  </si>
  <si>
    <t>R&amp;D</t>
  </si>
  <si>
    <t>G&amp;A</t>
  </si>
  <si>
    <t>Operating Expenses</t>
  </si>
  <si>
    <t>Interest Expense</t>
  </si>
  <si>
    <t>Taxable Income</t>
  </si>
  <si>
    <t>Tax Rate</t>
  </si>
  <si>
    <t>Net Income</t>
  </si>
  <si>
    <t>Operating Income</t>
  </si>
  <si>
    <t>Income Statement</t>
  </si>
  <si>
    <t>Balance Sheet</t>
  </si>
  <si>
    <t>Cash Flow Statement</t>
  </si>
  <si>
    <t>Cash</t>
  </si>
  <si>
    <t>Net PP&amp;E</t>
  </si>
  <si>
    <t>Debt</t>
  </si>
  <si>
    <t>Equity</t>
  </si>
  <si>
    <t>Total Assets</t>
  </si>
  <si>
    <t>Total Liabilities &amp; Equity</t>
  </si>
  <si>
    <t>Accounts Payable</t>
  </si>
  <si>
    <t>Depreciation</t>
  </si>
  <si>
    <t>Capex as % of LTM Rev</t>
  </si>
  <si>
    <t>Depreciation as % of LTM Rev</t>
  </si>
  <si>
    <t>LTM COGS</t>
  </si>
  <si>
    <t>D&amp;A</t>
  </si>
  <si>
    <t>Capex</t>
  </si>
  <si>
    <t>Net Working Capital</t>
  </si>
  <si>
    <t>% Margin</t>
  </si>
  <si>
    <t>Deferred Commissions</t>
  </si>
  <si>
    <t>Prepaid Expenses</t>
  </si>
  <si>
    <t>Stock-Based Compensation Expense</t>
  </si>
  <si>
    <t>Adj.</t>
  </si>
  <si>
    <t>(+) Cash</t>
  </si>
  <si>
    <t>Sources</t>
  </si>
  <si>
    <t>Uses</t>
  </si>
  <si>
    <t>(-) Debt</t>
  </si>
  <si>
    <t>Entry Assumptions</t>
  </si>
  <si>
    <t>Entry</t>
  </si>
  <si>
    <t>Exit &amp; Returns</t>
  </si>
  <si>
    <t>Memo</t>
  </si>
  <si>
    <t>Beginning Shares Outstanding</t>
  </si>
  <si>
    <t>New Shares Issued</t>
  </si>
  <si>
    <t>Ending Shares Outstanding</t>
  </si>
  <si>
    <t>Shares Outstanding</t>
  </si>
  <si>
    <t>Cumulative Dilution</t>
  </si>
  <si>
    <t>Exit Date</t>
  </si>
  <si>
    <t>Entry Date</t>
  </si>
  <si>
    <t>Exit Multiple</t>
  </si>
  <si>
    <t>Exit Proceeds</t>
  </si>
  <si>
    <t>Exit Enterprise Value</t>
  </si>
  <si>
    <t>Exit Value</t>
  </si>
  <si>
    <t>Exit Equity value</t>
  </si>
  <si>
    <t>Initial Ownership</t>
  </si>
  <si>
    <t>Dilution from Stock-Based Compensation</t>
  </si>
  <si>
    <t>Exit Ownership</t>
  </si>
  <si>
    <t>(x) Exit Ownership</t>
  </si>
  <si>
    <t>Exit Sponsor Value</t>
  </si>
  <si>
    <t>IRR</t>
  </si>
  <si>
    <t>Entry Investment</t>
  </si>
  <si>
    <t>M-o-M</t>
  </si>
  <si>
    <t>Net Change in WC</t>
  </si>
  <si>
    <t>$ Deferrals</t>
  </si>
  <si>
    <t>Years</t>
  </si>
  <si>
    <t>Quarters</t>
  </si>
  <si>
    <t>End</t>
  </si>
  <si>
    <t>New Deferred Commissions</t>
  </si>
  <si>
    <t>Amortization of Deferred Commissions</t>
  </si>
  <si>
    <t>Beginning Deferred Commissions</t>
  </si>
  <si>
    <t>Ending Deferred Commissions</t>
  </si>
  <si>
    <t>Capitalized Software Costs</t>
  </si>
  <si>
    <t>Beginning Capitalized Software Costs</t>
  </si>
  <si>
    <t>Amortization of Capitalized Software Costs</t>
  </si>
  <si>
    <t>New Capitalized Software Costs</t>
  </si>
  <si>
    <t>CAC</t>
  </si>
  <si>
    <t>Magic Number</t>
  </si>
  <si>
    <t>Gross Margin</t>
  </si>
  <si>
    <t>New Logo Gross Profit</t>
  </si>
  <si>
    <t>LTV / CAC</t>
  </si>
  <si>
    <t>3 Year LTV / CAC</t>
  </si>
  <si>
    <t>5 Year LTV / CAC</t>
  </si>
  <si>
    <t>EBITDA Margin</t>
  </si>
  <si>
    <t>LTM GAAP Revenue</t>
  </si>
  <si>
    <t>LTM EBITDA</t>
  </si>
  <si>
    <t>EBITDA</t>
  </si>
  <si>
    <t>YoY Growth</t>
  </si>
  <si>
    <t>CAC Payback</t>
  </si>
  <si>
    <t>Annualized Logo Retention</t>
  </si>
  <si>
    <t>Annualized Net Dollar Retention</t>
  </si>
  <si>
    <t>Customer Lifetime (Years)</t>
  </si>
  <si>
    <t>Overall LTV / CAC</t>
  </si>
  <si>
    <t>3 Year LTV</t>
  </si>
  <si>
    <t>5 Year LTV</t>
  </si>
  <si>
    <t>Overall LTV</t>
  </si>
  <si>
    <t>Key Metrics</t>
  </si>
  <si>
    <t>YoY ARR Growth</t>
  </si>
  <si>
    <t>Retention</t>
  </si>
  <si>
    <t>Annualized Gross Dollar Retention</t>
  </si>
  <si>
    <t>Efficiency</t>
  </si>
  <si>
    <t>Burn Multiple</t>
  </si>
  <si>
    <t>Unit Economics</t>
  </si>
  <si>
    <t>Net New ARR</t>
  </si>
  <si>
    <t>Cash Balance</t>
  </si>
  <si>
    <t>Beginning Cash Balance</t>
  </si>
  <si>
    <t>Change in Cash</t>
  </si>
  <si>
    <t>Ending Cash Balance</t>
  </si>
  <si>
    <t>GP Payback [Months]</t>
  </si>
  <si>
    <t>GP Payback w/ Upsell [Months]</t>
  </si>
  <si>
    <t>Acquisition Cost Per Customer</t>
  </si>
  <si>
    <t>Current Price Per Share</t>
  </si>
  <si>
    <t>COGS</t>
  </si>
  <si>
    <t>Total Compensation</t>
  </si>
  <si>
    <t>Stock-Based Compensation</t>
  </si>
  <si>
    <t>Total R&amp;D Expense</t>
  </si>
  <si>
    <t>Total S&amp;M Expense</t>
  </si>
  <si>
    <t>ARR per Ending Customer</t>
  </si>
  <si>
    <t>ARR per New Customer</t>
  </si>
  <si>
    <t>ARR per Churned Customer</t>
  </si>
  <si>
    <t>Prior Period S&amp;M</t>
  </si>
  <si>
    <t>Cumulative Realized LTV</t>
  </si>
  <si>
    <t>Max</t>
  </si>
  <si>
    <t>Sponsor Equity</t>
  </si>
  <si>
    <t>Entry Multiple</t>
  </si>
  <si>
    <t>Entry Enterprise Value</t>
  </si>
  <si>
    <t>Entry Equity Value</t>
  </si>
  <si>
    <t>Average</t>
  </si>
  <si>
    <t>Amortization Schedule</t>
  </si>
  <si>
    <t>ARR Waterfall</t>
  </si>
  <si>
    <t>Total Uses</t>
  </si>
  <si>
    <t>Total Sources</t>
  </si>
  <si>
    <t>Gross Margin Subscriptions</t>
  </si>
  <si>
    <t>$ Eligible</t>
  </si>
  <si>
    <t>Revenue &amp; Retention</t>
  </si>
  <si>
    <t>Quick Ratio</t>
  </si>
  <si>
    <t>Other Margin Profile</t>
  </si>
  <si>
    <t>Gross Profit - Total</t>
  </si>
  <si>
    <t>LTM Gross Margin %</t>
  </si>
  <si>
    <t>LTM S&amp;M, % of Revenue</t>
  </si>
  <si>
    <t>LTM R&amp;D, % of Revenue</t>
  </si>
  <si>
    <t>LTM G&amp;A, % of Revenue</t>
  </si>
  <si>
    <t>GAAP Revenue - Total</t>
  </si>
  <si>
    <t>LTM FCF, % Margin</t>
  </si>
  <si>
    <t>S&amp;M Prior Period</t>
  </si>
  <si>
    <t>New Logo Gross Profit - Year 1</t>
  </si>
  <si>
    <t>New Logo Gross Profit - Year 2</t>
  </si>
  <si>
    <t>New Logo Gross Profit - Year 3</t>
  </si>
  <si>
    <t>New Logo Gross Profit - Year 4</t>
  </si>
  <si>
    <t>New Logo Gross Profit - Year 5</t>
  </si>
  <si>
    <t>Free Cash Flow - (Negative) / Positive</t>
  </si>
  <si>
    <t>Net Revenue Retention by Cohort</t>
  </si>
  <si>
    <t>ARR by Cohort (Reordered)</t>
  </si>
  <si>
    <t>Prior Year Renewal ARR</t>
  </si>
  <si>
    <t>ARR Eligible for Billing</t>
  </si>
  <si>
    <t>ARR Eligible for Billings</t>
  </si>
  <si>
    <t>Actual</t>
  </si>
  <si>
    <t>PF</t>
  </si>
  <si>
    <t>Beginning Net PP&amp;E</t>
  </si>
  <si>
    <t>Ending Net PP&amp;E</t>
  </si>
  <si>
    <t>LTM R&amp;D Expense</t>
  </si>
  <si>
    <t>Metrics &amp; Drivers</t>
  </si>
  <si>
    <t>LTM S&amp;M Expense</t>
  </si>
  <si>
    <t>Deferred Commissions, % of LTM S&amp;M Expense</t>
  </si>
  <si>
    <t>Prepaid Expenses, % of LTM Rev</t>
  </si>
  <si>
    <t>Capitalized Software Costs, % of LTM R&amp;D Expense</t>
  </si>
  <si>
    <t>Payable Days Outstanding</t>
  </si>
  <si>
    <t>Deferred Revenue, % of ARR</t>
  </si>
  <si>
    <t>Amortization</t>
  </si>
  <si>
    <t>Drivers:</t>
  </si>
  <si>
    <t>Free Cash Flow</t>
  </si>
  <si>
    <t>y</t>
  </si>
  <si>
    <t>$ Billed</t>
  </si>
  <si>
    <t>Ending Capitalized Software Costs</t>
  </si>
  <si>
    <t>Memo/Drivers</t>
  </si>
  <si>
    <t>Amortization of Deferred Compensation</t>
  </si>
  <si>
    <t>Memo/Drivers:</t>
  </si>
  <si>
    <t>Deferred Commissions Paid</t>
  </si>
  <si>
    <t>$ Costs</t>
  </si>
  <si>
    <t>Capitalized Software Paid</t>
  </si>
  <si>
    <t>GO, GO, GO!</t>
  </si>
  <si>
    <t>Practice really does make perfect!</t>
  </si>
  <si>
    <t>You got this!  :-)</t>
  </si>
  <si>
    <t>For more video courses and tutorials:</t>
  </si>
  <si>
    <t>All rights reserved. Growth Equity Interview Guide.</t>
  </si>
  <si>
    <t xml:space="preserve">This template is part of a comprehensive course for SaaS investing roles &amp; interviews. </t>
  </si>
  <si>
    <t>Gross Margin %</t>
  </si>
  <si>
    <t>% of ARR</t>
  </si>
  <si>
    <t>Receivable Days Outstanding</t>
  </si>
  <si>
    <t>Ending Accounts Receivable</t>
  </si>
  <si>
    <t>Capitalized Software Costs as % of R&amp;D Expense</t>
  </si>
  <si>
    <t>Deferred Comp as % of Total S&amp;M Expense</t>
  </si>
  <si>
    <t>Compensation as % of Total Opex + COGS</t>
  </si>
  <si>
    <t>Total Opex + COGS</t>
  </si>
  <si>
    <t>% Stock Compensation</t>
  </si>
  <si>
    <t>% Q-o-Q Growth</t>
  </si>
  <si>
    <t>Cash to B/S</t>
  </si>
  <si>
    <t>Entry LTM Revenue</t>
  </si>
  <si>
    <t>Exit LTM Revenue</t>
  </si>
  <si>
    <t>% of beginning quarterly ARR balance</t>
  </si>
  <si>
    <t>Unit</t>
  </si>
  <si>
    <t>"</t>
  </si>
  <si>
    <t>Assumption</t>
  </si>
  <si>
    <t>% of quarterly GAAP revenue</t>
  </si>
  <si>
    <t>New logo ARR</t>
  </si>
  <si>
    <t>Post-Money Shares Outstanding</t>
  </si>
  <si>
    <t>Pre-Money Shares Outstanding</t>
  </si>
  <si>
    <t>Pre-Money Stock Price</t>
  </si>
  <si>
    <t>$ in thousands, except noted</t>
  </si>
  <si>
    <t>Note:</t>
  </si>
  <si>
    <t>Prior Year Renewal ARR for Billing</t>
  </si>
  <si>
    <t>Note:  See prompt for complete list of assumptions</t>
  </si>
  <si>
    <t>Net Cash Burned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</si>
</sst>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\x"/>
    <numFmt numFmtId="165" formatCode="0.0%"/>
    <numFmt numFmtId="166" formatCode="#,##0.000_);\(#,##0.000\)"/>
    <numFmt numFmtId="167" formatCode="&quot;$&quot;#,##0.000_);\(&quot;$&quot;#,##0.000\)"/>
    <numFmt numFmtId="168" formatCode="0.0"/>
    <numFmt numFmtId="169" formatCode="[$-409]mmm\-yy;@"/>
    <numFmt numFmtId="170" formatCode="#,##0.0000_);\(#,##0.0000\)"/>
    <numFmt numFmtId="171" formatCode="m/d/yy"/>
    <numFmt numFmtId="172" formatCode="m/d/yy;@"/>
    <numFmt numFmtId="173" formatCode="&quot;$&quot;#,##0_);\(&quot;$&quot;#,##0\);\ &quot;-&quot;_)"/>
    <numFmt numFmtId="174" formatCode="&quot;Q&quot;0"/>
    <numFmt numFmtId="175" formatCode="0%;\(0%\);&quot;-&quot;_%"/>
    <numFmt numFmtId="176" formatCode="0%_);\(0%\);&quot;-&quot;_)"/>
    <numFmt numFmtId="177" formatCode="#,##0_);\(#,##0\);\ &quot;-&quot;_)"/>
    <numFmt numFmtId="178" formatCode="0.0%_);\ \(0.0%\);\ &quot;-&quot;_%\)"/>
    <numFmt numFmtId="179" formatCode="0.0%_);\ \(0.0%\);\ &quot;-&quot;_%"/>
    <numFmt numFmtId="180" formatCode="&quot;$&quot;#,##0_);\(&quot;$&quot;#,##0\);&quot;-&quot;_)"/>
    <numFmt numFmtId="181" formatCode="#,##0.0\x_);\(#,##0.0\x\);\ &quot;-&quot;_)"/>
    <numFmt numFmtId="182" formatCode="#,##0.0_);\(#,##0.0\);\ &quot;-&quot;_)"/>
    <numFmt numFmtId="183" formatCode="0%_);\ \(0%\);\ &quot;-&quot;_%"/>
    <numFmt numFmtId="184" formatCode="&quot;$&quot;#,##0.0_);\(&quot;$&quot;#,##0.0\)"/>
    <numFmt numFmtId="185" formatCode="0.0%_);\(0.0%\);&quot;-&quot;_)"/>
    <numFmt numFmtId="186" formatCode="#,##0.0_);\(#,##0.0\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FF0000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rgb="FF0000FF"/>
      <name val="Garamond"/>
      <family val="1"/>
    </font>
    <font>
      <b/>
      <sz val="10"/>
      <color rgb="FF0000FF"/>
      <name val="Garamond"/>
      <family val="1"/>
    </font>
    <font>
      <b/>
      <sz val="10"/>
      <color theme="1"/>
      <name val="Arial"/>
      <family val="2"/>
    </font>
    <font>
      <b/>
      <sz val="10"/>
      <name val="Garamond"/>
      <family val="1"/>
    </font>
    <font>
      <i/>
      <sz val="10"/>
      <color theme="1"/>
      <name val="Arial"/>
      <family val="2"/>
    </font>
    <font>
      <sz val="10"/>
      <color rgb="FF00B050"/>
      <name val="Garamond"/>
      <family val="1"/>
    </font>
    <font>
      <b/>
      <u/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b/>
      <sz val="10"/>
      <color rgb="FF00B050"/>
      <name val="Garamond"/>
      <family val="1"/>
    </font>
    <font>
      <u/>
      <sz val="10"/>
      <name val="Garamond"/>
      <family val="1"/>
    </font>
    <font>
      <u val="singleAccounting"/>
      <sz val="10"/>
      <color theme="1"/>
      <name val="Garamond"/>
      <family val="1"/>
    </font>
    <font>
      <b/>
      <sz val="10"/>
      <color rgb="FF000000"/>
      <name val="Calibri"/>
      <family val="2"/>
      <scheme val="minor"/>
    </font>
    <font>
      <b/>
      <u/>
      <sz val="10"/>
      <name val="Garamond"/>
      <family val="1"/>
    </font>
    <font>
      <b/>
      <u/>
      <sz val="10"/>
      <color rgb="FF00B050"/>
      <name val="Garamond"/>
      <family val="1"/>
    </font>
    <font>
      <b/>
      <sz val="10"/>
      <color rgb="FFFF0000"/>
      <name val="Garamond"/>
      <family val="1"/>
    </font>
    <font>
      <i/>
      <sz val="10"/>
      <color rgb="FFFF0000"/>
      <name val="Garamond"/>
      <family val="1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u/>
      <sz val="10"/>
      <color rgb="FF000000"/>
      <name val="Garamond"/>
      <family val="1"/>
    </font>
    <font>
      <sz val="10"/>
      <color theme="0"/>
      <name val="Garamond"/>
      <family val="1"/>
    </font>
    <font>
      <sz val="10"/>
      <name val="Arial"/>
      <family val="2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  <font>
      <b/>
      <sz val="11"/>
      <color theme="1"/>
      <name val="Garamond"/>
      <family val="1"/>
    </font>
    <font>
      <sz val="8"/>
      <name val="Garamond"/>
      <family val="1"/>
    </font>
    <font>
      <b/>
      <sz val="11"/>
      <name val="Garamond"/>
      <family val="1"/>
    </font>
    <font>
      <sz val="11"/>
      <color theme="1"/>
      <name val="Garamond"/>
      <family val="1"/>
    </font>
    <font>
      <b/>
      <sz val="11"/>
      <color theme="0"/>
      <name val="Garamond"/>
      <family val="1"/>
    </font>
    <font>
      <i/>
      <sz val="10"/>
      <color theme="0"/>
      <name val="Garamond"/>
      <family val="1"/>
    </font>
    <font>
      <u/>
      <sz val="10"/>
      <color theme="1"/>
      <name val="Garamond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8FF"/>
        <bgColor rgb="FFF5F8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8" fillId="0" borderId="0"/>
    <xf numFmtId="0" fontId="2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44" fillId="0" borderId="0" applyNumberFormat="0" applyFill="0" applyBorder="0" applyAlignment="0" applyProtection="0"/>
  </cellStyleXfs>
  <cellXfs count="42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7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/>
    <xf numFmtId="37" fontId="6" fillId="0" borderId="0" xfId="0" applyNumberFormat="1" applyFont="1"/>
    <xf numFmtId="0" fontId="7" fillId="0" borderId="1" xfId="0" applyFont="1" applyBorder="1"/>
    <xf numFmtId="0" fontId="13" fillId="0" borderId="0" xfId="0" applyFont="1"/>
    <xf numFmtId="0" fontId="3" fillId="0" borderId="0" xfId="0" applyFont="1" applyAlignment="1">
      <alignment horizontal="left"/>
    </xf>
    <xf numFmtId="37" fontId="14" fillId="0" borderId="1" xfId="0" applyNumberFormat="1" applyFont="1" applyBorder="1"/>
    <xf numFmtId="167" fontId="10" fillId="0" borderId="0" xfId="0" applyNumberFormat="1" applyFont="1"/>
    <xf numFmtId="166" fontId="10" fillId="0" borderId="0" xfId="0" applyNumberFormat="1" applyFont="1"/>
    <xf numFmtId="5" fontId="14" fillId="5" borderId="0" xfId="0" applyNumberFormat="1" applyFont="1" applyFill="1"/>
    <xf numFmtId="0" fontId="17" fillId="0" borderId="0" xfId="0" applyFont="1"/>
    <xf numFmtId="5" fontId="3" fillId="0" borderId="0" xfId="0" applyNumberFormat="1" applyFont="1"/>
    <xf numFmtId="5" fontId="7" fillId="0" borderId="1" xfId="0" applyNumberFormat="1" applyFont="1" applyBorder="1"/>
    <xf numFmtId="170" fontId="9" fillId="0" borderId="0" xfId="0" applyNumberFormat="1" applyFont="1"/>
    <xf numFmtId="0" fontId="15" fillId="0" borderId="0" xfId="0" applyFont="1"/>
    <xf numFmtId="169" fontId="3" fillId="3" borderId="0" xfId="0" applyNumberFormat="1" applyFont="1" applyFill="1" applyAlignment="1">
      <alignment horizontal="right"/>
    </xf>
    <xf numFmtId="5" fontId="14" fillId="0" borderId="1" xfId="0" applyNumberFormat="1" applyFont="1" applyBorder="1"/>
    <xf numFmtId="0" fontId="18" fillId="0" borderId="0" xfId="4"/>
    <xf numFmtId="169" fontId="3" fillId="0" borderId="0" xfId="0" applyNumberFormat="1" applyFont="1" applyAlignment="1">
      <alignment horizontal="left"/>
    </xf>
    <xf numFmtId="173" fontId="3" fillId="0" borderId="0" xfId="0" applyNumberFormat="1" applyFont="1"/>
    <xf numFmtId="174" fontId="3" fillId="3" borderId="0" xfId="0" applyNumberFormat="1" applyFont="1" applyFill="1"/>
    <xf numFmtId="175" fontId="3" fillId="0" borderId="0" xfId="0" applyNumberFormat="1" applyFont="1"/>
    <xf numFmtId="0" fontId="3" fillId="3" borderId="0" xfId="0" applyFont="1" applyFill="1" applyAlignment="1">
      <alignment horizontal="right"/>
    </xf>
    <xf numFmtId="171" fontId="6" fillId="2" borderId="0" xfId="0" applyNumberFormat="1" applyFont="1" applyFill="1"/>
    <xf numFmtId="171" fontId="5" fillId="9" borderId="0" xfId="0" applyNumberFormat="1" applyFont="1" applyFill="1"/>
    <xf numFmtId="171" fontId="6" fillId="9" borderId="0" xfId="0" applyNumberFormat="1" applyFont="1" applyFill="1"/>
    <xf numFmtId="0" fontId="22" fillId="5" borderId="0" xfId="5" applyFont="1" applyFill="1"/>
    <xf numFmtId="0" fontId="23" fillId="5" borderId="0" xfId="5" applyFont="1" applyFill="1"/>
    <xf numFmtId="0" fontId="1" fillId="5" borderId="0" xfId="5" applyFont="1" applyFill="1"/>
    <xf numFmtId="5" fontId="26" fillId="0" borderId="1" xfId="0" applyNumberFormat="1" applyFont="1" applyBorder="1"/>
    <xf numFmtId="176" fontId="6" fillId="0" borderId="0" xfId="1" applyNumberFormat="1" applyFont="1" applyBorder="1"/>
    <xf numFmtId="176" fontId="10" fillId="0" borderId="0" xfId="1" applyNumberFormat="1" applyFont="1" applyBorder="1"/>
    <xf numFmtId="37" fontId="26" fillId="0" borderId="0" xfId="0" applyNumberFormat="1" applyFont="1"/>
    <xf numFmtId="173" fontId="16" fillId="0" borderId="0" xfId="0" applyNumberFormat="1" applyFont="1"/>
    <xf numFmtId="173" fontId="26" fillId="0" borderId="0" xfId="0" applyNumberFormat="1" applyFont="1"/>
    <xf numFmtId="173" fontId="6" fillId="0" borderId="0" xfId="0" applyNumberFormat="1" applyFont="1"/>
    <xf numFmtId="173" fontId="5" fillId="0" borderId="0" xfId="0" applyNumberFormat="1" applyFont="1"/>
    <xf numFmtId="173" fontId="8" fillId="0" borderId="0" xfId="0" applyNumberFormat="1" applyFont="1"/>
    <xf numFmtId="5" fontId="14" fillId="0" borderId="0" xfId="0" applyNumberFormat="1" applyFont="1"/>
    <xf numFmtId="5" fontId="20" fillId="7" borderId="0" xfId="4" applyNumberFormat="1" applyFont="1" applyFill="1" applyAlignment="1">
      <alignment horizontal="left" vertical="center"/>
    </xf>
    <xf numFmtId="5" fontId="6" fillId="0" borderId="0" xfId="0" applyNumberFormat="1" applyFont="1"/>
    <xf numFmtId="9" fontId="3" fillId="0" borderId="0" xfId="0" applyNumberFormat="1" applyFont="1"/>
    <xf numFmtId="169" fontId="8" fillId="3" borderId="0" xfId="0" applyNumberFormat="1" applyFont="1" applyFill="1" applyAlignment="1">
      <alignment horizontal="right"/>
    </xf>
    <xf numFmtId="5" fontId="6" fillId="0" borderId="0" xfId="0" applyNumberFormat="1" applyFont="1" applyAlignment="1">
      <alignment horizontal="right"/>
    </xf>
    <xf numFmtId="9" fontId="6" fillId="0" borderId="0" xfId="0" applyNumberFormat="1" applyFont="1"/>
    <xf numFmtId="5" fontId="14" fillId="8" borderId="0" xfId="0" applyNumberFormat="1" applyFont="1" applyFill="1"/>
    <xf numFmtId="0" fontId="7" fillId="8" borderId="0" xfId="0" applyFont="1" applyFill="1"/>
    <xf numFmtId="5" fontId="27" fillId="0" borderId="0" xfId="0" applyNumberFormat="1" applyFont="1" applyAlignment="1">
      <alignment horizontal="left"/>
    </xf>
    <xf numFmtId="5" fontId="27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5" fontId="14" fillId="0" borderId="7" xfId="0" applyNumberFormat="1" applyFont="1" applyBorder="1"/>
    <xf numFmtId="0" fontId="18" fillId="0" borderId="7" xfId="4" applyBorder="1"/>
    <xf numFmtId="9" fontId="5" fillId="4" borderId="0" xfId="0" applyNumberFormat="1" applyFont="1" applyFill="1" applyAlignment="1">
      <alignment horizontal="right"/>
    </xf>
    <xf numFmtId="9" fontId="6" fillId="0" borderId="0" xfId="0" applyNumberFormat="1" applyFont="1" applyAlignment="1">
      <alignment horizontal="right"/>
    </xf>
    <xf numFmtId="169" fontId="26" fillId="3" borderId="0" xfId="0" applyNumberFormat="1" applyFont="1" applyFill="1" applyAlignment="1">
      <alignment horizontal="right"/>
    </xf>
    <xf numFmtId="169" fontId="17" fillId="0" borderId="0" xfId="0" applyNumberFormat="1" applyFont="1" applyAlignment="1">
      <alignment horizontal="left"/>
    </xf>
    <xf numFmtId="169" fontId="7" fillId="0" borderId="1" xfId="0" applyNumberFormat="1" applyFont="1" applyBorder="1" applyAlignment="1">
      <alignment horizontal="left"/>
    </xf>
    <xf numFmtId="0" fontId="13" fillId="0" borderId="1" xfId="0" applyFont="1" applyBorder="1"/>
    <xf numFmtId="169" fontId="7" fillId="0" borderId="0" xfId="0" applyNumberFormat="1" applyFont="1" applyAlignment="1">
      <alignment horizontal="left"/>
    </xf>
    <xf numFmtId="5" fontId="7" fillId="0" borderId="0" xfId="0" applyNumberFormat="1" applyFont="1"/>
    <xf numFmtId="5" fontId="16" fillId="0" borderId="0" xfId="0" applyNumberFormat="1" applyFont="1"/>
    <xf numFmtId="176" fontId="10" fillId="0" borderId="0" xfId="1" applyNumberFormat="1" applyFont="1" applyFill="1" applyBorder="1"/>
    <xf numFmtId="5" fontId="5" fillId="0" borderId="0" xfId="0" applyNumberFormat="1" applyFont="1"/>
    <xf numFmtId="0" fontId="3" fillId="0" borderId="5" xfId="0" applyFont="1" applyBorder="1"/>
    <xf numFmtId="0" fontId="9" fillId="0" borderId="8" xfId="0" applyFont="1" applyBorder="1"/>
    <xf numFmtId="171" fontId="6" fillId="2" borderId="5" xfId="0" applyNumberFormat="1" applyFont="1" applyFill="1" applyBorder="1"/>
    <xf numFmtId="171" fontId="6" fillId="2" borderId="8" xfId="0" applyNumberFormat="1" applyFont="1" applyFill="1" applyBorder="1"/>
    <xf numFmtId="169" fontId="3" fillId="3" borderId="5" xfId="0" applyNumberFormat="1" applyFont="1" applyFill="1" applyBorder="1" applyAlignment="1">
      <alignment horizontal="right"/>
    </xf>
    <xf numFmtId="173" fontId="16" fillId="0" borderId="5" xfId="0" applyNumberFormat="1" applyFont="1" applyBorder="1"/>
    <xf numFmtId="173" fontId="16" fillId="0" borderId="8" xfId="0" applyNumberFormat="1" applyFont="1" applyBorder="1"/>
    <xf numFmtId="176" fontId="10" fillId="0" borderId="5" xfId="1" applyNumberFormat="1" applyFont="1" applyBorder="1"/>
    <xf numFmtId="5" fontId="16" fillId="0" borderId="8" xfId="0" applyNumberFormat="1" applyFont="1" applyBorder="1"/>
    <xf numFmtId="5" fontId="14" fillId="0" borderId="4" xfId="0" applyNumberFormat="1" applyFont="1" applyBorder="1"/>
    <xf numFmtId="5" fontId="14" fillId="0" borderId="3" xfId="0" applyNumberFormat="1" applyFont="1" applyBorder="1"/>
    <xf numFmtId="173" fontId="6" fillId="0" borderId="5" xfId="0" applyNumberFormat="1" applyFont="1" applyBorder="1"/>
    <xf numFmtId="173" fontId="6" fillId="0" borderId="8" xfId="0" applyNumberFormat="1" applyFont="1" applyBorder="1"/>
    <xf numFmtId="0" fontId="2" fillId="0" borderId="5" xfId="0" applyFont="1" applyBorder="1"/>
    <xf numFmtId="0" fontId="3" fillId="0" borderId="8" xfId="0" applyFont="1" applyBorder="1"/>
    <xf numFmtId="176" fontId="10" fillId="0" borderId="8" xfId="1" applyNumberFormat="1" applyFont="1" applyFill="1" applyBorder="1"/>
    <xf numFmtId="5" fontId="6" fillId="0" borderId="5" xfId="0" applyNumberFormat="1" applyFont="1" applyBorder="1"/>
    <xf numFmtId="5" fontId="6" fillId="0" borderId="8" xfId="0" applyNumberFormat="1" applyFont="1" applyBorder="1"/>
    <xf numFmtId="173" fontId="26" fillId="0" borderId="5" xfId="0" applyNumberFormat="1" applyFont="1" applyBorder="1"/>
    <xf numFmtId="173" fontId="26" fillId="0" borderId="8" xfId="0" applyNumberFormat="1" applyFont="1" applyBorder="1"/>
    <xf numFmtId="169" fontId="6" fillId="3" borderId="0" xfId="0" applyNumberFormat="1" applyFont="1" applyFill="1" applyAlignment="1">
      <alignment horizontal="right"/>
    </xf>
    <xf numFmtId="9" fontId="16" fillId="0" borderId="0" xfId="0" applyNumberFormat="1" applyFont="1"/>
    <xf numFmtId="177" fontId="6" fillId="0" borderId="0" xfId="0" applyNumberFormat="1" applyFont="1"/>
    <xf numFmtId="177" fontId="6" fillId="0" borderId="5" xfId="0" applyNumberFormat="1" applyFont="1" applyBorder="1"/>
    <xf numFmtId="177" fontId="6" fillId="0" borderId="8" xfId="0" applyNumberFormat="1" applyFont="1" applyBorder="1"/>
    <xf numFmtId="173" fontId="14" fillId="0" borderId="1" xfId="0" applyNumberFormat="1" applyFont="1" applyBorder="1"/>
    <xf numFmtId="173" fontId="14" fillId="0" borderId="3" xfId="0" applyNumberFormat="1" applyFont="1" applyBorder="1"/>
    <xf numFmtId="0" fontId="2" fillId="0" borderId="1" xfId="0" applyFont="1" applyBorder="1"/>
    <xf numFmtId="5" fontId="3" fillId="0" borderId="8" xfId="0" applyNumberFormat="1" applyFont="1" applyBorder="1"/>
    <xf numFmtId="0" fontId="3" fillId="0" borderId="1" xfId="0" applyFont="1" applyBorder="1"/>
    <xf numFmtId="166" fontId="10" fillId="0" borderId="5" xfId="0" applyNumberFormat="1" applyFont="1" applyBorder="1"/>
    <xf numFmtId="37" fontId="6" fillId="0" borderId="5" xfId="0" applyNumberFormat="1" applyFont="1" applyBorder="1"/>
    <xf numFmtId="166" fontId="10" fillId="0" borderId="8" xfId="0" applyNumberFormat="1" applyFont="1" applyBorder="1"/>
    <xf numFmtId="5" fontId="5" fillId="0" borderId="5" xfId="0" applyNumberFormat="1" applyFont="1" applyBorder="1"/>
    <xf numFmtId="5" fontId="14" fillId="0" borderId="5" xfId="0" applyNumberFormat="1" applyFont="1" applyBorder="1"/>
    <xf numFmtId="5" fontId="14" fillId="0" borderId="8" xfId="0" applyNumberFormat="1" applyFont="1" applyBorder="1"/>
    <xf numFmtId="178" fontId="10" fillId="0" borderId="5" xfId="1" applyNumberFormat="1" applyFont="1" applyFill="1" applyBorder="1"/>
    <xf numFmtId="5" fontId="3" fillId="0" borderId="9" xfId="0" applyNumberFormat="1" applyFont="1" applyBorder="1"/>
    <xf numFmtId="5" fontId="3" fillId="0" borderId="2" xfId="0" applyNumberFormat="1" applyFont="1" applyBorder="1"/>
    <xf numFmtId="9" fontId="11" fillId="0" borderId="0" xfId="0" applyNumberFormat="1" applyFont="1"/>
    <xf numFmtId="5" fontId="5" fillId="4" borderId="8" xfId="0" applyNumberFormat="1" applyFont="1" applyFill="1" applyBorder="1"/>
    <xf numFmtId="169" fontId="6" fillId="3" borderId="5" xfId="0" applyNumberFormat="1" applyFont="1" applyFill="1" applyBorder="1" applyAlignment="1">
      <alignment horizontal="right"/>
    </xf>
    <xf numFmtId="169" fontId="6" fillId="3" borderId="8" xfId="0" applyNumberFormat="1" applyFont="1" applyFill="1" applyBorder="1" applyAlignment="1">
      <alignment horizontal="right"/>
    </xf>
    <xf numFmtId="165" fontId="2" fillId="0" borderId="5" xfId="1" applyNumberFormat="1" applyFont="1" applyBorder="1"/>
    <xf numFmtId="5" fontId="6" fillId="0" borderId="11" xfId="0" applyNumberFormat="1" applyFont="1" applyBorder="1"/>
    <xf numFmtId="5" fontId="14" fillId="0" borderId="12" xfId="0" applyNumberFormat="1" applyFont="1" applyBorder="1"/>
    <xf numFmtId="169" fontId="6" fillId="3" borderId="10" xfId="0" quotePrefix="1" applyNumberFormat="1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3" fontId="28" fillId="0" borderId="0" xfId="2" applyNumberFormat="1" applyFont="1" applyAlignment="1">
      <alignment horizontal="center" vertical="center"/>
    </xf>
    <xf numFmtId="5" fontId="5" fillId="0" borderId="0" xfId="0" applyNumberFormat="1" applyFont="1" applyAlignment="1">
      <alignment vertical="center"/>
    </xf>
    <xf numFmtId="164" fontId="5" fillId="4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7" fillId="0" borderId="1" xfId="0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0" fontId="3" fillId="0" borderId="0" xfId="2" applyFont="1" applyAlignment="1">
      <alignment horizontal="left" vertical="center" indent="1"/>
    </xf>
    <xf numFmtId="0" fontId="7" fillId="0" borderId="0" xfId="0" applyFont="1" applyAlignment="1">
      <alignment vertical="center"/>
    </xf>
    <xf numFmtId="5" fontId="7" fillId="0" borderId="1" xfId="0" applyNumberFormat="1" applyFont="1" applyBorder="1" applyAlignment="1">
      <alignment vertical="center"/>
    </xf>
    <xf numFmtId="5" fontId="3" fillId="0" borderId="0" xfId="0" applyNumberFormat="1" applyFont="1" applyAlignment="1">
      <alignment vertical="center"/>
    </xf>
    <xf numFmtId="5" fontId="5" fillId="4" borderId="0" xfId="0" applyNumberFormat="1" applyFont="1" applyFill="1" applyAlignment="1">
      <alignment vertical="center"/>
    </xf>
    <xf numFmtId="5" fontId="16" fillId="0" borderId="0" xfId="0" applyNumberFormat="1" applyFont="1" applyAlignment="1">
      <alignment vertical="center"/>
    </xf>
    <xf numFmtId="37" fontId="7" fillId="0" borderId="1" xfId="0" applyNumberFormat="1" applyFont="1" applyBorder="1"/>
    <xf numFmtId="37" fontId="3" fillId="0" borderId="8" xfId="0" applyNumberFormat="1" applyFont="1" applyBorder="1"/>
    <xf numFmtId="37" fontId="14" fillId="0" borderId="4" xfId="0" applyNumberFormat="1" applyFont="1" applyBorder="1"/>
    <xf numFmtId="37" fontId="14" fillId="0" borderId="3" xfId="0" applyNumberFormat="1" applyFont="1" applyBorder="1"/>
    <xf numFmtId="37" fontId="26" fillId="0" borderId="4" xfId="0" applyNumberFormat="1" applyFont="1" applyBorder="1"/>
    <xf numFmtId="37" fontId="7" fillId="0" borderId="3" xfId="0" applyNumberFormat="1" applyFont="1" applyBorder="1"/>
    <xf numFmtId="7" fontId="6" fillId="0" borderId="0" xfId="0" applyNumberFormat="1" applyFont="1"/>
    <xf numFmtId="14" fontId="3" fillId="0" borderId="0" xfId="0" applyNumberFormat="1" applyFont="1"/>
    <xf numFmtId="0" fontId="17" fillId="0" borderId="1" xfId="0" applyFont="1" applyBorder="1"/>
    <xf numFmtId="165" fontId="3" fillId="0" borderId="0" xfId="0" applyNumberFormat="1" applyFont="1"/>
    <xf numFmtId="165" fontId="7" fillId="0" borderId="1" xfId="0" applyNumberFormat="1" applyFont="1" applyBorder="1"/>
    <xf numFmtId="0" fontId="7" fillId="0" borderId="14" xfId="0" applyFont="1" applyBorder="1"/>
    <xf numFmtId="165" fontId="7" fillId="0" borderId="15" xfId="0" applyNumberFormat="1" applyFont="1" applyBorder="1"/>
    <xf numFmtId="0" fontId="7" fillId="0" borderId="16" xfId="0" applyFont="1" applyBorder="1"/>
    <xf numFmtId="164" fontId="14" fillId="0" borderId="17" xfId="0" applyNumberFormat="1" applyFont="1" applyBorder="1" applyAlignment="1">
      <alignment vertical="center"/>
    </xf>
    <xf numFmtId="173" fontId="14" fillId="0" borderId="0" xfId="0" applyNumberFormat="1" applyFont="1"/>
    <xf numFmtId="0" fontId="29" fillId="0" borderId="1" xfId="4" applyFont="1" applyBorder="1"/>
    <xf numFmtId="168" fontId="5" fillId="4" borderId="0" xfId="3" applyNumberFormat="1" applyFont="1" applyFill="1" applyAlignment="1">
      <alignment horizontal="right"/>
    </xf>
    <xf numFmtId="168" fontId="6" fillId="0" borderId="0" xfId="3" applyNumberFormat="1" applyFont="1" applyFill="1" applyAlignment="1">
      <alignment horizontal="right"/>
    </xf>
    <xf numFmtId="169" fontId="3" fillId="0" borderId="0" xfId="0" applyNumberFormat="1" applyFont="1" applyAlignment="1">
      <alignment horizontal="right"/>
    </xf>
    <xf numFmtId="180" fontId="6" fillId="0" borderId="0" xfId="0" applyNumberFormat="1" applyFont="1"/>
    <xf numFmtId="5" fontId="14" fillId="0" borderId="1" xfId="0" applyNumberFormat="1" applyFont="1" applyBorder="1" applyAlignment="1">
      <alignment horizontal="right"/>
    </xf>
    <xf numFmtId="180" fontId="14" fillId="0" borderId="1" xfId="0" applyNumberFormat="1" applyFont="1" applyBorder="1"/>
    <xf numFmtId="5" fontId="8" fillId="0" borderId="0" xfId="0" applyNumberFormat="1" applyFont="1" applyAlignment="1">
      <alignment horizontal="right"/>
    </xf>
    <xf numFmtId="0" fontId="29" fillId="0" borderId="0" xfId="4" applyFont="1"/>
    <xf numFmtId="1" fontId="6" fillId="3" borderId="0" xfId="0" applyNumberFormat="1" applyFont="1" applyFill="1" applyAlignment="1">
      <alignment horizontal="right"/>
    </xf>
    <xf numFmtId="181" fontId="7" fillId="0" borderId="0" xfId="0" applyNumberFormat="1" applyFont="1"/>
    <xf numFmtId="181" fontId="7" fillId="0" borderId="1" xfId="0" applyNumberFormat="1" applyFont="1" applyBorder="1"/>
    <xf numFmtId="173" fontId="3" fillId="10" borderId="0" xfId="0" applyNumberFormat="1" applyFont="1" applyFill="1"/>
    <xf numFmtId="5" fontId="6" fillId="0" borderId="9" xfId="0" applyNumberFormat="1" applyFont="1" applyBorder="1"/>
    <xf numFmtId="5" fontId="6" fillId="0" borderId="2" xfId="0" applyNumberFormat="1" applyFont="1" applyBorder="1"/>
    <xf numFmtId="5" fontId="5" fillId="0" borderId="2" xfId="0" applyNumberFormat="1" applyFont="1" applyBorder="1"/>
    <xf numFmtId="173" fontId="7" fillId="0" borderId="1" xfId="0" applyNumberFormat="1" applyFont="1" applyBorder="1"/>
    <xf numFmtId="173" fontId="3" fillId="10" borderId="1" xfId="0" applyNumberFormat="1" applyFont="1" applyFill="1" applyBorder="1"/>
    <xf numFmtId="176" fontId="14" fillId="0" borderId="1" xfId="1" applyNumberFormat="1" applyFont="1" applyBorder="1"/>
    <xf numFmtId="182" fontId="7" fillId="0" borderId="0" xfId="0" applyNumberFormat="1" applyFont="1"/>
    <xf numFmtId="177" fontId="3" fillId="0" borderId="0" xfId="0" applyNumberFormat="1" applyFont="1"/>
    <xf numFmtId="169" fontId="16" fillId="0" borderId="0" xfId="0" applyNumberFormat="1" applyFont="1" applyAlignment="1">
      <alignment horizontal="left"/>
    </xf>
    <xf numFmtId="0" fontId="26" fillId="0" borderId="1" xfId="0" applyFont="1" applyBorder="1"/>
    <xf numFmtId="0" fontId="31" fillId="0" borderId="0" xfId="0" applyFont="1"/>
    <xf numFmtId="0" fontId="26" fillId="0" borderId="0" xfId="0" applyFont="1"/>
    <xf numFmtId="5" fontId="26" fillId="5" borderId="0" xfId="0" applyNumberFormat="1" applyFont="1" applyFill="1"/>
    <xf numFmtId="37" fontId="16" fillId="0" borderId="0" xfId="0" applyNumberFormat="1" applyFont="1"/>
    <xf numFmtId="37" fontId="26" fillId="0" borderId="1" xfId="0" applyNumberFormat="1" applyFont="1" applyBorder="1"/>
    <xf numFmtId="182" fontId="3" fillId="0" borderId="0" xfId="0" applyNumberFormat="1" applyFont="1"/>
    <xf numFmtId="176" fontId="14" fillId="0" borderId="0" xfId="1" applyNumberFormat="1" applyFont="1" applyFill="1" applyBorder="1"/>
    <xf numFmtId="169" fontId="7" fillId="8" borderId="0" xfId="0" applyNumberFormat="1" applyFont="1" applyFill="1" applyAlignment="1">
      <alignment horizontal="right"/>
    </xf>
    <xf numFmtId="0" fontId="19" fillId="0" borderId="0" xfId="0" applyFont="1"/>
    <xf numFmtId="5" fontId="12" fillId="0" borderId="1" xfId="0" applyNumberFormat="1" applyFont="1" applyBorder="1"/>
    <xf numFmtId="5" fontId="12" fillId="0" borderId="4" xfId="0" applyNumberFormat="1" applyFont="1" applyBorder="1"/>
    <xf numFmtId="182" fontId="7" fillId="0" borderId="1" xfId="0" applyNumberFormat="1" applyFont="1" applyBorder="1"/>
    <xf numFmtId="179" fontId="10" fillId="0" borderId="0" xfId="1" applyNumberFormat="1" applyFont="1" applyFill="1" applyBorder="1"/>
    <xf numFmtId="9" fontId="8" fillId="4" borderId="0" xfId="0" applyNumberFormat="1" applyFont="1" applyFill="1" applyAlignment="1">
      <alignment horizontal="right"/>
    </xf>
    <xf numFmtId="9" fontId="5" fillId="0" borderId="0" xfId="1" applyFont="1"/>
    <xf numFmtId="5" fontId="16" fillId="0" borderId="0" xfId="1" applyNumberFormat="1" applyFont="1"/>
    <xf numFmtId="0" fontId="17" fillId="0" borderId="0" xfId="0" applyFont="1" applyAlignment="1">
      <alignment horizontal="left"/>
    </xf>
    <xf numFmtId="9" fontId="5" fillId="4" borderId="0" xfId="1" applyFont="1" applyFill="1" applyBorder="1"/>
    <xf numFmtId="173" fontId="9" fillId="0" borderId="0" xfId="0" applyNumberFormat="1" applyFont="1"/>
    <xf numFmtId="173" fontId="11" fillId="4" borderId="0" xfId="0" applyNumberFormat="1" applyFont="1" applyFill="1"/>
    <xf numFmtId="176" fontId="16" fillId="0" borderId="0" xfId="1" applyNumberFormat="1" applyFont="1" applyBorder="1"/>
    <xf numFmtId="181" fontId="3" fillId="0" borderId="0" xfId="0" applyNumberFormat="1" applyFont="1"/>
    <xf numFmtId="169" fontId="14" fillId="0" borderId="0" xfId="0" applyNumberFormat="1" applyFont="1" applyAlignment="1">
      <alignment horizontal="left"/>
    </xf>
    <xf numFmtId="1" fontId="6" fillId="3" borderId="8" xfId="0" applyNumberFormat="1" applyFont="1" applyFill="1" applyBorder="1" applyAlignment="1">
      <alignment horizontal="right"/>
    </xf>
    <xf numFmtId="0" fontId="13" fillId="0" borderId="8" xfId="0" applyFont="1" applyBorder="1"/>
    <xf numFmtId="176" fontId="6" fillId="0" borderId="5" xfId="1" applyNumberFormat="1" applyFont="1" applyBorder="1"/>
    <xf numFmtId="5" fontId="26" fillId="0" borderId="3" xfId="0" applyNumberFormat="1" applyFont="1" applyBorder="1"/>
    <xf numFmtId="37" fontId="16" fillId="0" borderId="5" xfId="0" applyNumberFormat="1" applyFont="1" applyBorder="1"/>
    <xf numFmtId="37" fontId="16" fillId="0" borderId="8" xfId="0" applyNumberFormat="1" applyFont="1" applyBorder="1"/>
    <xf numFmtId="179" fontId="10" fillId="0" borderId="8" xfId="1" applyNumberFormat="1" applyFont="1" applyFill="1" applyBorder="1"/>
    <xf numFmtId="5" fontId="32" fillId="0" borderId="4" xfId="0" applyNumberFormat="1" applyFont="1" applyBorder="1"/>
    <xf numFmtId="5" fontId="14" fillId="0" borderId="1" xfId="1" applyNumberFormat="1" applyFont="1" applyBorder="1"/>
    <xf numFmtId="9" fontId="5" fillId="4" borderId="8" xfId="1" applyFont="1" applyFill="1" applyBorder="1"/>
    <xf numFmtId="5" fontId="14" fillId="8" borderId="5" xfId="0" applyNumberFormat="1" applyFont="1" applyFill="1" applyBorder="1"/>
    <xf numFmtId="5" fontId="14" fillId="8" borderId="8" xfId="0" applyNumberFormat="1" applyFont="1" applyFill="1" applyBorder="1"/>
    <xf numFmtId="173" fontId="14" fillId="0" borderId="8" xfId="0" applyNumberFormat="1" applyFont="1" applyBorder="1"/>
    <xf numFmtId="173" fontId="14" fillId="0" borderId="5" xfId="0" applyNumberFormat="1" applyFont="1" applyBorder="1"/>
    <xf numFmtId="173" fontId="8" fillId="0" borderId="5" xfId="0" applyNumberFormat="1" applyFont="1" applyBorder="1"/>
    <xf numFmtId="173" fontId="5" fillId="0" borderId="5" xfId="0" applyNumberFormat="1" applyFont="1" applyBorder="1"/>
    <xf numFmtId="173" fontId="26" fillId="0" borderId="4" xfId="0" applyNumberFormat="1" applyFont="1" applyBorder="1"/>
    <xf numFmtId="5" fontId="27" fillId="0" borderId="5" xfId="0" applyNumberFormat="1" applyFont="1" applyBorder="1" applyAlignment="1">
      <alignment horizontal="right"/>
    </xf>
    <xf numFmtId="180" fontId="6" fillId="0" borderId="8" xfId="0" applyNumberFormat="1" applyFont="1" applyBorder="1"/>
    <xf numFmtId="5" fontId="30" fillId="0" borderId="4" xfId="0" applyNumberFormat="1" applyFont="1" applyBorder="1" applyAlignment="1">
      <alignment horizontal="right"/>
    </xf>
    <xf numFmtId="180" fontId="14" fillId="0" borderId="3" xfId="0" applyNumberFormat="1" applyFont="1" applyBorder="1"/>
    <xf numFmtId="0" fontId="18" fillId="0" borderId="8" xfId="4" applyBorder="1"/>
    <xf numFmtId="9" fontId="5" fillId="4" borderId="9" xfId="1" applyFont="1" applyFill="1" applyBorder="1"/>
    <xf numFmtId="9" fontId="5" fillId="4" borderId="2" xfId="1" applyFont="1" applyFill="1" applyBorder="1"/>
    <xf numFmtId="179" fontId="8" fillId="0" borderId="0" xfId="1" applyNumberFormat="1" applyFont="1" applyFill="1" applyBorder="1"/>
    <xf numFmtId="179" fontId="5" fillId="0" borderId="5" xfId="1" applyNumberFormat="1" applyFont="1" applyFill="1" applyBorder="1"/>
    <xf numFmtId="171" fontId="6" fillId="0" borderId="0" xfId="0" applyNumberFormat="1" applyFont="1"/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5" fontId="12" fillId="0" borderId="5" xfId="0" applyNumberFormat="1" applyFont="1" applyBorder="1"/>
    <xf numFmtId="176" fontId="14" fillId="0" borderId="0" xfId="1" applyNumberFormat="1" applyFont="1" applyBorder="1"/>
    <xf numFmtId="169" fontId="7" fillId="0" borderId="0" xfId="0" applyNumberFormat="1" applyFont="1" applyAlignment="1">
      <alignment horizontal="right"/>
    </xf>
    <xf numFmtId="181" fontId="7" fillId="10" borderId="1" xfId="0" applyNumberFormat="1" applyFont="1" applyFill="1" applyBorder="1"/>
    <xf numFmtId="181" fontId="7" fillId="10" borderId="0" xfId="0" applyNumberFormat="1" applyFont="1" applyFill="1"/>
    <xf numFmtId="173" fontId="7" fillId="0" borderId="0" xfId="0" applyNumberFormat="1" applyFont="1"/>
    <xf numFmtId="169" fontId="26" fillId="0" borderId="0" xfId="0" applyNumberFormat="1" applyFont="1" applyAlignment="1">
      <alignment horizontal="left"/>
    </xf>
    <xf numFmtId="173" fontId="16" fillId="10" borderId="0" xfId="0" applyNumberFormat="1" applyFont="1" applyFill="1"/>
    <xf numFmtId="0" fontId="34" fillId="0" borderId="0" xfId="5" applyFont="1"/>
    <xf numFmtId="37" fontId="34" fillId="0" borderId="0" xfId="5" applyNumberFormat="1" applyFont="1" applyAlignment="1">
      <alignment horizontal="left"/>
    </xf>
    <xf numFmtId="0" fontId="35" fillId="0" borderId="0" xfId="5" applyFont="1"/>
    <xf numFmtId="0" fontId="34" fillId="0" borderId="0" xfId="9" applyFont="1"/>
    <xf numFmtId="0" fontId="36" fillId="0" borderId="0" xfId="9" applyFont="1"/>
    <xf numFmtId="0" fontId="35" fillId="0" borderId="1" xfId="5" applyFont="1" applyBorder="1"/>
    <xf numFmtId="0" fontId="36" fillId="0" borderId="0" xfId="5" applyFont="1"/>
    <xf numFmtId="0" fontId="7" fillId="6" borderId="6" xfId="5" applyFont="1" applyFill="1" applyBorder="1" applyAlignment="1">
      <alignment horizontal="right"/>
    </xf>
    <xf numFmtId="0" fontId="3" fillId="5" borderId="0" xfId="5" applyFont="1" applyFill="1" applyAlignment="1">
      <alignment horizontal="right" vertical="top" wrapText="1"/>
    </xf>
    <xf numFmtId="0" fontId="6" fillId="5" borderId="0" xfId="5" applyFont="1" applyFill="1" applyAlignment="1">
      <alignment horizontal="right"/>
    </xf>
    <xf numFmtId="1" fontId="6" fillId="11" borderId="0" xfId="0" applyNumberFormat="1" applyFont="1" applyFill="1" applyAlignment="1">
      <alignment horizontal="right"/>
    </xf>
    <xf numFmtId="169" fontId="3" fillId="11" borderId="0" xfId="0" applyNumberFormat="1" applyFont="1" applyFill="1" applyAlignment="1">
      <alignment horizontal="right"/>
    </xf>
    <xf numFmtId="1" fontId="6" fillId="11" borderId="8" xfId="0" applyNumberFormat="1" applyFont="1" applyFill="1" applyBorder="1" applyAlignment="1">
      <alignment horizontal="right"/>
    </xf>
    <xf numFmtId="169" fontId="3" fillId="11" borderId="8" xfId="0" applyNumberFormat="1" applyFont="1" applyFill="1" applyBorder="1" applyAlignment="1">
      <alignment horizontal="right"/>
    </xf>
    <xf numFmtId="0" fontId="7" fillId="6" borderId="0" xfId="5" applyFont="1" applyFill="1" applyAlignment="1">
      <alignment horizontal="right"/>
    </xf>
    <xf numFmtId="172" fontId="3" fillId="5" borderId="0" xfId="5" applyNumberFormat="1" applyFont="1" applyFill="1" applyAlignment="1">
      <alignment horizontal="right" vertical="top" wrapText="1"/>
    </xf>
    <xf numFmtId="166" fontId="9" fillId="0" borderId="0" xfId="0" applyNumberFormat="1" applyFont="1"/>
    <xf numFmtId="0" fontId="7" fillId="0" borderId="5" xfId="0" applyFont="1" applyBorder="1"/>
    <xf numFmtId="167" fontId="10" fillId="0" borderId="5" xfId="0" applyNumberFormat="1" applyFont="1" applyBorder="1"/>
    <xf numFmtId="173" fontId="9" fillId="0" borderId="5" xfId="0" applyNumberFormat="1" applyFont="1" applyBorder="1"/>
    <xf numFmtId="173" fontId="33" fillId="4" borderId="0" xfId="0" applyNumberFormat="1" applyFont="1" applyFill="1"/>
    <xf numFmtId="173" fontId="9" fillId="0" borderId="8" xfId="0" applyNumberFormat="1" applyFont="1" applyBorder="1"/>
    <xf numFmtId="176" fontId="14" fillId="0" borderId="1" xfId="1" applyNumberFormat="1" applyFont="1" applyFill="1" applyBorder="1"/>
    <xf numFmtId="9" fontId="5" fillId="0" borderId="0" xfId="1" applyFont="1" applyFill="1" applyBorder="1"/>
    <xf numFmtId="176" fontId="14" fillId="0" borderId="3" xfId="1" applyNumberFormat="1" applyFont="1" applyFill="1" applyBorder="1"/>
    <xf numFmtId="5" fontId="5" fillId="4" borderId="2" xfId="0" applyNumberFormat="1" applyFont="1" applyFill="1" applyBorder="1"/>
    <xf numFmtId="5" fontId="7" fillId="0" borderId="0" xfId="0" applyNumberFormat="1" applyFont="1" applyAlignment="1">
      <alignment vertical="center"/>
    </xf>
    <xf numFmtId="0" fontId="37" fillId="5" borderId="0" xfId="0" applyFont="1" applyFill="1"/>
    <xf numFmtId="171" fontId="37" fillId="2" borderId="0" xfId="0" applyNumberFormat="1" applyFont="1" applyFill="1" applyAlignment="1">
      <alignment horizontal="right"/>
    </xf>
    <xf numFmtId="9" fontId="38" fillId="5" borderId="0" xfId="1" applyFont="1" applyFill="1"/>
    <xf numFmtId="0" fontId="38" fillId="0" borderId="0" xfId="0" applyFont="1"/>
    <xf numFmtId="5" fontId="16" fillId="0" borderId="8" xfId="1" applyNumberFormat="1" applyFont="1" applyFill="1" applyBorder="1"/>
    <xf numFmtId="9" fontId="5" fillId="0" borderId="5" xfId="1" applyFont="1" applyFill="1" applyBorder="1"/>
    <xf numFmtId="5" fontId="14" fillId="0" borderId="1" xfId="1" applyNumberFormat="1" applyFont="1" applyFill="1" applyBorder="1"/>
    <xf numFmtId="5" fontId="16" fillId="0" borderId="0" xfId="1" applyNumberFormat="1" applyFont="1" applyFill="1" applyBorder="1"/>
    <xf numFmtId="5" fontId="14" fillId="0" borderId="3" xfId="1" applyNumberFormat="1" applyFont="1" applyFill="1" applyBorder="1"/>
    <xf numFmtId="0" fontId="9" fillId="0" borderId="0" xfId="0" applyFont="1" applyAlignment="1">
      <alignment vertical="center"/>
    </xf>
    <xf numFmtId="37" fontId="5" fillId="4" borderId="0" xfId="0" applyNumberFormat="1" applyFont="1" applyFill="1" applyAlignment="1">
      <alignment vertical="center"/>
    </xf>
    <xf numFmtId="165" fontId="16" fillId="4" borderId="0" xfId="0" applyNumberFormat="1" applyFont="1" applyFill="1"/>
    <xf numFmtId="176" fontId="5" fillId="0" borderId="8" xfId="1" applyNumberFormat="1" applyFont="1" applyFill="1" applyBorder="1"/>
    <xf numFmtId="176" fontId="5" fillId="0" borderId="0" xfId="1" applyNumberFormat="1" applyFont="1" applyFill="1" applyBorder="1"/>
    <xf numFmtId="5" fontId="7" fillId="0" borderId="3" xfId="0" applyNumberFormat="1" applyFont="1" applyBorder="1"/>
    <xf numFmtId="5" fontId="7" fillId="0" borderId="8" xfId="0" applyNumberFormat="1" applyFont="1" applyBorder="1"/>
    <xf numFmtId="9" fontId="38" fillId="0" borderId="0" xfId="1" applyFont="1" applyFill="1"/>
    <xf numFmtId="180" fontId="18" fillId="0" borderId="8" xfId="4" applyNumberFormat="1" applyBorder="1"/>
    <xf numFmtId="0" fontId="6" fillId="0" borderId="0" xfId="0" applyFont="1"/>
    <xf numFmtId="169" fontId="12" fillId="3" borderId="5" xfId="0" applyNumberFormat="1" applyFont="1" applyFill="1" applyBorder="1" applyAlignment="1">
      <alignment horizontal="right"/>
    </xf>
    <xf numFmtId="173" fontId="16" fillId="0" borderId="0" xfId="1" applyNumberFormat="1" applyFont="1" applyFill="1"/>
    <xf numFmtId="173" fontId="16" fillId="0" borderId="5" xfId="1" applyNumberFormat="1" applyFont="1" applyFill="1" applyBorder="1"/>
    <xf numFmtId="173" fontId="16" fillId="0" borderId="8" xfId="1" applyNumberFormat="1" applyFont="1" applyFill="1" applyBorder="1"/>
    <xf numFmtId="5" fontId="26" fillId="0" borderId="5" xfId="0" applyNumberFormat="1" applyFont="1" applyBorder="1"/>
    <xf numFmtId="173" fontId="16" fillId="0" borderId="0" xfId="1" applyNumberFormat="1" applyFont="1" applyFill="1" applyBorder="1"/>
    <xf numFmtId="9" fontId="6" fillId="0" borderId="5" xfId="0" applyNumberFormat="1" applyFont="1" applyBorder="1" applyAlignment="1">
      <alignment horizontal="right"/>
    </xf>
    <xf numFmtId="0" fontId="39" fillId="2" borderId="0" xfId="0" applyFont="1" applyFill="1"/>
    <xf numFmtId="0" fontId="0" fillId="2" borderId="0" xfId="0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5" fillId="2" borderId="0" xfId="10" applyFont="1" applyFill="1"/>
    <xf numFmtId="0" fontId="46" fillId="2" borderId="0" xfId="10" applyFont="1" applyFill="1"/>
    <xf numFmtId="0" fontId="47" fillId="2" borderId="0" xfId="0" applyFont="1" applyFill="1"/>
    <xf numFmtId="173" fontId="32" fillId="0" borderId="0" xfId="0" applyNumberFormat="1" applyFont="1"/>
    <xf numFmtId="184" fontId="10" fillId="0" borderId="0" xfId="0" applyNumberFormat="1" applyFont="1"/>
    <xf numFmtId="169" fontId="32" fillId="3" borderId="0" xfId="0" applyNumberFormat="1" applyFont="1" applyFill="1" applyAlignment="1">
      <alignment horizontal="right"/>
    </xf>
    <xf numFmtId="37" fontId="32" fillId="0" borderId="0" xfId="0" applyNumberFormat="1" applyFont="1"/>
    <xf numFmtId="0" fontId="49" fillId="5" borderId="0" xfId="5" applyFont="1" applyFill="1"/>
    <xf numFmtId="169" fontId="50" fillId="5" borderId="0" xfId="5" applyNumberFormat="1" applyFont="1" applyFill="1"/>
    <xf numFmtId="6" fontId="6" fillId="0" borderId="0" xfId="0" applyNumberFormat="1" applyFont="1" applyAlignment="1">
      <alignment horizontal="right" wrapText="1"/>
    </xf>
    <xf numFmtId="169" fontId="50" fillId="0" borderId="0" xfId="5" applyNumberFormat="1" applyFont="1"/>
    <xf numFmtId="0" fontId="6" fillId="0" borderId="0" xfId="5" applyFont="1" applyAlignment="1">
      <alignment horizontal="right"/>
    </xf>
    <xf numFmtId="176" fontId="14" fillId="9" borderId="1" xfId="1" applyNumberFormat="1" applyFont="1" applyFill="1" applyBorder="1"/>
    <xf numFmtId="165" fontId="10" fillId="0" borderId="0" xfId="0" applyNumberFormat="1" applyFont="1"/>
    <xf numFmtId="165" fontId="11" fillId="4" borderId="0" xfId="0" applyNumberFormat="1" applyFont="1" applyFill="1"/>
    <xf numFmtId="185" fontId="10" fillId="0" borderId="0" xfId="1" applyNumberFormat="1" applyFont="1" applyBorder="1"/>
    <xf numFmtId="185" fontId="10" fillId="0" borderId="8" xfId="1" applyNumberFormat="1" applyFont="1" applyFill="1" applyBorder="1"/>
    <xf numFmtId="185" fontId="10" fillId="0" borderId="0" xfId="1" applyNumberFormat="1" applyFont="1" applyFill="1" applyBorder="1"/>
    <xf numFmtId="185" fontId="10" fillId="0" borderId="5" xfId="1" applyNumberFormat="1" applyFont="1" applyBorder="1"/>
    <xf numFmtId="185" fontId="11" fillId="4" borderId="0" xfId="1" applyNumberFormat="1" applyFont="1" applyFill="1" applyBorder="1"/>
    <xf numFmtId="185" fontId="33" fillId="4" borderId="0" xfId="1" applyNumberFormat="1" applyFont="1" applyFill="1" applyBorder="1"/>
    <xf numFmtId="165" fontId="11" fillId="0" borderId="0" xfId="0" applyNumberFormat="1" applyFont="1"/>
    <xf numFmtId="165" fontId="11" fillId="4" borderId="8" xfId="0" applyNumberFormat="1" applyFont="1" applyFill="1" applyBorder="1"/>
    <xf numFmtId="186" fontId="6" fillId="0" borderId="5" xfId="0" applyNumberFormat="1" applyFont="1" applyBorder="1"/>
    <xf numFmtId="186" fontId="6" fillId="0" borderId="8" xfId="0" applyNumberFormat="1" applyFont="1" applyBorder="1"/>
    <xf numFmtId="186" fontId="6" fillId="0" borderId="0" xfId="0" applyNumberFormat="1" applyFont="1"/>
    <xf numFmtId="186" fontId="5" fillId="4" borderId="8" xfId="0" applyNumberFormat="1" applyFont="1" applyFill="1" applyBorder="1"/>
    <xf numFmtId="185" fontId="6" fillId="0" borderId="5" xfId="1" applyNumberFormat="1" applyFont="1" applyFill="1" applyBorder="1"/>
    <xf numFmtId="185" fontId="5" fillId="4" borderId="8" xfId="1" applyNumberFormat="1" applyFont="1" applyFill="1" applyBorder="1"/>
    <xf numFmtId="185" fontId="5" fillId="4" borderId="0" xfId="1" applyNumberFormat="1" applyFont="1" applyFill="1" applyBorder="1"/>
    <xf numFmtId="185" fontId="6" fillId="0" borderId="8" xfId="1" applyNumberFormat="1" applyFont="1" applyFill="1" applyBorder="1"/>
    <xf numFmtId="185" fontId="6" fillId="0" borderId="0" xfId="1" applyNumberFormat="1" applyFont="1" applyFill="1" applyBorder="1"/>
    <xf numFmtId="179" fontId="5" fillId="4" borderId="8" xfId="1" applyNumberFormat="1" applyFont="1" applyFill="1" applyBorder="1"/>
    <xf numFmtId="179" fontId="5" fillId="4" borderId="0" xfId="1" applyNumberFormat="1" applyFont="1" applyFill="1" applyBorder="1"/>
    <xf numFmtId="165" fontId="5" fillId="4" borderId="8" xfId="0" applyNumberFormat="1" applyFont="1" applyFill="1" applyBorder="1" applyAlignment="1">
      <alignment horizontal="right"/>
    </xf>
    <xf numFmtId="165" fontId="5" fillId="4" borderId="0" xfId="0" applyNumberFormat="1" applyFont="1" applyFill="1" applyAlignment="1">
      <alignment horizontal="right"/>
    </xf>
    <xf numFmtId="5" fontId="14" fillId="0" borderId="0" xfId="1" applyNumberFormat="1" applyFont="1" applyBorder="1"/>
    <xf numFmtId="5" fontId="14" fillId="0" borderId="0" xfId="1" applyNumberFormat="1" applyFont="1" applyFill="1" applyBorder="1"/>
    <xf numFmtId="5" fontId="14" fillId="0" borderId="8" xfId="1" applyNumberFormat="1" applyFont="1" applyFill="1" applyBorder="1"/>
    <xf numFmtId="5" fontId="5" fillId="4" borderId="0" xfId="0" applyNumberFormat="1" applyFont="1" applyFill="1"/>
    <xf numFmtId="7" fontId="16" fillId="0" borderId="5" xfId="0" applyNumberFormat="1" applyFont="1" applyBorder="1"/>
    <xf numFmtId="5" fontId="5" fillId="0" borderId="8" xfId="0" applyNumberFormat="1" applyFont="1" applyBorder="1"/>
    <xf numFmtId="7" fontId="6" fillId="0" borderId="8" xfId="0" applyNumberFormat="1" applyFont="1" applyBorder="1"/>
    <xf numFmtId="165" fontId="14" fillId="0" borderId="0" xfId="1" applyNumberFormat="1" applyFont="1"/>
    <xf numFmtId="185" fontId="14" fillId="0" borderId="1" xfId="1" applyNumberFormat="1" applyFont="1" applyBorder="1"/>
    <xf numFmtId="5" fontId="12" fillId="0" borderId="0" xfId="0" applyNumberFormat="1" applyFont="1"/>
    <xf numFmtId="166" fontId="2" fillId="0" borderId="13" xfId="0" applyNumberFormat="1" applyFont="1" applyBorder="1"/>
    <xf numFmtId="173" fontId="16" fillId="10" borderId="1" xfId="0" applyNumberFormat="1" applyFont="1" applyFill="1" applyBorder="1"/>
    <xf numFmtId="182" fontId="3" fillId="10" borderId="0" xfId="0" applyNumberFormat="1" applyFont="1" applyFill="1"/>
    <xf numFmtId="7" fontId="26" fillId="0" borderId="0" xfId="0" applyNumberFormat="1" applyFont="1"/>
    <xf numFmtId="173" fontId="3" fillId="0" borderId="1" xfId="0" applyNumberFormat="1" applyFont="1" applyBorder="1"/>
    <xf numFmtId="1" fontId="6" fillId="3" borderId="5" xfId="0" applyNumberFormat="1" applyFont="1" applyFill="1" applyBorder="1" applyAlignment="1">
      <alignment horizontal="right"/>
    </xf>
    <xf numFmtId="5" fontId="26" fillId="0" borderId="4" xfId="0" applyNumberFormat="1" applyFont="1" applyBorder="1"/>
    <xf numFmtId="165" fontId="10" fillId="0" borderId="5" xfId="0" applyNumberFormat="1" applyFont="1" applyBorder="1"/>
    <xf numFmtId="185" fontId="10" fillId="0" borderId="5" xfId="1" applyNumberFormat="1" applyFont="1" applyFill="1" applyBorder="1"/>
    <xf numFmtId="5" fontId="5" fillId="0" borderId="18" xfId="0" applyNumberFormat="1" applyFont="1" applyBorder="1"/>
    <xf numFmtId="165" fontId="14" fillId="0" borderId="5" xfId="1" applyNumberFormat="1" applyFont="1" applyBorder="1"/>
    <xf numFmtId="165" fontId="14" fillId="0" borderId="8" xfId="1" applyNumberFormat="1" applyFont="1" applyBorder="1"/>
    <xf numFmtId="165" fontId="11" fillId="0" borderId="5" xfId="0" applyNumberFormat="1" applyFont="1" applyBorder="1"/>
    <xf numFmtId="171" fontId="37" fillId="2" borderId="5" xfId="0" applyNumberFormat="1" applyFont="1" applyFill="1" applyBorder="1" applyAlignment="1">
      <alignment horizontal="right"/>
    </xf>
    <xf numFmtId="183" fontId="5" fillId="0" borderId="5" xfId="1" applyNumberFormat="1" applyFont="1" applyFill="1" applyBorder="1"/>
    <xf numFmtId="5" fontId="3" fillId="0" borderId="5" xfId="0" applyNumberFormat="1" applyFont="1" applyBorder="1"/>
    <xf numFmtId="5" fontId="7" fillId="0" borderId="5" xfId="0" applyNumberFormat="1" applyFont="1" applyBorder="1"/>
    <xf numFmtId="5" fontId="16" fillId="0" borderId="5" xfId="1" applyNumberFormat="1" applyFont="1" applyFill="1" applyBorder="1"/>
    <xf numFmtId="5" fontId="14" fillId="0" borderId="4" xfId="1" applyNumberFormat="1" applyFont="1" applyFill="1" applyBorder="1"/>
    <xf numFmtId="5" fontId="14" fillId="0" borderId="5" xfId="1" applyNumberFormat="1" applyFont="1" applyFill="1" applyBorder="1"/>
    <xf numFmtId="165" fontId="14" fillId="0" borderId="0" xfId="1" applyNumberFormat="1" applyFont="1" applyBorder="1"/>
    <xf numFmtId="186" fontId="5" fillId="4" borderId="0" xfId="0" applyNumberFormat="1" applyFont="1" applyFill="1"/>
    <xf numFmtId="37" fontId="3" fillId="0" borderId="0" xfId="0" applyNumberFormat="1" applyFont="1"/>
    <xf numFmtId="1" fontId="3" fillId="11" borderId="8" xfId="0" applyNumberFormat="1" applyFont="1" applyFill="1" applyBorder="1" applyAlignment="1">
      <alignment horizontal="right"/>
    </xf>
    <xf numFmtId="1" fontId="3" fillId="11" borderId="0" xfId="0" applyNumberFormat="1" applyFont="1" applyFill="1" applyAlignment="1">
      <alignment horizontal="right"/>
    </xf>
    <xf numFmtId="37" fontId="6" fillId="0" borderId="0" xfId="0" applyNumberFormat="1" applyFont="1" applyAlignment="1">
      <alignment vertical="center"/>
    </xf>
    <xf numFmtId="0" fontId="51" fillId="0" borderId="0" xfId="0" applyFont="1"/>
    <xf numFmtId="0" fontId="52" fillId="2" borderId="0" xfId="0" applyFont="1" applyFill="1"/>
    <xf numFmtId="165" fontId="51" fillId="0" borderId="0" xfId="1" applyNumberFormat="1" applyFont="1"/>
    <xf numFmtId="9" fontId="51" fillId="0" borderId="0" xfId="1" applyFont="1"/>
    <xf numFmtId="0" fontId="51" fillId="0" borderId="0" xfId="0" quotePrefix="1" applyFont="1"/>
    <xf numFmtId="0" fontId="9" fillId="3" borderId="0" xfId="0" applyFont="1" applyFill="1"/>
    <xf numFmtId="171" fontId="53" fillId="2" borderId="0" xfId="0" applyNumberFormat="1" applyFont="1" applyFill="1" applyAlignment="1">
      <alignment horizontal="right"/>
    </xf>
    <xf numFmtId="165" fontId="11" fillId="0" borderId="8" xfId="0" applyNumberFormat="1" applyFont="1" applyBorder="1"/>
    <xf numFmtId="165" fontId="14" fillId="0" borderId="8" xfId="1" applyNumberFormat="1" applyFont="1" applyFill="1" applyBorder="1"/>
    <xf numFmtId="165" fontId="14" fillId="0" borderId="0" xfId="1" applyNumberFormat="1" applyFont="1" applyFill="1" applyBorder="1"/>
    <xf numFmtId="169" fontId="6" fillId="11" borderId="8" xfId="0" applyNumberFormat="1" applyFont="1" applyFill="1" applyBorder="1" applyAlignment="1">
      <alignment horizontal="right"/>
    </xf>
    <xf numFmtId="169" fontId="6" fillId="11" borderId="0" xfId="0" applyNumberFormat="1" applyFont="1" applyFill="1" applyAlignment="1">
      <alignment horizontal="right"/>
    </xf>
    <xf numFmtId="0" fontId="54" fillId="0" borderId="0" xfId="0" applyFont="1"/>
    <xf numFmtId="0" fontId="7" fillId="0" borderId="8" xfId="0" applyFont="1" applyBorder="1"/>
    <xf numFmtId="0" fontId="26" fillId="0" borderId="5" xfId="0" applyFont="1" applyBorder="1"/>
    <xf numFmtId="0" fontId="26" fillId="0" borderId="8" xfId="0" applyFont="1" applyBorder="1"/>
    <xf numFmtId="37" fontId="26" fillId="0" borderId="3" xfId="0" applyNumberFormat="1" applyFont="1" applyBorder="1"/>
    <xf numFmtId="37" fontId="26" fillId="0" borderId="5" xfId="0" applyNumberFormat="1" applyFont="1" applyBorder="1"/>
    <xf numFmtId="37" fontId="26" fillId="0" borderId="8" xfId="0" applyNumberFormat="1" applyFont="1" applyBorder="1"/>
    <xf numFmtId="169" fontId="7" fillId="8" borderId="5" xfId="0" applyNumberFormat="1" applyFont="1" applyFill="1" applyBorder="1" applyAlignment="1">
      <alignment horizontal="right"/>
    </xf>
    <xf numFmtId="169" fontId="7" fillId="8" borderId="8" xfId="0" applyNumberFormat="1" applyFont="1" applyFill="1" applyBorder="1" applyAlignment="1">
      <alignment horizontal="right"/>
    </xf>
    <xf numFmtId="176" fontId="14" fillId="0" borderId="4" xfId="1" applyNumberFormat="1" applyFont="1" applyBorder="1"/>
    <xf numFmtId="176" fontId="14" fillId="0" borderId="3" xfId="1" applyNumberFormat="1" applyFont="1" applyBorder="1"/>
    <xf numFmtId="176" fontId="14" fillId="0" borderId="5" xfId="1" applyNumberFormat="1" applyFont="1" applyFill="1" applyBorder="1"/>
    <xf numFmtId="176" fontId="14" fillId="0" borderId="8" xfId="1" applyNumberFormat="1" applyFont="1" applyFill="1" applyBorder="1"/>
    <xf numFmtId="176" fontId="6" fillId="0" borderId="8" xfId="1" applyNumberFormat="1" applyFont="1" applyBorder="1"/>
    <xf numFmtId="181" fontId="7" fillId="0" borderId="4" xfId="0" applyNumberFormat="1" applyFont="1" applyBorder="1"/>
    <xf numFmtId="181" fontId="7" fillId="0" borderId="3" xfId="0" applyNumberFormat="1" applyFont="1" applyBorder="1"/>
    <xf numFmtId="176" fontId="14" fillId="0" borderId="5" xfId="1" applyNumberFormat="1" applyFont="1" applyBorder="1"/>
    <xf numFmtId="176" fontId="14" fillId="0" borderId="8" xfId="1" applyNumberFormat="1" applyFont="1" applyBorder="1"/>
    <xf numFmtId="176" fontId="14" fillId="0" borderId="4" xfId="1" applyNumberFormat="1" applyFont="1" applyFill="1" applyBorder="1"/>
    <xf numFmtId="181" fontId="7" fillId="0" borderId="5" xfId="0" applyNumberFormat="1" applyFont="1" applyBorder="1"/>
    <xf numFmtId="181" fontId="7" fillId="0" borderId="8" xfId="0" applyNumberFormat="1" applyFont="1" applyBorder="1"/>
    <xf numFmtId="173" fontId="3" fillId="0" borderId="5" xfId="0" applyNumberFormat="1" applyFont="1" applyBorder="1"/>
    <xf numFmtId="173" fontId="3" fillId="0" borderId="8" xfId="0" applyNumberFormat="1" applyFont="1" applyBorder="1"/>
    <xf numFmtId="173" fontId="16" fillId="10" borderId="5" xfId="0" applyNumberFormat="1" applyFont="1" applyFill="1" applyBorder="1"/>
    <xf numFmtId="173" fontId="16" fillId="10" borderId="8" xfId="0" applyNumberFormat="1" applyFont="1" applyFill="1" applyBorder="1"/>
    <xf numFmtId="173" fontId="16" fillId="10" borderId="4" xfId="0" applyNumberFormat="1" applyFont="1" applyFill="1" applyBorder="1"/>
    <xf numFmtId="173" fontId="16" fillId="10" borderId="3" xfId="0" applyNumberFormat="1" applyFont="1" applyFill="1" applyBorder="1"/>
    <xf numFmtId="173" fontId="7" fillId="0" borderId="5" xfId="0" applyNumberFormat="1" applyFont="1" applyBorder="1"/>
    <xf numFmtId="173" fontId="7" fillId="0" borderId="8" xfId="0" applyNumberFormat="1" applyFont="1" applyBorder="1"/>
    <xf numFmtId="185" fontId="14" fillId="0" borderId="4" xfId="1" applyNumberFormat="1" applyFont="1" applyBorder="1"/>
    <xf numFmtId="185" fontId="14" fillId="0" borderId="3" xfId="1" applyNumberFormat="1" applyFont="1" applyBorder="1"/>
    <xf numFmtId="169" fontId="7" fillId="0" borderId="5" xfId="0" applyNumberFormat="1" applyFont="1" applyBorder="1" applyAlignment="1">
      <alignment horizontal="right"/>
    </xf>
    <xf numFmtId="169" fontId="7" fillId="0" borderId="8" xfId="0" applyNumberFormat="1" applyFont="1" applyBorder="1" applyAlignment="1">
      <alignment horizontal="right"/>
    </xf>
    <xf numFmtId="177" fontId="3" fillId="0" borderId="5" xfId="0" applyNumberFormat="1" applyFont="1" applyBorder="1"/>
    <xf numFmtId="177" fontId="3" fillId="0" borderId="8" xfId="0" applyNumberFormat="1" applyFont="1" applyBorder="1"/>
    <xf numFmtId="173" fontId="7" fillId="0" borderId="4" xfId="0" applyNumberFormat="1" applyFont="1" applyBorder="1"/>
    <xf numFmtId="173" fontId="7" fillId="0" borderId="3" xfId="0" applyNumberFormat="1" applyFont="1" applyBorder="1"/>
    <xf numFmtId="176" fontId="16" fillId="0" borderId="5" xfId="1" applyNumberFormat="1" applyFont="1" applyBorder="1"/>
    <xf numFmtId="176" fontId="16" fillId="0" borderId="8" xfId="1" applyNumberFormat="1" applyFont="1" applyBorder="1"/>
    <xf numFmtId="182" fontId="7" fillId="0" borderId="4" xfId="0" applyNumberFormat="1" applyFont="1" applyBorder="1"/>
    <xf numFmtId="182" fontId="7" fillId="0" borderId="3" xfId="0" applyNumberFormat="1" applyFont="1" applyBorder="1"/>
    <xf numFmtId="182" fontId="7" fillId="0" borderId="5" xfId="0" applyNumberFormat="1" applyFont="1" applyBorder="1"/>
    <xf numFmtId="182" fontId="7" fillId="0" borderId="8" xfId="0" applyNumberFormat="1" applyFont="1" applyBorder="1"/>
    <xf numFmtId="182" fontId="3" fillId="0" borderId="5" xfId="0" applyNumberFormat="1" applyFont="1" applyBorder="1"/>
    <xf numFmtId="182" fontId="3" fillId="0" borderId="8" xfId="0" applyNumberFormat="1" applyFont="1" applyBorder="1"/>
    <xf numFmtId="0" fontId="48" fillId="0" borderId="0" xfId="0" applyFont="1"/>
    <xf numFmtId="169" fontId="16" fillId="11" borderId="0" xfId="0" applyNumberFormat="1" applyFont="1" applyFill="1" applyAlignment="1">
      <alignment horizontal="right"/>
    </xf>
  </cellXfs>
  <cellStyles count="11">
    <cellStyle name="Comma" xfId="3" builtinId="3"/>
    <cellStyle name="Comma 3" xfId="6" xr:uid="{7CDBA429-6087-4AF3-8976-7F423C9ED004}"/>
    <cellStyle name="Currency 2" xfId="7" xr:uid="{1CA0318B-91D4-48EC-B2A0-B8A6123BCAC5}"/>
    <cellStyle name="Hyperlink" xfId="10" builtinId="8"/>
    <cellStyle name="Hyperlink 2" xfId="8" xr:uid="{E9ADBCD8-CC82-4217-825D-699B90D9D76D}"/>
    <cellStyle name="Normal" xfId="0" builtinId="0"/>
    <cellStyle name="Normal 2" xfId="2" xr:uid="{FE34F453-BE46-4638-A718-6F04F1594BE6}"/>
    <cellStyle name="Normal 2 2" xfId="5" xr:uid="{2D6046CD-B46A-45DC-A207-46183422FDC3}"/>
    <cellStyle name="Normal 3" xfId="4" xr:uid="{C4C2660B-A95D-4D3F-80DF-AACE7148632D}"/>
    <cellStyle name="Normal 4" xfId="9" xr:uid="{3A510677-FB36-430B-9978-D756C309F239}"/>
    <cellStyle name="Percent" xfId="1" builtinId="5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7A26-2D6E-4295-99F5-02276544AE94}">
  <sheetPr>
    <tabColor theme="7"/>
  </sheetPr>
  <dimension ref="A1:AJ269"/>
  <sheetViews>
    <sheetView tabSelected="1" workbookViewId="0"/>
  </sheetViews>
  <sheetFormatPr defaultRowHeight="14.25"/>
  <sheetData>
    <row r="1" spans="1:36">
      <c r="A1" s="283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</row>
    <row r="2" spans="1:36">
      <c r="A2" s="283"/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</row>
    <row r="3" spans="1:36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</row>
    <row r="4" spans="1:36" ht="13.15" customHeight="1">
      <c r="A4" s="283"/>
      <c r="B4" s="285" t="s">
        <v>220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</row>
    <row r="5" spans="1:36" ht="37.15" customHeight="1">
      <c r="A5" s="283"/>
      <c r="B5" s="286" t="s">
        <v>221</v>
      </c>
      <c r="C5" s="287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</row>
    <row r="6" spans="1:36" ht="27.4">
      <c r="A6" s="283"/>
      <c r="B6" s="286" t="s">
        <v>222</v>
      </c>
      <c r="C6" s="287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</row>
    <row r="7" spans="1:36">
      <c r="A7" s="283"/>
      <c r="B7" s="287"/>
      <c r="C7" s="287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</row>
    <row r="8" spans="1:36">
      <c r="A8" s="283"/>
      <c r="B8" s="288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</row>
    <row r="9" spans="1:36">
      <c r="A9" s="283"/>
      <c r="B9" s="288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</row>
    <row r="10" spans="1:36">
      <c r="A10" s="283"/>
      <c r="B10" s="288" t="s">
        <v>225</v>
      </c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</row>
    <row r="11" spans="1:36">
      <c r="A11" s="283"/>
      <c r="B11" s="288" t="s">
        <v>223</v>
      </c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</row>
    <row r="12" spans="1:36" ht="8.75" customHeight="1">
      <c r="A12" s="283"/>
      <c r="B12" s="288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</row>
    <row r="13" spans="1:36">
      <c r="A13" s="283"/>
      <c r="B13" s="289" t="str">
        <f>HYPERLINK("https://GrowthEquityInterviewGuide.com", "GrowthEquityInterviewGuide.com")</f>
        <v>GrowthEquityInterviewGuide.com</v>
      </c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</row>
    <row r="14" spans="1:36" ht="4.9000000000000004" customHeight="1">
      <c r="A14" s="283"/>
      <c r="B14" s="290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</row>
    <row r="15" spans="1:36" ht="14.65" customHeight="1">
      <c r="A15" s="283"/>
      <c r="B15" s="291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</row>
    <row r="16" spans="1:36">
      <c r="A16" s="283"/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</row>
    <row r="17" spans="1:36">
      <c r="A17" s="283"/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</row>
    <row r="18" spans="1:36">
      <c r="A18" s="283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</row>
    <row r="19" spans="1:36">
      <c r="A19" s="283"/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</row>
    <row r="20" spans="1:36">
      <c r="A20" s="283"/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</row>
    <row r="21" spans="1:36">
      <c r="A21" s="283"/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</row>
    <row r="22" spans="1:36">
      <c r="A22" s="283"/>
      <c r="B22" s="283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</row>
    <row r="23" spans="1:36">
      <c r="A23" s="283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</row>
    <row r="24" spans="1:36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</row>
    <row r="25" spans="1:36">
      <c r="A25" s="283"/>
      <c r="B25" s="291" t="s">
        <v>224</v>
      </c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  <c r="AI25" s="284"/>
      <c r="AJ25" s="284"/>
    </row>
    <row r="26" spans="1:36">
      <c r="A26" s="283"/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</row>
    <row r="27" spans="1:36">
      <c r="A27" s="283"/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</row>
    <row r="28" spans="1:36">
      <c r="A28" s="283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</row>
    <row r="29" spans="1:36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</row>
    <row r="30" spans="1:36">
      <c r="A30" s="28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</row>
    <row r="31" spans="1:36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4"/>
      <c r="U31" s="284"/>
      <c r="V31" s="284"/>
      <c r="W31" s="284"/>
      <c r="X31" s="284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  <c r="AI31" s="284"/>
      <c r="AJ31" s="284"/>
    </row>
    <row r="32" spans="1:36">
      <c r="A32" s="284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</row>
    <row r="33" spans="1:36">
      <c r="A33" s="284"/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</row>
    <row r="34" spans="1:36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</row>
    <row r="35" spans="1:36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</row>
    <row r="36" spans="1:36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</row>
    <row r="37" spans="1:36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</row>
    <row r="38" spans="1:36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</row>
    <row r="39" spans="1:36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</row>
    <row r="40" spans="1:36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</row>
    <row r="41" spans="1:36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  <c r="AI41" s="284"/>
      <c r="AJ41" s="284"/>
    </row>
    <row r="42" spans="1:36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</row>
    <row r="43" spans="1:36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</row>
    <row r="44" spans="1:36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</row>
    <row r="45" spans="1:36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4"/>
      <c r="AH45" s="284"/>
      <c r="AI45" s="284"/>
      <c r="AJ45" s="284"/>
    </row>
    <row r="46" spans="1:36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  <c r="AI46" s="284"/>
      <c r="AJ46" s="284"/>
    </row>
    <row r="47" spans="1:36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</row>
    <row r="48" spans="1:36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  <c r="AI48" s="284"/>
      <c r="AJ48" s="284"/>
    </row>
    <row r="49" spans="1:36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  <c r="AI49" s="284"/>
      <c r="AJ49" s="284"/>
    </row>
    <row r="50" spans="1:36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</row>
    <row r="51" spans="1:36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  <c r="AI51" s="284"/>
      <c r="AJ51" s="284"/>
    </row>
    <row r="52" spans="1:36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</row>
    <row r="53" spans="1:36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  <c r="AI53" s="284"/>
      <c r="AJ53" s="284"/>
    </row>
    <row r="54" spans="1:36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</row>
    <row r="55" spans="1:36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  <c r="AI55" s="284"/>
      <c r="AJ55" s="284"/>
    </row>
    <row r="56" spans="1:36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</row>
    <row r="57" spans="1:36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4"/>
      <c r="AG57" s="284"/>
      <c r="AH57" s="284"/>
      <c r="AI57" s="284"/>
      <c r="AJ57" s="284"/>
    </row>
    <row r="58" spans="1:36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</row>
    <row r="59" spans="1:36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</row>
    <row r="60" spans="1:36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4"/>
      <c r="AJ60" s="284"/>
    </row>
    <row r="61" spans="1:36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</row>
    <row r="62" spans="1:36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</row>
    <row r="63" spans="1:36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</row>
    <row r="64" spans="1:36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  <c r="AI64" s="284"/>
      <c r="AJ64" s="284"/>
    </row>
    <row r="65" spans="1:36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  <c r="AI65" s="284"/>
      <c r="AJ65" s="284"/>
    </row>
    <row r="66" spans="1:3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  <c r="AI66" s="284"/>
      <c r="AJ66" s="284"/>
    </row>
    <row r="67" spans="1:36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G67" s="284"/>
      <c r="AH67" s="284"/>
      <c r="AI67" s="284"/>
      <c r="AJ67" s="284"/>
    </row>
    <row r="68" spans="1:36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  <c r="AI68" s="284"/>
      <c r="AJ68" s="284"/>
    </row>
    <row r="69" spans="1:36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  <c r="AI69" s="284"/>
      <c r="AJ69" s="284"/>
    </row>
    <row r="70" spans="1:36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  <c r="AD70" s="284"/>
      <c r="AE70" s="284"/>
      <c r="AF70" s="284"/>
      <c r="AG70" s="284"/>
      <c r="AH70" s="284"/>
      <c r="AI70" s="284"/>
      <c r="AJ70" s="284"/>
    </row>
    <row r="71" spans="1:36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  <c r="AI71" s="284"/>
      <c r="AJ71" s="284"/>
    </row>
    <row r="72" spans="1:36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  <c r="AI72" s="284"/>
      <c r="AJ72" s="284"/>
    </row>
    <row r="73" spans="1:36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  <c r="AF73" s="284"/>
      <c r="AG73" s="284"/>
      <c r="AH73" s="284"/>
      <c r="AI73" s="284"/>
      <c r="AJ73" s="284"/>
    </row>
    <row r="74" spans="1:36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  <c r="AI74" s="284"/>
      <c r="AJ74" s="284"/>
    </row>
    <row r="75" spans="1:36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84"/>
      <c r="AE75" s="284"/>
      <c r="AF75" s="284"/>
      <c r="AG75" s="284"/>
      <c r="AH75" s="284"/>
      <c r="AI75" s="284"/>
      <c r="AJ75" s="284"/>
    </row>
    <row r="76" spans="1:36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284"/>
      <c r="AH76" s="284"/>
      <c r="AI76" s="284"/>
      <c r="AJ76" s="284"/>
    </row>
    <row r="77" spans="1:36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</row>
    <row r="78" spans="1:36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  <c r="AI78" s="284"/>
      <c r="AJ78" s="284"/>
    </row>
    <row r="79" spans="1:36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  <c r="AD79" s="284"/>
      <c r="AE79" s="284"/>
      <c r="AF79" s="284"/>
      <c r="AG79" s="284"/>
      <c r="AH79" s="284"/>
      <c r="AI79" s="284"/>
      <c r="AJ79" s="284"/>
    </row>
    <row r="80" spans="1:36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4"/>
      <c r="AF80" s="284"/>
      <c r="AG80" s="284"/>
      <c r="AH80" s="284"/>
      <c r="AI80" s="284"/>
      <c r="AJ80" s="284"/>
    </row>
    <row r="81" spans="1:36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  <c r="AI81" s="284"/>
      <c r="AJ81" s="284"/>
    </row>
    <row r="82" spans="1:36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  <c r="AI82" s="284"/>
      <c r="AJ82" s="284"/>
    </row>
    <row r="83" spans="1:36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</row>
    <row r="84" spans="1:36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  <c r="AI84" s="284"/>
      <c r="AJ84" s="284"/>
    </row>
    <row r="85" spans="1:36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G85" s="284"/>
      <c r="AH85" s="284"/>
      <c r="AI85" s="284"/>
      <c r="AJ85" s="284"/>
    </row>
    <row r="86" spans="1:36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  <c r="AI86" s="284"/>
      <c r="AJ86" s="284"/>
    </row>
    <row r="87" spans="1:36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  <c r="AI87" s="284"/>
      <c r="AJ87" s="284"/>
    </row>
    <row r="88" spans="1:36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  <c r="AI88" s="284"/>
      <c r="AJ88" s="284"/>
    </row>
    <row r="89" spans="1:36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  <c r="AI89" s="284"/>
      <c r="AJ89" s="284"/>
    </row>
    <row r="90" spans="1:36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</row>
    <row r="91" spans="1:36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  <c r="AI91" s="284"/>
      <c r="AJ91" s="284"/>
    </row>
    <row r="92" spans="1:36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284"/>
      <c r="AH92" s="284"/>
      <c r="AI92" s="284"/>
      <c r="AJ92" s="284"/>
    </row>
    <row r="93" spans="1:36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G93" s="284"/>
      <c r="AH93" s="284"/>
      <c r="AI93" s="284"/>
      <c r="AJ93" s="284"/>
    </row>
    <row r="94" spans="1:36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G94" s="284"/>
      <c r="AH94" s="284"/>
      <c r="AI94" s="284"/>
      <c r="AJ94" s="284"/>
    </row>
    <row r="95" spans="1:36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G95" s="284"/>
      <c r="AH95" s="284"/>
      <c r="AI95" s="284"/>
      <c r="AJ95" s="284"/>
    </row>
    <row r="96" spans="1:36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G96" s="284"/>
      <c r="AH96" s="284"/>
      <c r="AI96" s="284"/>
      <c r="AJ96" s="284"/>
    </row>
    <row r="97" spans="1:36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  <c r="AF97" s="284"/>
      <c r="AG97" s="284"/>
      <c r="AH97" s="284"/>
      <c r="AI97" s="284"/>
      <c r="AJ97" s="284"/>
    </row>
    <row r="98" spans="1:36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  <c r="AD98" s="284"/>
      <c r="AE98" s="284"/>
      <c r="AF98" s="284"/>
      <c r="AG98" s="284"/>
      <c r="AH98" s="284"/>
      <c r="AI98" s="284"/>
      <c r="AJ98" s="284"/>
    </row>
    <row r="99" spans="1:36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</row>
    <row r="100" spans="1:36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  <c r="AD100" s="284"/>
      <c r="AE100" s="284"/>
      <c r="AF100" s="284"/>
      <c r="AG100" s="284"/>
      <c r="AH100" s="284"/>
      <c r="AI100" s="284"/>
      <c r="AJ100" s="284"/>
    </row>
    <row r="101" spans="1:36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  <c r="AF101" s="284"/>
      <c r="AG101" s="284"/>
      <c r="AH101" s="284"/>
      <c r="AI101" s="284"/>
      <c r="AJ101" s="284"/>
    </row>
    <row r="102" spans="1:36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  <c r="AD102" s="284"/>
      <c r="AE102" s="284"/>
      <c r="AF102" s="284"/>
      <c r="AG102" s="284"/>
      <c r="AH102" s="284"/>
      <c r="AI102" s="284"/>
      <c r="AJ102" s="284"/>
    </row>
    <row r="103" spans="1:36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  <c r="AI103" s="284"/>
      <c r="AJ103" s="284"/>
    </row>
    <row r="104" spans="1:36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  <c r="AD104" s="284"/>
      <c r="AE104" s="284"/>
      <c r="AF104" s="284"/>
      <c r="AG104" s="284"/>
      <c r="AH104" s="284"/>
      <c r="AI104" s="284"/>
      <c r="AJ104" s="284"/>
    </row>
    <row r="105" spans="1:36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  <c r="AD105" s="284"/>
      <c r="AE105" s="284"/>
      <c r="AF105" s="284"/>
      <c r="AG105" s="284"/>
      <c r="AH105" s="284"/>
      <c r="AI105" s="284"/>
      <c r="AJ105" s="284"/>
    </row>
    <row r="106" spans="1:36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  <c r="AI106" s="284"/>
      <c r="AJ106" s="284"/>
    </row>
    <row r="107" spans="1:36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  <c r="AD107" s="284"/>
      <c r="AE107" s="284"/>
      <c r="AF107" s="284"/>
      <c r="AG107" s="284"/>
      <c r="AH107" s="284"/>
      <c r="AI107" s="284"/>
      <c r="AJ107" s="284"/>
    </row>
    <row r="108" spans="1:36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  <c r="AD108" s="284"/>
      <c r="AE108" s="284"/>
      <c r="AF108" s="284"/>
      <c r="AG108" s="284"/>
      <c r="AH108" s="284"/>
      <c r="AI108" s="284"/>
      <c r="AJ108" s="284"/>
    </row>
    <row r="109" spans="1:36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4"/>
      <c r="AE109" s="284"/>
      <c r="AF109" s="284"/>
      <c r="AG109" s="284"/>
      <c r="AH109" s="284"/>
      <c r="AI109" s="284"/>
      <c r="AJ109" s="284"/>
    </row>
    <row r="110" spans="1:36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  <c r="AD110" s="284"/>
      <c r="AE110" s="284"/>
      <c r="AF110" s="284"/>
      <c r="AG110" s="284"/>
      <c r="AH110" s="284"/>
      <c r="AI110" s="284"/>
      <c r="AJ110" s="284"/>
    </row>
    <row r="111" spans="1:36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  <c r="AD111" s="284"/>
      <c r="AE111" s="284"/>
      <c r="AF111" s="284"/>
      <c r="AG111" s="284"/>
      <c r="AH111" s="284"/>
      <c r="AI111" s="284"/>
      <c r="AJ111" s="284"/>
    </row>
    <row r="112" spans="1:36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  <c r="AD112" s="284"/>
      <c r="AE112" s="284"/>
      <c r="AF112" s="284"/>
      <c r="AG112" s="284"/>
      <c r="AH112" s="284"/>
      <c r="AI112" s="284"/>
      <c r="AJ112" s="284"/>
    </row>
    <row r="113" spans="1:36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  <c r="AF113" s="284"/>
      <c r="AG113" s="284"/>
      <c r="AH113" s="284"/>
      <c r="AI113" s="284"/>
      <c r="AJ113" s="284"/>
    </row>
    <row r="114" spans="1:36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  <c r="AF114" s="284"/>
      <c r="AG114" s="284"/>
      <c r="AH114" s="284"/>
      <c r="AI114" s="284"/>
      <c r="AJ114" s="284"/>
    </row>
    <row r="115" spans="1:36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  <c r="AD115" s="284"/>
      <c r="AE115" s="284"/>
      <c r="AF115" s="284"/>
      <c r="AG115" s="284"/>
      <c r="AH115" s="284"/>
      <c r="AI115" s="284"/>
      <c r="AJ115" s="284"/>
    </row>
    <row r="116" spans="1:36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  <c r="AF116" s="284"/>
      <c r="AG116" s="284"/>
      <c r="AH116" s="284"/>
      <c r="AI116" s="284"/>
      <c r="AJ116" s="284"/>
    </row>
    <row r="117" spans="1:36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4"/>
      <c r="AF117" s="284"/>
      <c r="AG117" s="284"/>
      <c r="AH117" s="284"/>
      <c r="AI117" s="284"/>
      <c r="AJ117" s="284"/>
    </row>
    <row r="118" spans="1:36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  <c r="AD118" s="284"/>
      <c r="AE118" s="284"/>
      <c r="AF118" s="284"/>
      <c r="AG118" s="284"/>
      <c r="AH118" s="284"/>
      <c r="AI118" s="284"/>
      <c r="AJ118" s="284"/>
    </row>
    <row r="119" spans="1:36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  <c r="AD119" s="284"/>
      <c r="AE119" s="284"/>
      <c r="AF119" s="284"/>
      <c r="AG119" s="284"/>
      <c r="AH119" s="284"/>
      <c r="AI119" s="284"/>
      <c r="AJ119" s="284"/>
    </row>
    <row r="120" spans="1:36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  <c r="AD120" s="284"/>
      <c r="AE120" s="284"/>
      <c r="AF120" s="284"/>
      <c r="AG120" s="284"/>
      <c r="AH120" s="284"/>
      <c r="AI120" s="284"/>
      <c r="AJ120" s="284"/>
    </row>
    <row r="121" spans="1:36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  <c r="AF121" s="284"/>
      <c r="AG121" s="284"/>
      <c r="AH121" s="284"/>
      <c r="AI121" s="284"/>
      <c r="AJ121" s="284"/>
    </row>
    <row r="122" spans="1:36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  <c r="AI122" s="284"/>
      <c r="AJ122" s="284"/>
    </row>
    <row r="123" spans="1:36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4"/>
      <c r="AH123" s="284"/>
      <c r="AI123" s="284"/>
      <c r="AJ123" s="284"/>
    </row>
    <row r="124" spans="1:36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4"/>
      <c r="AH124" s="284"/>
      <c r="AI124" s="284"/>
      <c r="AJ124" s="284"/>
    </row>
    <row r="125" spans="1:36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  <c r="AF125" s="284"/>
      <c r="AG125" s="284"/>
      <c r="AH125" s="284"/>
      <c r="AI125" s="284"/>
      <c r="AJ125" s="284"/>
    </row>
    <row r="126" spans="1:36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F126" s="284"/>
      <c r="AG126" s="284"/>
      <c r="AH126" s="284"/>
      <c r="AI126" s="284"/>
      <c r="AJ126" s="284"/>
    </row>
    <row r="127" spans="1:36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  <c r="AF127" s="284"/>
      <c r="AG127" s="284"/>
      <c r="AH127" s="284"/>
      <c r="AI127" s="284"/>
      <c r="AJ127" s="284"/>
    </row>
    <row r="128" spans="1:36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  <c r="AF128" s="284"/>
      <c r="AG128" s="284"/>
      <c r="AH128" s="284"/>
      <c r="AI128" s="284"/>
      <c r="AJ128" s="284"/>
    </row>
    <row r="129" spans="1:36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4"/>
      <c r="AH129" s="284"/>
      <c r="AI129" s="284"/>
      <c r="AJ129" s="284"/>
    </row>
    <row r="130" spans="1:36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  <c r="AI130" s="284"/>
      <c r="AJ130" s="284"/>
    </row>
    <row r="131" spans="1:36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  <c r="AD131" s="284"/>
      <c r="AE131" s="284"/>
      <c r="AF131" s="284"/>
      <c r="AG131" s="284"/>
      <c r="AH131" s="284"/>
      <c r="AI131" s="284"/>
      <c r="AJ131" s="284"/>
    </row>
    <row r="132" spans="1:36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  <c r="AF132" s="284"/>
      <c r="AG132" s="284"/>
      <c r="AH132" s="284"/>
      <c r="AI132" s="284"/>
      <c r="AJ132" s="284"/>
    </row>
    <row r="133" spans="1:36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  <c r="AD133" s="284"/>
      <c r="AE133" s="284"/>
      <c r="AF133" s="284"/>
      <c r="AG133" s="284"/>
      <c r="AH133" s="284"/>
      <c r="AI133" s="284"/>
      <c r="AJ133" s="284"/>
    </row>
    <row r="134" spans="1:36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  <c r="AD134" s="284"/>
      <c r="AE134" s="284"/>
      <c r="AF134" s="284"/>
      <c r="AG134" s="284"/>
      <c r="AH134" s="284"/>
      <c r="AI134" s="284"/>
      <c r="AJ134" s="284"/>
    </row>
    <row r="135" spans="1:36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  <c r="AF135" s="284"/>
      <c r="AG135" s="284"/>
      <c r="AH135" s="284"/>
      <c r="AI135" s="284"/>
      <c r="AJ135" s="284"/>
    </row>
    <row r="136" spans="1:36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  <c r="AD136" s="284"/>
      <c r="AE136" s="284"/>
      <c r="AF136" s="284"/>
      <c r="AG136" s="284"/>
      <c r="AH136" s="284"/>
      <c r="AI136" s="284"/>
      <c r="AJ136" s="284"/>
    </row>
    <row r="137" spans="1:36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  <c r="AI137" s="284"/>
      <c r="AJ137" s="284"/>
    </row>
    <row r="138" spans="1:36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  <c r="AF138" s="284"/>
      <c r="AG138" s="284"/>
      <c r="AH138" s="284"/>
      <c r="AI138" s="284"/>
      <c r="AJ138" s="284"/>
    </row>
    <row r="139" spans="1:36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  <c r="AD139" s="284"/>
      <c r="AE139" s="284"/>
      <c r="AF139" s="284"/>
      <c r="AG139" s="284"/>
      <c r="AH139" s="284"/>
      <c r="AI139" s="284"/>
      <c r="AJ139" s="284"/>
    </row>
    <row r="140" spans="1:36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  <c r="AF140" s="284"/>
      <c r="AG140" s="284"/>
      <c r="AH140" s="284"/>
      <c r="AI140" s="284"/>
      <c r="AJ140" s="284"/>
    </row>
    <row r="141" spans="1:36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  <c r="AC141" s="284"/>
      <c r="AD141" s="284"/>
      <c r="AE141" s="284"/>
      <c r="AF141" s="284"/>
      <c r="AG141" s="284"/>
      <c r="AH141" s="284"/>
      <c r="AI141" s="284"/>
      <c r="AJ141" s="284"/>
    </row>
    <row r="142" spans="1:36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  <c r="AC142" s="284"/>
      <c r="AD142" s="284"/>
      <c r="AE142" s="284"/>
      <c r="AF142" s="284"/>
      <c r="AG142" s="284"/>
      <c r="AH142" s="284"/>
      <c r="AI142" s="284"/>
      <c r="AJ142" s="284"/>
    </row>
    <row r="143" spans="1:36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  <c r="AD143" s="284"/>
      <c r="AE143" s="284"/>
      <c r="AF143" s="284"/>
      <c r="AG143" s="284"/>
      <c r="AH143" s="284"/>
      <c r="AI143" s="284"/>
      <c r="AJ143" s="284"/>
    </row>
    <row r="144" spans="1:36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  <c r="AI144" s="284"/>
      <c r="AJ144" s="284"/>
    </row>
    <row r="145" spans="1:36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  <c r="AC145" s="284"/>
      <c r="AD145" s="284"/>
      <c r="AE145" s="284"/>
      <c r="AF145" s="284"/>
      <c r="AG145" s="284"/>
      <c r="AH145" s="284"/>
      <c r="AI145" s="284"/>
      <c r="AJ145" s="284"/>
    </row>
    <row r="146" spans="1:36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  <c r="AC146" s="284"/>
      <c r="AD146" s="284"/>
      <c r="AE146" s="284"/>
      <c r="AF146" s="284"/>
      <c r="AG146" s="284"/>
      <c r="AH146" s="284"/>
      <c r="AI146" s="284"/>
      <c r="AJ146" s="284"/>
    </row>
    <row r="147" spans="1:36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  <c r="AC147" s="284"/>
      <c r="AD147" s="284"/>
      <c r="AE147" s="284"/>
      <c r="AF147" s="284"/>
      <c r="AG147" s="284"/>
      <c r="AH147" s="284"/>
      <c r="AI147" s="284"/>
      <c r="AJ147" s="284"/>
    </row>
    <row r="148" spans="1:36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  <c r="AC148" s="284"/>
      <c r="AD148" s="284"/>
      <c r="AE148" s="284"/>
      <c r="AF148" s="284"/>
      <c r="AG148" s="284"/>
      <c r="AH148" s="284"/>
      <c r="AI148" s="284"/>
      <c r="AJ148" s="284"/>
    </row>
    <row r="149" spans="1:36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  <c r="AC149" s="284"/>
      <c r="AD149" s="284"/>
      <c r="AE149" s="284"/>
      <c r="AF149" s="284"/>
      <c r="AG149" s="284"/>
      <c r="AH149" s="284"/>
      <c r="AI149" s="284"/>
      <c r="AJ149" s="284"/>
    </row>
    <row r="150" spans="1:36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  <c r="AC150" s="284"/>
      <c r="AD150" s="284"/>
      <c r="AE150" s="284"/>
      <c r="AF150" s="284"/>
      <c r="AG150" s="284"/>
      <c r="AH150" s="284"/>
      <c r="AI150" s="284"/>
      <c r="AJ150" s="284"/>
    </row>
    <row r="151" spans="1:36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  <c r="AC151" s="284"/>
      <c r="AD151" s="284"/>
      <c r="AE151" s="284"/>
      <c r="AF151" s="284"/>
      <c r="AG151" s="284"/>
      <c r="AH151" s="284"/>
      <c r="AI151" s="284"/>
      <c r="AJ151" s="284"/>
    </row>
    <row r="152" spans="1:36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  <c r="AC152" s="284"/>
      <c r="AD152" s="284"/>
      <c r="AE152" s="284"/>
      <c r="AF152" s="284"/>
      <c r="AG152" s="284"/>
      <c r="AH152" s="284"/>
      <c r="AI152" s="284"/>
      <c r="AJ152" s="284"/>
    </row>
    <row r="153" spans="1:36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  <c r="AF153" s="284"/>
      <c r="AG153" s="284"/>
      <c r="AH153" s="284"/>
      <c r="AI153" s="284"/>
      <c r="AJ153" s="284"/>
    </row>
    <row r="154" spans="1:36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  <c r="AF154" s="284"/>
      <c r="AG154" s="284"/>
      <c r="AH154" s="284"/>
      <c r="AI154" s="284"/>
      <c r="AJ154" s="284"/>
    </row>
    <row r="155" spans="1:36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  <c r="AD155" s="284"/>
      <c r="AE155" s="284"/>
      <c r="AF155" s="284"/>
      <c r="AG155" s="284"/>
      <c r="AH155" s="284"/>
      <c r="AI155" s="284"/>
      <c r="AJ155" s="284"/>
    </row>
    <row r="156" spans="1:36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4"/>
      <c r="AF156" s="284"/>
      <c r="AG156" s="284"/>
      <c r="AH156" s="284"/>
      <c r="AI156" s="284"/>
      <c r="AJ156" s="284"/>
    </row>
    <row r="157" spans="1:36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  <c r="AD157" s="284"/>
      <c r="AE157" s="284"/>
      <c r="AF157" s="284"/>
      <c r="AG157" s="284"/>
      <c r="AH157" s="284"/>
      <c r="AI157" s="284"/>
      <c r="AJ157" s="284"/>
    </row>
    <row r="158" spans="1:36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  <c r="AF158" s="284"/>
      <c r="AG158" s="284"/>
      <c r="AH158" s="284"/>
      <c r="AI158" s="284"/>
      <c r="AJ158" s="284"/>
    </row>
    <row r="159" spans="1:36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  <c r="AF159" s="284"/>
      <c r="AG159" s="284"/>
      <c r="AH159" s="284"/>
      <c r="AI159" s="284"/>
      <c r="AJ159" s="284"/>
    </row>
    <row r="160" spans="1:36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  <c r="AD160" s="284"/>
      <c r="AE160" s="284"/>
      <c r="AF160" s="284"/>
      <c r="AG160" s="284"/>
      <c r="AH160" s="284"/>
      <c r="AI160" s="284"/>
      <c r="AJ160" s="284"/>
    </row>
    <row r="161" spans="1:36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  <c r="AF161" s="284"/>
      <c r="AG161" s="284"/>
      <c r="AH161" s="284"/>
      <c r="AI161" s="284"/>
      <c r="AJ161" s="284"/>
    </row>
    <row r="162" spans="1:36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  <c r="AD162" s="284"/>
      <c r="AE162" s="284"/>
      <c r="AF162" s="284"/>
      <c r="AG162" s="284"/>
      <c r="AH162" s="284"/>
      <c r="AI162" s="284"/>
      <c r="AJ162" s="284"/>
    </row>
    <row r="163" spans="1:36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  <c r="AD163" s="284"/>
      <c r="AE163" s="284"/>
      <c r="AF163" s="284"/>
      <c r="AG163" s="284"/>
      <c r="AH163" s="284"/>
      <c r="AI163" s="284"/>
      <c r="AJ163" s="284"/>
    </row>
    <row r="164" spans="1:36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  <c r="AF164" s="284"/>
      <c r="AG164" s="284"/>
      <c r="AH164" s="284"/>
      <c r="AI164" s="284"/>
      <c r="AJ164" s="284"/>
    </row>
    <row r="165" spans="1:36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  <c r="AF165" s="284"/>
      <c r="AG165" s="284"/>
      <c r="AH165" s="284"/>
      <c r="AI165" s="284"/>
      <c r="AJ165" s="284"/>
    </row>
    <row r="166" spans="1:36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  <c r="AF166" s="284"/>
      <c r="AG166" s="284"/>
      <c r="AH166" s="284"/>
      <c r="AI166" s="284"/>
      <c r="AJ166" s="284"/>
    </row>
    <row r="167" spans="1:36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  <c r="AF167" s="284"/>
      <c r="AG167" s="284"/>
      <c r="AH167" s="284"/>
      <c r="AI167" s="284"/>
      <c r="AJ167" s="284"/>
    </row>
    <row r="168" spans="1:36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  <c r="AD168" s="284"/>
      <c r="AE168" s="284"/>
      <c r="AF168" s="284"/>
      <c r="AG168" s="284"/>
      <c r="AH168" s="284"/>
      <c r="AI168" s="284"/>
      <c r="AJ168" s="284"/>
    </row>
    <row r="169" spans="1:36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  <c r="AF169" s="284"/>
      <c r="AG169" s="284"/>
      <c r="AH169" s="284"/>
      <c r="AI169" s="284"/>
      <c r="AJ169" s="284"/>
    </row>
    <row r="170" spans="1:36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  <c r="AD170" s="284"/>
      <c r="AE170" s="284"/>
      <c r="AF170" s="284"/>
      <c r="AG170" s="284"/>
      <c r="AH170" s="284"/>
      <c r="AI170" s="284"/>
      <c r="AJ170" s="284"/>
    </row>
    <row r="171" spans="1:36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  <c r="AF171" s="284"/>
      <c r="AG171" s="284"/>
      <c r="AH171" s="284"/>
      <c r="AI171" s="284"/>
      <c r="AJ171" s="284"/>
    </row>
    <row r="172" spans="1:36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  <c r="AD172" s="284"/>
      <c r="AE172" s="284"/>
      <c r="AF172" s="284"/>
      <c r="AG172" s="284"/>
      <c r="AH172" s="284"/>
      <c r="AI172" s="284"/>
      <c r="AJ172" s="284"/>
    </row>
    <row r="173" spans="1:36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  <c r="AF173" s="284"/>
      <c r="AG173" s="284"/>
      <c r="AH173" s="284"/>
      <c r="AI173" s="284"/>
      <c r="AJ173" s="284"/>
    </row>
    <row r="174" spans="1:36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  <c r="AD174" s="284"/>
      <c r="AE174" s="284"/>
      <c r="AF174" s="284"/>
      <c r="AG174" s="284"/>
      <c r="AH174" s="284"/>
      <c r="AI174" s="284"/>
      <c r="AJ174" s="284"/>
    </row>
    <row r="175" spans="1:36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  <c r="AF175" s="284"/>
      <c r="AG175" s="284"/>
      <c r="AH175" s="284"/>
      <c r="AI175" s="284"/>
      <c r="AJ175" s="284"/>
    </row>
    <row r="176" spans="1:36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  <c r="AD176" s="284"/>
      <c r="AE176" s="284"/>
      <c r="AF176" s="284"/>
      <c r="AG176" s="284"/>
      <c r="AH176" s="284"/>
      <c r="AI176" s="284"/>
      <c r="AJ176" s="284"/>
    </row>
    <row r="177" spans="1:36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  <c r="AF177" s="284"/>
      <c r="AG177" s="284"/>
      <c r="AH177" s="284"/>
      <c r="AI177" s="284"/>
      <c r="AJ177" s="284"/>
    </row>
    <row r="178" spans="1:36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  <c r="AF178" s="284"/>
      <c r="AG178" s="284"/>
      <c r="AH178" s="284"/>
      <c r="AI178" s="284"/>
      <c r="AJ178" s="284"/>
    </row>
    <row r="179" spans="1:36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  <c r="AF179" s="284"/>
      <c r="AG179" s="284"/>
      <c r="AH179" s="284"/>
      <c r="AI179" s="284"/>
      <c r="AJ179" s="284"/>
    </row>
    <row r="180" spans="1:36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  <c r="AD180" s="284"/>
      <c r="AE180" s="284"/>
      <c r="AF180" s="284"/>
      <c r="AG180" s="284"/>
      <c r="AH180" s="284"/>
      <c r="AI180" s="284"/>
      <c r="AJ180" s="284"/>
    </row>
    <row r="181" spans="1:36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  <c r="AF181" s="284"/>
      <c r="AG181" s="284"/>
      <c r="AH181" s="284"/>
      <c r="AI181" s="284"/>
      <c r="AJ181" s="284"/>
    </row>
    <row r="182" spans="1:36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4"/>
      <c r="AF182" s="284"/>
      <c r="AG182" s="284"/>
      <c r="AH182" s="284"/>
      <c r="AI182" s="284"/>
      <c r="AJ182" s="284"/>
    </row>
    <row r="183" spans="1:36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4"/>
      <c r="AH183" s="284"/>
      <c r="AI183" s="284"/>
      <c r="AJ183" s="284"/>
    </row>
    <row r="184" spans="1:36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4"/>
      <c r="AF184" s="284"/>
      <c r="AG184" s="284"/>
      <c r="AH184" s="284"/>
      <c r="AI184" s="284"/>
      <c r="AJ184" s="284"/>
    </row>
    <row r="185" spans="1:36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  <c r="AD185" s="284"/>
      <c r="AE185" s="284"/>
      <c r="AF185" s="284"/>
      <c r="AG185" s="284"/>
      <c r="AH185" s="284"/>
      <c r="AI185" s="284"/>
      <c r="AJ185" s="284"/>
    </row>
    <row r="186" spans="1:36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  <c r="AD186" s="284"/>
      <c r="AE186" s="284"/>
      <c r="AF186" s="284"/>
      <c r="AG186" s="284"/>
      <c r="AH186" s="284"/>
      <c r="AI186" s="284"/>
      <c r="AJ186" s="284"/>
    </row>
    <row r="187" spans="1:36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  <c r="AC187" s="284"/>
      <c r="AD187" s="284"/>
      <c r="AE187" s="284"/>
      <c r="AF187" s="284"/>
      <c r="AG187" s="284"/>
      <c r="AH187" s="284"/>
      <c r="AI187" s="284"/>
      <c r="AJ187" s="284"/>
    </row>
    <row r="188" spans="1:36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  <c r="AC188" s="284"/>
      <c r="AD188" s="284"/>
      <c r="AE188" s="284"/>
      <c r="AF188" s="284"/>
      <c r="AG188" s="284"/>
      <c r="AH188" s="284"/>
      <c r="AI188" s="284"/>
      <c r="AJ188" s="284"/>
    </row>
    <row r="189" spans="1:36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  <c r="AC189" s="284"/>
      <c r="AD189" s="284"/>
      <c r="AE189" s="284"/>
      <c r="AF189" s="284"/>
      <c r="AG189" s="284"/>
      <c r="AH189" s="284"/>
      <c r="AI189" s="284"/>
      <c r="AJ189" s="284"/>
    </row>
    <row r="190" spans="1:36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4"/>
      <c r="AF190" s="284"/>
      <c r="AG190" s="284"/>
      <c r="AH190" s="284"/>
      <c r="AI190" s="284"/>
      <c r="AJ190" s="284"/>
    </row>
    <row r="191" spans="1:36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  <c r="AD191" s="284"/>
      <c r="AE191" s="284"/>
      <c r="AF191" s="284"/>
      <c r="AG191" s="284"/>
      <c r="AH191" s="284"/>
      <c r="AI191" s="284"/>
      <c r="AJ191" s="284"/>
    </row>
    <row r="192" spans="1:36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  <c r="AC192" s="284"/>
      <c r="AD192" s="284"/>
      <c r="AE192" s="284"/>
      <c r="AF192" s="284"/>
      <c r="AG192" s="284"/>
      <c r="AH192" s="284"/>
      <c r="AI192" s="284"/>
      <c r="AJ192" s="284"/>
    </row>
    <row r="193" spans="1:36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  <c r="AC193" s="284"/>
      <c r="AD193" s="284"/>
      <c r="AE193" s="284"/>
      <c r="AF193" s="284"/>
      <c r="AG193" s="284"/>
      <c r="AH193" s="284"/>
      <c r="AI193" s="284"/>
      <c r="AJ193" s="284"/>
    </row>
    <row r="194" spans="1:36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  <c r="AC194" s="284"/>
      <c r="AD194" s="284"/>
      <c r="AE194" s="284"/>
      <c r="AF194" s="284"/>
      <c r="AG194" s="284"/>
      <c r="AH194" s="284"/>
      <c r="AI194" s="284"/>
      <c r="AJ194" s="284"/>
    </row>
    <row r="195" spans="1:36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  <c r="AC195" s="284"/>
      <c r="AD195" s="284"/>
      <c r="AE195" s="284"/>
      <c r="AF195" s="284"/>
      <c r="AG195" s="284"/>
      <c r="AH195" s="284"/>
      <c r="AI195" s="284"/>
      <c r="AJ195" s="284"/>
    </row>
    <row r="196" spans="1:36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84"/>
      <c r="AB196" s="284"/>
      <c r="AC196" s="284"/>
      <c r="AD196" s="284"/>
      <c r="AE196" s="284"/>
      <c r="AF196" s="284"/>
      <c r="AG196" s="284"/>
      <c r="AH196" s="284"/>
      <c r="AI196" s="284"/>
      <c r="AJ196" s="284"/>
    </row>
    <row r="197" spans="1:36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  <c r="AA197" s="284"/>
      <c r="AB197" s="284"/>
      <c r="AC197" s="284"/>
      <c r="AD197" s="284"/>
      <c r="AE197" s="284"/>
      <c r="AF197" s="284"/>
      <c r="AG197" s="284"/>
      <c r="AH197" s="284"/>
      <c r="AI197" s="284"/>
      <c r="AJ197" s="284"/>
    </row>
    <row r="198" spans="1:36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84"/>
      <c r="AB198" s="284"/>
      <c r="AC198" s="284"/>
      <c r="AD198" s="284"/>
      <c r="AE198" s="284"/>
      <c r="AF198" s="284"/>
      <c r="AG198" s="284"/>
      <c r="AH198" s="284"/>
      <c r="AI198" s="284"/>
      <c r="AJ198" s="284"/>
    </row>
    <row r="199" spans="1:36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84"/>
      <c r="AB199" s="284"/>
      <c r="AC199" s="284"/>
      <c r="AD199" s="284"/>
      <c r="AE199" s="284"/>
      <c r="AF199" s="284"/>
      <c r="AG199" s="284"/>
      <c r="AH199" s="284"/>
      <c r="AI199" s="284"/>
      <c r="AJ199" s="284"/>
    </row>
    <row r="200" spans="1:36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  <c r="AA200" s="284"/>
      <c r="AB200" s="284"/>
      <c r="AC200" s="284"/>
      <c r="AD200" s="284"/>
      <c r="AE200" s="284"/>
      <c r="AF200" s="284"/>
      <c r="AG200" s="284"/>
      <c r="AH200" s="284"/>
      <c r="AI200" s="284"/>
      <c r="AJ200" s="284"/>
    </row>
    <row r="201" spans="1:36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  <c r="AA201" s="284"/>
      <c r="AB201" s="284"/>
      <c r="AC201" s="284"/>
      <c r="AD201" s="284"/>
      <c r="AE201" s="284"/>
      <c r="AF201" s="284"/>
      <c r="AG201" s="284"/>
      <c r="AH201" s="284"/>
      <c r="AI201" s="284"/>
      <c r="AJ201" s="284"/>
    </row>
    <row r="202" spans="1:36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  <c r="AA202" s="284"/>
      <c r="AB202" s="284"/>
      <c r="AC202" s="284"/>
      <c r="AD202" s="284"/>
      <c r="AE202" s="284"/>
      <c r="AF202" s="284"/>
      <c r="AG202" s="284"/>
      <c r="AH202" s="284"/>
      <c r="AI202" s="284"/>
      <c r="AJ202" s="284"/>
    </row>
    <row r="203" spans="1:36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  <c r="AD203" s="284"/>
      <c r="AE203" s="284"/>
      <c r="AF203" s="284"/>
      <c r="AG203" s="284"/>
      <c r="AH203" s="284"/>
      <c r="AI203" s="284"/>
      <c r="AJ203" s="284"/>
    </row>
    <row r="204" spans="1:36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84"/>
      <c r="AB204" s="284"/>
      <c r="AC204" s="284"/>
      <c r="AD204" s="284"/>
      <c r="AE204" s="284"/>
      <c r="AF204" s="284"/>
      <c r="AG204" s="284"/>
      <c r="AH204" s="284"/>
      <c r="AI204" s="284"/>
      <c r="AJ204" s="284"/>
    </row>
    <row r="205" spans="1:36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84"/>
      <c r="AB205" s="284"/>
      <c r="AC205" s="284"/>
      <c r="AD205" s="284"/>
      <c r="AE205" s="284"/>
      <c r="AF205" s="284"/>
      <c r="AG205" s="284"/>
      <c r="AH205" s="284"/>
      <c r="AI205" s="284"/>
      <c r="AJ205" s="284"/>
    </row>
    <row r="206" spans="1:36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  <c r="AA206" s="284"/>
      <c r="AB206" s="284"/>
      <c r="AC206" s="284"/>
      <c r="AD206" s="284"/>
      <c r="AE206" s="284"/>
      <c r="AF206" s="284"/>
      <c r="AG206" s="284"/>
      <c r="AH206" s="284"/>
      <c r="AI206" s="284"/>
      <c r="AJ206" s="284"/>
    </row>
    <row r="207" spans="1:36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  <c r="AA207" s="284"/>
      <c r="AB207" s="284"/>
      <c r="AC207" s="284"/>
      <c r="AD207" s="284"/>
      <c r="AE207" s="284"/>
      <c r="AF207" s="284"/>
      <c r="AG207" s="284"/>
      <c r="AH207" s="284"/>
      <c r="AI207" s="284"/>
      <c r="AJ207" s="284"/>
    </row>
    <row r="208" spans="1:36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  <c r="AA208" s="284"/>
      <c r="AB208" s="284"/>
      <c r="AC208" s="284"/>
      <c r="AD208" s="284"/>
      <c r="AE208" s="284"/>
      <c r="AF208" s="284"/>
      <c r="AG208" s="284"/>
      <c r="AH208" s="284"/>
      <c r="AI208" s="284"/>
      <c r="AJ208" s="284"/>
    </row>
    <row r="209" spans="1:36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84"/>
      <c r="AB209" s="284"/>
      <c r="AC209" s="284"/>
      <c r="AD209" s="284"/>
      <c r="AE209" s="284"/>
      <c r="AF209" s="284"/>
      <c r="AG209" s="284"/>
      <c r="AH209" s="284"/>
      <c r="AI209" s="284"/>
      <c r="AJ209" s="284"/>
    </row>
    <row r="210" spans="1:36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84"/>
      <c r="AB210" s="284"/>
      <c r="AC210" s="284"/>
      <c r="AD210" s="284"/>
      <c r="AE210" s="284"/>
      <c r="AF210" s="284"/>
      <c r="AG210" s="284"/>
      <c r="AH210" s="284"/>
      <c r="AI210" s="284"/>
      <c r="AJ210" s="284"/>
    </row>
    <row r="211" spans="1:36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  <c r="AA211" s="284"/>
      <c r="AB211" s="284"/>
      <c r="AC211" s="284"/>
      <c r="AD211" s="284"/>
      <c r="AE211" s="284"/>
      <c r="AF211" s="284"/>
      <c r="AG211" s="284"/>
      <c r="AH211" s="284"/>
      <c r="AI211" s="284"/>
      <c r="AJ211" s="284"/>
    </row>
    <row r="212" spans="1:36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  <c r="AA212" s="284"/>
      <c r="AB212" s="284"/>
      <c r="AC212" s="284"/>
      <c r="AD212" s="284"/>
      <c r="AE212" s="284"/>
      <c r="AF212" s="284"/>
      <c r="AG212" s="284"/>
      <c r="AH212" s="284"/>
      <c r="AI212" s="284"/>
      <c r="AJ212" s="284"/>
    </row>
    <row r="213" spans="1:36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284"/>
      <c r="AB213" s="284"/>
      <c r="AC213" s="284"/>
      <c r="AD213" s="284"/>
      <c r="AE213" s="284"/>
      <c r="AF213" s="284"/>
      <c r="AG213" s="284"/>
      <c r="AH213" s="284"/>
      <c r="AI213" s="284"/>
      <c r="AJ213" s="284"/>
    </row>
    <row r="214" spans="1:36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284"/>
      <c r="AB214" s="284"/>
      <c r="AC214" s="284"/>
      <c r="AD214" s="284"/>
      <c r="AE214" s="284"/>
      <c r="AF214" s="284"/>
      <c r="AG214" s="284"/>
      <c r="AH214" s="284"/>
      <c r="AI214" s="284"/>
      <c r="AJ214" s="284"/>
    </row>
    <row r="215" spans="1:36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84"/>
      <c r="AB215" s="284"/>
      <c r="AC215" s="284"/>
      <c r="AD215" s="284"/>
      <c r="AE215" s="284"/>
      <c r="AF215" s="284"/>
      <c r="AG215" s="284"/>
      <c r="AH215" s="284"/>
      <c r="AI215" s="284"/>
      <c r="AJ215" s="284"/>
    </row>
    <row r="216" spans="1:36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84"/>
      <c r="AB216" s="284"/>
      <c r="AC216" s="284"/>
      <c r="AD216" s="284"/>
      <c r="AE216" s="284"/>
      <c r="AF216" s="284"/>
      <c r="AG216" s="284"/>
      <c r="AH216" s="284"/>
      <c r="AI216" s="284"/>
      <c r="AJ216" s="284"/>
    </row>
    <row r="217" spans="1:36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84"/>
      <c r="AB217" s="284"/>
      <c r="AC217" s="284"/>
      <c r="AD217" s="284"/>
      <c r="AE217" s="284"/>
      <c r="AF217" s="284"/>
      <c r="AG217" s="284"/>
      <c r="AH217" s="284"/>
      <c r="AI217" s="284"/>
      <c r="AJ217" s="284"/>
    </row>
    <row r="218" spans="1:36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  <c r="AA218" s="284"/>
      <c r="AB218" s="284"/>
      <c r="AC218" s="284"/>
      <c r="AD218" s="284"/>
      <c r="AE218" s="284"/>
      <c r="AF218" s="284"/>
      <c r="AG218" s="284"/>
      <c r="AH218" s="284"/>
      <c r="AI218" s="284"/>
      <c r="AJ218" s="284"/>
    </row>
    <row r="219" spans="1:36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284"/>
      <c r="AB219" s="284"/>
      <c r="AC219" s="284"/>
      <c r="AD219" s="284"/>
      <c r="AE219" s="284"/>
      <c r="AF219" s="284"/>
      <c r="AG219" s="284"/>
      <c r="AH219" s="284"/>
      <c r="AI219" s="284"/>
      <c r="AJ219" s="284"/>
    </row>
    <row r="220" spans="1:36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84"/>
      <c r="AB220" s="284"/>
      <c r="AC220" s="284"/>
      <c r="AD220" s="284"/>
      <c r="AE220" s="284"/>
      <c r="AF220" s="284"/>
      <c r="AG220" s="284"/>
      <c r="AH220" s="284"/>
      <c r="AI220" s="284"/>
      <c r="AJ220" s="284"/>
    </row>
    <row r="221" spans="1:36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84"/>
      <c r="AB221" s="284"/>
      <c r="AC221" s="284"/>
      <c r="AD221" s="284"/>
      <c r="AE221" s="284"/>
      <c r="AF221" s="284"/>
      <c r="AG221" s="284"/>
      <c r="AH221" s="284"/>
      <c r="AI221" s="284"/>
      <c r="AJ221" s="284"/>
    </row>
    <row r="222" spans="1:36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  <c r="AI222" s="284"/>
      <c r="AJ222" s="284"/>
    </row>
    <row r="223" spans="1:36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  <c r="AB223" s="284"/>
      <c r="AC223" s="284"/>
      <c r="AD223" s="284"/>
      <c r="AE223" s="284"/>
      <c r="AF223" s="284"/>
      <c r="AG223" s="284"/>
      <c r="AH223" s="284"/>
      <c r="AI223" s="284"/>
      <c r="AJ223" s="284"/>
    </row>
    <row r="224" spans="1:36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  <c r="AA224" s="284"/>
      <c r="AB224" s="284"/>
      <c r="AC224" s="284"/>
      <c r="AD224" s="284"/>
      <c r="AE224" s="284"/>
      <c r="AF224" s="284"/>
      <c r="AG224" s="284"/>
      <c r="AH224" s="284"/>
      <c r="AI224" s="284"/>
      <c r="AJ224" s="284"/>
    </row>
    <row r="225" spans="1:36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284"/>
      <c r="AB225" s="284"/>
      <c r="AC225" s="284"/>
      <c r="AD225" s="284"/>
      <c r="AE225" s="284"/>
      <c r="AF225" s="284"/>
      <c r="AG225" s="284"/>
      <c r="AH225" s="284"/>
      <c r="AI225" s="284"/>
      <c r="AJ225" s="284"/>
    </row>
    <row r="226" spans="1:36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84"/>
      <c r="AB226" s="284"/>
      <c r="AC226" s="284"/>
      <c r="AD226" s="284"/>
      <c r="AE226" s="284"/>
      <c r="AF226" s="284"/>
      <c r="AG226" s="284"/>
      <c r="AH226" s="284"/>
      <c r="AI226" s="284"/>
      <c r="AJ226" s="284"/>
    </row>
    <row r="227" spans="1:36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  <c r="AB227" s="284"/>
      <c r="AC227" s="284"/>
      <c r="AD227" s="284"/>
      <c r="AE227" s="284"/>
      <c r="AF227" s="284"/>
      <c r="AG227" s="284"/>
      <c r="AH227" s="284"/>
      <c r="AI227" s="284"/>
      <c r="AJ227" s="284"/>
    </row>
    <row r="228" spans="1:36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84"/>
      <c r="AB228" s="284"/>
      <c r="AC228" s="284"/>
      <c r="AD228" s="284"/>
      <c r="AE228" s="284"/>
      <c r="AF228" s="284"/>
      <c r="AG228" s="284"/>
      <c r="AH228" s="284"/>
      <c r="AI228" s="284"/>
      <c r="AJ228" s="284"/>
    </row>
    <row r="229" spans="1:36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84"/>
      <c r="AB229" s="284"/>
      <c r="AC229" s="284"/>
      <c r="AD229" s="284"/>
      <c r="AE229" s="284"/>
      <c r="AF229" s="284"/>
      <c r="AG229" s="284"/>
      <c r="AH229" s="284"/>
      <c r="AI229" s="284"/>
      <c r="AJ229" s="284"/>
    </row>
    <row r="230" spans="1:36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  <c r="AA230" s="284"/>
      <c r="AB230" s="284"/>
      <c r="AC230" s="284"/>
      <c r="AD230" s="284"/>
      <c r="AE230" s="284"/>
      <c r="AF230" s="284"/>
      <c r="AG230" s="284"/>
      <c r="AH230" s="284"/>
      <c r="AI230" s="284"/>
      <c r="AJ230" s="284"/>
    </row>
    <row r="231" spans="1:36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  <c r="AB231" s="284"/>
      <c r="AC231" s="284"/>
      <c r="AD231" s="284"/>
      <c r="AE231" s="284"/>
      <c r="AF231" s="284"/>
      <c r="AG231" s="284"/>
      <c r="AH231" s="284"/>
      <c r="AI231" s="284"/>
      <c r="AJ231" s="284"/>
    </row>
    <row r="232" spans="1:36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  <c r="AB232" s="284"/>
      <c r="AC232" s="284"/>
      <c r="AD232" s="284"/>
      <c r="AE232" s="284"/>
      <c r="AF232" s="284"/>
      <c r="AG232" s="284"/>
      <c r="AH232" s="284"/>
      <c r="AI232" s="284"/>
      <c r="AJ232" s="284"/>
    </row>
    <row r="233" spans="1:36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84"/>
      <c r="AB233" s="284"/>
      <c r="AC233" s="284"/>
      <c r="AD233" s="284"/>
      <c r="AE233" s="284"/>
      <c r="AF233" s="284"/>
      <c r="AG233" s="284"/>
      <c r="AH233" s="284"/>
      <c r="AI233" s="284"/>
      <c r="AJ233" s="284"/>
    </row>
    <row r="234" spans="1:36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  <c r="AA234" s="284"/>
      <c r="AB234" s="284"/>
      <c r="AC234" s="284"/>
      <c r="AD234" s="284"/>
      <c r="AE234" s="284"/>
      <c r="AF234" s="284"/>
      <c r="AG234" s="284"/>
      <c r="AH234" s="284"/>
      <c r="AI234" s="284"/>
      <c r="AJ234" s="284"/>
    </row>
    <row r="235" spans="1:36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284"/>
      <c r="AB235" s="284"/>
      <c r="AC235" s="284"/>
      <c r="AD235" s="284"/>
      <c r="AE235" s="284"/>
      <c r="AF235" s="284"/>
      <c r="AG235" s="284"/>
      <c r="AH235" s="284"/>
      <c r="AI235" s="284"/>
      <c r="AJ235" s="284"/>
    </row>
    <row r="236" spans="1:36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  <c r="AF236" s="284"/>
      <c r="AG236" s="284"/>
      <c r="AH236" s="284"/>
      <c r="AI236" s="284"/>
      <c r="AJ236" s="284"/>
    </row>
    <row r="237" spans="1:36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  <c r="AC237" s="284"/>
      <c r="AD237" s="284"/>
      <c r="AE237" s="284"/>
      <c r="AF237" s="284"/>
      <c r="AG237" s="284"/>
      <c r="AH237" s="284"/>
      <c r="AI237" s="284"/>
      <c r="AJ237" s="284"/>
    </row>
    <row r="238" spans="1:36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  <c r="AB238" s="284"/>
      <c r="AC238" s="284"/>
      <c r="AD238" s="284"/>
      <c r="AE238" s="284"/>
      <c r="AF238" s="284"/>
      <c r="AG238" s="284"/>
      <c r="AH238" s="284"/>
      <c r="AI238" s="284"/>
      <c r="AJ238" s="284"/>
    </row>
    <row r="239" spans="1:36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  <c r="AB239" s="284"/>
      <c r="AC239" s="284"/>
      <c r="AD239" s="284"/>
      <c r="AE239" s="284"/>
      <c r="AF239" s="284"/>
      <c r="AG239" s="284"/>
      <c r="AH239" s="284"/>
      <c r="AI239" s="284"/>
      <c r="AJ239" s="284"/>
    </row>
    <row r="240" spans="1:36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  <c r="AB240" s="284"/>
      <c r="AC240" s="284"/>
      <c r="AD240" s="284"/>
      <c r="AE240" s="284"/>
      <c r="AF240" s="284"/>
      <c r="AG240" s="284"/>
      <c r="AH240" s="284"/>
      <c r="AI240" s="284"/>
      <c r="AJ240" s="284"/>
    </row>
    <row r="241" spans="1:36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  <c r="AB241" s="284"/>
      <c r="AC241" s="284"/>
      <c r="AD241" s="284"/>
      <c r="AE241" s="284"/>
      <c r="AF241" s="284"/>
      <c r="AG241" s="284"/>
      <c r="AH241" s="284"/>
      <c r="AI241" s="284"/>
      <c r="AJ241" s="284"/>
    </row>
    <row r="242" spans="1:36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  <c r="AB242" s="284"/>
      <c r="AC242" s="284"/>
      <c r="AD242" s="284"/>
      <c r="AE242" s="284"/>
      <c r="AF242" s="284"/>
      <c r="AG242" s="284"/>
      <c r="AH242" s="284"/>
      <c r="AI242" s="284"/>
      <c r="AJ242" s="284"/>
    </row>
    <row r="243" spans="1:36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  <c r="AB243" s="284"/>
      <c r="AC243" s="284"/>
      <c r="AD243" s="284"/>
      <c r="AE243" s="284"/>
      <c r="AF243" s="284"/>
      <c r="AG243" s="284"/>
      <c r="AH243" s="284"/>
      <c r="AI243" s="284"/>
      <c r="AJ243" s="284"/>
    </row>
    <row r="244" spans="1:36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  <c r="AF244" s="284"/>
      <c r="AG244" s="284"/>
      <c r="AH244" s="284"/>
      <c r="AI244" s="284"/>
      <c r="AJ244" s="284"/>
    </row>
    <row r="245" spans="1:36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284"/>
      <c r="AF245" s="284"/>
      <c r="AG245" s="284"/>
      <c r="AH245" s="284"/>
      <c r="AI245" s="284"/>
      <c r="AJ245" s="284"/>
    </row>
    <row r="246" spans="1:36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  <c r="AC246" s="284"/>
      <c r="AD246" s="284"/>
      <c r="AE246" s="284"/>
      <c r="AF246" s="284"/>
      <c r="AG246" s="284"/>
      <c r="AH246" s="284"/>
      <c r="AI246" s="284"/>
      <c r="AJ246" s="284"/>
    </row>
    <row r="247" spans="1:36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  <c r="AB247" s="284"/>
      <c r="AC247" s="284"/>
      <c r="AD247" s="284"/>
      <c r="AE247" s="284"/>
      <c r="AF247" s="284"/>
      <c r="AG247" s="284"/>
      <c r="AH247" s="284"/>
      <c r="AI247" s="284"/>
      <c r="AJ247" s="284"/>
    </row>
    <row r="248" spans="1:36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  <c r="AB248" s="284"/>
      <c r="AC248" s="284"/>
      <c r="AD248" s="284"/>
      <c r="AE248" s="284"/>
      <c r="AF248" s="284"/>
      <c r="AG248" s="284"/>
      <c r="AH248" s="284"/>
      <c r="AI248" s="284"/>
      <c r="AJ248" s="284"/>
    </row>
    <row r="249" spans="1:36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84"/>
      <c r="AB249" s="284"/>
      <c r="AC249" s="284"/>
      <c r="AD249" s="284"/>
      <c r="AE249" s="284"/>
      <c r="AF249" s="284"/>
      <c r="AG249" s="284"/>
      <c r="AH249" s="284"/>
      <c r="AI249" s="284"/>
      <c r="AJ249" s="284"/>
    </row>
    <row r="250" spans="1:36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  <c r="AA250" s="284"/>
      <c r="AB250" s="284"/>
      <c r="AC250" s="284"/>
      <c r="AD250" s="284"/>
      <c r="AE250" s="284"/>
      <c r="AF250" s="284"/>
      <c r="AG250" s="284"/>
      <c r="AH250" s="284"/>
      <c r="AI250" s="284"/>
      <c r="AJ250" s="284"/>
    </row>
    <row r="251" spans="1:36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  <c r="AA251" s="284"/>
      <c r="AB251" s="284"/>
      <c r="AC251" s="284"/>
      <c r="AD251" s="284"/>
      <c r="AE251" s="284"/>
      <c r="AF251" s="284"/>
      <c r="AG251" s="284"/>
      <c r="AH251" s="284"/>
      <c r="AI251" s="284"/>
      <c r="AJ251" s="284"/>
    </row>
    <row r="252" spans="1:36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  <c r="AA252" s="284"/>
      <c r="AB252" s="284"/>
      <c r="AC252" s="284"/>
      <c r="AD252" s="284"/>
      <c r="AE252" s="284"/>
      <c r="AF252" s="284"/>
      <c r="AG252" s="284"/>
      <c r="AH252" s="284"/>
      <c r="AI252" s="284"/>
      <c r="AJ252" s="284"/>
    </row>
    <row r="253" spans="1:36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  <c r="AF253" s="284"/>
      <c r="AG253" s="284"/>
      <c r="AH253" s="284"/>
      <c r="AI253" s="284"/>
      <c r="AJ253" s="284"/>
    </row>
    <row r="254" spans="1:36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84"/>
      <c r="AB254" s="284"/>
      <c r="AC254" s="284"/>
      <c r="AD254" s="284"/>
      <c r="AE254" s="284"/>
      <c r="AF254" s="284"/>
      <c r="AG254" s="284"/>
      <c r="AH254" s="284"/>
      <c r="AI254" s="284"/>
      <c r="AJ254" s="284"/>
    </row>
    <row r="255" spans="1:36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  <c r="AC255" s="284"/>
      <c r="AD255" s="284"/>
      <c r="AE255" s="284"/>
      <c r="AF255" s="284"/>
      <c r="AG255" s="284"/>
      <c r="AH255" s="284"/>
      <c r="AI255" s="284"/>
      <c r="AJ255" s="284"/>
    </row>
    <row r="256" spans="1:36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  <c r="AA256" s="284"/>
      <c r="AB256" s="284"/>
      <c r="AC256" s="284"/>
      <c r="AD256" s="284"/>
      <c r="AE256" s="284"/>
      <c r="AF256" s="284"/>
      <c r="AG256" s="284"/>
      <c r="AH256" s="284"/>
      <c r="AI256" s="284"/>
      <c r="AJ256" s="284"/>
    </row>
    <row r="257" spans="1:36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  <c r="AC257" s="284"/>
      <c r="AD257" s="284"/>
      <c r="AE257" s="284"/>
      <c r="AF257" s="284"/>
      <c r="AG257" s="284"/>
      <c r="AH257" s="284"/>
      <c r="AI257" s="284"/>
      <c r="AJ257" s="284"/>
    </row>
    <row r="258" spans="1:36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  <c r="AA258" s="284"/>
      <c r="AB258" s="284"/>
      <c r="AC258" s="284"/>
      <c r="AD258" s="284"/>
      <c r="AE258" s="284"/>
      <c r="AF258" s="284"/>
      <c r="AG258" s="284"/>
      <c r="AH258" s="284"/>
      <c r="AI258" s="284"/>
      <c r="AJ258" s="284"/>
    </row>
    <row r="259" spans="1:36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  <c r="AC259" s="284"/>
      <c r="AD259" s="284"/>
      <c r="AE259" s="284"/>
      <c r="AF259" s="284"/>
      <c r="AG259" s="284"/>
      <c r="AH259" s="284"/>
      <c r="AI259" s="284"/>
      <c r="AJ259" s="284"/>
    </row>
    <row r="260" spans="1:36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84"/>
      <c r="AB260" s="284"/>
      <c r="AC260" s="284"/>
      <c r="AD260" s="284"/>
      <c r="AE260" s="284"/>
      <c r="AF260" s="284"/>
      <c r="AG260" s="284"/>
      <c r="AH260" s="284"/>
      <c r="AI260" s="284"/>
      <c r="AJ260" s="284"/>
    </row>
    <row r="261" spans="1:36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  <c r="AA261" s="284"/>
      <c r="AB261" s="284"/>
      <c r="AC261" s="284"/>
      <c r="AD261" s="284"/>
      <c r="AE261" s="284"/>
      <c r="AF261" s="284"/>
      <c r="AG261" s="284"/>
      <c r="AH261" s="284"/>
      <c r="AI261" s="284"/>
      <c r="AJ261" s="284"/>
    </row>
    <row r="262" spans="1:36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  <c r="AA262" s="284"/>
      <c r="AB262" s="284"/>
      <c r="AC262" s="284"/>
      <c r="AD262" s="284"/>
      <c r="AE262" s="284"/>
      <c r="AF262" s="284"/>
      <c r="AG262" s="284"/>
      <c r="AH262" s="284"/>
      <c r="AI262" s="284"/>
      <c r="AJ262" s="284"/>
    </row>
    <row r="263" spans="1:36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  <c r="AA263" s="284"/>
      <c r="AB263" s="284"/>
      <c r="AC263" s="284"/>
      <c r="AD263" s="284"/>
      <c r="AE263" s="284"/>
      <c r="AF263" s="284"/>
      <c r="AG263" s="284"/>
      <c r="AH263" s="284"/>
      <c r="AI263" s="284"/>
      <c r="AJ263" s="284"/>
    </row>
    <row r="264" spans="1:36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84"/>
      <c r="AB264" s="284"/>
      <c r="AC264" s="284"/>
      <c r="AD264" s="284"/>
      <c r="AE264" s="284"/>
      <c r="AF264" s="284"/>
      <c r="AG264" s="284"/>
      <c r="AH264" s="284"/>
      <c r="AI264" s="284"/>
      <c r="AJ264" s="284"/>
    </row>
    <row r="265" spans="1:36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  <c r="AA265" s="284"/>
      <c r="AB265" s="284"/>
      <c r="AC265" s="284"/>
      <c r="AD265" s="284"/>
      <c r="AE265" s="284"/>
      <c r="AF265" s="284"/>
      <c r="AG265" s="284"/>
      <c r="AH265" s="284"/>
      <c r="AI265" s="284"/>
      <c r="AJ265" s="284"/>
    </row>
    <row r="266" spans="1:36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  <c r="AA266" s="284"/>
      <c r="AB266" s="284"/>
      <c r="AC266" s="284"/>
      <c r="AD266" s="284"/>
      <c r="AE266" s="284"/>
      <c r="AF266" s="284"/>
      <c r="AG266" s="284"/>
      <c r="AH266" s="284"/>
      <c r="AI266" s="284"/>
      <c r="AJ266" s="284"/>
    </row>
    <row r="267" spans="1:36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  <c r="AA267" s="284"/>
      <c r="AB267" s="284"/>
      <c r="AC267" s="284"/>
      <c r="AD267" s="284"/>
      <c r="AE267" s="284"/>
      <c r="AF267" s="284"/>
      <c r="AG267" s="284"/>
      <c r="AH267" s="284"/>
      <c r="AI267" s="284"/>
      <c r="AJ267" s="284"/>
    </row>
    <row r="268" spans="1:36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  <c r="AA268" s="284"/>
      <c r="AB268" s="284"/>
      <c r="AC268" s="284"/>
      <c r="AD268" s="284"/>
      <c r="AE268" s="284"/>
      <c r="AF268" s="284"/>
      <c r="AG268" s="284"/>
      <c r="AH268" s="284"/>
      <c r="AI268" s="284"/>
      <c r="AJ268" s="284"/>
    </row>
    <row r="269" spans="1:36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  <c r="AA269" s="284"/>
      <c r="AB269" s="284"/>
      <c r="AC269" s="284"/>
      <c r="AD269" s="284"/>
      <c r="AE269" s="284"/>
      <c r="AF269" s="284"/>
      <c r="AG269" s="284"/>
      <c r="AH269" s="284"/>
      <c r="AI269" s="284"/>
      <c r="AJ269" s="28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8AC2-EF9F-4BE1-9393-8A303ED8A321}">
  <sheetPr>
    <tabColor theme="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E41-EF18-4F3F-8972-77D7372ACFCC}">
  <dimension ref="A1:AI66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 activeCell="C4" sqref="C4"/>
    </sheetView>
  </sheetViews>
  <sheetFormatPr defaultColWidth="9.1328125" defaultRowHeight="13.15"/>
  <cols>
    <col min="1" max="1" width="3.59765625" style="1" customWidth="1"/>
    <col min="2" max="2" width="38.6640625" style="2" customWidth="1"/>
    <col min="3" max="13" width="7.796875" style="2" customWidth="1"/>
    <col min="14" max="14" width="7.9296875" style="69" customWidth="1"/>
    <col min="15" max="15" width="7.796875" style="83" customWidth="1"/>
    <col min="16" max="34" width="7.796875" style="1" customWidth="1"/>
    <col min="35" max="35" width="7.86328125" style="1" customWidth="1"/>
    <col min="36" max="16384" width="9.1328125" style="1"/>
  </cols>
  <sheetData>
    <row r="1" spans="2:35" s="2" customFormat="1">
      <c r="B1" s="7"/>
      <c r="N1" s="69"/>
      <c r="O1" s="70"/>
    </row>
    <row r="2" spans="2:35" s="2" customFormat="1">
      <c r="B2" s="3" t="s">
        <v>53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71"/>
      <c r="O2" s="72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367" t="s">
        <v>248</v>
      </c>
      <c r="AI2" s="219"/>
    </row>
    <row r="3" spans="2:35" s="2" customFormat="1">
      <c r="B3" s="4"/>
      <c r="C3" s="156">
        <f t="shared" ref="C3:AH3" si="0">YEAR(C4)</f>
        <v>2020</v>
      </c>
      <c r="D3" s="156">
        <f t="shared" si="0"/>
        <v>2020</v>
      </c>
      <c r="E3" s="156">
        <f t="shared" si="0"/>
        <v>2020</v>
      </c>
      <c r="F3" s="156">
        <f t="shared" si="0"/>
        <v>2020</v>
      </c>
      <c r="G3" s="156">
        <f t="shared" si="0"/>
        <v>2021</v>
      </c>
      <c r="H3" s="156">
        <f t="shared" si="0"/>
        <v>2021</v>
      </c>
      <c r="I3" s="156">
        <f t="shared" si="0"/>
        <v>2021</v>
      </c>
      <c r="J3" s="156">
        <f t="shared" si="0"/>
        <v>2021</v>
      </c>
      <c r="K3" s="156">
        <f t="shared" si="0"/>
        <v>2022</v>
      </c>
      <c r="L3" s="156">
        <f t="shared" si="0"/>
        <v>2022</v>
      </c>
      <c r="M3" s="156">
        <f t="shared" si="0"/>
        <v>2022</v>
      </c>
      <c r="N3" s="340">
        <f t="shared" si="0"/>
        <v>2022</v>
      </c>
      <c r="O3" s="242">
        <f t="shared" si="0"/>
        <v>2023</v>
      </c>
      <c r="P3" s="240">
        <f t="shared" si="0"/>
        <v>2023</v>
      </c>
      <c r="Q3" s="240">
        <f t="shared" si="0"/>
        <v>2023</v>
      </c>
      <c r="R3" s="240">
        <f t="shared" si="0"/>
        <v>2023</v>
      </c>
      <c r="S3" s="240">
        <f t="shared" si="0"/>
        <v>2024</v>
      </c>
      <c r="T3" s="240">
        <f t="shared" si="0"/>
        <v>2024</v>
      </c>
      <c r="U3" s="240">
        <f t="shared" si="0"/>
        <v>2024</v>
      </c>
      <c r="V3" s="240">
        <f t="shared" si="0"/>
        <v>2024</v>
      </c>
      <c r="W3" s="240">
        <f t="shared" si="0"/>
        <v>2025</v>
      </c>
      <c r="X3" s="240">
        <f t="shared" si="0"/>
        <v>2025</v>
      </c>
      <c r="Y3" s="240">
        <f t="shared" si="0"/>
        <v>2025</v>
      </c>
      <c r="Z3" s="240">
        <f t="shared" si="0"/>
        <v>2025</v>
      </c>
      <c r="AA3" s="240">
        <f t="shared" si="0"/>
        <v>2026</v>
      </c>
      <c r="AB3" s="240">
        <f t="shared" si="0"/>
        <v>2026</v>
      </c>
      <c r="AC3" s="240">
        <f t="shared" si="0"/>
        <v>2026</v>
      </c>
      <c r="AD3" s="240">
        <f t="shared" si="0"/>
        <v>2026</v>
      </c>
      <c r="AE3" s="240">
        <f t="shared" si="0"/>
        <v>2027</v>
      </c>
      <c r="AF3" s="240">
        <f t="shared" si="0"/>
        <v>2027</v>
      </c>
      <c r="AG3" s="240">
        <f t="shared" si="0"/>
        <v>2027</v>
      </c>
      <c r="AH3" s="240">
        <f t="shared" si="0"/>
        <v>2027</v>
      </c>
      <c r="AI3" s="220"/>
    </row>
    <row r="4" spans="2:35" s="2" customFormat="1">
      <c r="B4" s="366"/>
      <c r="C4" s="294">
        <v>43921</v>
      </c>
      <c r="D4" s="21">
        <f t="shared" ref="D4:AH4" si="1">EOMONTH(C4, 3)</f>
        <v>44012</v>
      </c>
      <c r="E4" s="21">
        <f t="shared" si="1"/>
        <v>44104</v>
      </c>
      <c r="F4" s="21">
        <f t="shared" si="1"/>
        <v>44196</v>
      </c>
      <c r="G4" s="21">
        <f t="shared" si="1"/>
        <v>44286</v>
      </c>
      <c r="H4" s="21">
        <f t="shared" si="1"/>
        <v>44377</v>
      </c>
      <c r="I4" s="21">
        <f t="shared" si="1"/>
        <v>44469</v>
      </c>
      <c r="J4" s="21">
        <f t="shared" si="1"/>
        <v>44561</v>
      </c>
      <c r="K4" s="21">
        <f t="shared" si="1"/>
        <v>44651</v>
      </c>
      <c r="L4" s="21">
        <f t="shared" si="1"/>
        <v>44742</v>
      </c>
      <c r="M4" s="21">
        <f t="shared" si="1"/>
        <v>44834</v>
      </c>
      <c r="N4" s="73">
        <f t="shared" si="1"/>
        <v>44926</v>
      </c>
      <c r="O4" s="243">
        <f t="shared" si="1"/>
        <v>45016</v>
      </c>
      <c r="P4" s="241">
        <f t="shared" si="1"/>
        <v>45107</v>
      </c>
      <c r="Q4" s="241">
        <f t="shared" si="1"/>
        <v>45199</v>
      </c>
      <c r="R4" s="241">
        <f t="shared" si="1"/>
        <v>45291</v>
      </c>
      <c r="S4" s="241">
        <f t="shared" si="1"/>
        <v>45382</v>
      </c>
      <c r="T4" s="241">
        <f t="shared" si="1"/>
        <v>45473</v>
      </c>
      <c r="U4" s="241">
        <f t="shared" si="1"/>
        <v>45565</v>
      </c>
      <c r="V4" s="241">
        <f t="shared" si="1"/>
        <v>45657</v>
      </c>
      <c r="W4" s="241">
        <f t="shared" si="1"/>
        <v>45747</v>
      </c>
      <c r="X4" s="241">
        <f t="shared" si="1"/>
        <v>45838</v>
      </c>
      <c r="Y4" s="241">
        <f t="shared" si="1"/>
        <v>45930</v>
      </c>
      <c r="Z4" s="241">
        <f t="shared" si="1"/>
        <v>46022</v>
      </c>
      <c r="AA4" s="241">
        <f t="shared" si="1"/>
        <v>46112</v>
      </c>
      <c r="AB4" s="241">
        <f t="shared" si="1"/>
        <v>46203</v>
      </c>
      <c r="AC4" s="241">
        <f t="shared" si="1"/>
        <v>46295</v>
      </c>
      <c r="AD4" s="241">
        <f t="shared" si="1"/>
        <v>46387</v>
      </c>
      <c r="AE4" s="241">
        <f t="shared" si="1"/>
        <v>46477</v>
      </c>
      <c r="AF4" s="241">
        <f t="shared" si="1"/>
        <v>46568</v>
      </c>
      <c r="AG4" s="241">
        <f t="shared" si="1"/>
        <v>46660</v>
      </c>
      <c r="AH4" s="241">
        <f t="shared" si="1"/>
        <v>46752</v>
      </c>
      <c r="AI4" s="150"/>
    </row>
    <row r="5" spans="2:35">
      <c r="B5" s="62" t="s">
        <v>10</v>
      </c>
      <c r="C5" s="35">
        <f>+'ARR Waterfall'!C11</f>
        <v>8563.9987499999988</v>
      </c>
      <c r="D5" s="35">
        <f>+'ARR Waterfall'!D11</f>
        <v>10870.4805</v>
      </c>
      <c r="E5" s="35">
        <f>+'ARR Waterfall'!E11</f>
        <v>12868.785999999998</v>
      </c>
      <c r="F5" s="35">
        <f>+'ARR Waterfall'!F11</f>
        <v>17227.513749999998</v>
      </c>
      <c r="G5" s="35">
        <f>+'ARR Waterfall'!G11</f>
        <v>20583.552749999995</v>
      </c>
      <c r="H5" s="35">
        <f>+'ARR Waterfall'!H11</f>
        <v>24832.389999999992</v>
      </c>
      <c r="I5" s="35">
        <f>+'ARR Waterfall'!I11</f>
        <v>30936.947999999993</v>
      </c>
      <c r="J5" s="35">
        <f>+'ARR Waterfall'!J11</f>
        <v>37345.928749999999</v>
      </c>
      <c r="K5" s="35">
        <f>+'ARR Waterfall'!K11</f>
        <v>43417.531750000002</v>
      </c>
      <c r="L5" s="35">
        <f>+'ARR Waterfall'!L11</f>
        <v>51674.50475</v>
      </c>
      <c r="M5" s="35">
        <f>+'ARR Waterfall'!M11</f>
        <v>59276.025499999996</v>
      </c>
      <c r="N5" s="341">
        <f>+'ARR Waterfall'!N11</f>
        <v>71551.250249999997</v>
      </c>
      <c r="O5" s="196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44"/>
    </row>
    <row r="6" spans="2:35">
      <c r="B6" s="6" t="s">
        <v>42</v>
      </c>
      <c r="C6" s="37"/>
      <c r="D6" s="37"/>
      <c r="E6" s="37"/>
      <c r="F6" s="37"/>
      <c r="G6" s="304">
        <f t="shared" ref="G6:N6" si="2">G5/C5-1</f>
        <v>1.4034978694970031</v>
      </c>
      <c r="H6" s="304">
        <f t="shared" si="2"/>
        <v>1.2843875208644175</v>
      </c>
      <c r="I6" s="304">
        <f t="shared" si="2"/>
        <v>1.4040300304939408</v>
      </c>
      <c r="J6" s="304">
        <f t="shared" si="2"/>
        <v>1.1678072234886478</v>
      </c>
      <c r="K6" s="304">
        <f t="shared" si="2"/>
        <v>1.1093312839300791</v>
      </c>
      <c r="L6" s="304">
        <f t="shared" si="2"/>
        <v>1.0809315877368233</v>
      </c>
      <c r="M6" s="304">
        <f t="shared" si="2"/>
        <v>0.9160269299996886</v>
      </c>
      <c r="N6" s="307">
        <f t="shared" si="2"/>
        <v>0.9159049632685865</v>
      </c>
      <c r="O6" s="305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67"/>
    </row>
    <row r="7" spans="2:35">
      <c r="B7" s="6"/>
      <c r="C7" s="67"/>
      <c r="D7" s="67"/>
      <c r="E7" s="67"/>
      <c r="N7" s="280"/>
      <c r="O7" s="8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</row>
    <row r="8" spans="2:35">
      <c r="B8" s="64" t="s">
        <v>44</v>
      </c>
      <c r="C8" s="334">
        <v>2198.9787169971642</v>
      </c>
      <c r="D8" s="334">
        <v>2784.2487323102555</v>
      </c>
      <c r="E8" s="334">
        <v>3286.6843501780072</v>
      </c>
      <c r="F8" s="334">
        <v>4387.6529028517034</v>
      </c>
      <c r="G8" s="334">
        <v>5236.4888056163036</v>
      </c>
      <c r="H8" s="334">
        <v>6301.1026693484109</v>
      </c>
      <c r="I8" s="334">
        <v>7833.5467643579886</v>
      </c>
      <c r="J8" s="334">
        <v>9427.8556090420225</v>
      </c>
      <c r="K8" s="334">
        <v>10932.176950479708</v>
      </c>
      <c r="L8" s="334">
        <v>12966.669053697065</v>
      </c>
      <c r="M8" s="334">
        <v>14824.425708711953</v>
      </c>
      <c r="N8" s="222">
        <v>17887.812562499999</v>
      </c>
      <c r="O8" s="10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</row>
    <row r="9" spans="2:35">
      <c r="B9" s="6" t="s">
        <v>227</v>
      </c>
      <c r="C9" s="302">
        <f t="shared" ref="C9:M9" si="3">+C8/C5</f>
        <v>0.25677008850534505</v>
      </c>
      <c r="D9" s="302">
        <f t="shared" si="3"/>
        <v>0.25612931574738168</v>
      </c>
      <c r="E9" s="302">
        <f t="shared" si="3"/>
        <v>0.25539972070232636</v>
      </c>
      <c r="F9" s="302">
        <f t="shared" si="3"/>
        <v>0.25468868964633412</v>
      </c>
      <c r="G9" s="302">
        <f t="shared" si="3"/>
        <v>0.25440160254241362</v>
      </c>
      <c r="H9" s="302">
        <f t="shared" si="3"/>
        <v>0.25374531687640267</v>
      </c>
      <c r="I9" s="302">
        <f t="shared" si="3"/>
        <v>0.25321006986073707</v>
      </c>
      <c r="J9" s="302">
        <f t="shared" si="3"/>
        <v>0.252446676909649</v>
      </c>
      <c r="K9" s="302">
        <f t="shared" si="3"/>
        <v>0.25179176498165878</v>
      </c>
      <c r="L9" s="302">
        <f t="shared" si="3"/>
        <v>0.25092972088323817</v>
      </c>
      <c r="M9" s="302">
        <f t="shared" si="3"/>
        <v>0.25009142538937523</v>
      </c>
      <c r="N9" s="342">
        <f>+N8/N5</f>
        <v>0.25</v>
      </c>
      <c r="O9" s="368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  <c r="AF9" s="310"/>
      <c r="AG9" s="310"/>
      <c r="AH9" s="310"/>
      <c r="AI9" s="44"/>
    </row>
    <row r="10" spans="2:35">
      <c r="B10" s="6" t="s">
        <v>42</v>
      </c>
      <c r="C10" s="37"/>
      <c r="D10" s="37"/>
      <c r="E10" s="37"/>
      <c r="F10" s="37"/>
      <c r="G10" s="304">
        <f t="shared" ref="G10:N10" si="4">G8/C8-1</f>
        <v>1.3813276432102262</v>
      </c>
      <c r="H10" s="304">
        <f t="shared" si="4"/>
        <v>1.2631249127372373</v>
      </c>
      <c r="I10" s="304">
        <f t="shared" si="4"/>
        <v>1.3834192547068667</v>
      </c>
      <c r="J10" s="304">
        <f t="shared" si="4"/>
        <v>1.1487241169223981</v>
      </c>
      <c r="K10" s="304">
        <f t="shared" si="4"/>
        <v>1.0876922220772429</v>
      </c>
      <c r="L10" s="304">
        <f t="shared" si="4"/>
        <v>1.0578412595581357</v>
      </c>
      <c r="M10" s="304">
        <f t="shared" si="4"/>
        <v>0.89242831563371849</v>
      </c>
      <c r="N10" s="307">
        <f t="shared" si="4"/>
        <v>0.8973362877284885</v>
      </c>
      <c r="O10" s="305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67"/>
    </row>
    <row r="11" spans="2:35">
      <c r="B11" s="6"/>
      <c r="C11" s="37"/>
      <c r="D11" s="37"/>
      <c r="E11" s="37"/>
      <c r="F11" s="37"/>
      <c r="G11" s="304"/>
      <c r="H11" s="304"/>
      <c r="I11" s="304"/>
      <c r="J11" s="304"/>
      <c r="K11" s="304"/>
      <c r="L11" s="304"/>
      <c r="M11" s="304"/>
      <c r="N11" s="307"/>
      <c r="O11" s="305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67"/>
    </row>
    <row r="12" spans="2:35">
      <c r="B12" s="64" t="s">
        <v>124</v>
      </c>
      <c r="C12" s="44"/>
      <c r="D12" s="44"/>
      <c r="E12" s="44"/>
      <c r="F12" s="44">
        <f>SUM(C8:F8)</f>
        <v>12657.564702337131</v>
      </c>
      <c r="G12" s="44">
        <f t="shared" ref="G12:N12" si="5">SUM(D8:G8)</f>
        <v>15695.074790956271</v>
      </c>
      <c r="H12" s="44">
        <f t="shared" si="5"/>
        <v>19211.928727994426</v>
      </c>
      <c r="I12" s="44">
        <f t="shared" si="5"/>
        <v>23758.791142174407</v>
      </c>
      <c r="J12" s="44">
        <f t="shared" si="5"/>
        <v>28798.993848364727</v>
      </c>
      <c r="K12" s="44">
        <f t="shared" si="5"/>
        <v>34494.681993228136</v>
      </c>
      <c r="L12" s="44">
        <f t="shared" si="5"/>
        <v>41160.248377576783</v>
      </c>
      <c r="M12" s="44">
        <f t="shared" si="5"/>
        <v>48151.127321930748</v>
      </c>
      <c r="N12" s="103">
        <f t="shared" si="5"/>
        <v>56611.084275388726</v>
      </c>
      <c r="O12" s="10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 spans="2:35">
      <c r="B13" s="6"/>
    </row>
    <row r="14" spans="2:35">
      <c r="B14" s="16" t="s">
        <v>43</v>
      </c>
    </row>
    <row r="15" spans="2:35">
      <c r="B15" s="2" t="s">
        <v>152</v>
      </c>
      <c r="C15" s="42">
        <v>722.25339857999984</v>
      </c>
      <c r="D15" s="42">
        <v>918.37481230879075</v>
      </c>
      <c r="E15" s="42">
        <v>1085.7528472421607</v>
      </c>
      <c r="F15" s="42">
        <v>1453.3983570653002</v>
      </c>
      <c r="G15" s="42">
        <v>1740.5519116865787</v>
      </c>
      <c r="H15" s="42">
        <v>2108.5494219070456</v>
      </c>
      <c r="I15" s="42">
        <v>2628.3375294385278</v>
      </c>
      <c r="J15" s="42">
        <v>3172.8358104161639</v>
      </c>
      <c r="K15" s="42">
        <v>3697.5796746221113</v>
      </c>
      <c r="L15" s="42">
        <v>4401.0711119605139</v>
      </c>
      <c r="M15" s="42">
        <v>5056.4592996690471</v>
      </c>
      <c r="N15" s="208">
        <v>6099.509681454294</v>
      </c>
      <c r="O15" s="8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</row>
    <row r="16" spans="2:35">
      <c r="B16" s="62" t="s">
        <v>43</v>
      </c>
      <c r="C16" s="22">
        <f t="shared" ref="C16:N16" si="6">C8-C15</f>
        <v>1476.7253184171643</v>
      </c>
      <c r="D16" s="22">
        <f t="shared" si="6"/>
        <v>1865.8739200014647</v>
      </c>
      <c r="E16" s="22">
        <f t="shared" si="6"/>
        <v>2200.9315029358468</v>
      </c>
      <c r="F16" s="22">
        <f t="shared" si="6"/>
        <v>2934.2545457864035</v>
      </c>
      <c r="G16" s="22">
        <f t="shared" si="6"/>
        <v>3495.9368939297246</v>
      </c>
      <c r="H16" s="22">
        <f t="shared" si="6"/>
        <v>4192.5532474413649</v>
      </c>
      <c r="I16" s="22">
        <f t="shared" si="6"/>
        <v>5205.2092349194609</v>
      </c>
      <c r="J16" s="22">
        <f t="shared" si="6"/>
        <v>6255.019798625859</v>
      </c>
      <c r="K16" s="22">
        <f t="shared" si="6"/>
        <v>7234.5972758575972</v>
      </c>
      <c r="L16" s="22">
        <f t="shared" si="6"/>
        <v>8565.5979417365525</v>
      </c>
      <c r="M16" s="22">
        <f t="shared" si="6"/>
        <v>9767.9664090429069</v>
      </c>
      <c r="N16" s="78">
        <f t="shared" si="6"/>
        <v>11788.302881045705</v>
      </c>
      <c r="O16" s="79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44"/>
    </row>
    <row r="17" spans="2:35">
      <c r="B17" s="6" t="s">
        <v>226</v>
      </c>
      <c r="C17" s="306">
        <f t="shared" ref="C17:N17" si="7">C16/C8</f>
        <v>0.67155052798042558</v>
      </c>
      <c r="D17" s="306">
        <f t="shared" si="7"/>
        <v>0.67015345947674687</v>
      </c>
      <c r="E17" s="306">
        <f t="shared" si="7"/>
        <v>0.66965101252167525</v>
      </c>
      <c r="F17" s="306">
        <f t="shared" si="7"/>
        <v>0.66875265905361825</v>
      </c>
      <c r="G17" s="306">
        <f t="shared" si="7"/>
        <v>0.66761087891188065</v>
      </c>
      <c r="H17" s="306">
        <f t="shared" si="7"/>
        <v>0.66536818513304929</v>
      </c>
      <c r="I17" s="306">
        <f t="shared" si="7"/>
        <v>0.66447669127383613</v>
      </c>
      <c r="J17" s="306">
        <f t="shared" si="7"/>
        <v>0.66346156093298936</v>
      </c>
      <c r="K17" s="306">
        <f t="shared" si="7"/>
        <v>0.66177096369997379</v>
      </c>
      <c r="L17" s="306">
        <f t="shared" si="7"/>
        <v>0.66058583790987735</v>
      </c>
      <c r="M17" s="306">
        <f t="shared" si="7"/>
        <v>0.65891027423089388</v>
      </c>
      <c r="N17" s="343">
        <f t="shared" si="7"/>
        <v>0.65901310402584923</v>
      </c>
      <c r="O17" s="368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67"/>
    </row>
    <row r="19" spans="2:35">
      <c r="B19" s="16" t="s">
        <v>47</v>
      </c>
    </row>
    <row r="20" spans="2:35">
      <c r="B20" s="2" t="s">
        <v>21</v>
      </c>
      <c r="C20" s="42">
        <v>1200.0105704689199</v>
      </c>
      <c r="D20" s="42">
        <v>1349.9439499435048</v>
      </c>
      <c r="E20" s="42">
        <v>1491.0471257342761</v>
      </c>
      <c r="F20" s="42">
        <v>1617.0779601869442</v>
      </c>
      <c r="G20" s="42">
        <v>1758.387862041845</v>
      </c>
      <c r="H20" s="42">
        <v>1902.2560830999869</v>
      </c>
      <c r="I20" s="42">
        <v>2438.4820432835822</v>
      </c>
      <c r="J20" s="42">
        <v>2927.6112537313434</v>
      </c>
      <c r="K20" s="42">
        <v>3411.8055469435094</v>
      </c>
      <c r="L20" s="42">
        <v>4597.6604899734848</v>
      </c>
      <c r="M20" s="42">
        <v>4968.3288814763155</v>
      </c>
      <c r="N20" s="208">
        <v>6584.1337443371531</v>
      </c>
      <c r="O20" s="8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39"/>
    </row>
    <row r="21" spans="2:35">
      <c r="B21" s="2" t="s">
        <v>45</v>
      </c>
      <c r="C21" s="42">
        <v>2384.2613508414452</v>
      </c>
      <c r="D21" s="42">
        <v>2500.9067467600526</v>
      </c>
      <c r="E21" s="42">
        <v>2551.3451846569142</v>
      </c>
      <c r="F21" s="42">
        <v>2636.7792719553327</v>
      </c>
      <c r="G21" s="42">
        <v>2660.6690876773114</v>
      </c>
      <c r="H21" s="42">
        <v>2698.5614105398677</v>
      </c>
      <c r="I21" s="42">
        <v>3369.0084747654942</v>
      </c>
      <c r="J21" s="42">
        <v>4151.8057109887332</v>
      </c>
      <c r="K21" s="42">
        <v>4502.3103339739237</v>
      </c>
      <c r="L21" s="42">
        <v>5732.0898126337152</v>
      </c>
      <c r="M21" s="42">
        <v>5605.4327482381332</v>
      </c>
      <c r="N21" s="208">
        <v>7072.7661174825662</v>
      </c>
      <c r="O21" s="8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39"/>
    </row>
    <row r="22" spans="2:35">
      <c r="B22" s="2" t="s">
        <v>46</v>
      </c>
      <c r="C22" s="42">
        <v>1361.00066061251</v>
      </c>
      <c r="D22" s="42">
        <v>1326.3992017120966</v>
      </c>
      <c r="E22" s="42">
        <v>1478.9223325896753</v>
      </c>
      <c r="F22" s="42">
        <v>1886.0624037228752</v>
      </c>
      <c r="G22" s="42">
        <v>1697.4528916920449</v>
      </c>
      <c r="H22" s="42">
        <v>2916.5136223740574</v>
      </c>
      <c r="I22" s="42">
        <v>3509.8163840649363</v>
      </c>
      <c r="J22" s="42">
        <v>3710.7397775573627</v>
      </c>
      <c r="K22" s="42">
        <v>4047.094126180064</v>
      </c>
      <c r="L22" s="42">
        <v>4572.46400169758</v>
      </c>
      <c r="M22" s="42">
        <v>4505.088913530376</v>
      </c>
      <c r="N22" s="208">
        <v>4913.5267902978676</v>
      </c>
      <c r="O22" s="8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39"/>
    </row>
    <row r="23" spans="2:35">
      <c r="B23" s="62" t="s">
        <v>47</v>
      </c>
      <c r="C23" s="22">
        <f t="shared" ref="C23:N23" si="8">SUM(C20:C22)</f>
        <v>4945.2725819228754</v>
      </c>
      <c r="D23" s="22">
        <f t="shared" si="8"/>
        <v>5177.2498984156537</v>
      </c>
      <c r="E23" s="22">
        <f t="shared" si="8"/>
        <v>5521.3146429808658</v>
      </c>
      <c r="F23" s="22">
        <f t="shared" si="8"/>
        <v>6139.9196358651525</v>
      </c>
      <c r="G23" s="22">
        <f t="shared" si="8"/>
        <v>6116.5098414112017</v>
      </c>
      <c r="H23" s="22">
        <f t="shared" si="8"/>
        <v>7517.3311160139119</v>
      </c>
      <c r="I23" s="22">
        <f t="shared" si="8"/>
        <v>9317.3069021140127</v>
      </c>
      <c r="J23" s="22">
        <f t="shared" si="8"/>
        <v>10790.156742277439</v>
      </c>
      <c r="K23" s="22">
        <f t="shared" si="8"/>
        <v>11961.210007097498</v>
      </c>
      <c r="L23" s="22">
        <f t="shared" si="8"/>
        <v>14902.21430430478</v>
      </c>
      <c r="M23" s="22">
        <f t="shared" si="8"/>
        <v>15078.850543244826</v>
      </c>
      <c r="N23" s="78">
        <f t="shared" si="8"/>
        <v>18570.426652117585</v>
      </c>
      <c r="O23" s="79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44"/>
    </row>
    <row r="24" spans="2:35">
      <c r="B24" s="6" t="str">
        <f>B20&amp;" as % of Revenue"</f>
        <v>S&amp;M as % of Revenue</v>
      </c>
      <c r="C24" s="306">
        <f t="shared" ref="C24:N24" si="9">+C20/C$8</f>
        <v>0.54571268070643519</v>
      </c>
      <c r="D24" s="306">
        <f t="shared" si="9"/>
        <v>0.48485034195324089</v>
      </c>
      <c r="E24" s="306">
        <f t="shared" si="9"/>
        <v>0.4536630131985509</v>
      </c>
      <c r="F24" s="306">
        <f t="shared" si="9"/>
        <v>0.36855193334366615</v>
      </c>
      <c r="G24" s="306">
        <f t="shared" si="9"/>
        <v>0.33579521074425234</v>
      </c>
      <c r="H24" s="306">
        <f t="shared" si="9"/>
        <v>0.30189257070091463</v>
      </c>
      <c r="I24" s="306">
        <f t="shared" si="9"/>
        <v>0.31128709850542802</v>
      </c>
      <c r="J24" s="306">
        <f t="shared" si="9"/>
        <v>0.31052779922971496</v>
      </c>
      <c r="K24" s="306">
        <f t="shared" si="9"/>
        <v>0.31208839395833216</v>
      </c>
      <c r="L24" s="306">
        <f t="shared" si="9"/>
        <v>0.35457529385024267</v>
      </c>
      <c r="M24" s="306">
        <f t="shared" si="9"/>
        <v>0.33514477923799435</v>
      </c>
      <c r="N24" s="343">
        <f t="shared" si="9"/>
        <v>0.36807931217594081</v>
      </c>
      <c r="O24" s="368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67"/>
    </row>
    <row r="25" spans="2:35">
      <c r="B25" s="6" t="str">
        <f>B21&amp;" as % of Revenue"</f>
        <v>R&amp;D as % of Revenue</v>
      </c>
      <c r="C25" s="306">
        <f t="shared" ref="C25:N25" si="10">+C21/C$8</f>
        <v>1.084258493459771</v>
      </c>
      <c r="D25" s="306">
        <f t="shared" si="10"/>
        <v>0.89823395364713077</v>
      </c>
      <c r="E25" s="306">
        <f t="shared" si="10"/>
        <v>0.77626717774669574</v>
      </c>
      <c r="F25" s="306">
        <f t="shared" si="10"/>
        <v>0.60095438958756031</v>
      </c>
      <c r="G25" s="306">
        <f t="shared" si="10"/>
        <v>0.50810174268369634</v>
      </c>
      <c r="H25" s="306">
        <f t="shared" si="10"/>
        <v>0.42826812260447145</v>
      </c>
      <c r="I25" s="306">
        <f t="shared" si="10"/>
        <v>0.4300744702379532</v>
      </c>
      <c r="J25" s="306">
        <f t="shared" si="10"/>
        <v>0.44037646344592285</v>
      </c>
      <c r="K25" s="306">
        <f t="shared" si="10"/>
        <v>0.41184023588059104</v>
      </c>
      <c r="L25" s="306">
        <f t="shared" si="10"/>
        <v>0.44206340031477692</v>
      </c>
      <c r="M25" s="306">
        <f t="shared" si="10"/>
        <v>0.37812140978547026</v>
      </c>
      <c r="N25" s="343">
        <f t="shared" si="10"/>
        <v>0.39539580889336406</v>
      </c>
      <c r="O25" s="368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310"/>
      <c r="AE25" s="310"/>
      <c r="AF25" s="310"/>
      <c r="AG25" s="310"/>
      <c r="AH25" s="310"/>
      <c r="AI25" s="67"/>
    </row>
    <row r="26" spans="2:35">
      <c r="B26" s="6" t="str">
        <f>B22&amp;" as % of Revenue"</f>
        <v>G&amp;A as % of Revenue</v>
      </c>
      <c r="C26" s="306">
        <f t="shared" ref="C26:N26" si="11">+C22/C$8</f>
        <v>0.61892398052448505</v>
      </c>
      <c r="D26" s="306">
        <f t="shared" si="11"/>
        <v>0.47639393216550191</v>
      </c>
      <c r="E26" s="306">
        <f t="shared" si="11"/>
        <v>0.4499739479118452</v>
      </c>
      <c r="F26" s="306">
        <f t="shared" si="11"/>
        <v>0.42985679256831166</v>
      </c>
      <c r="G26" s="306">
        <f t="shared" si="11"/>
        <v>0.32415860220525472</v>
      </c>
      <c r="H26" s="306">
        <f t="shared" si="11"/>
        <v>0.4628576576860714</v>
      </c>
      <c r="I26" s="306">
        <f t="shared" si="11"/>
        <v>0.44804945826510162</v>
      </c>
      <c r="J26" s="306">
        <f t="shared" si="11"/>
        <v>0.39359319143565202</v>
      </c>
      <c r="K26" s="306">
        <f t="shared" si="11"/>
        <v>0.37020020298907397</v>
      </c>
      <c r="L26" s="306">
        <f t="shared" si="11"/>
        <v>0.3526321203049349</v>
      </c>
      <c r="M26" s="306">
        <f t="shared" si="11"/>
        <v>0.30389635335976928</v>
      </c>
      <c r="N26" s="343">
        <f t="shared" si="11"/>
        <v>0.27468572655991391</v>
      </c>
      <c r="O26" s="368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  <c r="AB26" s="310"/>
      <c r="AC26" s="310"/>
      <c r="AD26" s="310"/>
      <c r="AE26" s="310"/>
      <c r="AF26" s="310"/>
      <c r="AG26" s="310"/>
      <c r="AH26" s="310"/>
      <c r="AI26" s="67"/>
    </row>
    <row r="27" spans="2:35">
      <c r="B27" s="6" t="str">
        <f>B23&amp;" as % of Revenue"</f>
        <v>Operating Expenses as % of Revenue</v>
      </c>
      <c r="C27" s="306">
        <f t="shared" ref="C27:N27" si="12">+C23/C$8</f>
        <v>2.2488951546906915</v>
      </c>
      <c r="D27" s="306">
        <f t="shared" si="12"/>
        <v>1.8594782277658735</v>
      </c>
      <c r="E27" s="306">
        <f t="shared" si="12"/>
        <v>1.6799041388570919</v>
      </c>
      <c r="F27" s="306">
        <f t="shared" si="12"/>
        <v>1.3993631154995383</v>
      </c>
      <c r="G27" s="306">
        <f t="shared" si="12"/>
        <v>1.1680555556332035</v>
      </c>
      <c r="H27" s="306">
        <f t="shared" si="12"/>
        <v>1.1930183509914574</v>
      </c>
      <c r="I27" s="306">
        <f t="shared" si="12"/>
        <v>1.1894110270084828</v>
      </c>
      <c r="J27" s="306">
        <f t="shared" si="12"/>
        <v>1.1444974541112898</v>
      </c>
      <c r="K27" s="306">
        <f t="shared" si="12"/>
        <v>1.0941288328279972</v>
      </c>
      <c r="L27" s="306">
        <f t="shared" si="12"/>
        <v>1.1492708144699544</v>
      </c>
      <c r="M27" s="306">
        <f t="shared" si="12"/>
        <v>1.017162542383234</v>
      </c>
      <c r="N27" s="343">
        <f t="shared" si="12"/>
        <v>1.0381608476292186</v>
      </c>
      <c r="O27" s="305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306"/>
      <c r="AH27" s="306"/>
      <c r="AI27" s="67"/>
    </row>
    <row r="29" spans="2:35">
      <c r="B29" s="62" t="s">
        <v>52</v>
      </c>
      <c r="C29" s="22">
        <f t="shared" ref="C29:N29" si="13">+C16-C23</f>
        <v>-3468.5472635057113</v>
      </c>
      <c r="D29" s="22">
        <f t="shared" si="13"/>
        <v>-3311.3759784141889</v>
      </c>
      <c r="E29" s="22">
        <f t="shared" si="13"/>
        <v>-3320.383140045019</v>
      </c>
      <c r="F29" s="22">
        <f t="shared" si="13"/>
        <v>-3205.665090078749</v>
      </c>
      <c r="G29" s="22">
        <f t="shared" si="13"/>
        <v>-2620.5729474814771</v>
      </c>
      <c r="H29" s="22">
        <f t="shared" si="13"/>
        <v>-3324.777868572547</v>
      </c>
      <c r="I29" s="22">
        <f t="shared" si="13"/>
        <v>-4112.0976671945518</v>
      </c>
      <c r="J29" s="22">
        <f t="shared" si="13"/>
        <v>-4535.1369436515797</v>
      </c>
      <c r="K29" s="22">
        <f t="shared" si="13"/>
        <v>-4726.6127312399003</v>
      </c>
      <c r="L29" s="22">
        <f t="shared" si="13"/>
        <v>-6336.6163625682275</v>
      </c>
      <c r="M29" s="22">
        <f t="shared" si="13"/>
        <v>-5310.8841342019186</v>
      </c>
      <c r="N29" s="78">
        <f t="shared" si="13"/>
        <v>-6782.1237710718797</v>
      </c>
      <c r="O29" s="79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44"/>
    </row>
    <row r="30" spans="2:35">
      <c r="B30" s="6" t="s">
        <v>70</v>
      </c>
      <c r="C30" s="67">
        <f t="shared" ref="C30:N30" si="14">+C29/C8</f>
        <v>-1.5773446267102658</v>
      </c>
      <c r="D30" s="67">
        <f t="shared" si="14"/>
        <v>-1.1893247682891266</v>
      </c>
      <c r="E30" s="67">
        <f t="shared" si="14"/>
        <v>-1.0102531263354166</v>
      </c>
      <c r="F30" s="306">
        <f t="shared" si="14"/>
        <v>-0.73061045644592004</v>
      </c>
      <c r="G30" s="306">
        <f t="shared" si="14"/>
        <v>-0.50044467672132287</v>
      </c>
      <c r="H30" s="306">
        <f t="shared" si="14"/>
        <v>-0.52765016585840807</v>
      </c>
      <c r="I30" s="306">
        <f t="shared" si="14"/>
        <v>-0.52493433573464676</v>
      </c>
      <c r="J30" s="306">
        <f t="shared" si="14"/>
        <v>-0.48103589317830053</v>
      </c>
      <c r="K30" s="306">
        <f t="shared" si="14"/>
        <v>-0.43235786912802343</v>
      </c>
      <c r="L30" s="306">
        <f t="shared" si="14"/>
        <v>-0.48868497656007709</v>
      </c>
      <c r="M30" s="306">
        <f t="shared" si="14"/>
        <v>-0.35825226815234007</v>
      </c>
      <c r="N30" s="343">
        <f t="shared" si="14"/>
        <v>-0.37914774360336939</v>
      </c>
      <c r="O30" s="305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67"/>
    </row>
    <row r="32" spans="2:35">
      <c r="B32" s="24" t="s">
        <v>67</v>
      </c>
      <c r="C32" s="162"/>
      <c r="D32" s="162"/>
      <c r="E32" s="162"/>
      <c r="F32" s="162">
        <v>532.14089676248352</v>
      </c>
      <c r="G32" s="162">
        <v>636.10832850845338</v>
      </c>
      <c r="H32" s="162">
        <v>765.86278125588547</v>
      </c>
      <c r="I32" s="162">
        <v>929.68827435237381</v>
      </c>
      <c r="J32" s="162">
        <v>1124.4055037193775</v>
      </c>
      <c r="K32" s="162">
        <v>1351.9878227868235</v>
      </c>
      <c r="L32" s="162">
        <v>1608.1003372777482</v>
      </c>
      <c r="M32" s="162">
        <v>1814.703733999929</v>
      </c>
      <c r="N32" s="344">
        <v>2119.6866660301266</v>
      </c>
      <c r="O32" s="160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46"/>
    </row>
    <row r="33" spans="2:35">
      <c r="B33" s="62" t="s">
        <v>126</v>
      </c>
      <c r="C33" s="22"/>
      <c r="D33" s="22"/>
      <c r="E33" s="22"/>
      <c r="F33" s="22">
        <f t="shared" ref="F33:N33" si="15">+F29+F32</f>
        <v>-2673.5241933162656</v>
      </c>
      <c r="G33" s="22">
        <f t="shared" si="15"/>
        <v>-1984.4646189730238</v>
      </c>
      <c r="H33" s="22">
        <f t="shared" si="15"/>
        <v>-2558.9150873166618</v>
      </c>
      <c r="I33" s="22">
        <f t="shared" si="15"/>
        <v>-3182.409392842178</v>
      </c>
      <c r="J33" s="22">
        <f t="shared" si="15"/>
        <v>-3410.7314399322022</v>
      </c>
      <c r="K33" s="22">
        <f t="shared" si="15"/>
        <v>-3374.6249084530768</v>
      </c>
      <c r="L33" s="22">
        <f t="shared" si="15"/>
        <v>-4728.5160252904789</v>
      </c>
      <c r="M33" s="22">
        <f t="shared" si="15"/>
        <v>-3496.1804002019899</v>
      </c>
      <c r="N33" s="78">
        <f t="shared" si="15"/>
        <v>-4662.4371050417531</v>
      </c>
      <c r="O33" s="79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44"/>
    </row>
    <row r="34" spans="2:35">
      <c r="B34" s="6" t="s">
        <v>70</v>
      </c>
      <c r="C34" s="67"/>
      <c r="D34" s="67"/>
      <c r="E34" s="67"/>
      <c r="F34" s="306">
        <f t="shared" ref="F34:N34" si="16">+F33/F8</f>
        <v>-0.60932900858649053</v>
      </c>
      <c r="G34" s="306">
        <f t="shared" si="16"/>
        <v>-0.37896855939892804</v>
      </c>
      <c r="H34" s="306">
        <f t="shared" si="16"/>
        <v>-0.40610591853461675</v>
      </c>
      <c r="I34" s="306">
        <f t="shared" si="16"/>
        <v>-0.40625395986935142</v>
      </c>
      <c r="J34" s="306">
        <f t="shared" si="16"/>
        <v>-0.36177170942892406</v>
      </c>
      <c r="K34" s="306">
        <f t="shared" si="16"/>
        <v>-0.30868736608814196</v>
      </c>
      <c r="L34" s="306">
        <f t="shared" si="16"/>
        <v>-0.36466697852076985</v>
      </c>
      <c r="M34" s="306">
        <f t="shared" si="16"/>
        <v>-0.23583917980359739</v>
      </c>
      <c r="N34" s="343">
        <f t="shared" si="16"/>
        <v>-0.26064881263436779</v>
      </c>
      <c r="O34" s="305"/>
      <c r="P34" s="30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306"/>
      <c r="AI34" s="67"/>
    </row>
    <row r="35" spans="2:35">
      <c r="B35" s="64"/>
      <c r="C35" s="44"/>
      <c r="D35" s="44"/>
      <c r="E35" s="332"/>
      <c r="F35" s="332"/>
      <c r="G35" s="332"/>
      <c r="H35" s="332"/>
      <c r="I35" s="332"/>
      <c r="J35" s="332"/>
      <c r="K35" s="332"/>
      <c r="L35" s="332"/>
      <c r="M35" s="332"/>
      <c r="N35" s="345"/>
      <c r="O35" s="369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44"/>
      <c r="AD35" s="44"/>
      <c r="AE35" s="44"/>
      <c r="AF35" s="44"/>
      <c r="AG35" s="44"/>
      <c r="AH35" s="44"/>
      <c r="AI35" s="44"/>
    </row>
    <row r="36" spans="2:35">
      <c r="B36" s="24" t="s">
        <v>48</v>
      </c>
      <c r="C36" s="68"/>
      <c r="D36" s="68"/>
      <c r="E36" s="68"/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102">
        <v>0</v>
      </c>
      <c r="O36" s="330"/>
      <c r="P36" s="162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</row>
    <row r="37" spans="2:35">
      <c r="B37" s="62" t="s">
        <v>49</v>
      </c>
      <c r="C37" s="22"/>
      <c r="D37" s="22"/>
      <c r="E37" s="22"/>
      <c r="F37" s="22">
        <f t="shared" ref="F37:N37" si="17">+F29-F36</f>
        <v>-3205.665090078749</v>
      </c>
      <c r="G37" s="22">
        <f t="shared" si="17"/>
        <v>-2620.5729474814771</v>
      </c>
      <c r="H37" s="22">
        <f t="shared" si="17"/>
        <v>-3324.777868572547</v>
      </c>
      <c r="I37" s="22">
        <f t="shared" si="17"/>
        <v>-4112.0976671945518</v>
      </c>
      <c r="J37" s="22">
        <f t="shared" si="17"/>
        <v>-4535.1369436515797</v>
      </c>
      <c r="K37" s="22">
        <f t="shared" si="17"/>
        <v>-4726.6127312399003</v>
      </c>
      <c r="L37" s="22">
        <f t="shared" si="17"/>
        <v>-6336.6163625682275</v>
      </c>
      <c r="M37" s="22">
        <f t="shared" si="17"/>
        <v>-5310.8841342019186</v>
      </c>
      <c r="N37" s="78">
        <f t="shared" si="17"/>
        <v>-6782.1237710718797</v>
      </c>
      <c r="O37" s="79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44"/>
    </row>
    <row r="39" spans="2:35">
      <c r="B39" s="24" t="s">
        <v>2</v>
      </c>
      <c r="C39" s="68"/>
      <c r="D39" s="68"/>
      <c r="E39" s="68"/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102">
        <v>0</v>
      </c>
      <c r="O39" s="8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</row>
    <row r="40" spans="2:35">
      <c r="B40" s="6" t="s">
        <v>50</v>
      </c>
      <c r="C40" s="108"/>
      <c r="D40" s="108"/>
      <c r="E40" s="108"/>
      <c r="F40" s="310">
        <v>0.25</v>
      </c>
      <c r="G40" s="310">
        <v>0.25</v>
      </c>
      <c r="H40" s="310">
        <v>0.25</v>
      </c>
      <c r="I40" s="310">
        <v>0.25</v>
      </c>
      <c r="J40" s="310">
        <v>0.25</v>
      </c>
      <c r="K40" s="310">
        <v>0.25</v>
      </c>
      <c r="L40" s="310">
        <v>0.25</v>
      </c>
      <c r="M40" s="310">
        <v>0.25</v>
      </c>
      <c r="N40" s="347">
        <v>0.25</v>
      </c>
      <c r="O40" s="368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310"/>
      <c r="AF40" s="310"/>
      <c r="AG40" s="310"/>
      <c r="AH40" s="310"/>
      <c r="AI40" s="108"/>
    </row>
    <row r="41" spans="2:35">
      <c r="B41" s="24"/>
    </row>
    <row r="42" spans="2:35">
      <c r="B42" s="62" t="s">
        <v>51</v>
      </c>
      <c r="C42" s="22"/>
      <c r="D42" s="22"/>
      <c r="E42" s="22"/>
      <c r="F42" s="22">
        <f t="shared" ref="F42:N42" si="18">+F37-F39</f>
        <v>-3205.665090078749</v>
      </c>
      <c r="G42" s="22">
        <f t="shared" si="18"/>
        <v>-2620.5729474814771</v>
      </c>
      <c r="H42" s="22">
        <f t="shared" si="18"/>
        <v>-3324.777868572547</v>
      </c>
      <c r="I42" s="22">
        <f t="shared" si="18"/>
        <v>-4112.0976671945518</v>
      </c>
      <c r="J42" s="22">
        <f t="shared" si="18"/>
        <v>-4535.1369436515797</v>
      </c>
      <c r="K42" s="22">
        <f t="shared" si="18"/>
        <v>-4726.6127312399003</v>
      </c>
      <c r="L42" s="22">
        <f t="shared" si="18"/>
        <v>-6336.6163625682275</v>
      </c>
      <c r="M42" s="22">
        <f t="shared" si="18"/>
        <v>-5310.8841342019186</v>
      </c>
      <c r="N42" s="78">
        <f t="shared" si="18"/>
        <v>-6782.1237710718797</v>
      </c>
      <c r="O42" s="79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44"/>
    </row>
    <row r="43" spans="2:35">
      <c r="B43" s="6" t="s">
        <v>70</v>
      </c>
      <c r="C43" s="67"/>
      <c r="D43" s="67"/>
      <c r="E43" s="67"/>
      <c r="F43" s="306">
        <f t="shared" ref="F43:N43" si="19">+F42/F8</f>
        <v>-0.73061045644592004</v>
      </c>
      <c r="G43" s="306">
        <f t="shared" si="19"/>
        <v>-0.50044467672132287</v>
      </c>
      <c r="H43" s="306">
        <f t="shared" si="19"/>
        <v>-0.52765016585840807</v>
      </c>
      <c r="I43" s="306">
        <f t="shared" si="19"/>
        <v>-0.52493433573464676</v>
      </c>
      <c r="J43" s="306">
        <f t="shared" si="19"/>
        <v>-0.48103589317830053</v>
      </c>
      <c r="K43" s="306">
        <f t="shared" si="19"/>
        <v>-0.43235786912802343</v>
      </c>
      <c r="L43" s="306">
        <f t="shared" si="19"/>
        <v>-0.48868497656007709</v>
      </c>
      <c r="M43" s="306">
        <f t="shared" si="19"/>
        <v>-0.35825226815234007</v>
      </c>
      <c r="N43" s="343">
        <f t="shared" si="19"/>
        <v>-0.37914774360336939</v>
      </c>
      <c r="O43" s="305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67"/>
    </row>
    <row r="44" spans="2:35">
      <c r="B44" s="6"/>
      <c r="C44" s="67"/>
      <c r="D44" s="67"/>
      <c r="E44" s="67"/>
      <c r="F44" s="306"/>
      <c r="G44" s="306"/>
      <c r="H44" s="306"/>
      <c r="I44" s="306"/>
      <c r="J44" s="306"/>
      <c r="K44" s="306"/>
      <c r="L44" s="306"/>
      <c r="M44" s="306"/>
      <c r="N44" s="343"/>
      <c r="O44" s="305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67"/>
    </row>
    <row r="45" spans="2:35">
      <c r="B45" s="373" t="s">
        <v>249</v>
      </c>
      <c r="C45" s="67"/>
      <c r="D45" s="67"/>
      <c r="E45" s="67"/>
      <c r="F45" s="306"/>
      <c r="G45" s="306"/>
      <c r="H45" s="306"/>
      <c r="I45" s="306"/>
      <c r="J45" s="306"/>
      <c r="K45" s="306"/>
      <c r="L45" s="306"/>
      <c r="M45" s="306"/>
      <c r="N45" s="343"/>
      <c r="O45" s="305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67"/>
    </row>
    <row r="46" spans="2:35">
      <c r="B46" s="24" t="s">
        <v>250</v>
      </c>
      <c r="C46" s="41"/>
      <c r="D46" s="41"/>
      <c r="E46" s="1"/>
      <c r="F46" s="1"/>
      <c r="G46" s="1"/>
      <c r="H46" s="1"/>
      <c r="I46" s="67"/>
      <c r="K46" s="42">
        <v>5660.4770062499992</v>
      </c>
      <c r="L46" s="42">
        <v>6828.9072499999984</v>
      </c>
      <c r="M46" s="42">
        <v>8507.6606999999985</v>
      </c>
      <c r="N46" s="42">
        <v>10270.13040625</v>
      </c>
    </row>
    <row r="47" spans="2:35">
      <c r="B47" s="24"/>
      <c r="C47" s="41"/>
      <c r="D47" s="41"/>
      <c r="E47" s="42"/>
      <c r="F47" s="42"/>
      <c r="G47" s="42"/>
      <c r="H47" s="42"/>
      <c r="I47" s="67"/>
    </row>
    <row r="49" spans="1:35" s="2" customFormat="1">
      <c r="B49" s="3" t="s">
        <v>54</v>
      </c>
      <c r="C49" s="29"/>
      <c r="D49" s="29"/>
      <c r="E49" s="29"/>
      <c r="F49" s="29"/>
      <c r="G49" s="29"/>
      <c r="H49" s="29"/>
      <c r="I49" s="29"/>
      <c r="J49" s="29"/>
      <c r="K49" s="29"/>
      <c r="L49" s="258"/>
      <c r="M49" s="29"/>
      <c r="N49" s="348"/>
      <c r="O49" s="72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67" t="s">
        <v>248</v>
      </c>
      <c r="AI49" s="219"/>
    </row>
    <row r="50" spans="1:35" s="2" customFormat="1">
      <c r="A50" s="257"/>
      <c r="B50" s="4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>
        <f t="shared" ref="N50:AH50" si="20">N4</f>
        <v>44926</v>
      </c>
      <c r="O50" s="371">
        <f t="shared" si="20"/>
        <v>45016</v>
      </c>
      <c r="P50" s="372">
        <f t="shared" si="20"/>
        <v>45107</v>
      </c>
      <c r="Q50" s="372">
        <f t="shared" si="20"/>
        <v>45199</v>
      </c>
      <c r="R50" s="372">
        <f t="shared" si="20"/>
        <v>45291</v>
      </c>
      <c r="S50" s="372">
        <f t="shared" si="20"/>
        <v>45382</v>
      </c>
      <c r="T50" s="372">
        <f t="shared" si="20"/>
        <v>45473</v>
      </c>
      <c r="U50" s="372">
        <f t="shared" si="20"/>
        <v>45565</v>
      </c>
      <c r="V50" s="372">
        <f t="shared" si="20"/>
        <v>45657</v>
      </c>
      <c r="W50" s="372">
        <f t="shared" si="20"/>
        <v>45747</v>
      </c>
      <c r="X50" s="372">
        <f t="shared" si="20"/>
        <v>45838</v>
      </c>
      <c r="Y50" s="372">
        <f t="shared" si="20"/>
        <v>45930</v>
      </c>
      <c r="Z50" s="372">
        <f t="shared" si="20"/>
        <v>46022</v>
      </c>
      <c r="AA50" s="372">
        <f t="shared" si="20"/>
        <v>46112</v>
      </c>
      <c r="AB50" s="372">
        <f t="shared" si="20"/>
        <v>46203</v>
      </c>
      <c r="AC50" s="372">
        <f t="shared" si="20"/>
        <v>46295</v>
      </c>
      <c r="AD50" s="372">
        <f t="shared" si="20"/>
        <v>46387</v>
      </c>
      <c r="AE50" s="372">
        <f t="shared" si="20"/>
        <v>46477</v>
      </c>
      <c r="AF50" s="372">
        <f t="shared" si="20"/>
        <v>46568</v>
      </c>
      <c r="AG50" s="372">
        <f t="shared" si="20"/>
        <v>46660</v>
      </c>
      <c r="AH50" s="372">
        <f t="shared" si="20"/>
        <v>46752</v>
      </c>
      <c r="AI50" s="221"/>
    </row>
    <row r="51" spans="1:35">
      <c r="A51" s="259"/>
      <c r="B51" s="2" t="s">
        <v>56</v>
      </c>
      <c r="C51" s="46"/>
      <c r="D51" s="46"/>
      <c r="E51" s="46"/>
      <c r="F51" s="46"/>
      <c r="G51" s="46"/>
      <c r="H51" s="46"/>
      <c r="I51" s="46"/>
      <c r="J51" s="46"/>
      <c r="K51" s="46"/>
      <c r="N51" s="68">
        <v>26476.7341127695</v>
      </c>
      <c r="O51" s="9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 spans="1:35">
      <c r="A52" s="273"/>
      <c r="B52" s="2" t="s">
        <v>36</v>
      </c>
      <c r="C52" s="46"/>
      <c r="D52" s="46"/>
      <c r="E52" s="46"/>
      <c r="F52" s="46"/>
      <c r="G52" s="46"/>
      <c r="H52" s="46"/>
      <c r="I52" s="46"/>
      <c r="J52" s="46"/>
      <c r="K52" s="46"/>
      <c r="N52" s="68">
        <v>15182.162718084101</v>
      </c>
      <c r="O52" s="8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66"/>
    </row>
    <row r="53" spans="1:35">
      <c r="A53" s="273"/>
      <c r="B53" s="2" t="s">
        <v>57</v>
      </c>
      <c r="C53" s="46"/>
      <c r="D53" s="46"/>
      <c r="E53" s="46"/>
      <c r="F53" s="46"/>
      <c r="G53" s="46"/>
      <c r="H53" s="46"/>
      <c r="I53" s="46"/>
      <c r="J53" s="46"/>
      <c r="K53" s="46"/>
      <c r="N53" s="68">
        <v>35699.125050049275</v>
      </c>
      <c r="O53" s="9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 spans="1:35">
      <c r="A54" s="273"/>
      <c r="B54" s="2" t="s">
        <v>72</v>
      </c>
      <c r="C54" s="46"/>
      <c r="D54" s="46"/>
      <c r="E54" s="46"/>
      <c r="F54" s="46"/>
      <c r="G54" s="46"/>
      <c r="H54" s="46"/>
      <c r="I54" s="46"/>
      <c r="J54" s="46"/>
      <c r="K54" s="46"/>
      <c r="N54" s="68">
        <v>4374.0515605067367</v>
      </c>
      <c r="O54" s="8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</row>
    <row r="55" spans="1:35">
      <c r="A55" s="273"/>
      <c r="B55" s="2" t="s">
        <v>71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68">
        <v>7406.8</v>
      </c>
      <c r="O55" s="77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</row>
    <row r="56" spans="1:35">
      <c r="A56" s="273"/>
      <c r="B56" s="2" t="s">
        <v>112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68">
        <v>2955.4586779238598</v>
      </c>
      <c r="O56" s="77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1:35">
      <c r="A57" s="259"/>
      <c r="B57" s="9" t="s">
        <v>60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>
        <f>SUM(N51:N56)</f>
        <v>92094.33211933347</v>
      </c>
      <c r="O57" s="79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44"/>
    </row>
    <row r="58" spans="1:35">
      <c r="A58" s="259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>
      <c r="A59" s="259"/>
      <c r="B59" s="2" t="s">
        <v>62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68">
        <v>2557.0490457218998</v>
      </c>
      <c r="O59" s="8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</row>
    <row r="60" spans="1:35">
      <c r="A60" s="273"/>
      <c r="B60" s="2" t="s">
        <v>18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68">
        <v>19792.9612690828</v>
      </c>
      <c r="O60" s="8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66"/>
    </row>
    <row r="61" spans="1:35">
      <c r="A61" s="259"/>
      <c r="B61" s="2" t="s">
        <v>58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68">
        <v>0</v>
      </c>
      <c r="O61" s="330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spans="1:35">
      <c r="A62" s="259"/>
      <c r="B62" s="2" t="s">
        <v>59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68">
        <v>69744.321804528794</v>
      </c>
      <c r="O62" s="106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7"/>
    </row>
    <row r="63" spans="1:35">
      <c r="A63" s="259"/>
      <c r="B63" s="9" t="s">
        <v>61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>
        <f>SUM(N59:N62)</f>
        <v>92094.3321193335</v>
      </c>
      <c r="O63" s="79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44"/>
    </row>
    <row r="64" spans="1:35">
      <c r="A64" s="260"/>
      <c r="B64" s="7" t="s">
        <v>11</v>
      </c>
      <c r="N64" s="14">
        <f>+N57-N63</f>
        <v>0</v>
      </c>
      <c r="O64" s="101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spans="1:35">
      <c r="A65" s="260"/>
      <c r="B65" s="7"/>
      <c r="L65" s="14"/>
      <c r="M65" s="1"/>
      <c r="N65" s="99"/>
      <c r="O65" s="101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spans="1:35">
      <c r="B66" s="64"/>
      <c r="C66" s="10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280"/>
      <c r="O66" s="272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</row>
  </sheetData>
  <pageMargins left="0.7" right="0.7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844-E31D-447D-B835-3C8E79011C55}">
  <dimension ref="A2:I13"/>
  <sheetViews>
    <sheetView showGridLines="0" workbookViewId="0"/>
  </sheetViews>
  <sheetFormatPr defaultRowHeight="14.25"/>
  <cols>
    <col min="1" max="1" width="9.06640625" style="361"/>
    <col min="2" max="2" width="27.796875" style="361" customWidth="1"/>
    <col min="3" max="3" width="34.3984375" style="361" customWidth="1"/>
    <col min="4" max="9" width="9.06640625" style="361"/>
  </cols>
  <sheetData>
    <row r="2" spans="2:9">
      <c r="B2" s="362" t="s">
        <v>242</v>
      </c>
      <c r="C2" s="362" t="s">
        <v>240</v>
      </c>
      <c r="D2" s="362">
        <v>2023</v>
      </c>
      <c r="E2" s="362">
        <v>2024</v>
      </c>
      <c r="F2" s="362">
        <v>2025</v>
      </c>
      <c r="G2" s="362">
        <v>2026</v>
      </c>
      <c r="H2" s="362">
        <v>2027</v>
      </c>
    </row>
    <row r="3" spans="2:9" ht="17.75" customHeight="1">
      <c r="B3" s="361" t="s">
        <v>244</v>
      </c>
      <c r="C3" s="361" t="s">
        <v>239</v>
      </c>
      <c r="D3" s="363">
        <v>0.12</v>
      </c>
      <c r="E3" s="363">
        <v>0.1</v>
      </c>
      <c r="F3" s="363">
        <v>0.08</v>
      </c>
      <c r="G3" s="363">
        <v>0.06</v>
      </c>
      <c r="H3" s="363">
        <v>0.06</v>
      </c>
      <c r="I3" s="364"/>
    </row>
    <row r="4" spans="2:9" ht="17.75" customHeight="1">
      <c r="B4" s="361" t="s">
        <v>6</v>
      </c>
      <c r="C4" s="365" t="s">
        <v>241</v>
      </c>
      <c r="D4" s="363">
        <v>0.08</v>
      </c>
      <c r="E4" s="363">
        <v>7.0000000000000007E-2</v>
      </c>
      <c r="F4" s="363">
        <v>0.05</v>
      </c>
      <c r="G4" s="363">
        <v>0.04</v>
      </c>
      <c r="H4" s="363">
        <v>0.04</v>
      </c>
    </row>
    <row r="5" spans="2:9" ht="17.75" customHeight="1">
      <c r="B5" s="361" t="s">
        <v>7</v>
      </c>
      <c r="C5" s="365" t="s">
        <v>241</v>
      </c>
      <c r="D5" s="363">
        <v>-0.02</v>
      </c>
      <c r="E5" s="363">
        <v>-0.02</v>
      </c>
      <c r="F5" s="363">
        <v>-0.02</v>
      </c>
      <c r="G5" s="363">
        <v>-0.02</v>
      </c>
      <c r="H5" s="363">
        <v>-0.02</v>
      </c>
    </row>
    <row r="6" spans="2:9" ht="17.75" customHeight="1">
      <c r="B6" s="361" t="s">
        <v>8</v>
      </c>
      <c r="C6" s="365" t="s">
        <v>241</v>
      </c>
      <c r="D6" s="363">
        <v>-0.02</v>
      </c>
      <c r="E6" s="363">
        <v>-0.02</v>
      </c>
      <c r="F6" s="363">
        <v>-0.02</v>
      </c>
      <c r="G6" s="363">
        <v>-0.02</v>
      </c>
      <c r="H6" s="363">
        <v>-0.02</v>
      </c>
    </row>
    <row r="7" spans="2:9" ht="17.75" customHeight="1">
      <c r="D7" s="363"/>
      <c r="E7" s="363"/>
      <c r="F7" s="363"/>
      <c r="G7" s="363"/>
      <c r="H7" s="363"/>
    </row>
    <row r="8" spans="2:9" ht="17.75" customHeight="1">
      <c r="B8" s="361" t="s">
        <v>152</v>
      </c>
      <c r="C8" s="361" t="s">
        <v>243</v>
      </c>
      <c r="D8" s="363">
        <v>0.65</v>
      </c>
      <c r="E8" s="363">
        <v>0.65</v>
      </c>
      <c r="F8" s="363">
        <v>0.65</v>
      </c>
      <c r="G8" s="363">
        <v>0.65</v>
      </c>
      <c r="H8" s="363">
        <v>0.65</v>
      </c>
    </row>
    <row r="9" spans="2:9" ht="17.75" customHeight="1">
      <c r="B9" s="361" t="str">
        <f>Model!B20</f>
        <v>S&amp;M</v>
      </c>
      <c r="C9" s="365" t="s">
        <v>241</v>
      </c>
      <c r="D9" s="363">
        <v>0.4</v>
      </c>
      <c r="E9" s="363">
        <v>0.38</v>
      </c>
      <c r="F9" s="363">
        <v>0.36</v>
      </c>
      <c r="G9" s="363">
        <v>0.34</v>
      </c>
      <c r="H9" s="363">
        <v>0.32</v>
      </c>
    </row>
    <row r="10" spans="2:9" ht="17.75" customHeight="1">
      <c r="B10" s="361" t="str">
        <f>Model!B21</f>
        <v>R&amp;D</v>
      </c>
      <c r="C10" s="365" t="s">
        <v>241</v>
      </c>
      <c r="D10" s="363">
        <v>0.42</v>
      </c>
      <c r="E10" s="363">
        <v>0.4</v>
      </c>
      <c r="F10" s="363">
        <v>0.38</v>
      </c>
      <c r="G10" s="363">
        <v>0.36</v>
      </c>
      <c r="H10" s="363">
        <v>0.34</v>
      </c>
    </row>
    <row r="11" spans="2:9" ht="17.75" customHeight="1">
      <c r="B11" s="361" t="str">
        <f>Model!B22</f>
        <v>G&amp;A</v>
      </c>
      <c r="C11" s="365" t="s">
        <v>241</v>
      </c>
      <c r="D11" s="363">
        <v>0.3</v>
      </c>
      <c r="E11" s="363">
        <v>0.28000000000000003</v>
      </c>
      <c r="F11" s="363">
        <v>0.26</v>
      </c>
      <c r="G11" s="363">
        <v>0.24</v>
      </c>
      <c r="H11" s="363">
        <v>0.22</v>
      </c>
    </row>
    <row r="13" spans="2:9">
      <c r="B13" s="418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20C1-C684-44DB-80C6-22FD2D6F37AC}">
  <sheetPr>
    <tabColor theme="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10D9-B400-4BD4-9C02-899968814C70}">
  <dimension ref="A1:N38"/>
  <sheetViews>
    <sheetView showGridLines="0" zoomScale="120" zoomScaleNormal="120" zoomScaleSheetLayoutView="130" workbookViewId="0">
      <pane xSplit="2" ySplit="3" topLeftCell="C4" activePane="bottomRight" state="frozen"/>
      <selection pane="topRight"/>
      <selection pane="bottomLeft"/>
      <selection pane="bottomRight" activeCell="A2" sqref="A2"/>
    </sheetView>
  </sheetViews>
  <sheetFormatPr defaultColWidth="9.1328125" defaultRowHeight="13.15"/>
  <cols>
    <col min="1" max="1" width="9.1328125" style="1"/>
    <col min="2" max="2" width="28.796875" style="2" customWidth="1"/>
    <col min="3" max="4" width="11.3984375" style="2" customWidth="1"/>
    <col min="5" max="5" width="20.33203125" style="2" customWidth="1"/>
    <col min="6" max="7" width="12.9296875" style="2" customWidth="1"/>
    <col min="8" max="9" width="7.796875" style="2" customWidth="1"/>
    <col min="10" max="16384" width="9.1328125" style="1"/>
  </cols>
  <sheetData>
    <row r="1" spans="2:14" s="2" customFormat="1">
      <c r="B1" s="7"/>
    </row>
    <row r="2" spans="2:14" s="2" customFormat="1">
      <c r="B2" s="3" t="s">
        <v>80</v>
      </c>
      <c r="C2" s="29"/>
      <c r="D2" s="29"/>
      <c r="E2" s="29"/>
      <c r="F2" s="29"/>
      <c r="G2" s="367" t="s">
        <v>248</v>
      </c>
    </row>
    <row r="3" spans="2:14" s="116" customFormat="1" ht="14.35" customHeight="1">
      <c r="B3" s="117" t="s">
        <v>79</v>
      </c>
      <c r="C3" s="117"/>
      <c r="E3" s="117" t="s">
        <v>76</v>
      </c>
      <c r="F3" s="117"/>
      <c r="G3" s="117"/>
    </row>
    <row r="4" spans="2:14" s="116" customFormat="1" ht="14.35" customHeight="1">
      <c r="B4" s="116" t="s">
        <v>237</v>
      </c>
      <c r="C4" s="130">
        <f>Model!N64</f>
        <v>56611.084275388726</v>
      </c>
      <c r="D4" s="118"/>
      <c r="E4" s="116" t="s">
        <v>163</v>
      </c>
      <c r="G4" s="129">
        <v>300000</v>
      </c>
    </row>
    <row r="5" spans="2:14" s="116" customFormat="1" ht="14.35" customHeight="1">
      <c r="B5" s="116" t="s">
        <v>164</v>
      </c>
      <c r="C5" s="120">
        <v>30</v>
      </c>
      <c r="E5" s="123" t="s">
        <v>171</v>
      </c>
      <c r="F5" s="123"/>
      <c r="G5" s="127">
        <f>SUM(G4)</f>
        <v>300000</v>
      </c>
      <c r="I5" s="119"/>
    </row>
    <row r="6" spans="2:14" s="116" customFormat="1" ht="14.35" customHeight="1">
      <c r="B6" s="123" t="s">
        <v>165</v>
      </c>
      <c r="C6" s="127">
        <f>C5*C4</f>
        <v>1698332.5282616618</v>
      </c>
      <c r="I6" s="121"/>
      <c r="N6" s="122"/>
    </row>
    <row r="7" spans="2:14" s="116" customFormat="1" ht="14.35" customHeight="1">
      <c r="B7" s="125" t="s">
        <v>78</v>
      </c>
      <c r="C7" s="130">
        <f>Model!L58</f>
        <v>0</v>
      </c>
      <c r="E7" s="117" t="s">
        <v>77</v>
      </c>
      <c r="F7" s="117"/>
      <c r="G7" s="117"/>
      <c r="I7" s="124"/>
      <c r="N7" s="122"/>
    </row>
    <row r="8" spans="2:14" s="116" customFormat="1" ht="14.35" customHeight="1">
      <c r="B8" s="125" t="s">
        <v>75</v>
      </c>
      <c r="C8" s="130">
        <f>Model!L48</f>
        <v>26476.7341127695</v>
      </c>
      <c r="E8" s="116" t="s">
        <v>236</v>
      </c>
      <c r="G8" s="128">
        <f>G4</f>
        <v>300000</v>
      </c>
      <c r="I8" s="124"/>
      <c r="N8" s="122"/>
    </row>
    <row r="9" spans="2:14" s="116" customFormat="1" ht="14.35" customHeight="1">
      <c r="B9" s="123" t="s">
        <v>166</v>
      </c>
      <c r="C9" s="127">
        <f>+C6-C7+C8</f>
        <v>1724809.2623744314</v>
      </c>
      <c r="E9" s="123" t="s">
        <v>170</v>
      </c>
      <c r="F9" s="127"/>
      <c r="G9" s="127">
        <f>SUM(G8)</f>
        <v>300000</v>
      </c>
      <c r="I9" s="119"/>
    </row>
    <row r="10" spans="2:14" s="116" customFormat="1" ht="14.35" customHeight="1">
      <c r="B10" s="126"/>
      <c r="C10" s="256"/>
      <c r="E10" s="126"/>
      <c r="F10" s="256"/>
      <c r="G10" s="256"/>
      <c r="I10" s="119"/>
    </row>
    <row r="11" spans="2:14" s="116" customFormat="1" ht="14.35" customHeight="1">
      <c r="B11" s="266" t="s">
        <v>246</v>
      </c>
      <c r="C11" s="267">
        <v>525000</v>
      </c>
      <c r="E11" s="126"/>
      <c r="F11" s="256"/>
      <c r="G11" s="256"/>
      <c r="I11" s="119"/>
    </row>
    <row r="12" spans="2:14" s="116" customFormat="1" ht="14.35" customHeight="1">
      <c r="B12" s="266" t="s">
        <v>247</v>
      </c>
      <c r="C12" s="137">
        <f>+C9/C11*1000</f>
        <v>3285.3509759512976</v>
      </c>
    </row>
    <row r="13" spans="2:14" s="116" customFormat="1" ht="14.35" customHeight="1">
      <c r="B13" s="266" t="s">
        <v>84</v>
      </c>
      <c r="C13" s="360">
        <f>+G4/C12*1000</f>
        <v>91314.44469586169</v>
      </c>
    </row>
    <row r="14" spans="2:14" s="116" customFormat="1" ht="14.35" customHeight="1">
      <c r="B14" s="266" t="s">
        <v>245</v>
      </c>
      <c r="C14" s="360">
        <f>+C13+C11</f>
        <v>616314.44469586166</v>
      </c>
      <c r="E14" s="126"/>
      <c r="F14" s="256"/>
      <c r="G14" s="256"/>
      <c r="I14" s="119"/>
    </row>
    <row r="15" spans="2:14" s="116" customFormat="1" ht="14.35" customHeight="1">
      <c r="C15" s="360"/>
    </row>
    <row r="16" spans="2:14" ht="14.35" customHeight="1"/>
    <row r="17" spans="1:14" ht="14.35" customHeight="1">
      <c r="B17" s="3" t="s">
        <v>81</v>
      </c>
      <c r="C17" s="29"/>
      <c r="D17" s="29"/>
      <c r="E17" s="29"/>
      <c r="F17" s="29"/>
      <c r="G17" s="29"/>
    </row>
    <row r="18" spans="1:14" ht="14.35" customHeight="1">
      <c r="B18" s="139" t="s">
        <v>93</v>
      </c>
      <c r="E18" s="139" t="s">
        <v>97</v>
      </c>
    </row>
    <row r="19" spans="1:14" ht="14.35" customHeight="1">
      <c r="B19" s="2" t="s">
        <v>238</v>
      </c>
      <c r="C19" s="66">
        <f>SUM(Model!AE8:AH8)</f>
        <v>436393.44796078879</v>
      </c>
      <c r="E19" s="2" t="s">
        <v>95</v>
      </c>
      <c r="G19" s="140">
        <f>+C13/C14</f>
        <v>0.14816210374709532</v>
      </c>
    </row>
    <row r="20" spans="1:14" ht="14.35" customHeight="1">
      <c r="B20" s="2" t="s">
        <v>90</v>
      </c>
      <c r="C20" s="120">
        <v>16</v>
      </c>
      <c r="E20" s="2" t="s">
        <v>96</v>
      </c>
      <c r="F20" s="1"/>
      <c r="G20" s="268">
        <f>+Model!AH136</f>
        <v>0.13433395907143544</v>
      </c>
    </row>
    <row r="21" spans="1:14" ht="14.35" customHeight="1">
      <c r="B21" s="9" t="s">
        <v>92</v>
      </c>
      <c r="C21" s="18">
        <f>C20*C19</f>
        <v>6982295.1673726207</v>
      </c>
      <c r="E21" s="9" t="s">
        <v>97</v>
      </c>
      <c r="F21" s="9"/>
      <c r="G21" s="141">
        <f>+G19*(1-G20)</f>
        <v>0.12825890176639526</v>
      </c>
    </row>
    <row r="22" spans="1:14" ht="14.35" customHeight="1">
      <c r="B22" s="125" t="s">
        <v>78</v>
      </c>
      <c r="C22" s="130">
        <f>+Model!AH58</f>
        <v>0</v>
      </c>
      <c r="E22" s="1"/>
      <c r="F22" s="1"/>
    </row>
    <row r="23" spans="1:14" ht="14.35" customHeight="1">
      <c r="B23" s="125" t="s">
        <v>75</v>
      </c>
      <c r="C23" s="130">
        <f>+Model!AH48</f>
        <v>118164.8839589322</v>
      </c>
    </row>
    <row r="24" spans="1:14" ht="14.35" customHeight="1">
      <c r="B24" s="123" t="s">
        <v>94</v>
      </c>
      <c r="C24" s="127">
        <f>+C21+C23-C22</f>
        <v>7100460.0513315527</v>
      </c>
    </row>
    <row r="25" spans="1:14" ht="14.35" customHeight="1">
      <c r="B25" s="125" t="s">
        <v>98</v>
      </c>
      <c r="C25" s="140">
        <f>+G21</f>
        <v>0.12825890176639526</v>
      </c>
    </row>
    <row r="26" spans="1:14" ht="14.35" customHeight="1">
      <c r="B26" s="123" t="s">
        <v>99</v>
      </c>
      <c r="C26" s="127">
        <f>+C24*C25</f>
        <v>910697.20821994753</v>
      </c>
    </row>
    <row r="27" spans="1:14" ht="14.35" customHeight="1" thickBot="1">
      <c r="B27" s="1"/>
      <c r="C27" s="1"/>
    </row>
    <row r="28" spans="1:14" s="2" customFormat="1" ht="14.35" customHeight="1" thickTop="1">
      <c r="A28" s="1"/>
      <c r="B28" s="142" t="s">
        <v>100</v>
      </c>
      <c r="C28" s="143">
        <f>XIRR(C32:C33, C34:C35)</f>
        <v>0.2485264003276825</v>
      </c>
      <c r="J28" s="1"/>
      <c r="K28" s="1"/>
      <c r="L28" s="1"/>
      <c r="M28" s="1"/>
      <c r="N28" s="1"/>
    </row>
    <row r="29" spans="1:14" s="2" customFormat="1" ht="14.35" customHeight="1" thickBot="1">
      <c r="A29" s="1"/>
      <c r="B29" s="144" t="s">
        <v>102</v>
      </c>
      <c r="C29" s="145">
        <f>+C33/(-C32)</f>
        <v>3.0356573607331585</v>
      </c>
      <c r="J29" s="1"/>
      <c r="K29" s="1"/>
      <c r="L29" s="1"/>
      <c r="M29" s="1"/>
      <c r="N29" s="1"/>
    </row>
    <row r="30" spans="1:14" s="2" customFormat="1" ht="14.35" customHeight="1" thickTop="1">
      <c r="A30" s="1"/>
      <c r="C30" s="1"/>
      <c r="J30" s="1"/>
      <c r="K30" s="1"/>
      <c r="L30" s="1"/>
      <c r="M30" s="1"/>
      <c r="N30" s="1"/>
    </row>
    <row r="31" spans="1:14" s="2" customFormat="1" ht="14.35" customHeight="1">
      <c r="A31" s="1"/>
      <c r="C31" s="1"/>
      <c r="J31" s="1"/>
      <c r="K31" s="1"/>
      <c r="L31" s="1"/>
      <c r="M31" s="1"/>
      <c r="N31" s="1"/>
    </row>
    <row r="32" spans="1:14" s="2" customFormat="1" ht="14.35" customHeight="1">
      <c r="A32" s="1"/>
      <c r="B32" s="2" t="s">
        <v>101</v>
      </c>
      <c r="C32" s="17">
        <f>+-G4</f>
        <v>-300000</v>
      </c>
      <c r="J32" s="1"/>
      <c r="K32" s="1"/>
      <c r="L32" s="1"/>
      <c r="M32" s="1"/>
      <c r="N32" s="1"/>
    </row>
    <row r="33" spans="1:14" s="2" customFormat="1" ht="14.35" customHeight="1">
      <c r="A33" s="1"/>
      <c r="B33" s="2" t="s">
        <v>91</v>
      </c>
      <c r="C33" s="17">
        <f>+C26</f>
        <v>910697.20821994753</v>
      </c>
      <c r="J33" s="1"/>
      <c r="K33" s="1"/>
      <c r="L33" s="1"/>
      <c r="M33" s="1"/>
      <c r="N33" s="1"/>
    </row>
    <row r="34" spans="1:14" s="2" customFormat="1" ht="14.35" customHeight="1">
      <c r="A34" s="1"/>
      <c r="B34" s="2" t="s">
        <v>89</v>
      </c>
      <c r="C34" s="138">
        <f>+Model!N4</f>
        <v>44926</v>
      </c>
      <c r="J34" s="1"/>
      <c r="K34" s="1"/>
      <c r="L34" s="1"/>
      <c r="M34" s="1"/>
      <c r="N34" s="1"/>
    </row>
    <row r="35" spans="1:14" s="2" customFormat="1" ht="14.35" customHeight="1">
      <c r="A35" s="1"/>
      <c r="B35" s="2" t="s">
        <v>88</v>
      </c>
      <c r="C35" s="138">
        <f>+Model!AH4</f>
        <v>46752</v>
      </c>
      <c r="J35" s="1"/>
      <c r="K35" s="1"/>
      <c r="L35" s="1"/>
      <c r="M35" s="1"/>
      <c r="N35" s="1"/>
    </row>
    <row r="36" spans="1:14" s="2" customFormat="1" ht="14.35" customHeight="1">
      <c r="A36" s="1"/>
      <c r="J36" s="1"/>
      <c r="K36" s="1"/>
      <c r="L36" s="1"/>
      <c r="M36" s="1"/>
      <c r="N36" s="1"/>
    </row>
    <row r="37" spans="1:14" s="2" customFormat="1" ht="14.35" customHeight="1">
      <c r="A37" s="1"/>
      <c r="J37" s="1"/>
      <c r="K37" s="1"/>
      <c r="L37" s="1"/>
      <c r="M37" s="1"/>
      <c r="N37" s="1"/>
    </row>
    <row r="38" spans="1:14" s="2" customFormat="1" ht="14.35" customHeight="1">
      <c r="A38" s="1"/>
      <c r="J38" s="1"/>
      <c r="K38" s="1"/>
      <c r="L38" s="1"/>
      <c r="M38" s="1"/>
      <c r="N38" s="1"/>
    </row>
  </sheetData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0523-3D04-4BA3-A24E-D2DB3A25DB42}">
  <dimension ref="A1:AI137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3.59765625" style="1" customWidth="1"/>
    <col min="2" max="2" width="38.6640625" style="2" customWidth="1"/>
    <col min="3" max="13" width="7.796875" style="2" customWidth="1"/>
    <col min="14" max="14" width="7.9296875" style="69" customWidth="1"/>
    <col min="15" max="15" width="7.796875" style="83" customWidth="1"/>
    <col min="16" max="34" width="7.796875" style="1" customWidth="1"/>
    <col min="35" max="35" width="7.86328125" style="1" customWidth="1"/>
    <col min="36" max="16384" width="9.1328125" style="1"/>
  </cols>
  <sheetData>
    <row r="1" spans="2:35" s="2" customFormat="1">
      <c r="B1" s="7"/>
      <c r="N1" s="69"/>
      <c r="O1" s="70"/>
    </row>
    <row r="2" spans="2:35" s="2" customFormat="1">
      <c r="B2" s="3" t="s">
        <v>53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71"/>
      <c r="O2" s="72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367" t="s">
        <v>248</v>
      </c>
      <c r="AI2" s="219"/>
    </row>
    <row r="3" spans="2:35" s="2" customFormat="1">
      <c r="B3" s="4"/>
      <c r="C3" s="156">
        <f t="shared" ref="C3:AH3" si="0">YEAR(C4)</f>
        <v>2020</v>
      </c>
      <c r="D3" s="156">
        <f t="shared" si="0"/>
        <v>2020</v>
      </c>
      <c r="E3" s="156">
        <f t="shared" si="0"/>
        <v>2020</v>
      </c>
      <c r="F3" s="156">
        <f t="shared" si="0"/>
        <v>2020</v>
      </c>
      <c r="G3" s="156">
        <f t="shared" si="0"/>
        <v>2021</v>
      </c>
      <c r="H3" s="156">
        <f t="shared" si="0"/>
        <v>2021</v>
      </c>
      <c r="I3" s="156">
        <f t="shared" si="0"/>
        <v>2021</v>
      </c>
      <c r="J3" s="156">
        <f t="shared" si="0"/>
        <v>2021</v>
      </c>
      <c r="K3" s="156">
        <f t="shared" si="0"/>
        <v>2022</v>
      </c>
      <c r="L3" s="156">
        <f t="shared" si="0"/>
        <v>2022</v>
      </c>
      <c r="M3" s="156">
        <f t="shared" si="0"/>
        <v>2022</v>
      </c>
      <c r="N3" s="340">
        <f t="shared" si="0"/>
        <v>2022</v>
      </c>
      <c r="O3" s="242">
        <f t="shared" si="0"/>
        <v>2023</v>
      </c>
      <c r="P3" s="240">
        <f t="shared" si="0"/>
        <v>2023</v>
      </c>
      <c r="Q3" s="240">
        <f t="shared" si="0"/>
        <v>2023</v>
      </c>
      <c r="R3" s="240">
        <f t="shared" si="0"/>
        <v>2023</v>
      </c>
      <c r="S3" s="240">
        <f t="shared" si="0"/>
        <v>2024</v>
      </c>
      <c r="T3" s="240">
        <f t="shared" si="0"/>
        <v>2024</v>
      </c>
      <c r="U3" s="240">
        <f t="shared" si="0"/>
        <v>2024</v>
      </c>
      <c r="V3" s="240">
        <f t="shared" si="0"/>
        <v>2024</v>
      </c>
      <c r="W3" s="240">
        <f t="shared" si="0"/>
        <v>2025</v>
      </c>
      <c r="X3" s="240">
        <f t="shared" si="0"/>
        <v>2025</v>
      </c>
      <c r="Y3" s="240">
        <f t="shared" si="0"/>
        <v>2025</v>
      </c>
      <c r="Z3" s="240">
        <f t="shared" si="0"/>
        <v>2025</v>
      </c>
      <c r="AA3" s="240">
        <f t="shared" si="0"/>
        <v>2026</v>
      </c>
      <c r="AB3" s="240">
        <f t="shared" si="0"/>
        <v>2026</v>
      </c>
      <c r="AC3" s="240">
        <f t="shared" si="0"/>
        <v>2026</v>
      </c>
      <c r="AD3" s="240">
        <f t="shared" si="0"/>
        <v>2026</v>
      </c>
      <c r="AE3" s="240">
        <f t="shared" si="0"/>
        <v>2027</v>
      </c>
      <c r="AF3" s="240">
        <f t="shared" si="0"/>
        <v>2027</v>
      </c>
      <c r="AG3" s="240">
        <f t="shared" si="0"/>
        <v>2027</v>
      </c>
      <c r="AH3" s="240">
        <f t="shared" si="0"/>
        <v>2027</v>
      </c>
      <c r="AI3" s="220"/>
    </row>
    <row r="4" spans="2:35" s="2" customFormat="1">
      <c r="B4" s="366"/>
      <c r="C4" s="294">
        <v>43921</v>
      </c>
      <c r="D4" s="21">
        <f t="shared" ref="D4:AH4" si="1">EOMONTH(C4, 3)</f>
        <v>44012</v>
      </c>
      <c r="E4" s="21">
        <f t="shared" si="1"/>
        <v>44104</v>
      </c>
      <c r="F4" s="21">
        <f t="shared" si="1"/>
        <v>44196</v>
      </c>
      <c r="G4" s="21">
        <f t="shared" si="1"/>
        <v>44286</v>
      </c>
      <c r="H4" s="21">
        <f t="shared" si="1"/>
        <v>44377</v>
      </c>
      <c r="I4" s="21">
        <f t="shared" si="1"/>
        <v>44469</v>
      </c>
      <c r="J4" s="21">
        <f t="shared" si="1"/>
        <v>44561</v>
      </c>
      <c r="K4" s="21">
        <f t="shared" si="1"/>
        <v>44651</v>
      </c>
      <c r="L4" s="21">
        <f t="shared" si="1"/>
        <v>44742</v>
      </c>
      <c r="M4" s="21">
        <f t="shared" si="1"/>
        <v>44834</v>
      </c>
      <c r="N4" s="73">
        <f t="shared" si="1"/>
        <v>44926</v>
      </c>
      <c r="O4" s="243">
        <f t="shared" si="1"/>
        <v>45016</v>
      </c>
      <c r="P4" s="241">
        <f t="shared" si="1"/>
        <v>45107</v>
      </c>
      <c r="Q4" s="241">
        <f t="shared" si="1"/>
        <v>45199</v>
      </c>
      <c r="R4" s="241">
        <f t="shared" si="1"/>
        <v>45291</v>
      </c>
      <c r="S4" s="241">
        <f t="shared" si="1"/>
        <v>45382</v>
      </c>
      <c r="T4" s="241">
        <f t="shared" si="1"/>
        <v>45473</v>
      </c>
      <c r="U4" s="241">
        <f t="shared" si="1"/>
        <v>45565</v>
      </c>
      <c r="V4" s="241">
        <f t="shared" si="1"/>
        <v>45657</v>
      </c>
      <c r="W4" s="241">
        <f t="shared" si="1"/>
        <v>45747</v>
      </c>
      <c r="X4" s="241">
        <f t="shared" si="1"/>
        <v>45838</v>
      </c>
      <c r="Y4" s="241">
        <f t="shared" si="1"/>
        <v>45930</v>
      </c>
      <c r="Z4" s="241">
        <f t="shared" si="1"/>
        <v>46022</v>
      </c>
      <c r="AA4" s="241">
        <f t="shared" si="1"/>
        <v>46112</v>
      </c>
      <c r="AB4" s="241">
        <f t="shared" si="1"/>
        <v>46203</v>
      </c>
      <c r="AC4" s="241">
        <f t="shared" si="1"/>
        <v>46295</v>
      </c>
      <c r="AD4" s="241">
        <f t="shared" si="1"/>
        <v>46387</v>
      </c>
      <c r="AE4" s="241">
        <f t="shared" si="1"/>
        <v>46477</v>
      </c>
      <c r="AF4" s="241">
        <f t="shared" si="1"/>
        <v>46568</v>
      </c>
      <c r="AG4" s="241">
        <f t="shared" si="1"/>
        <v>46660</v>
      </c>
      <c r="AH4" s="241">
        <f t="shared" si="1"/>
        <v>46752</v>
      </c>
      <c r="AI4" s="150"/>
    </row>
    <row r="5" spans="2:35">
      <c r="B5" s="62" t="s">
        <v>10</v>
      </c>
      <c r="C5" s="35">
        <f>+'ARR Waterfall'!C11</f>
        <v>8563.9987499999988</v>
      </c>
      <c r="D5" s="35">
        <f>+'ARR Waterfall'!D11</f>
        <v>10870.4805</v>
      </c>
      <c r="E5" s="35">
        <f>+'ARR Waterfall'!E11</f>
        <v>12868.785999999998</v>
      </c>
      <c r="F5" s="35">
        <f>+'ARR Waterfall'!F11</f>
        <v>17227.513749999998</v>
      </c>
      <c r="G5" s="35">
        <f>+'ARR Waterfall'!G11</f>
        <v>20583.552749999995</v>
      </c>
      <c r="H5" s="35">
        <f>+'ARR Waterfall'!H11</f>
        <v>24832.389999999992</v>
      </c>
      <c r="I5" s="35">
        <f>+'ARR Waterfall'!I11</f>
        <v>30936.947999999993</v>
      </c>
      <c r="J5" s="35">
        <f>+'ARR Waterfall'!J11</f>
        <v>37345.928749999999</v>
      </c>
      <c r="K5" s="35">
        <f>+'ARR Waterfall'!K11</f>
        <v>43417.531750000002</v>
      </c>
      <c r="L5" s="35">
        <f>+'ARR Waterfall'!L11</f>
        <v>51674.50475</v>
      </c>
      <c r="M5" s="35">
        <f>+'ARR Waterfall'!M11</f>
        <v>59276.025499999996</v>
      </c>
      <c r="N5" s="341">
        <f>+'ARR Waterfall'!N11</f>
        <v>71551.250249999997</v>
      </c>
      <c r="O5" s="196">
        <f>+'ARR Waterfall'!O11</f>
        <v>82999.450289999993</v>
      </c>
      <c r="P5" s="35">
        <f>+'ARR Waterfall'!P11</f>
        <v>96279.36233639998</v>
      </c>
      <c r="Q5" s="35">
        <f>+'ARR Waterfall'!Q11</f>
        <v>111684.06031022397</v>
      </c>
      <c r="R5" s="35">
        <f>+'ARR Waterfall'!R11</f>
        <v>129553.50995985979</v>
      </c>
      <c r="S5" s="35">
        <f>+'ARR Waterfall'!S11</f>
        <v>146395.46625464159</v>
      </c>
      <c r="T5" s="35">
        <f>+'ARR Waterfall'!T11</f>
        <v>165426.87686774501</v>
      </c>
      <c r="U5" s="35">
        <f>+'ARR Waterfall'!U11</f>
        <v>186932.37086055189</v>
      </c>
      <c r="V5" s="35">
        <f>+'ARR Waterfall'!V11</f>
        <v>211233.57907242366</v>
      </c>
      <c r="W5" s="35">
        <f>+'ARR Waterfall'!W11</f>
        <v>230244.6011889418</v>
      </c>
      <c r="X5" s="35">
        <f>+'ARR Waterfall'!X11</f>
        <v>250966.61529594654</v>
      </c>
      <c r="Y5" s="35">
        <f>+'ARR Waterfall'!Y11</f>
        <v>273553.61067258177</v>
      </c>
      <c r="Z5" s="35">
        <f>+'ARR Waterfall'!Z11</f>
        <v>298173.43563311419</v>
      </c>
      <c r="AA5" s="35">
        <f>+'ARR Waterfall'!AA11</f>
        <v>316063.84177110106</v>
      </c>
      <c r="AB5" s="35">
        <f>+'ARR Waterfall'!AB11</f>
        <v>335027.67227736709</v>
      </c>
      <c r="AC5" s="35">
        <f>+'ARR Waterfall'!AC11</f>
        <v>355129.33261400909</v>
      </c>
      <c r="AD5" s="35">
        <f>+'ARR Waterfall'!AD11</f>
        <v>376437.09257084964</v>
      </c>
      <c r="AE5" s="35">
        <f>+'ARR Waterfall'!AE11</f>
        <v>399023.31812510063</v>
      </c>
      <c r="AF5" s="35">
        <f>+'ARR Waterfall'!AF11</f>
        <v>422964.71721260669</v>
      </c>
      <c r="AG5" s="35">
        <f>+'ARR Waterfall'!AG11</f>
        <v>448342.60024536302</v>
      </c>
      <c r="AH5" s="35">
        <f>+'ARR Waterfall'!AH11</f>
        <v>475243.15626008483</v>
      </c>
      <c r="AI5" s="44"/>
    </row>
    <row r="6" spans="2:35">
      <c r="B6" s="6" t="s">
        <v>42</v>
      </c>
      <c r="C6" s="37"/>
      <c r="D6" s="37"/>
      <c r="E6" s="37"/>
      <c r="F6" s="37"/>
      <c r="G6" s="304">
        <f t="shared" ref="G6:AH6" si="2">G5/C5-1</f>
        <v>1.4034978694970031</v>
      </c>
      <c r="H6" s="304">
        <f t="shared" si="2"/>
        <v>1.2843875208644175</v>
      </c>
      <c r="I6" s="304">
        <f t="shared" si="2"/>
        <v>1.4040300304939408</v>
      </c>
      <c r="J6" s="304">
        <f t="shared" si="2"/>
        <v>1.1678072234886478</v>
      </c>
      <c r="K6" s="304">
        <f t="shared" si="2"/>
        <v>1.1093312839300791</v>
      </c>
      <c r="L6" s="304">
        <f t="shared" si="2"/>
        <v>1.0809315877368233</v>
      </c>
      <c r="M6" s="304">
        <f t="shared" si="2"/>
        <v>0.9160269299996886</v>
      </c>
      <c r="N6" s="307">
        <f t="shared" si="2"/>
        <v>0.9159049632685865</v>
      </c>
      <c r="O6" s="305">
        <f t="shared" si="2"/>
        <v>0.91165750204121143</v>
      </c>
      <c r="P6" s="306">
        <f t="shared" si="2"/>
        <v>0.86318887432394753</v>
      </c>
      <c r="Q6" s="306">
        <f t="shared" si="2"/>
        <v>0.88413543870656408</v>
      </c>
      <c r="R6" s="306">
        <f t="shared" si="2"/>
        <v>0.81063935999999925</v>
      </c>
      <c r="S6" s="306">
        <f t="shared" si="2"/>
        <v>0.7638124799999999</v>
      </c>
      <c r="T6" s="306">
        <f t="shared" si="2"/>
        <v>0.71819664000000016</v>
      </c>
      <c r="U6" s="306">
        <f t="shared" si="2"/>
        <v>0.67376052000000053</v>
      </c>
      <c r="V6" s="306">
        <f t="shared" si="2"/>
        <v>0.63047361000000079</v>
      </c>
      <c r="W6" s="306">
        <f t="shared" si="2"/>
        <v>0.57275773000000063</v>
      </c>
      <c r="X6" s="306">
        <f t="shared" si="2"/>
        <v>0.51708489000000024</v>
      </c>
      <c r="Y6" s="306">
        <f t="shared" si="2"/>
        <v>0.46338277000000039</v>
      </c>
      <c r="Z6" s="306">
        <f t="shared" si="2"/>
        <v>0.41158161000000049</v>
      </c>
      <c r="AA6" s="306">
        <f t="shared" si="2"/>
        <v>0.37273074000000039</v>
      </c>
      <c r="AB6" s="306">
        <f t="shared" si="2"/>
        <v>0.33494916000000052</v>
      </c>
      <c r="AC6" s="306">
        <f t="shared" si="2"/>
        <v>0.2982074400000001</v>
      </c>
      <c r="AD6" s="306">
        <f t="shared" si="2"/>
        <v>0.26247695999999987</v>
      </c>
      <c r="AE6" s="306">
        <f t="shared" si="2"/>
        <v>0.26247695999999987</v>
      </c>
      <c r="AF6" s="306">
        <f t="shared" si="2"/>
        <v>0.26247696000000009</v>
      </c>
      <c r="AG6" s="306">
        <f t="shared" si="2"/>
        <v>0.26247695999999987</v>
      </c>
      <c r="AH6" s="306">
        <f t="shared" si="2"/>
        <v>0.26247696000000009</v>
      </c>
      <c r="AI6" s="67"/>
    </row>
    <row r="7" spans="2:35">
      <c r="B7" s="6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280"/>
      <c r="O7" s="8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</row>
    <row r="8" spans="2:35">
      <c r="B8" s="64" t="s">
        <v>44</v>
      </c>
      <c r="C8" s="334">
        <v>2198.9787169971642</v>
      </c>
      <c r="D8" s="334">
        <v>2784.2487323102555</v>
      </c>
      <c r="E8" s="334">
        <v>3286.6843501780072</v>
      </c>
      <c r="F8" s="334">
        <v>4387.6529028517034</v>
      </c>
      <c r="G8" s="334">
        <v>5236.4888056163036</v>
      </c>
      <c r="H8" s="334">
        <v>6301.1026693484109</v>
      </c>
      <c r="I8" s="334">
        <v>7833.5467643579886</v>
      </c>
      <c r="J8" s="334">
        <v>9427.8556090420225</v>
      </c>
      <c r="K8" s="334">
        <v>10932.176950479708</v>
      </c>
      <c r="L8" s="334">
        <v>12966.669053697065</v>
      </c>
      <c r="M8" s="334">
        <v>14824.425708711953</v>
      </c>
      <c r="N8" s="222">
        <v>17887.812562499999</v>
      </c>
      <c r="O8" s="104">
        <f t="shared" ref="O8:AH8" si="3">O9*O5</f>
        <v>20749.862572499998</v>
      </c>
      <c r="P8" s="44">
        <f t="shared" si="3"/>
        <v>24069.840584099995</v>
      </c>
      <c r="Q8" s="44">
        <f t="shared" si="3"/>
        <v>27921.015077555992</v>
      </c>
      <c r="R8" s="44">
        <f t="shared" si="3"/>
        <v>32388.377489964947</v>
      </c>
      <c r="S8" s="44">
        <f t="shared" si="3"/>
        <v>36598.866563660398</v>
      </c>
      <c r="T8" s="44">
        <f t="shared" si="3"/>
        <v>41356.719216936253</v>
      </c>
      <c r="U8" s="44">
        <f t="shared" si="3"/>
        <v>46733.092715137973</v>
      </c>
      <c r="V8" s="44">
        <f t="shared" si="3"/>
        <v>52808.394768105914</v>
      </c>
      <c r="W8" s="44">
        <f t="shared" si="3"/>
        <v>57561.15029723545</v>
      </c>
      <c r="X8" s="44">
        <f t="shared" si="3"/>
        <v>62741.653823986635</v>
      </c>
      <c r="Y8" s="44">
        <f t="shared" si="3"/>
        <v>68388.402668145442</v>
      </c>
      <c r="Z8" s="44">
        <f t="shared" si="3"/>
        <v>74543.358908278547</v>
      </c>
      <c r="AA8" s="44">
        <f t="shared" si="3"/>
        <v>79015.960442775264</v>
      </c>
      <c r="AB8" s="44">
        <f t="shared" si="3"/>
        <v>83756.918069341773</v>
      </c>
      <c r="AC8" s="44">
        <f t="shared" si="3"/>
        <v>88782.333153502273</v>
      </c>
      <c r="AD8" s="44">
        <f t="shared" si="3"/>
        <v>94109.273142712409</v>
      </c>
      <c r="AE8" s="44">
        <f t="shared" si="3"/>
        <v>99755.829531275158</v>
      </c>
      <c r="AF8" s="44">
        <f t="shared" si="3"/>
        <v>105741.17930315167</v>
      </c>
      <c r="AG8" s="44">
        <f t="shared" si="3"/>
        <v>112085.65006134076</v>
      </c>
      <c r="AH8" s="44">
        <f t="shared" si="3"/>
        <v>118810.78906502121</v>
      </c>
      <c r="AI8" s="44"/>
    </row>
    <row r="9" spans="2:35">
      <c r="B9" s="6" t="s">
        <v>227</v>
      </c>
      <c r="C9" s="302">
        <f t="shared" ref="C9:M9" si="4">+C8/C5</f>
        <v>0.25677008850534505</v>
      </c>
      <c r="D9" s="302">
        <f t="shared" si="4"/>
        <v>0.25612931574738168</v>
      </c>
      <c r="E9" s="302">
        <f t="shared" si="4"/>
        <v>0.25539972070232636</v>
      </c>
      <c r="F9" s="302">
        <f t="shared" si="4"/>
        <v>0.25468868964633412</v>
      </c>
      <c r="G9" s="302">
        <f t="shared" si="4"/>
        <v>0.25440160254241362</v>
      </c>
      <c r="H9" s="302">
        <f t="shared" si="4"/>
        <v>0.25374531687640267</v>
      </c>
      <c r="I9" s="302">
        <f t="shared" si="4"/>
        <v>0.25321006986073707</v>
      </c>
      <c r="J9" s="302">
        <f t="shared" si="4"/>
        <v>0.252446676909649</v>
      </c>
      <c r="K9" s="302">
        <f t="shared" si="4"/>
        <v>0.25179176498165878</v>
      </c>
      <c r="L9" s="302">
        <f t="shared" si="4"/>
        <v>0.25092972088323817</v>
      </c>
      <c r="M9" s="302">
        <f t="shared" si="4"/>
        <v>0.25009142538937523</v>
      </c>
      <c r="N9" s="342">
        <f>+N8/N5</f>
        <v>0.25</v>
      </c>
      <c r="O9" s="311">
        <v>0.25</v>
      </c>
      <c r="P9" s="303">
        <v>0.25</v>
      </c>
      <c r="Q9" s="303">
        <v>0.25</v>
      </c>
      <c r="R9" s="303">
        <v>0.25</v>
      </c>
      <c r="S9" s="303">
        <v>0.25</v>
      </c>
      <c r="T9" s="303">
        <v>0.25</v>
      </c>
      <c r="U9" s="303">
        <v>0.25</v>
      </c>
      <c r="V9" s="303">
        <v>0.25</v>
      </c>
      <c r="W9" s="303">
        <v>0.25</v>
      </c>
      <c r="X9" s="303">
        <v>0.25</v>
      </c>
      <c r="Y9" s="303">
        <v>0.25</v>
      </c>
      <c r="Z9" s="303">
        <v>0.25</v>
      </c>
      <c r="AA9" s="303">
        <v>0.25</v>
      </c>
      <c r="AB9" s="303">
        <v>0.25</v>
      </c>
      <c r="AC9" s="303">
        <v>0.25</v>
      </c>
      <c r="AD9" s="303">
        <v>0.25</v>
      </c>
      <c r="AE9" s="303">
        <v>0.25</v>
      </c>
      <c r="AF9" s="303">
        <v>0.25</v>
      </c>
      <c r="AG9" s="303">
        <v>0.25</v>
      </c>
      <c r="AH9" s="303">
        <v>0.25</v>
      </c>
      <c r="AI9" s="44"/>
    </row>
    <row r="10" spans="2:35">
      <c r="B10" s="6" t="s">
        <v>42</v>
      </c>
      <c r="C10" s="37"/>
      <c r="D10" s="37"/>
      <c r="E10" s="37"/>
      <c r="F10" s="37"/>
      <c r="G10" s="304">
        <f t="shared" ref="G10:AH10" si="5">G8/C8-1</f>
        <v>1.3813276432102262</v>
      </c>
      <c r="H10" s="304">
        <f t="shared" si="5"/>
        <v>1.2631249127372373</v>
      </c>
      <c r="I10" s="304">
        <f t="shared" si="5"/>
        <v>1.3834192547068667</v>
      </c>
      <c r="J10" s="304">
        <f t="shared" si="5"/>
        <v>1.1487241169223981</v>
      </c>
      <c r="K10" s="304">
        <f t="shared" si="5"/>
        <v>1.0876922220772429</v>
      </c>
      <c r="L10" s="304">
        <f t="shared" si="5"/>
        <v>1.0578412595581357</v>
      </c>
      <c r="M10" s="304">
        <f t="shared" si="5"/>
        <v>0.89242831563371849</v>
      </c>
      <c r="N10" s="307">
        <f t="shared" si="5"/>
        <v>0.8973362877284885</v>
      </c>
      <c r="O10" s="305">
        <f t="shared" si="5"/>
        <v>0.89805403502817294</v>
      </c>
      <c r="P10" s="306">
        <f t="shared" si="5"/>
        <v>0.85628556450564952</v>
      </c>
      <c r="Q10" s="306">
        <f t="shared" si="5"/>
        <v>0.88344665932977717</v>
      </c>
      <c r="R10" s="306">
        <f t="shared" si="5"/>
        <v>0.81063935999999925</v>
      </c>
      <c r="S10" s="306">
        <f t="shared" si="5"/>
        <v>0.7638124799999999</v>
      </c>
      <c r="T10" s="306">
        <f t="shared" si="5"/>
        <v>0.71819664000000016</v>
      </c>
      <c r="U10" s="306">
        <f t="shared" si="5"/>
        <v>0.67376052000000053</v>
      </c>
      <c r="V10" s="306">
        <f t="shared" si="5"/>
        <v>0.63047361000000079</v>
      </c>
      <c r="W10" s="306">
        <f t="shared" si="5"/>
        <v>0.57275773000000063</v>
      </c>
      <c r="X10" s="306">
        <f t="shared" si="5"/>
        <v>0.51708489000000024</v>
      </c>
      <c r="Y10" s="306">
        <f t="shared" si="5"/>
        <v>0.46338277000000039</v>
      </c>
      <c r="Z10" s="306">
        <f t="shared" si="5"/>
        <v>0.41158161000000049</v>
      </c>
      <c r="AA10" s="306">
        <f t="shared" si="5"/>
        <v>0.37273074000000039</v>
      </c>
      <c r="AB10" s="306">
        <f t="shared" si="5"/>
        <v>0.33494916000000052</v>
      </c>
      <c r="AC10" s="306">
        <f t="shared" si="5"/>
        <v>0.2982074400000001</v>
      </c>
      <c r="AD10" s="306">
        <f t="shared" si="5"/>
        <v>0.26247695999999987</v>
      </c>
      <c r="AE10" s="306">
        <f t="shared" si="5"/>
        <v>0.26247695999999987</v>
      </c>
      <c r="AF10" s="306">
        <f t="shared" si="5"/>
        <v>0.26247696000000009</v>
      </c>
      <c r="AG10" s="306">
        <f t="shared" si="5"/>
        <v>0.26247695999999987</v>
      </c>
      <c r="AH10" s="306">
        <f t="shared" si="5"/>
        <v>0.26247696000000009</v>
      </c>
      <c r="AI10" s="67"/>
    </row>
    <row r="11" spans="2:35">
      <c r="B11" s="6"/>
      <c r="C11" s="37"/>
      <c r="D11" s="37"/>
      <c r="E11" s="37"/>
      <c r="F11" s="37"/>
      <c r="G11" s="304"/>
      <c r="H11" s="304"/>
      <c r="I11" s="304"/>
      <c r="J11" s="304"/>
      <c r="K11" s="304"/>
      <c r="L11" s="304"/>
      <c r="M11" s="304"/>
      <c r="N11" s="307"/>
      <c r="O11" s="305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67"/>
    </row>
    <row r="12" spans="2:35">
      <c r="B12" s="64" t="s">
        <v>124</v>
      </c>
      <c r="C12" s="44"/>
      <c r="D12" s="44"/>
      <c r="E12" s="44"/>
      <c r="F12" s="44">
        <f>SUM(C8:F8)</f>
        <v>12657.564702337131</v>
      </c>
      <c r="G12" s="44">
        <f t="shared" ref="G12:AH12" si="6">SUM(D8:G8)</f>
        <v>15695.074790956271</v>
      </c>
      <c r="H12" s="44">
        <f t="shared" si="6"/>
        <v>19211.928727994426</v>
      </c>
      <c r="I12" s="44">
        <f t="shared" si="6"/>
        <v>23758.791142174407</v>
      </c>
      <c r="J12" s="44">
        <f t="shared" si="6"/>
        <v>28798.993848364727</v>
      </c>
      <c r="K12" s="44">
        <f t="shared" si="6"/>
        <v>34494.681993228136</v>
      </c>
      <c r="L12" s="44">
        <f t="shared" si="6"/>
        <v>41160.248377576783</v>
      </c>
      <c r="M12" s="44">
        <f t="shared" si="6"/>
        <v>48151.127321930748</v>
      </c>
      <c r="N12" s="103">
        <f t="shared" si="6"/>
        <v>56611.084275388726</v>
      </c>
      <c r="O12" s="104">
        <f t="shared" si="6"/>
        <v>66428.769897409016</v>
      </c>
      <c r="P12" s="44">
        <f t="shared" si="6"/>
        <v>77531.941427811937</v>
      </c>
      <c r="Q12" s="44">
        <f t="shared" si="6"/>
        <v>90628.530796655978</v>
      </c>
      <c r="R12" s="44">
        <f t="shared" si="6"/>
        <v>105129.09572412093</v>
      </c>
      <c r="S12" s="44">
        <f t="shared" si="6"/>
        <v>120978.09971528134</v>
      </c>
      <c r="T12" s="44">
        <f t="shared" si="6"/>
        <v>138264.97834811761</v>
      </c>
      <c r="U12" s="44">
        <f t="shared" si="6"/>
        <v>157077.05598569958</v>
      </c>
      <c r="V12" s="44">
        <f t="shared" si="6"/>
        <v>177497.07326384055</v>
      </c>
      <c r="W12" s="44">
        <f t="shared" si="6"/>
        <v>198459.3569974156</v>
      </c>
      <c r="X12" s="44">
        <f t="shared" si="6"/>
        <v>219844.29160446598</v>
      </c>
      <c r="Y12" s="44">
        <f t="shared" si="6"/>
        <v>241499.60155747342</v>
      </c>
      <c r="Z12" s="44">
        <f t="shared" si="6"/>
        <v>263234.56569764612</v>
      </c>
      <c r="AA12" s="44">
        <f t="shared" si="6"/>
        <v>284689.37584318587</v>
      </c>
      <c r="AB12" s="44">
        <f t="shared" si="6"/>
        <v>305704.64008854108</v>
      </c>
      <c r="AC12" s="44">
        <f t="shared" si="6"/>
        <v>326098.57057389786</v>
      </c>
      <c r="AD12" s="44">
        <f t="shared" si="6"/>
        <v>345664.4848083317</v>
      </c>
      <c r="AE12" s="44">
        <f t="shared" si="6"/>
        <v>366404.35389683163</v>
      </c>
      <c r="AF12" s="44">
        <f t="shared" si="6"/>
        <v>388388.6151306415</v>
      </c>
      <c r="AG12" s="44">
        <f t="shared" si="6"/>
        <v>411691.93203848001</v>
      </c>
      <c r="AH12" s="44">
        <f t="shared" si="6"/>
        <v>436393.44796078879</v>
      </c>
      <c r="AI12" s="44"/>
    </row>
    <row r="13" spans="2:35">
      <c r="B13" s="6"/>
    </row>
    <row r="14" spans="2:35">
      <c r="B14" s="16" t="s">
        <v>43</v>
      </c>
    </row>
    <row r="15" spans="2:35">
      <c r="B15" s="2" t="s">
        <v>152</v>
      </c>
      <c r="C15" s="42">
        <v>722.25339857999984</v>
      </c>
      <c r="D15" s="42">
        <v>918.37481230879075</v>
      </c>
      <c r="E15" s="42">
        <v>1085.7528472421607</v>
      </c>
      <c r="F15" s="42">
        <v>1453.3983570653002</v>
      </c>
      <c r="G15" s="42">
        <v>1740.5519116865787</v>
      </c>
      <c r="H15" s="42">
        <v>2108.5494219070456</v>
      </c>
      <c r="I15" s="42">
        <v>2628.3375294385278</v>
      </c>
      <c r="J15" s="42">
        <v>3172.8358104161639</v>
      </c>
      <c r="K15" s="42">
        <v>3697.5796746221113</v>
      </c>
      <c r="L15" s="42">
        <v>4401.0711119605139</v>
      </c>
      <c r="M15" s="42">
        <v>5056.4592996690471</v>
      </c>
      <c r="N15" s="208">
        <v>6099.509681454294</v>
      </c>
      <c r="O15" s="81">
        <f t="shared" ref="O15:AH15" si="7">(1-O17)*O8</f>
        <v>7262.4519003749992</v>
      </c>
      <c r="P15" s="41">
        <f t="shared" si="7"/>
        <v>8424.444204434998</v>
      </c>
      <c r="Q15" s="41">
        <f t="shared" si="7"/>
        <v>9772.3552771445975</v>
      </c>
      <c r="R15" s="41">
        <f t="shared" si="7"/>
        <v>11335.932121487731</v>
      </c>
      <c r="S15" s="41">
        <f t="shared" si="7"/>
        <v>12809.603297281139</v>
      </c>
      <c r="T15" s="41">
        <f t="shared" si="7"/>
        <v>14474.851725927687</v>
      </c>
      <c r="U15" s="41">
        <f t="shared" si="7"/>
        <v>16356.582450298289</v>
      </c>
      <c r="V15" s="41">
        <f t="shared" si="7"/>
        <v>18482.93816883707</v>
      </c>
      <c r="W15" s="41">
        <f t="shared" si="7"/>
        <v>20146.402604032406</v>
      </c>
      <c r="X15" s="41">
        <f t="shared" si="7"/>
        <v>21959.578838395322</v>
      </c>
      <c r="Y15" s="41">
        <f t="shared" si="7"/>
        <v>23935.940933850903</v>
      </c>
      <c r="Z15" s="41">
        <f t="shared" si="7"/>
        <v>26090.17561789749</v>
      </c>
      <c r="AA15" s="41">
        <f t="shared" si="7"/>
        <v>27655.586154971341</v>
      </c>
      <c r="AB15" s="41">
        <f t="shared" si="7"/>
        <v>29314.921324269617</v>
      </c>
      <c r="AC15" s="41">
        <f t="shared" si="7"/>
        <v>31073.816603725794</v>
      </c>
      <c r="AD15" s="41">
        <f t="shared" si="7"/>
        <v>32938.24559994934</v>
      </c>
      <c r="AE15" s="41">
        <f t="shared" si="7"/>
        <v>34914.540335946302</v>
      </c>
      <c r="AF15" s="41">
        <f t="shared" si="7"/>
        <v>37009.412756103084</v>
      </c>
      <c r="AG15" s="41">
        <f t="shared" si="7"/>
        <v>39229.977521469264</v>
      </c>
      <c r="AH15" s="41">
        <f t="shared" si="7"/>
        <v>41583.776172757418</v>
      </c>
      <c r="AI15" s="41"/>
    </row>
    <row r="16" spans="2:35">
      <c r="B16" s="62" t="s">
        <v>43</v>
      </c>
      <c r="C16" s="22">
        <f t="shared" ref="C16:AH16" si="8">C8-C15</f>
        <v>1476.7253184171643</v>
      </c>
      <c r="D16" s="22">
        <f t="shared" si="8"/>
        <v>1865.8739200014647</v>
      </c>
      <c r="E16" s="22">
        <f t="shared" si="8"/>
        <v>2200.9315029358468</v>
      </c>
      <c r="F16" s="22">
        <f t="shared" si="8"/>
        <v>2934.2545457864035</v>
      </c>
      <c r="G16" s="22">
        <f t="shared" si="8"/>
        <v>3495.9368939297246</v>
      </c>
      <c r="H16" s="22">
        <f t="shared" si="8"/>
        <v>4192.5532474413649</v>
      </c>
      <c r="I16" s="22">
        <f t="shared" si="8"/>
        <v>5205.2092349194609</v>
      </c>
      <c r="J16" s="22">
        <f t="shared" si="8"/>
        <v>6255.019798625859</v>
      </c>
      <c r="K16" s="22">
        <f t="shared" si="8"/>
        <v>7234.5972758575972</v>
      </c>
      <c r="L16" s="22">
        <f t="shared" si="8"/>
        <v>8565.5979417365525</v>
      </c>
      <c r="M16" s="22">
        <f t="shared" si="8"/>
        <v>9767.9664090429069</v>
      </c>
      <c r="N16" s="78">
        <f t="shared" si="8"/>
        <v>11788.302881045705</v>
      </c>
      <c r="O16" s="79">
        <f t="shared" si="8"/>
        <v>13487.410672124999</v>
      </c>
      <c r="P16" s="22">
        <f t="shared" si="8"/>
        <v>15645.396379664997</v>
      </c>
      <c r="Q16" s="22">
        <f t="shared" si="8"/>
        <v>18148.659800411395</v>
      </c>
      <c r="R16" s="22">
        <f t="shared" si="8"/>
        <v>21052.445368477216</v>
      </c>
      <c r="S16" s="22">
        <f t="shared" si="8"/>
        <v>23789.263266379261</v>
      </c>
      <c r="T16" s="22">
        <f t="shared" si="8"/>
        <v>26881.867491008568</v>
      </c>
      <c r="U16" s="22">
        <f t="shared" si="8"/>
        <v>30376.510264839686</v>
      </c>
      <c r="V16" s="22">
        <f t="shared" si="8"/>
        <v>34325.456599268844</v>
      </c>
      <c r="W16" s="22">
        <f t="shared" si="8"/>
        <v>37414.74769320304</v>
      </c>
      <c r="X16" s="22">
        <f t="shared" si="8"/>
        <v>40782.074985591316</v>
      </c>
      <c r="Y16" s="22">
        <f t="shared" si="8"/>
        <v>44452.461734294542</v>
      </c>
      <c r="Z16" s="22">
        <f t="shared" si="8"/>
        <v>48453.183290381057</v>
      </c>
      <c r="AA16" s="22">
        <f t="shared" si="8"/>
        <v>51360.374287803919</v>
      </c>
      <c r="AB16" s="22">
        <f t="shared" si="8"/>
        <v>54441.99674507216</v>
      </c>
      <c r="AC16" s="22">
        <f t="shared" si="8"/>
        <v>57708.516549776483</v>
      </c>
      <c r="AD16" s="22">
        <f t="shared" si="8"/>
        <v>61171.02754276307</v>
      </c>
      <c r="AE16" s="22">
        <f t="shared" si="8"/>
        <v>64841.289195328856</v>
      </c>
      <c r="AF16" s="22">
        <f t="shared" si="8"/>
        <v>68731.766547048581</v>
      </c>
      <c r="AG16" s="22">
        <f t="shared" si="8"/>
        <v>72855.672539871492</v>
      </c>
      <c r="AH16" s="22">
        <f t="shared" si="8"/>
        <v>77227.012892263796</v>
      </c>
      <c r="AI16" s="44"/>
    </row>
    <row r="17" spans="2:35">
      <c r="B17" s="6" t="s">
        <v>226</v>
      </c>
      <c r="C17" s="306">
        <f t="shared" ref="C17:N17" si="9">C16/C8</f>
        <v>0.67155052798042558</v>
      </c>
      <c r="D17" s="306">
        <f t="shared" si="9"/>
        <v>0.67015345947674687</v>
      </c>
      <c r="E17" s="306">
        <f t="shared" si="9"/>
        <v>0.66965101252167525</v>
      </c>
      <c r="F17" s="306">
        <f t="shared" si="9"/>
        <v>0.66875265905361825</v>
      </c>
      <c r="G17" s="306">
        <f t="shared" si="9"/>
        <v>0.66761087891188065</v>
      </c>
      <c r="H17" s="306">
        <f t="shared" si="9"/>
        <v>0.66536818513304929</v>
      </c>
      <c r="I17" s="306">
        <f t="shared" si="9"/>
        <v>0.66447669127383613</v>
      </c>
      <c r="J17" s="306">
        <f t="shared" si="9"/>
        <v>0.66346156093298936</v>
      </c>
      <c r="K17" s="306">
        <f t="shared" si="9"/>
        <v>0.66177096369997379</v>
      </c>
      <c r="L17" s="306">
        <f t="shared" si="9"/>
        <v>0.66058583790987735</v>
      </c>
      <c r="M17" s="306">
        <f t="shared" si="9"/>
        <v>0.65891027423089388</v>
      </c>
      <c r="N17" s="343">
        <f t="shared" si="9"/>
        <v>0.65901310402584923</v>
      </c>
      <c r="O17" s="311">
        <v>0.65</v>
      </c>
      <c r="P17" s="303">
        <v>0.65</v>
      </c>
      <c r="Q17" s="303">
        <v>0.65</v>
      </c>
      <c r="R17" s="303">
        <v>0.65</v>
      </c>
      <c r="S17" s="303">
        <v>0.65</v>
      </c>
      <c r="T17" s="303">
        <v>0.65</v>
      </c>
      <c r="U17" s="303">
        <v>0.65</v>
      </c>
      <c r="V17" s="303">
        <v>0.65</v>
      </c>
      <c r="W17" s="303">
        <v>0.65</v>
      </c>
      <c r="X17" s="303">
        <v>0.65</v>
      </c>
      <c r="Y17" s="303">
        <v>0.65</v>
      </c>
      <c r="Z17" s="303">
        <v>0.65</v>
      </c>
      <c r="AA17" s="303">
        <v>0.65</v>
      </c>
      <c r="AB17" s="303">
        <v>0.65</v>
      </c>
      <c r="AC17" s="303">
        <v>0.65</v>
      </c>
      <c r="AD17" s="303">
        <v>0.65</v>
      </c>
      <c r="AE17" s="303">
        <v>0.65</v>
      </c>
      <c r="AF17" s="303">
        <v>0.65</v>
      </c>
      <c r="AG17" s="303">
        <v>0.65</v>
      </c>
      <c r="AH17" s="303">
        <v>0.65</v>
      </c>
      <c r="AI17" s="67"/>
    </row>
    <row r="19" spans="2:35">
      <c r="B19" s="16" t="s">
        <v>47</v>
      </c>
    </row>
    <row r="20" spans="2:35">
      <c r="B20" s="2" t="s">
        <v>21</v>
      </c>
      <c r="C20" s="42">
        <v>1200.0105704689199</v>
      </c>
      <c r="D20" s="42">
        <v>1349.9439499435048</v>
      </c>
      <c r="E20" s="42">
        <v>1491.0471257342761</v>
      </c>
      <c r="F20" s="42">
        <v>1617.0779601869442</v>
      </c>
      <c r="G20" s="42">
        <v>1758.387862041845</v>
      </c>
      <c r="H20" s="42">
        <v>1902.2560830999869</v>
      </c>
      <c r="I20" s="42">
        <v>2438.4820432835822</v>
      </c>
      <c r="J20" s="42">
        <v>2927.6112537313434</v>
      </c>
      <c r="K20" s="42">
        <v>3411.8055469435094</v>
      </c>
      <c r="L20" s="42">
        <v>4597.6604899734848</v>
      </c>
      <c r="M20" s="42">
        <v>4968.3288814763155</v>
      </c>
      <c r="N20" s="208">
        <v>6584.1337443371531</v>
      </c>
      <c r="O20" s="81">
        <f>O$8*O24</f>
        <v>8299.9450290000004</v>
      </c>
      <c r="P20" s="41">
        <f t="shared" ref="P20:AH22" si="10">P$8*P24</f>
        <v>9627.936233639999</v>
      </c>
      <c r="Q20" s="41">
        <f t="shared" si="10"/>
        <v>11168.406031022398</v>
      </c>
      <c r="R20" s="41">
        <f t="shared" si="10"/>
        <v>12955.35099598598</v>
      </c>
      <c r="S20" s="41">
        <f t="shared" si="10"/>
        <v>13907.569294190951</v>
      </c>
      <c r="T20" s="41">
        <f t="shared" si="10"/>
        <v>15715.553302435777</v>
      </c>
      <c r="U20" s="41">
        <f t="shared" si="10"/>
        <v>17758.575231752431</v>
      </c>
      <c r="V20" s="41">
        <f t="shared" si="10"/>
        <v>20067.190011880248</v>
      </c>
      <c r="W20" s="41">
        <f t="shared" si="10"/>
        <v>20722.014107004761</v>
      </c>
      <c r="X20" s="41">
        <f t="shared" si="10"/>
        <v>22586.995376635186</v>
      </c>
      <c r="Y20" s="41">
        <f t="shared" si="10"/>
        <v>24619.824960532358</v>
      </c>
      <c r="Z20" s="41">
        <f t="shared" si="10"/>
        <v>26835.609206980276</v>
      </c>
      <c r="AA20" s="41">
        <f t="shared" si="10"/>
        <v>26865.426550543591</v>
      </c>
      <c r="AB20" s="41">
        <f t="shared" si="10"/>
        <v>28477.352143576205</v>
      </c>
      <c r="AC20" s="41">
        <f t="shared" si="10"/>
        <v>30185.993272190775</v>
      </c>
      <c r="AD20" s="41">
        <f t="shared" si="10"/>
        <v>31997.152868522222</v>
      </c>
      <c r="AE20" s="41">
        <f t="shared" si="10"/>
        <v>31921.865450008052</v>
      </c>
      <c r="AF20" s="41">
        <f t="shared" si="10"/>
        <v>33837.177377008535</v>
      </c>
      <c r="AG20" s="41">
        <f t="shared" si="10"/>
        <v>35867.408019629045</v>
      </c>
      <c r="AH20" s="41">
        <f t="shared" si="10"/>
        <v>38019.452500806787</v>
      </c>
      <c r="AI20" s="39"/>
    </row>
    <row r="21" spans="2:35">
      <c r="B21" s="2" t="s">
        <v>45</v>
      </c>
      <c r="C21" s="42">
        <v>2384.2613508414452</v>
      </c>
      <c r="D21" s="42">
        <v>2500.9067467600526</v>
      </c>
      <c r="E21" s="42">
        <v>2551.3451846569142</v>
      </c>
      <c r="F21" s="42">
        <v>2636.7792719553327</v>
      </c>
      <c r="G21" s="42">
        <v>2660.6690876773114</v>
      </c>
      <c r="H21" s="42">
        <v>2698.5614105398677</v>
      </c>
      <c r="I21" s="42">
        <v>3369.0084747654942</v>
      </c>
      <c r="J21" s="42">
        <v>4151.8057109887332</v>
      </c>
      <c r="K21" s="42">
        <v>4502.3103339739237</v>
      </c>
      <c r="L21" s="42">
        <v>5732.0898126337152</v>
      </c>
      <c r="M21" s="42">
        <v>5605.4327482381332</v>
      </c>
      <c r="N21" s="208">
        <v>7072.7661174825662</v>
      </c>
      <c r="O21" s="81">
        <f t="shared" ref="O21:AD22" si="11">O$8*O25</f>
        <v>8714.9422804499991</v>
      </c>
      <c r="P21" s="41">
        <f t="shared" si="11"/>
        <v>10109.333045321997</v>
      </c>
      <c r="Q21" s="41">
        <f t="shared" si="11"/>
        <v>11726.826332573517</v>
      </c>
      <c r="R21" s="41">
        <f t="shared" si="11"/>
        <v>13603.118545785277</v>
      </c>
      <c r="S21" s="41">
        <f t="shared" si="11"/>
        <v>14639.54662546416</v>
      </c>
      <c r="T21" s="41">
        <f t="shared" si="11"/>
        <v>16542.687686774501</v>
      </c>
      <c r="U21" s="41">
        <f t="shared" si="11"/>
        <v>18693.237086055189</v>
      </c>
      <c r="V21" s="41">
        <f t="shared" si="11"/>
        <v>21123.357907242367</v>
      </c>
      <c r="W21" s="41">
        <f t="shared" si="11"/>
        <v>21873.237112949471</v>
      </c>
      <c r="X21" s="41">
        <f t="shared" si="11"/>
        <v>23841.828453114922</v>
      </c>
      <c r="Y21" s="41">
        <f t="shared" si="11"/>
        <v>25987.593013895268</v>
      </c>
      <c r="Z21" s="41">
        <f t="shared" si="11"/>
        <v>28326.476385145848</v>
      </c>
      <c r="AA21" s="41">
        <f t="shared" si="11"/>
        <v>28445.745759399095</v>
      </c>
      <c r="AB21" s="41">
        <f t="shared" si="11"/>
        <v>30152.490504963036</v>
      </c>
      <c r="AC21" s="41">
        <f t="shared" si="11"/>
        <v>31961.639935260817</v>
      </c>
      <c r="AD21" s="41">
        <f t="shared" si="11"/>
        <v>33879.338331376464</v>
      </c>
      <c r="AE21" s="41">
        <f t="shared" si="10"/>
        <v>33916.982040633557</v>
      </c>
      <c r="AF21" s="41">
        <f t="shared" si="10"/>
        <v>35952.000963071572</v>
      </c>
      <c r="AG21" s="41">
        <f t="shared" si="10"/>
        <v>38109.121020855862</v>
      </c>
      <c r="AH21" s="41">
        <f t="shared" si="10"/>
        <v>40395.66828210721</v>
      </c>
      <c r="AI21" s="39"/>
    </row>
    <row r="22" spans="2:35">
      <c r="B22" s="2" t="s">
        <v>46</v>
      </c>
      <c r="C22" s="42">
        <v>1361.00066061251</v>
      </c>
      <c r="D22" s="42">
        <v>1326.3992017120966</v>
      </c>
      <c r="E22" s="42">
        <v>1478.9223325896753</v>
      </c>
      <c r="F22" s="42">
        <v>1886.0624037228752</v>
      </c>
      <c r="G22" s="42">
        <v>1697.4528916920449</v>
      </c>
      <c r="H22" s="42">
        <v>2916.5136223740574</v>
      </c>
      <c r="I22" s="42">
        <v>3509.8163840649363</v>
      </c>
      <c r="J22" s="42">
        <v>3710.7397775573627</v>
      </c>
      <c r="K22" s="42">
        <v>4047.094126180064</v>
      </c>
      <c r="L22" s="42">
        <v>4572.46400169758</v>
      </c>
      <c r="M22" s="42">
        <v>4505.088913530376</v>
      </c>
      <c r="N22" s="208">
        <v>4913.5267902978676</v>
      </c>
      <c r="O22" s="81">
        <f t="shared" si="11"/>
        <v>6224.958771749999</v>
      </c>
      <c r="P22" s="41">
        <f t="shared" si="10"/>
        <v>7220.9521752299979</v>
      </c>
      <c r="Q22" s="41">
        <f t="shared" si="10"/>
        <v>8376.3045232667973</v>
      </c>
      <c r="R22" s="41">
        <f t="shared" si="10"/>
        <v>9716.5132469894834</v>
      </c>
      <c r="S22" s="41">
        <f t="shared" si="10"/>
        <v>10247.682637824912</v>
      </c>
      <c r="T22" s="41">
        <f t="shared" si="10"/>
        <v>11579.881380742152</v>
      </c>
      <c r="U22" s="41">
        <f t="shared" si="10"/>
        <v>13085.265960238634</v>
      </c>
      <c r="V22" s="41">
        <f t="shared" si="10"/>
        <v>14786.350535069658</v>
      </c>
      <c r="W22" s="41">
        <f t="shared" si="10"/>
        <v>14965.899077281218</v>
      </c>
      <c r="X22" s="41">
        <f t="shared" si="10"/>
        <v>16312.829994236527</v>
      </c>
      <c r="Y22" s="41">
        <f t="shared" si="10"/>
        <v>17780.984693717815</v>
      </c>
      <c r="Z22" s="41">
        <f t="shared" si="10"/>
        <v>19381.273316152423</v>
      </c>
      <c r="AA22" s="41">
        <f t="shared" si="10"/>
        <v>18963.830506266062</v>
      </c>
      <c r="AB22" s="41">
        <f t="shared" si="10"/>
        <v>20101.660336642024</v>
      </c>
      <c r="AC22" s="41">
        <f t="shared" si="10"/>
        <v>21307.759956840546</v>
      </c>
      <c r="AD22" s="41">
        <f t="shared" si="10"/>
        <v>22586.225554250977</v>
      </c>
      <c r="AE22" s="41">
        <f t="shared" si="10"/>
        <v>21946.282496880536</v>
      </c>
      <c r="AF22" s="41">
        <f t="shared" si="10"/>
        <v>23263.059446693369</v>
      </c>
      <c r="AG22" s="41">
        <f t="shared" si="10"/>
        <v>24658.843013494967</v>
      </c>
      <c r="AH22" s="41">
        <f t="shared" si="10"/>
        <v>26138.373594304667</v>
      </c>
      <c r="AI22" s="39"/>
    </row>
    <row r="23" spans="2:35">
      <c r="B23" s="62" t="s">
        <v>47</v>
      </c>
      <c r="C23" s="22">
        <f t="shared" ref="C23:O23" si="12">SUM(C20:C22)</f>
        <v>4945.2725819228754</v>
      </c>
      <c r="D23" s="22">
        <f t="shared" si="12"/>
        <v>5177.2498984156537</v>
      </c>
      <c r="E23" s="22">
        <f t="shared" si="12"/>
        <v>5521.3146429808658</v>
      </c>
      <c r="F23" s="22">
        <f t="shared" si="12"/>
        <v>6139.9196358651525</v>
      </c>
      <c r="G23" s="22">
        <f t="shared" si="12"/>
        <v>6116.5098414112017</v>
      </c>
      <c r="H23" s="22">
        <f t="shared" si="12"/>
        <v>7517.3311160139119</v>
      </c>
      <c r="I23" s="22">
        <f t="shared" si="12"/>
        <v>9317.3069021140127</v>
      </c>
      <c r="J23" s="22">
        <f t="shared" si="12"/>
        <v>10790.156742277439</v>
      </c>
      <c r="K23" s="22">
        <f t="shared" si="12"/>
        <v>11961.210007097498</v>
      </c>
      <c r="L23" s="22">
        <f t="shared" si="12"/>
        <v>14902.21430430478</v>
      </c>
      <c r="M23" s="22">
        <f t="shared" si="12"/>
        <v>15078.850543244826</v>
      </c>
      <c r="N23" s="78">
        <f t="shared" si="12"/>
        <v>18570.426652117585</v>
      </c>
      <c r="O23" s="79">
        <f t="shared" si="12"/>
        <v>23239.846081200001</v>
      </c>
      <c r="P23" s="22">
        <f t="shared" ref="P23:AH23" si="13">SUM(P20:P22)</f>
        <v>26958.221454191997</v>
      </c>
      <c r="Q23" s="22">
        <f t="shared" si="13"/>
        <v>31271.536886862712</v>
      </c>
      <c r="R23" s="22">
        <f t="shared" si="13"/>
        <v>36274.982788760739</v>
      </c>
      <c r="S23" s="22">
        <f t="shared" si="13"/>
        <v>38794.798557480019</v>
      </c>
      <c r="T23" s="22">
        <f t="shared" si="13"/>
        <v>43838.122369952434</v>
      </c>
      <c r="U23" s="22">
        <f t="shared" si="13"/>
        <v>49537.078278046254</v>
      </c>
      <c r="V23" s="22">
        <f t="shared" si="13"/>
        <v>55976.898454192276</v>
      </c>
      <c r="W23" s="22">
        <f t="shared" si="13"/>
        <v>57561.15029723545</v>
      </c>
      <c r="X23" s="22">
        <f t="shared" si="13"/>
        <v>62741.653823986635</v>
      </c>
      <c r="Y23" s="22">
        <f t="shared" si="13"/>
        <v>68388.402668145442</v>
      </c>
      <c r="Z23" s="22">
        <f t="shared" si="13"/>
        <v>74543.358908278547</v>
      </c>
      <c r="AA23" s="22">
        <f t="shared" si="13"/>
        <v>74275.002816208755</v>
      </c>
      <c r="AB23" s="22">
        <f t="shared" si="13"/>
        <v>78731.502985181258</v>
      </c>
      <c r="AC23" s="22">
        <f t="shared" si="13"/>
        <v>83455.393164292138</v>
      </c>
      <c r="AD23" s="22">
        <f t="shared" si="13"/>
        <v>88462.71675414966</v>
      </c>
      <c r="AE23" s="22">
        <f t="shared" si="13"/>
        <v>87785.129987522145</v>
      </c>
      <c r="AF23" s="22">
        <f t="shared" si="13"/>
        <v>93052.237786773476</v>
      </c>
      <c r="AG23" s="22">
        <f t="shared" si="13"/>
        <v>98635.372053979867</v>
      </c>
      <c r="AH23" s="22">
        <f t="shared" si="13"/>
        <v>104553.49437721865</v>
      </c>
      <c r="AI23" s="44"/>
    </row>
    <row r="24" spans="2:35">
      <c r="B24" s="6" t="str">
        <f>B20&amp;" as % of Revenue"</f>
        <v>S&amp;M as % of Revenue</v>
      </c>
      <c r="C24" s="306">
        <f t="shared" ref="C24:N24" si="14">+C20/C$8</f>
        <v>0.54571268070643519</v>
      </c>
      <c r="D24" s="306">
        <f t="shared" si="14"/>
        <v>0.48485034195324089</v>
      </c>
      <c r="E24" s="306">
        <f t="shared" si="14"/>
        <v>0.4536630131985509</v>
      </c>
      <c r="F24" s="306">
        <f t="shared" si="14"/>
        <v>0.36855193334366615</v>
      </c>
      <c r="G24" s="306">
        <f t="shared" si="14"/>
        <v>0.33579521074425234</v>
      </c>
      <c r="H24" s="306">
        <f t="shared" si="14"/>
        <v>0.30189257070091463</v>
      </c>
      <c r="I24" s="306">
        <f t="shared" si="14"/>
        <v>0.31128709850542802</v>
      </c>
      <c r="J24" s="306">
        <f t="shared" si="14"/>
        <v>0.31052779922971496</v>
      </c>
      <c r="K24" s="306">
        <f t="shared" si="14"/>
        <v>0.31208839395833216</v>
      </c>
      <c r="L24" s="306">
        <f t="shared" si="14"/>
        <v>0.35457529385024267</v>
      </c>
      <c r="M24" s="306">
        <f t="shared" si="14"/>
        <v>0.33514477923799435</v>
      </c>
      <c r="N24" s="343">
        <f t="shared" si="14"/>
        <v>0.36807931217594081</v>
      </c>
      <c r="O24" s="311">
        <v>0.4</v>
      </c>
      <c r="P24" s="303">
        <v>0.4</v>
      </c>
      <c r="Q24" s="303">
        <v>0.4</v>
      </c>
      <c r="R24" s="303">
        <v>0.4</v>
      </c>
      <c r="S24" s="303">
        <v>0.38</v>
      </c>
      <c r="T24" s="303">
        <v>0.38</v>
      </c>
      <c r="U24" s="303">
        <v>0.38</v>
      </c>
      <c r="V24" s="303">
        <v>0.38</v>
      </c>
      <c r="W24" s="303">
        <v>0.36</v>
      </c>
      <c r="X24" s="303">
        <v>0.36</v>
      </c>
      <c r="Y24" s="303">
        <v>0.36</v>
      </c>
      <c r="Z24" s="303">
        <v>0.36</v>
      </c>
      <c r="AA24" s="303">
        <v>0.34</v>
      </c>
      <c r="AB24" s="303">
        <v>0.34</v>
      </c>
      <c r="AC24" s="303">
        <v>0.34</v>
      </c>
      <c r="AD24" s="303">
        <v>0.34</v>
      </c>
      <c r="AE24" s="303">
        <v>0.32</v>
      </c>
      <c r="AF24" s="303">
        <v>0.32</v>
      </c>
      <c r="AG24" s="303">
        <v>0.32</v>
      </c>
      <c r="AH24" s="303">
        <v>0.32</v>
      </c>
      <c r="AI24" s="67"/>
    </row>
    <row r="25" spans="2:35">
      <c r="B25" s="6" t="str">
        <f>B21&amp;" as % of Revenue"</f>
        <v>R&amp;D as % of Revenue</v>
      </c>
      <c r="C25" s="306">
        <f t="shared" ref="C25:N25" si="15">+C21/C$8</f>
        <v>1.084258493459771</v>
      </c>
      <c r="D25" s="306">
        <f t="shared" si="15"/>
        <v>0.89823395364713077</v>
      </c>
      <c r="E25" s="306">
        <f t="shared" si="15"/>
        <v>0.77626717774669574</v>
      </c>
      <c r="F25" s="306">
        <f t="shared" si="15"/>
        <v>0.60095438958756031</v>
      </c>
      <c r="G25" s="306">
        <f t="shared" si="15"/>
        <v>0.50810174268369634</v>
      </c>
      <c r="H25" s="306">
        <f t="shared" si="15"/>
        <v>0.42826812260447145</v>
      </c>
      <c r="I25" s="306">
        <f t="shared" si="15"/>
        <v>0.4300744702379532</v>
      </c>
      <c r="J25" s="306">
        <f t="shared" si="15"/>
        <v>0.44037646344592285</v>
      </c>
      <c r="K25" s="306">
        <f t="shared" si="15"/>
        <v>0.41184023588059104</v>
      </c>
      <c r="L25" s="306">
        <f t="shared" si="15"/>
        <v>0.44206340031477692</v>
      </c>
      <c r="M25" s="306">
        <f t="shared" si="15"/>
        <v>0.37812140978547026</v>
      </c>
      <c r="N25" s="343">
        <f t="shared" si="15"/>
        <v>0.39539580889336406</v>
      </c>
      <c r="O25" s="311">
        <v>0.42</v>
      </c>
      <c r="P25" s="303">
        <v>0.42</v>
      </c>
      <c r="Q25" s="303">
        <v>0.42</v>
      </c>
      <c r="R25" s="303">
        <v>0.42</v>
      </c>
      <c r="S25" s="303">
        <v>0.4</v>
      </c>
      <c r="T25" s="303">
        <v>0.4</v>
      </c>
      <c r="U25" s="303">
        <v>0.4</v>
      </c>
      <c r="V25" s="303">
        <v>0.4</v>
      </c>
      <c r="W25" s="303">
        <v>0.38</v>
      </c>
      <c r="X25" s="303">
        <v>0.38</v>
      </c>
      <c r="Y25" s="303">
        <v>0.38</v>
      </c>
      <c r="Z25" s="303">
        <v>0.38</v>
      </c>
      <c r="AA25" s="303">
        <v>0.36</v>
      </c>
      <c r="AB25" s="303">
        <v>0.36</v>
      </c>
      <c r="AC25" s="303">
        <v>0.36</v>
      </c>
      <c r="AD25" s="303">
        <v>0.36</v>
      </c>
      <c r="AE25" s="303">
        <v>0.34</v>
      </c>
      <c r="AF25" s="303">
        <v>0.34</v>
      </c>
      <c r="AG25" s="303">
        <v>0.34</v>
      </c>
      <c r="AH25" s="303">
        <v>0.34</v>
      </c>
      <c r="AI25" s="67"/>
    </row>
    <row r="26" spans="2:35">
      <c r="B26" s="6" t="str">
        <f>B22&amp;" as % of Revenue"</f>
        <v>G&amp;A as % of Revenue</v>
      </c>
      <c r="C26" s="306">
        <f t="shared" ref="C26:N26" si="16">+C22/C$8</f>
        <v>0.61892398052448505</v>
      </c>
      <c r="D26" s="306">
        <f t="shared" si="16"/>
        <v>0.47639393216550191</v>
      </c>
      <c r="E26" s="306">
        <f t="shared" si="16"/>
        <v>0.4499739479118452</v>
      </c>
      <c r="F26" s="306">
        <f t="shared" si="16"/>
        <v>0.42985679256831166</v>
      </c>
      <c r="G26" s="306">
        <f t="shared" si="16"/>
        <v>0.32415860220525472</v>
      </c>
      <c r="H26" s="306">
        <f t="shared" si="16"/>
        <v>0.4628576576860714</v>
      </c>
      <c r="I26" s="306">
        <f t="shared" si="16"/>
        <v>0.44804945826510162</v>
      </c>
      <c r="J26" s="306">
        <f t="shared" si="16"/>
        <v>0.39359319143565202</v>
      </c>
      <c r="K26" s="306">
        <f t="shared" si="16"/>
        <v>0.37020020298907397</v>
      </c>
      <c r="L26" s="306">
        <f t="shared" si="16"/>
        <v>0.3526321203049349</v>
      </c>
      <c r="M26" s="306">
        <f t="shared" si="16"/>
        <v>0.30389635335976928</v>
      </c>
      <c r="N26" s="343">
        <f t="shared" si="16"/>
        <v>0.27468572655991391</v>
      </c>
      <c r="O26" s="311">
        <v>0.3</v>
      </c>
      <c r="P26" s="303">
        <v>0.3</v>
      </c>
      <c r="Q26" s="303">
        <v>0.3</v>
      </c>
      <c r="R26" s="303">
        <v>0.3</v>
      </c>
      <c r="S26" s="303">
        <v>0.28000000000000003</v>
      </c>
      <c r="T26" s="303">
        <v>0.28000000000000003</v>
      </c>
      <c r="U26" s="303">
        <v>0.28000000000000003</v>
      </c>
      <c r="V26" s="303">
        <v>0.28000000000000003</v>
      </c>
      <c r="W26" s="303">
        <v>0.26</v>
      </c>
      <c r="X26" s="303">
        <v>0.26</v>
      </c>
      <c r="Y26" s="303">
        <v>0.26</v>
      </c>
      <c r="Z26" s="303">
        <v>0.26</v>
      </c>
      <c r="AA26" s="303">
        <v>0.24</v>
      </c>
      <c r="AB26" s="303">
        <v>0.24</v>
      </c>
      <c r="AC26" s="303">
        <v>0.24</v>
      </c>
      <c r="AD26" s="303">
        <v>0.24</v>
      </c>
      <c r="AE26" s="303">
        <v>0.22</v>
      </c>
      <c r="AF26" s="303">
        <v>0.22</v>
      </c>
      <c r="AG26" s="303">
        <v>0.22</v>
      </c>
      <c r="AH26" s="303">
        <v>0.22</v>
      </c>
      <c r="AI26" s="67"/>
    </row>
    <row r="27" spans="2:35">
      <c r="B27" s="6" t="str">
        <f>B23&amp;" as % of Revenue"</f>
        <v>Operating Expenses as % of Revenue</v>
      </c>
      <c r="C27" s="306">
        <f t="shared" ref="C27:N27" si="17">+C23/C$8</f>
        <v>2.2488951546906915</v>
      </c>
      <c r="D27" s="306">
        <f t="shared" si="17"/>
        <v>1.8594782277658735</v>
      </c>
      <c r="E27" s="306">
        <f t="shared" si="17"/>
        <v>1.6799041388570919</v>
      </c>
      <c r="F27" s="306">
        <f t="shared" si="17"/>
        <v>1.3993631154995383</v>
      </c>
      <c r="G27" s="306">
        <f t="shared" si="17"/>
        <v>1.1680555556332035</v>
      </c>
      <c r="H27" s="306">
        <f t="shared" si="17"/>
        <v>1.1930183509914574</v>
      </c>
      <c r="I27" s="306">
        <f t="shared" si="17"/>
        <v>1.1894110270084828</v>
      </c>
      <c r="J27" s="306">
        <f t="shared" si="17"/>
        <v>1.1444974541112898</v>
      </c>
      <c r="K27" s="306">
        <f t="shared" si="17"/>
        <v>1.0941288328279972</v>
      </c>
      <c r="L27" s="306">
        <f t="shared" si="17"/>
        <v>1.1492708144699544</v>
      </c>
      <c r="M27" s="306">
        <f t="shared" si="17"/>
        <v>1.017162542383234</v>
      </c>
      <c r="N27" s="343">
        <f t="shared" si="17"/>
        <v>1.0381608476292186</v>
      </c>
      <c r="O27" s="305">
        <f>+O23/O$8</f>
        <v>1.1200000000000001</v>
      </c>
      <c r="P27" s="306">
        <f t="shared" ref="P27:AH27" si="18">+P23/P$8</f>
        <v>1.1200000000000001</v>
      </c>
      <c r="Q27" s="306">
        <f t="shared" si="18"/>
        <v>1.1200000000000001</v>
      </c>
      <c r="R27" s="306">
        <f t="shared" si="18"/>
        <v>1.1199999999999999</v>
      </c>
      <c r="S27" s="306">
        <f t="shared" si="18"/>
        <v>1.0599999999999998</v>
      </c>
      <c r="T27" s="306">
        <f t="shared" si="18"/>
        <v>1.06</v>
      </c>
      <c r="U27" s="306">
        <f t="shared" si="18"/>
        <v>1.06</v>
      </c>
      <c r="V27" s="306">
        <f t="shared" si="18"/>
        <v>1.06</v>
      </c>
      <c r="W27" s="306">
        <f t="shared" si="18"/>
        <v>1</v>
      </c>
      <c r="X27" s="306">
        <f t="shared" si="18"/>
        <v>1</v>
      </c>
      <c r="Y27" s="306">
        <f t="shared" si="18"/>
        <v>1</v>
      </c>
      <c r="Z27" s="306">
        <f t="shared" si="18"/>
        <v>1</v>
      </c>
      <c r="AA27" s="306">
        <f t="shared" si="18"/>
        <v>0.94000000000000006</v>
      </c>
      <c r="AB27" s="306">
        <f t="shared" si="18"/>
        <v>0.94</v>
      </c>
      <c r="AC27" s="306">
        <f t="shared" si="18"/>
        <v>0.94000000000000006</v>
      </c>
      <c r="AD27" s="306">
        <f t="shared" si="18"/>
        <v>0.94</v>
      </c>
      <c r="AE27" s="306">
        <f t="shared" si="18"/>
        <v>0.88</v>
      </c>
      <c r="AF27" s="306">
        <f t="shared" si="18"/>
        <v>0.88</v>
      </c>
      <c r="AG27" s="306">
        <f t="shared" si="18"/>
        <v>0.88</v>
      </c>
      <c r="AH27" s="306">
        <f t="shared" si="18"/>
        <v>0.87999999999999989</v>
      </c>
      <c r="AI27" s="67"/>
    </row>
    <row r="29" spans="2:35">
      <c r="B29" s="62" t="s">
        <v>52</v>
      </c>
      <c r="C29" s="22">
        <f t="shared" ref="C29:AH29" si="19">+C16-C23</f>
        <v>-3468.5472635057113</v>
      </c>
      <c r="D29" s="22">
        <f t="shared" si="19"/>
        <v>-3311.3759784141889</v>
      </c>
      <c r="E29" s="22">
        <f t="shared" si="19"/>
        <v>-3320.383140045019</v>
      </c>
      <c r="F29" s="22">
        <f t="shared" si="19"/>
        <v>-3205.665090078749</v>
      </c>
      <c r="G29" s="22">
        <f t="shared" si="19"/>
        <v>-2620.5729474814771</v>
      </c>
      <c r="H29" s="22">
        <f t="shared" si="19"/>
        <v>-3324.777868572547</v>
      </c>
      <c r="I29" s="22">
        <f t="shared" si="19"/>
        <v>-4112.0976671945518</v>
      </c>
      <c r="J29" s="22">
        <f t="shared" si="19"/>
        <v>-4535.1369436515797</v>
      </c>
      <c r="K29" s="22">
        <f t="shared" si="19"/>
        <v>-4726.6127312399003</v>
      </c>
      <c r="L29" s="22">
        <f t="shared" si="19"/>
        <v>-6336.6163625682275</v>
      </c>
      <c r="M29" s="22">
        <f t="shared" si="19"/>
        <v>-5310.8841342019186</v>
      </c>
      <c r="N29" s="78">
        <f t="shared" si="19"/>
        <v>-6782.1237710718797</v>
      </c>
      <c r="O29" s="79">
        <f t="shared" si="19"/>
        <v>-9752.4354090750021</v>
      </c>
      <c r="P29" s="22">
        <f t="shared" si="19"/>
        <v>-11312.825074527</v>
      </c>
      <c r="Q29" s="22">
        <f t="shared" si="19"/>
        <v>-13122.877086451317</v>
      </c>
      <c r="R29" s="22">
        <f t="shared" si="19"/>
        <v>-15222.537420283523</v>
      </c>
      <c r="S29" s="22">
        <f t="shared" si="19"/>
        <v>-15005.535291100758</v>
      </c>
      <c r="T29" s="22">
        <f t="shared" si="19"/>
        <v>-16956.254878943866</v>
      </c>
      <c r="U29" s="22">
        <f t="shared" si="19"/>
        <v>-19160.568013206568</v>
      </c>
      <c r="V29" s="22">
        <f t="shared" si="19"/>
        <v>-21651.441854923432</v>
      </c>
      <c r="W29" s="22">
        <f t="shared" si="19"/>
        <v>-20146.40260403241</v>
      </c>
      <c r="X29" s="22">
        <f t="shared" si="19"/>
        <v>-21959.578838395319</v>
      </c>
      <c r="Y29" s="22">
        <f t="shared" si="19"/>
        <v>-23935.940933850899</v>
      </c>
      <c r="Z29" s="22">
        <f t="shared" si="19"/>
        <v>-26090.17561789749</v>
      </c>
      <c r="AA29" s="22">
        <f t="shared" si="19"/>
        <v>-22914.628528404835</v>
      </c>
      <c r="AB29" s="22">
        <f t="shared" si="19"/>
        <v>-24289.506240109098</v>
      </c>
      <c r="AC29" s="22">
        <f t="shared" si="19"/>
        <v>-25746.876614515655</v>
      </c>
      <c r="AD29" s="22">
        <f t="shared" si="19"/>
        <v>-27291.689211386591</v>
      </c>
      <c r="AE29" s="22">
        <f t="shared" si="19"/>
        <v>-22943.840792193289</v>
      </c>
      <c r="AF29" s="22">
        <f t="shared" si="19"/>
        <v>-24320.471239724895</v>
      </c>
      <c r="AG29" s="22">
        <f t="shared" si="19"/>
        <v>-25779.699514108375</v>
      </c>
      <c r="AH29" s="22">
        <f t="shared" si="19"/>
        <v>-27326.481484954857</v>
      </c>
      <c r="AI29" s="44"/>
    </row>
    <row r="30" spans="2:35">
      <c r="B30" s="6" t="s">
        <v>70</v>
      </c>
      <c r="C30" s="67">
        <f t="shared" ref="C30:AH30" si="20">+C29/C8</f>
        <v>-1.5773446267102658</v>
      </c>
      <c r="D30" s="67">
        <f t="shared" si="20"/>
        <v>-1.1893247682891266</v>
      </c>
      <c r="E30" s="67">
        <f t="shared" si="20"/>
        <v>-1.0102531263354166</v>
      </c>
      <c r="F30" s="306">
        <f t="shared" si="20"/>
        <v>-0.73061045644592004</v>
      </c>
      <c r="G30" s="306">
        <f t="shared" si="20"/>
        <v>-0.50044467672132287</v>
      </c>
      <c r="H30" s="306">
        <f t="shared" si="20"/>
        <v>-0.52765016585840807</v>
      </c>
      <c r="I30" s="306">
        <f t="shared" si="20"/>
        <v>-0.52493433573464676</v>
      </c>
      <c r="J30" s="306">
        <f t="shared" si="20"/>
        <v>-0.48103589317830053</v>
      </c>
      <c r="K30" s="306">
        <f t="shared" si="20"/>
        <v>-0.43235786912802343</v>
      </c>
      <c r="L30" s="306">
        <f t="shared" si="20"/>
        <v>-0.48868497656007709</v>
      </c>
      <c r="M30" s="306">
        <f t="shared" si="20"/>
        <v>-0.35825226815234007</v>
      </c>
      <c r="N30" s="343">
        <f t="shared" si="20"/>
        <v>-0.37914774360336939</v>
      </c>
      <c r="O30" s="305">
        <f t="shared" si="20"/>
        <v>-0.47000000000000014</v>
      </c>
      <c r="P30" s="306">
        <f t="shared" si="20"/>
        <v>-0.47000000000000008</v>
      </c>
      <c r="Q30" s="306">
        <f t="shared" si="20"/>
        <v>-0.47000000000000003</v>
      </c>
      <c r="R30" s="306">
        <f t="shared" si="20"/>
        <v>-0.46999999999999992</v>
      </c>
      <c r="S30" s="306">
        <f t="shared" si="20"/>
        <v>-0.40999999999999986</v>
      </c>
      <c r="T30" s="306">
        <f t="shared" si="20"/>
        <v>-0.41000000000000003</v>
      </c>
      <c r="U30" s="306">
        <f t="shared" si="20"/>
        <v>-0.41</v>
      </c>
      <c r="V30" s="306">
        <f t="shared" si="20"/>
        <v>-0.41000000000000014</v>
      </c>
      <c r="W30" s="306">
        <f t="shared" si="20"/>
        <v>-0.35000000000000003</v>
      </c>
      <c r="X30" s="306">
        <f t="shared" si="20"/>
        <v>-0.34999999999999992</v>
      </c>
      <c r="Y30" s="306">
        <f t="shared" si="20"/>
        <v>-0.34999999999999992</v>
      </c>
      <c r="Z30" s="306">
        <f t="shared" si="20"/>
        <v>-0.35</v>
      </c>
      <c r="AA30" s="306">
        <f t="shared" si="20"/>
        <v>-0.29000000000000009</v>
      </c>
      <c r="AB30" s="306">
        <f t="shared" si="20"/>
        <v>-0.28999999999999981</v>
      </c>
      <c r="AC30" s="306">
        <f t="shared" si="20"/>
        <v>-0.28999999999999998</v>
      </c>
      <c r="AD30" s="306">
        <f t="shared" si="20"/>
        <v>-0.28999999999999992</v>
      </c>
      <c r="AE30" s="306">
        <f t="shared" si="20"/>
        <v>-0.23</v>
      </c>
      <c r="AF30" s="306">
        <f t="shared" si="20"/>
        <v>-0.23000000000000009</v>
      </c>
      <c r="AG30" s="306">
        <f t="shared" si="20"/>
        <v>-0.23</v>
      </c>
      <c r="AH30" s="306">
        <f t="shared" si="20"/>
        <v>-0.22999999999999982</v>
      </c>
      <c r="AI30" s="67"/>
    </row>
    <row r="32" spans="2:35">
      <c r="B32" s="24" t="s">
        <v>67</v>
      </c>
      <c r="C32" s="162"/>
      <c r="D32" s="162"/>
      <c r="E32" s="162"/>
      <c r="F32" s="162">
        <v>532.14089676248352</v>
      </c>
      <c r="G32" s="162">
        <v>636.10832850845338</v>
      </c>
      <c r="H32" s="162">
        <v>765.86278125588547</v>
      </c>
      <c r="I32" s="162">
        <v>929.68827435237381</v>
      </c>
      <c r="J32" s="162">
        <v>1124.4055037193775</v>
      </c>
      <c r="K32" s="162">
        <v>1351.9878227868235</v>
      </c>
      <c r="L32" s="162">
        <v>1608.1003372777482</v>
      </c>
      <c r="M32" s="162">
        <v>1814.703733999929</v>
      </c>
      <c r="N32" s="344">
        <v>2119.6866660301266</v>
      </c>
      <c r="O32" s="160">
        <f>+O106+O107</f>
        <v>2093.5816651777068</v>
      </c>
      <c r="P32" s="161">
        <f t="shared" ref="P32:AH32" si="21">+P106+P107</f>
        <v>2484.4798109173403</v>
      </c>
      <c r="Q32" s="161">
        <f t="shared" si="21"/>
        <v>2942.2598678468476</v>
      </c>
      <c r="R32" s="161">
        <f t="shared" si="21"/>
        <v>3459.4551590771944</v>
      </c>
      <c r="S32" s="161">
        <f t="shared" si="21"/>
        <v>4039.968670410417</v>
      </c>
      <c r="T32" s="161">
        <f t="shared" si="21"/>
        <v>4668.7374778261164</v>
      </c>
      <c r="U32" s="161">
        <f t="shared" si="21"/>
        <v>5364.8043258553962</v>
      </c>
      <c r="V32" s="161">
        <f t="shared" si="21"/>
        <v>6134.607255081949</v>
      </c>
      <c r="W32" s="161">
        <f t="shared" si="21"/>
        <v>6962.2378492934695</v>
      </c>
      <c r="X32" s="161">
        <f t="shared" si="21"/>
        <v>7811.8597731132131</v>
      </c>
      <c r="Y32" s="161">
        <f t="shared" si="21"/>
        <v>8704.8622947031836</v>
      </c>
      <c r="Z32" s="161">
        <f t="shared" si="21"/>
        <v>9640.8485690641428</v>
      </c>
      <c r="AA32" s="161">
        <f t="shared" si="21"/>
        <v>9999.1142594392877</v>
      </c>
      <c r="AB32" s="161">
        <f t="shared" si="21"/>
        <v>10828.404346530016</v>
      </c>
      <c r="AC32" s="161">
        <f t="shared" si="21"/>
        <v>11655.973604836792</v>
      </c>
      <c r="AD32" s="161">
        <f t="shared" si="21"/>
        <v>12476.117416651687</v>
      </c>
      <c r="AE32" s="161">
        <f t="shared" si="21"/>
        <v>13326.855847123774</v>
      </c>
      <c r="AF32" s="161">
        <f t="shared" si="21"/>
        <v>14185.488778205807</v>
      </c>
      <c r="AG32" s="161">
        <f t="shared" si="21"/>
        <v>15079.414187642875</v>
      </c>
      <c r="AH32" s="161">
        <f t="shared" si="21"/>
        <v>16008.640309459988</v>
      </c>
      <c r="AI32" s="46"/>
    </row>
    <row r="33" spans="1:35">
      <c r="B33" s="62" t="s">
        <v>126</v>
      </c>
      <c r="C33" s="22"/>
      <c r="D33" s="22"/>
      <c r="E33" s="22"/>
      <c r="F33" s="22">
        <f t="shared" ref="F33:AH33" si="22">+F29+F32</f>
        <v>-2673.5241933162656</v>
      </c>
      <c r="G33" s="22">
        <f t="shared" si="22"/>
        <v>-1984.4646189730238</v>
      </c>
      <c r="H33" s="22">
        <f t="shared" si="22"/>
        <v>-2558.9150873166618</v>
      </c>
      <c r="I33" s="22">
        <f t="shared" si="22"/>
        <v>-3182.409392842178</v>
      </c>
      <c r="J33" s="22">
        <f t="shared" si="22"/>
        <v>-3410.7314399322022</v>
      </c>
      <c r="K33" s="22">
        <f t="shared" si="22"/>
        <v>-3374.6249084530768</v>
      </c>
      <c r="L33" s="22">
        <f t="shared" si="22"/>
        <v>-4728.5160252904789</v>
      </c>
      <c r="M33" s="22">
        <f t="shared" si="22"/>
        <v>-3496.1804002019899</v>
      </c>
      <c r="N33" s="78">
        <f t="shared" si="22"/>
        <v>-4662.4371050417531</v>
      </c>
      <c r="O33" s="79">
        <f t="shared" si="22"/>
        <v>-7658.8537438972953</v>
      </c>
      <c r="P33" s="22">
        <f t="shared" si="22"/>
        <v>-8828.345263609659</v>
      </c>
      <c r="Q33" s="22">
        <f t="shared" si="22"/>
        <v>-10180.61721860447</v>
      </c>
      <c r="R33" s="22">
        <f t="shared" si="22"/>
        <v>-11763.082261206328</v>
      </c>
      <c r="S33" s="22">
        <f t="shared" si="22"/>
        <v>-10965.566620690341</v>
      </c>
      <c r="T33" s="22">
        <f t="shared" si="22"/>
        <v>-12287.51740111775</v>
      </c>
      <c r="U33" s="22">
        <f t="shared" si="22"/>
        <v>-13795.763687351173</v>
      </c>
      <c r="V33" s="22">
        <f t="shared" si="22"/>
        <v>-15516.834599841484</v>
      </c>
      <c r="W33" s="22">
        <f t="shared" si="22"/>
        <v>-13184.16475473894</v>
      </c>
      <c r="X33" s="22">
        <f t="shared" si="22"/>
        <v>-14147.719065282105</v>
      </c>
      <c r="Y33" s="22">
        <f t="shared" si="22"/>
        <v>-15231.078639147716</v>
      </c>
      <c r="Z33" s="22">
        <f t="shared" si="22"/>
        <v>-16449.327048833347</v>
      </c>
      <c r="AA33" s="22">
        <f t="shared" si="22"/>
        <v>-12915.514268965548</v>
      </c>
      <c r="AB33" s="22">
        <f t="shared" si="22"/>
        <v>-13461.101893579082</v>
      </c>
      <c r="AC33" s="22">
        <f t="shared" si="22"/>
        <v>-14090.903009678863</v>
      </c>
      <c r="AD33" s="22">
        <f t="shared" si="22"/>
        <v>-14815.571794734904</v>
      </c>
      <c r="AE33" s="22">
        <f t="shared" si="22"/>
        <v>-9616.9849450695147</v>
      </c>
      <c r="AF33" s="22">
        <f t="shared" si="22"/>
        <v>-10134.982461519088</v>
      </c>
      <c r="AG33" s="22">
        <f t="shared" si="22"/>
        <v>-10700.2853264655</v>
      </c>
      <c r="AH33" s="22">
        <f t="shared" si="22"/>
        <v>-11317.841175494868</v>
      </c>
      <c r="AI33" s="44"/>
    </row>
    <row r="34" spans="1:35">
      <c r="B34" s="6" t="s">
        <v>70</v>
      </c>
      <c r="C34" s="67"/>
      <c r="D34" s="67"/>
      <c r="E34" s="67"/>
      <c r="F34" s="306">
        <f t="shared" ref="F34:AH34" si="23">+F33/F8</f>
        <v>-0.60932900858649053</v>
      </c>
      <c r="G34" s="306">
        <f t="shared" si="23"/>
        <v>-0.37896855939892804</v>
      </c>
      <c r="H34" s="306">
        <f t="shared" si="23"/>
        <v>-0.40610591853461675</v>
      </c>
      <c r="I34" s="306">
        <f t="shared" si="23"/>
        <v>-0.40625395986935142</v>
      </c>
      <c r="J34" s="306">
        <f t="shared" si="23"/>
        <v>-0.36177170942892406</v>
      </c>
      <c r="K34" s="306">
        <f t="shared" si="23"/>
        <v>-0.30868736608814196</v>
      </c>
      <c r="L34" s="306">
        <f t="shared" si="23"/>
        <v>-0.36466697852076985</v>
      </c>
      <c r="M34" s="306">
        <f t="shared" si="23"/>
        <v>-0.23583917980359739</v>
      </c>
      <c r="N34" s="343">
        <f t="shared" si="23"/>
        <v>-0.26064881263436779</v>
      </c>
      <c r="O34" s="305">
        <f t="shared" si="23"/>
        <v>-0.36910382982717443</v>
      </c>
      <c r="P34" s="306">
        <f t="shared" si="23"/>
        <v>-0.36678037948624675</v>
      </c>
      <c r="Q34" s="306">
        <f t="shared" si="23"/>
        <v>-0.36462203076520844</v>
      </c>
      <c r="R34" s="306">
        <f t="shared" si="23"/>
        <v>-0.36318837721497294</v>
      </c>
      <c r="S34" s="306">
        <f t="shared" si="23"/>
        <v>-0.29961492391073735</v>
      </c>
      <c r="T34" s="306">
        <f t="shared" si="23"/>
        <v>-0.29711054536661141</v>
      </c>
      <c r="U34" s="306">
        <f t="shared" si="23"/>
        <v>-0.29520331066987981</v>
      </c>
      <c r="V34" s="306">
        <f t="shared" si="23"/>
        <v>-0.29383272617885009</v>
      </c>
      <c r="W34" s="306">
        <f t="shared" si="23"/>
        <v>-0.22904623494593626</v>
      </c>
      <c r="X34" s="306">
        <f t="shared" si="23"/>
        <v>-0.22549165033124005</v>
      </c>
      <c r="Y34" s="306">
        <f t="shared" si="23"/>
        <v>-0.2227143498738593</v>
      </c>
      <c r="Z34" s="306">
        <f t="shared" si="23"/>
        <v>-0.22066790777530335</v>
      </c>
      <c r="AA34" s="306">
        <f t="shared" si="23"/>
        <v>-0.16345449952885391</v>
      </c>
      <c r="AB34" s="306">
        <f t="shared" si="23"/>
        <v>-0.16071629906958526</v>
      </c>
      <c r="AC34" s="306">
        <f t="shared" si="23"/>
        <v>-0.15871291628837991</v>
      </c>
      <c r="AD34" s="306">
        <f t="shared" si="23"/>
        <v>-0.15742945726791202</v>
      </c>
      <c r="AE34" s="306">
        <f t="shared" si="23"/>
        <v>-9.6405242583386327E-2</v>
      </c>
      <c r="AF34" s="306">
        <f t="shared" si="23"/>
        <v>-9.5847072335583552E-2</v>
      </c>
      <c r="AG34" s="306">
        <f t="shared" si="23"/>
        <v>-9.5465256441030488E-2</v>
      </c>
      <c r="AH34" s="306">
        <f t="shared" si="23"/>
        <v>-9.5259372188000443E-2</v>
      </c>
      <c r="AI34" s="67"/>
    </row>
    <row r="35" spans="1:35">
      <c r="B35" s="64"/>
      <c r="C35" s="44"/>
      <c r="D35" s="44"/>
      <c r="E35" s="332"/>
      <c r="F35" s="332"/>
      <c r="G35" s="332"/>
      <c r="H35" s="332"/>
      <c r="I35" s="332"/>
      <c r="J35" s="332"/>
      <c r="K35" s="332"/>
      <c r="L35" s="332"/>
      <c r="M35" s="332"/>
      <c r="N35" s="345"/>
      <c r="O35" s="346"/>
      <c r="P35" s="355"/>
      <c r="Q35" s="355"/>
      <c r="R35" s="355"/>
      <c r="S35" s="355"/>
      <c r="T35" s="355"/>
      <c r="U35" s="355"/>
      <c r="V35" s="355"/>
      <c r="W35" s="355"/>
      <c r="X35" s="355"/>
      <c r="Y35" s="355"/>
      <c r="Z35" s="355"/>
      <c r="AA35" s="355"/>
      <c r="AB35" s="355"/>
      <c r="AC35" s="44"/>
      <c r="AD35" s="44"/>
      <c r="AE35" s="44"/>
      <c r="AF35" s="44"/>
      <c r="AG35" s="44"/>
      <c r="AH35" s="44"/>
      <c r="AI35" s="44"/>
    </row>
    <row r="36" spans="1:35">
      <c r="B36" s="24" t="s">
        <v>48</v>
      </c>
      <c r="C36" s="68"/>
      <c r="D36" s="68"/>
      <c r="E36" s="68"/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102">
        <v>0</v>
      </c>
      <c r="O36" s="109">
        <v>0</v>
      </c>
      <c r="P36" s="255">
        <v>0</v>
      </c>
      <c r="Q36" s="328">
        <v>0</v>
      </c>
      <c r="R36" s="328">
        <v>0</v>
      </c>
      <c r="S36" s="328">
        <v>0</v>
      </c>
      <c r="T36" s="328">
        <v>0</v>
      </c>
      <c r="U36" s="328">
        <v>0</v>
      </c>
      <c r="V36" s="328">
        <v>0</v>
      </c>
      <c r="W36" s="328">
        <v>0</v>
      </c>
      <c r="X36" s="328">
        <v>0</v>
      </c>
      <c r="Y36" s="328">
        <v>0</v>
      </c>
      <c r="Z36" s="328">
        <v>0</v>
      </c>
      <c r="AA36" s="328">
        <v>0</v>
      </c>
      <c r="AB36" s="328">
        <v>0</v>
      </c>
      <c r="AC36" s="328">
        <v>0</v>
      </c>
      <c r="AD36" s="328">
        <v>0</v>
      </c>
      <c r="AE36" s="328">
        <v>0</v>
      </c>
      <c r="AF36" s="328">
        <v>0</v>
      </c>
      <c r="AG36" s="328">
        <v>0</v>
      </c>
      <c r="AH36" s="328">
        <v>0</v>
      </c>
      <c r="AI36" s="68"/>
    </row>
    <row r="37" spans="1:35">
      <c r="B37" s="62" t="s">
        <v>49</v>
      </c>
      <c r="C37" s="22"/>
      <c r="D37" s="22"/>
      <c r="E37" s="22"/>
      <c r="F37" s="22">
        <f t="shared" ref="F37:AH37" si="24">+F29-F36</f>
        <v>-3205.665090078749</v>
      </c>
      <c r="G37" s="22">
        <f t="shared" si="24"/>
        <v>-2620.5729474814771</v>
      </c>
      <c r="H37" s="22">
        <f t="shared" si="24"/>
        <v>-3324.777868572547</v>
      </c>
      <c r="I37" s="22">
        <f t="shared" si="24"/>
        <v>-4112.0976671945518</v>
      </c>
      <c r="J37" s="22">
        <f t="shared" si="24"/>
        <v>-4535.1369436515797</v>
      </c>
      <c r="K37" s="22">
        <f t="shared" si="24"/>
        <v>-4726.6127312399003</v>
      </c>
      <c r="L37" s="22">
        <f t="shared" si="24"/>
        <v>-6336.6163625682275</v>
      </c>
      <c r="M37" s="22">
        <f t="shared" si="24"/>
        <v>-5310.8841342019186</v>
      </c>
      <c r="N37" s="78">
        <f t="shared" si="24"/>
        <v>-6782.1237710718797</v>
      </c>
      <c r="O37" s="79">
        <f t="shared" si="24"/>
        <v>-9752.4354090750021</v>
      </c>
      <c r="P37" s="22">
        <f t="shared" si="24"/>
        <v>-11312.825074527</v>
      </c>
      <c r="Q37" s="22">
        <f t="shared" si="24"/>
        <v>-13122.877086451317</v>
      </c>
      <c r="R37" s="22">
        <f t="shared" si="24"/>
        <v>-15222.537420283523</v>
      </c>
      <c r="S37" s="22">
        <f t="shared" si="24"/>
        <v>-15005.535291100758</v>
      </c>
      <c r="T37" s="22">
        <f t="shared" si="24"/>
        <v>-16956.254878943866</v>
      </c>
      <c r="U37" s="22">
        <f t="shared" si="24"/>
        <v>-19160.568013206568</v>
      </c>
      <c r="V37" s="22">
        <f t="shared" si="24"/>
        <v>-21651.441854923432</v>
      </c>
      <c r="W37" s="22">
        <f t="shared" si="24"/>
        <v>-20146.40260403241</v>
      </c>
      <c r="X37" s="22">
        <f t="shared" si="24"/>
        <v>-21959.578838395319</v>
      </c>
      <c r="Y37" s="22">
        <f t="shared" si="24"/>
        <v>-23935.940933850899</v>
      </c>
      <c r="Z37" s="22">
        <f t="shared" si="24"/>
        <v>-26090.17561789749</v>
      </c>
      <c r="AA37" s="22">
        <f t="shared" si="24"/>
        <v>-22914.628528404835</v>
      </c>
      <c r="AB37" s="22">
        <f t="shared" si="24"/>
        <v>-24289.506240109098</v>
      </c>
      <c r="AC37" s="22">
        <f t="shared" si="24"/>
        <v>-25746.876614515655</v>
      </c>
      <c r="AD37" s="22">
        <f t="shared" si="24"/>
        <v>-27291.689211386591</v>
      </c>
      <c r="AE37" s="22">
        <f t="shared" si="24"/>
        <v>-22943.840792193289</v>
      </c>
      <c r="AF37" s="22">
        <f t="shared" si="24"/>
        <v>-24320.471239724895</v>
      </c>
      <c r="AG37" s="22">
        <f t="shared" si="24"/>
        <v>-25779.699514108375</v>
      </c>
      <c r="AH37" s="22">
        <f t="shared" si="24"/>
        <v>-27326.481484954857</v>
      </c>
      <c r="AI37" s="44"/>
    </row>
    <row r="39" spans="1:35">
      <c r="B39" s="24" t="s">
        <v>2</v>
      </c>
      <c r="C39" s="68"/>
      <c r="D39" s="68"/>
      <c r="E39" s="68"/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102">
        <v>0</v>
      </c>
      <c r="O39" s="86">
        <f t="shared" ref="O39:AH39" si="25">IF(O37&lt;0,  0,  O37*O40)</f>
        <v>0</v>
      </c>
      <c r="P39" s="46">
        <f t="shared" si="25"/>
        <v>0</v>
      </c>
      <c r="Q39" s="46">
        <f t="shared" si="25"/>
        <v>0</v>
      </c>
      <c r="R39" s="46">
        <f t="shared" si="25"/>
        <v>0</v>
      </c>
      <c r="S39" s="46">
        <f t="shared" si="25"/>
        <v>0</v>
      </c>
      <c r="T39" s="46">
        <f t="shared" si="25"/>
        <v>0</v>
      </c>
      <c r="U39" s="46">
        <f t="shared" si="25"/>
        <v>0</v>
      </c>
      <c r="V39" s="46">
        <f t="shared" si="25"/>
        <v>0</v>
      </c>
      <c r="W39" s="46">
        <f t="shared" si="25"/>
        <v>0</v>
      </c>
      <c r="X39" s="46">
        <f t="shared" si="25"/>
        <v>0</v>
      </c>
      <c r="Y39" s="46">
        <f t="shared" si="25"/>
        <v>0</v>
      </c>
      <c r="Z39" s="46">
        <f t="shared" si="25"/>
        <v>0</v>
      </c>
      <c r="AA39" s="46">
        <f t="shared" si="25"/>
        <v>0</v>
      </c>
      <c r="AB39" s="46">
        <f t="shared" si="25"/>
        <v>0</v>
      </c>
      <c r="AC39" s="46">
        <f t="shared" si="25"/>
        <v>0</v>
      </c>
      <c r="AD39" s="46">
        <f t="shared" si="25"/>
        <v>0</v>
      </c>
      <c r="AE39" s="46">
        <f t="shared" si="25"/>
        <v>0</v>
      </c>
      <c r="AF39" s="46">
        <f t="shared" si="25"/>
        <v>0</v>
      </c>
      <c r="AG39" s="46">
        <f t="shared" si="25"/>
        <v>0</v>
      </c>
      <c r="AH39" s="46">
        <f t="shared" si="25"/>
        <v>0</v>
      </c>
      <c r="AI39" s="46"/>
    </row>
    <row r="40" spans="1:35">
      <c r="B40" s="6" t="s">
        <v>50</v>
      </c>
      <c r="C40" s="108"/>
      <c r="D40" s="108"/>
      <c r="E40" s="108"/>
      <c r="F40" s="310">
        <v>0.25</v>
      </c>
      <c r="G40" s="310">
        <v>0.25</v>
      </c>
      <c r="H40" s="310">
        <v>0.25</v>
      </c>
      <c r="I40" s="310">
        <v>0.25</v>
      </c>
      <c r="J40" s="310">
        <v>0.25</v>
      </c>
      <c r="K40" s="310">
        <v>0.25</v>
      </c>
      <c r="L40" s="310">
        <v>0.25</v>
      </c>
      <c r="M40" s="310">
        <v>0.25</v>
      </c>
      <c r="N40" s="347">
        <v>0.25</v>
      </c>
      <c r="O40" s="311">
        <v>0.25</v>
      </c>
      <c r="P40" s="303">
        <v>0.25</v>
      </c>
      <c r="Q40" s="303">
        <v>0.25</v>
      </c>
      <c r="R40" s="303">
        <v>0.25</v>
      </c>
      <c r="S40" s="303">
        <v>0.25</v>
      </c>
      <c r="T40" s="303">
        <v>0.25</v>
      </c>
      <c r="U40" s="303">
        <v>0.25</v>
      </c>
      <c r="V40" s="303">
        <v>0.25</v>
      </c>
      <c r="W40" s="303">
        <v>0.25</v>
      </c>
      <c r="X40" s="303">
        <v>0.25</v>
      </c>
      <c r="Y40" s="303">
        <v>0.25</v>
      </c>
      <c r="Z40" s="303">
        <v>0.25</v>
      </c>
      <c r="AA40" s="303">
        <v>0.25</v>
      </c>
      <c r="AB40" s="303">
        <v>0.25</v>
      </c>
      <c r="AC40" s="303">
        <v>0.25</v>
      </c>
      <c r="AD40" s="303">
        <v>0.25</v>
      </c>
      <c r="AE40" s="303">
        <v>0.25</v>
      </c>
      <c r="AF40" s="303">
        <v>0.25</v>
      </c>
      <c r="AG40" s="303">
        <v>0.25</v>
      </c>
      <c r="AH40" s="303">
        <v>0.25</v>
      </c>
      <c r="AI40" s="108"/>
    </row>
    <row r="41" spans="1:35">
      <c r="B41" s="24"/>
    </row>
    <row r="42" spans="1:35">
      <c r="B42" s="62" t="s">
        <v>51</v>
      </c>
      <c r="C42" s="22"/>
      <c r="D42" s="22"/>
      <c r="E42" s="22"/>
      <c r="F42" s="22">
        <f t="shared" ref="F42:AH42" si="26">+F37-F39</f>
        <v>-3205.665090078749</v>
      </c>
      <c r="G42" s="22">
        <f t="shared" si="26"/>
        <v>-2620.5729474814771</v>
      </c>
      <c r="H42" s="22">
        <f t="shared" si="26"/>
        <v>-3324.777868572547</v>
      </c>
      <c r="I42" s="22">
        <f t="shared" si="26"/>
        <v>-4112.0976671945518</v>
      </c>
      <c r="J42" s="22">
        <f t="shared" si="26"/>
        <v>-4535.1369436515797</v>
      </c>
      <c r="K42" s="22">
        <f t="shared" si="26"/>
        <v>-4726.6127312399003</v>
      </c>
      <c r="L42" s="22">
        <f t="shared" si="26"/>
        <v>-6336.6163625682275</v>
      </c>
      <c r="M42" s="22">
        <f t="shared" si="26"/>
        <v>-5310.8841342019186</v>
      </c>
      <c r="N42" s="78">
        <f t="shared" si="26"/>
        <v>-6782.1237710718797</v>
      </c>
      <c r="O42" s="79">
        <f t="shared" si="26"/>
        <v>-9752.4354090750021</v>
      </c>
      <c r="P42" s="22">
        <f t="shared" si="26"/>
        <v>-11312.825074527</v>
      </c>
      <c r="Q42" s="22">
        <f t="shared" si="26"/>
        <v>-13122.877086451317</v>
      </c>
      <c r="R42" s="22">
        <f t="shared" si="26"/>
        <v>-15222.537420283523</v>
      </c>
      <c r="S42" s="22">
        <f t="shared" si="26"/>
        <v>-15005.535291100758</v>
      </c>
      <c r="T42" s="22">
        <f t="shared" si="26"/>
        <v>-16956.254878943866</v>
      </c>
      <c r="U42" s="22">
        <f t="shared" si="26"/>
        <v>-19160.568013206568</v>
      </c>
      <c r="V42" s="22">
        <f t="shared" si="26"/>
        <v>-21651.441854923432</v>
      </c>
      <c r="W42" s="22">
        <f t="shared" si="26"/>
        <v>-20146.40260403241</v>
      </c>
      <c r="X42" s="22">
        <f t="shared" si="26"/>
        <v>-21959.578838395319</v>
      </c>
      <c r="Y42" s="22">
        <f t="shared" si="26"/>
        <v>-23935.940933850899</v>
      </c>
      <c r="Z42" s="22">
        <f t="shared" si="26"/>
        <v>-26090.17561789749</v>
      </c>
      <c r="AA42" s="22">
        <f t="shared" si="26"/>
        <v>-22914.628528404835</v>
      </c>
      <c r="AB42" s="22">
        <f t="shared" si="26"/>
        <v>-24289.506240109098</v>
      </c>
      <c r="AC42" s="22">
        <f t="shared" si="26"/>
        <v>-25746.876614515655</v>
      </c>
      <c r="AD42" s="22">
        <f t="shared" si="26"/>
        <v>-27291.689211386591</v>
      </c>
      <c r="AE42" s="22">
        <f t="shared" si="26"/>
        <v>-22943.840792193289</v>
      </c>
      <c r="AF42" s="22">
        <f t="shared" si="26"/>
        <v>-24320.471239724895</v>
      </c>
      <c r="AG42" s="22">
        <f t="shared" si="26"/>
        <v>-25779.699514108375</v>
      </c>
      <c r="AH42" s="22">
        <f t="shared" si="26"/>
        <v>-27326.481484954857</v>
      </c>
      <c r="AI42" s="44"/>
    </row>
    <row r="43" spans="1:35">
      <c r="B43" s="6" t="s">
        <v>70</v>
      </c>
      <c r="C43" s="67"/>
      <c r="D43" s="67"/>
      <c r="E43" s="67"/>
      <c r="F43" s="306">
        <f t="shared" ref="F43:AH43" si="27">+F42/F8</f>
        <v>-0.73061045644592004</v>
      </c>
      <c r="G43" s="306">
        <f t="shared" si="27"/>
        <v>-0.50044467672132287</v>
      </c>
      <c r="H43" s="306">
        <f t="shared" si="27"/>
        <v>-0.52765016585840807</v>
      </c>
      <c r="I43" s="306">
        <f t="shared" si="27"/>
        <v>-0.52493433573464676</v>
      </c>
      <c r="J43" s="306">
        <f t="shared" si="27"/>
        <v>-0.48103589317830053</v>
      </c>
      <c r="K43" s="306">
        <f t="shared" si="27"/>
        <v>-0.43235786912802343</v>
      </c>
      <c r="L43" s="306">
        <f t="shared" si="27"/>
        <v>-0.48868497656007709</v>
      </c>
      <c r="M43" s="306">
        <f t="shared" si="27"/>
        <v>-0.35825226815234007</v>
      </c>
      <c r="N43" s="343">
        <f t="shared" si="27"/>
        <v>-0.37914774360336939</v>
      </c>
      <c r="O43" s="305">
        <f t="shared" si="27"/>
        <v>-0.47000000000000014</v>
      </c>
      <c r="P43" s="306">
        <f t="shared" si="27"/>
        <v>-0.47000000000000008</v>
      </c>
      <c r="Q43" s="306">
        <f t="shared" si="27"/>
        <v>-0.47000000000000003</v>
      </c>
      <c r="R43" s="306">
        <f t="shared" si="27"/>
        <v>-0.46999999999999992</v>
      </c>
      <c r="S43" s="306">
        <f t="shared" si="27"/>
        <v>-0.40999999999999986</v>
      </c>
      <c r="T43" s="306">
        <f t="shared" si="27"/>
        <v>-0.41000000000000003</v>
      </c>
      <c r="U43" s="306">
        <f t="shared" si="27"/>
        <v>-0.41</v>
      </c>
      <c r="V43" s="306">
        <f t="shared" si="27"/>
        <v>-0.41000000000000014</v>
      </c>
      <c r="W43" s="306">
        <f t="shared" si="27"/>
        <v>-0.35000000000000003</v>
      </c>
      <c r="X43" s="306">
        <f t="shared" si="27"/>
        <v>-0.34999999999999992</v>
      </c>
      <c r="Y43" s="306">
        <f t="shared" si="27"/>
        <v>-0.34999999999999992</v>
      </c>
      <c r="Z43" s="306">
        <f t="shared" si="27"/>
        <v>-0.35</v>
      </c>
      <c r="AA43" s="306">
        <f t="shared" si="27"/>
        <v>-0.29000000000000009</v>
      </c>
      <c r="AB43" s="306">
        <f t="shared" si="27"/>
        <v>-0.28999999999999981</v>
      </c>
      <c r="AC43" s="306">
        <f t="shared" si="27"/>
        <v>-0.28999999999999998</v>
      </c>
      <c r="AD43" s="306">
        <f t="shared" si="27"/>
        <v>-0.28999999999999992</v>
      </c>
      <c r="AE43" s="306">
        <f t="shared" si="27"/>
        <v>-0.23</v>
      </c>
      <c r="AF43" s="306">
        <f t="shared" si="27"/>
        <v>-0.23000000000000009</v>
      </c>
      <c r="AG43" s="306">
        <f t="shared" si="27"/>
        <v>-0.23</v>
      </c>
      <c r="AH43" s="306">
        <f t="shared" si="27"/>
        <v>-0.22999999999999982</v>
      </c>
      <c r="AI43" s="67"/>
    </row>
    <row r="46" spans="1:35" s="2" customFormat="1">
      <c r="B46" s="3" t="s">
        <v>54</v>
      </c>
      <c r="C46" s="29"/>
      <c r="D46" s="29"/>
      <c r="E46" s="29"/>
      <c r="F46" s="29"/>
      <c r="G46" s="29"/>
      <c r="H46" s="29"/>
      <c r="I46" s="29"/>
      <c r="J46" s="29"/>
      <c r="K46" s="29"/>
      <c r="L46" s="258" t="s">
        <v>196</v>
      </c>
      <c r="M46" s="29"/>
      <c r="N46" s="348" t="s">
        <v>197</v>
      </c>
      <c r="O46" s="72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67" t="s">
        <v>248</v>
      </c>
      <c r="AI46" s="219"/>
    </row>
    <row r="47" spans="1:35" s="2" customFormat="1">
      <c r="A47" s="257"/>
      <c r="B47" s="4"/>
      <c r="C47" s="89"/>
      <c r="D47" s="89"/>
      <c r="E47" s="89"/>
      <c r="F47" s="89"/>
      <c r="G47" s="89"/>
      <c r="H47" s="89"/>
      <c r="I47" s="89"/>
      <c r="J47" s="89"/>
      <c r="K47" s="89"/>
      <c r="L47" s="89">
        <f>N4</f>
        <v>44926</v>
      </c>
      <c r="M47" s="115" t="s">
        <v>74</v>
      </c>
      <c r="N47" s="110">
        <f>+L47</f>
        <v>44926</v>
      </c>
      <c r="O47" s="111">
        <f t="shared" ref="O47:AH47" si="28">O4</f>
        <v>45016</v>
      </c>
      <c r="P47" s="89">
        <f t="shared" si="28"/>
        <v>45107</v>
      </c>
      <c r="Q47" s="89">
        <f t="shared" si="28"/>
        <v>45199</v>
      </c>
      <c r="R47" s="89">
        <f t="shared" si="28"/>
        <v>45291</v>
      </c>
      <c r="S47" s="89">
        <f t="shared" si="28"/>
        <v>45382</v>
      </c>
      <c r="T47" s="89">
        <f t="shared" si="28"/>
        <v>45473</v>
      </c>
      <c r="U47" s="89">
        <f t="shared" si="28"/>
        <v>45565</v>
      </c>
      <c r="V47" s="89">
        <f t="shared" si="28"/>
        <v>45657</v>
      </c>
      <c r="W47" s="89">
        <f t="shared" si="28"/>
        <v>45747</v>
      </c>
      <c r="X47" s="89">
        <f t="shared" si="28"/>
        <v>45838</v>
      </c>
      <c r="Y47" s="89">
        <f t="shared" si="28"/>
        <v>45930</v>
      </c>
      <c r="Z47" s="89">
        <f t="shared" si="28"/>
        <v>46022</v>
      </c>
      <c r="AA47" s="89">
        <f t="shared" si="28"/>
        <v>46112</v>
      </c>
      <c r="AB47" s="89">
        <f t="shared" si="28"/>
        <v>46203</v>
      </c>
      <c r="AC47" s="89">
        <f t="shared" si="28"/>
        <v>46295</v>
      </c>
      <c r="AD47" s="89">
        <f t="shared" si="28"/>
        <v>46387</v>
      </c>
      <c r="AE47" s="89">
        <f t="shared" si="28"/>
        <v>46477</v>
      </c>
      <c r="AF47" s="89">
        <f t="shared" si="28"/>
        <v>46568</v>
      </c>
      <c r="AG47" s="89">
        <f t="shared" si="28"/>
        <v>46660</v>
      </c>
      <c r="AH47" s="89">
        <f t="shared" si="28"/>
        <v>46752</v>
      </c>
      <c r="AI47" s="221"/>
    </row>
    <row r="48" spans="1:35">
      <c r="A48" s="259"/>
      <c r="B48" s="2" t="s">
        <v>56</v>
      </c>
      <c r="C48" s="46"/>
      <c r="D48" s="46"/>
      <c r="E48" s="46"/>
      <c r="F48" s="46"/>
      <c r="G48" s="46"/>
      <c r="H48" s="46"/>
      <c r="I48" s="46"/>
      <c r="J48" s="46"/>
      <c r="K48" s="46"/>
      <c r="L48" s="68">
        <v>26476.7341127695</v>
      </c>
      <c r="M48" s="113">
        <f>Transaction!G8</f>
        <v>300000</v>
      </c>
      <c r="N48" s="85">
        <f t="shared" ref="N48:N53" si="29">+M48+L48</f>
        <v>326476.73411276948</v>
      </c>
      <c r="O48" s="97">
        <f>+O119</f>
        <v>318575.88015940064</v>
      </c>
      <c r="P48" s="17">
        <f t="shared" ref="P48:AH48" si="30">+P119</f>
        <v>309646.36785540788</v>
      </c>
      <c r="Q48" s="17">
        <f t="shared" si="30"/>
        <v>299517.55068981875</v>
      </c>
      <c r="R48" s="17">
        <f t="shared" si="30"/>
        <v>288309.14696494554</v>
      </c>
      <c r="S48" s="17">
        <f t="shared" si="30"/>
        <v>278010.43163350876</v>
      </c>
      <c r="T48" s="17">
        <f t="shared" si="30"/>
        <v>266296.00109357061</v>
      </c>
      <c r="U48" s="17">
        <f t="shared" si="30"/>
        <v>253503.79471517139</v>
      </c>
      <c r="V48" s="17">
        <f t="shared" si="30"/>
        <v>239769.99052593546</v>
      </c>
      <c r="W48" s="17">
        <f t="shared" si="30"/>
        <v>228268.97419456314</v>
      </c>
      <c r="X48" s="17">
        <f t="shared" si="30"/>
        <v>215316.51612540692</v>
      </c>
      <c r="Y48" s="17">
        <f t="shared" si="30"/>
        <v>202091.27388978956</v>
      </c>
      <c r="Z48" s="17">
        <f t="shared" si="30"/>
        <v>188909.7958312321</v>
      </c>
      <c r="AA48" s="17">
        <f t="shared" si="30"/>
        <v>178673.59470789623</v>
      </c>
      <c r="AB48" s="17">
        <f t="shared" si="30"/>
        <v>166937.29244315755</v>
      </c>
      <c r="AC48" s="17">
        <f t="shared" si="30"/>
        <v>155735.66017975914</v>
      </c>
      <c r="AD48" s="17">
        <f t="shared" si="30"/>
        <v>145472.94620821445</v>
      </c>
      <c r="AE48" s="17">
        <f t="shared" si="30"/>
        <v>139238.62346106785</v>
      </c>
      <c r="AF48" s="17">
        <f t="shared" si="30"/>
        <v>131539.37190900254</v>
      </c>
      <c r="AG48" s="17">
        <f t="shared" si="30"/>
        <v>124388.30256793536</v>
      </c>
      <c r="AH48" s="17">
        <f t="shared" si="30"/>
        <v>118164.8839589322</v>
      </c>
      <c r="AI48" s="17"/>
    </row>
    <row r="49" spans="1:35">
      <c r="A49" s="273"/>
      <c r="B49" s="2" t="s">
        <v>36</v>
      </c>
      <c r="C49" s="46"/>
      <c r="D49" s="46"/>
      <c r="E49" s="46"/>
      <c r="F49" s="46"/>
      <c r="G49" s="46"/>
      <c r="H49" s="46"/>
      <c r="I49" s="46"/>
      <c r="J49" s="46"/>
      <c r="K49" s="46"/>
      <c r="L49" s="68">
        <v>15182.162718084101</v>
      </c>
      <c r="M49" s="113"/>
      <c r="N49" s="85">
        <f t="shared" si="29"/>
        <v>15182.162718084101</v>
      </c>
      <c r="O49" s="86">
        <f t="shared" ref="O49:AH49" si="31">O92</f>
        <v>16390.4752110841</v>
      </c>
      <c r="P49" s="46">
        <f t="shared" si="31"/>
        <v>18237.017640739097</v>
      </c>
      <c r="Q49" s="46">
        <f t="shared" si="31"/>
        <v>20092.296150863898</v>
      </c>
      <c r="R49" s="46">
        <f t="shared" si="31"/>
        <v>22769.333654033664</v>
      </c>
      <c r="S49" s="46">
        <f t="shared" si="31"/>
        <v>24414.27243702644</v>
      </c>
      <c r="T49" s="46">
        <f t="shared" si="31"/>
        <v>27054.910155183941</v>
      </c>
      <c r="U49" s="46">
        <f t="shared" si="31"/>
        <v>29767.676605177374</v>
      </c>
      <c r="V49" s="46">
        <f t="shared" si="31"/>
        <v>33367.461386477225</v>
      </c>
      <c r="W49" s="46">
        <f t="shared" si="31"/>
        <v>34700.288142108271</v>
      </c>
      <c r="X49" s="46">
        <f t="shared" si="31"/>
        <v>37681.085408704574</v>
      </c>
      <c r="Y49" s="46">
        <f t="shared" si="31"/>
        <v>40688.500124043887</v>
      </c>
      <c r="Z49" s="46">
        <f t="shared" si="31"/>
        <v>44523.429538599521</v>
      </c>
      <c r="AA49" s="46">
        <f t="shared" si="31"/>
        <v>45071.252814122883</v>
      </c>
      <c r="AB49" s="46">
        <f t="shared" si="31"/>
        <v>47983.574157473238</v>
      </c>
      <c r="AC49" s="46">
        <f t="shared" si="31"/>
        <v>50856.238351850814</v>
      </c>
      <c r="AD49" s="46">
        <f t="shared" si="31"/>
        <v>54480.571228057117</v>
      </c>
      <c r="AE49" s="46">
        <f t="shared" si="31"/>
        <v>55625.823004947946</v>
      </c>
      <c r="AF49" s="46">
        <f t="shared" si="31"/>
        <v>59171.418559747806</v>
      </c>
      <c r="AG49" s="46">
        <f t="shared" si="31"/>
        <v>62715.35341826186</v>
      </c>
      <c r="AH49" s="46">
        <f t="shared" si="31"/>
        <v>67051.233198452814</v>
      </c>
      <c r="AI49" s="66"/>
    </row>
    <row r="50" spans="1:35">
      <c r="A50" s="273"/>
      <c r="B50" s="2" t="s">
        <v>57</v>
      </c>
      <c r="C50" s="46"/>
      <c r="D50" s="46"/>
      <c r="E50" s="46"/>
      <c r="F50" s="46"/>
      <c r="G50" s="46"/>
      <c r="H50" s="46"/>
      <c r="I50" s="46"/>
      <c r="J50" s="46"/>
      <c r="K50" s="46"/>
      <c r="L50" s="68">
        <v>35699.125050049275</v>
      </c>
      <c r="M50" s="113"/>
      <c r="N50" s="85">
        <f t="shared" si="29"/>
        <v>35699.125050049275</v>
      </c>
      <c r="O50" s="97">
        <f t="shared" ref="O50:AH50" si="32">+O82</f>
        <v>36031.268899536321</v>
      </c>
      <c r="P50" s="17">
        <f t="shared" si="32"/>
        <v>36418.928606675385</v>
      </c>
      <c r="Q50" s="17">
        <f t="shared" si="32"/>
        <v>36872.071260658668</v>
      </c>
      <c r="R50" s="17">
        <f t="shared" si="32"/>
        <v>37397.716739279269</v>
      </c>
      <c r="S50" s="17">
        <f t="shared" si="32"/>
        <v>38002.607237855671</v>
      </c>
      <c r="T50" s="17">
        <f t="shared" si="32"/>
        <v>38693.932129596258</v>
      </c>
      <c r="U50" s="17">
        <f t="shared" si="32"/>
        <v>39479.31740952476</v>
      </c>
      <c r="V50" s="17">
        <f t="shared" si="32"/>
        <v>40366.802775843964</v>
      </c>
      <c r="W50" s="17">
        <f t="shared" si="32"/>
        <v>41359.09956083104</v>
      </c>
      <c r="X50" s="17">
        <f t="shared" si="32"/>
        <v>42458.32101885337</v>
      </c>
      <c r="Y50" s="17">
        <f t="shared" si="32"/>
        <v>43665.819026640733</v>
      </c>
      <c r="Z50" s="17">
        <f t="shared" si="32"/>
        <v>44981.991855128967</v>
      </c>
      <c r="AA50" s="17">
        <f t="shared" si="32"/>
        <v>46405.438734344898</v>
      </c>
      <c r="AB50" s="17">
        <f t="shared" si="32"/>
        <v>47933.961934787607</v>
      </c>
      <c r="AC50" s="17">
        <f t="shared" si="32"/>
        <v>49564.454787657094</v>
      </c>
      <c r="AD50" s="17">
        <f t="shared" si="32"/>
        <v>51292.777211698754</v>
      </c>
      <c r="AE50" s="17">
        <f t="shared" si="32"/>
        <v>53124.798981182917</v>
      </c>
      <c r="AF50" s="17">
        <f t="shared" si="32"/>
        <v>55066.742056836127</v>
      </c>
      <c r="AG50" s="17">
        <f t="shared" si="32"/>
        <v>57125.201717028525</v>
      </c>
      <c r="AH50" s="17">
        <f t="shared" si="32"/>
        <v>59307.168956832465</v>
      </c>
      <c r="AI50" s="17"/>
    </row>
    <row r="51" spans="1:35">
      <c r="A51" s="273"/>
      <c r="B51" s="2" t="s">
        <v>72</v>
      </c>
      <c r="C51" s="46"/>
      <c r="D51" s="46"/>
      <c r="E51" s="46"/>
      <c r="F51" s="46"/>
      <c r="G51" s="46"/>
      <c r="H51" s="46"/>
      <c r="I51" s="46"/>
      <c r="J51" s="46"/>
      <c r="K51" s="46"/>
      <c r="L51" s="68">
        <v>4374.0515605067367</v>
      </c>
      <c r="M51" s="113"/>
      <c r="N51" s="85">
        <f t="shared" si="29"/>
        <v>4374.0515605067367</v>
      </c>
      <c r="O51" s="86">
        <f t="shared" ref="O51:AH51" si="33">O73*O64</f>
        <v>5115.015282100494</v>
      </c>
      <c r="P51" s="46">
        <f t="shared" si="33"/>
        <v>5969.9594899415188</v>
      </c>
      <c r="Q51" s="46">
        <f t="shared" si="33"/>
        <v>6978.3968713425102</v>
      </c>
      <c r="R51" s="46">
        <f t="shared" si="33"/>
        <v>8094.940370757311</v>
      </c>
      <c r="S51" s="46">
        <f t="shared" si="33"/>
        <v>9315.3136780766636</v>
      </c>
      <c r="T51" s="46">
        <f t="shared" si="33"/>
        <v>10646.403332805055</v>
      </c>
      <c r="U51" s="46">
        <f t="shared" si="33"/>
        <v>12094.933310898869</v>
      </c>
      <c r="V51" s="46">
        <f t="shared" si="33"/>
        <v>13667.274641315722</v>
      </c>
      <c r="W51" s="46">
        <f t="shared" si="33"/>
        <v>15281.370488801002</v>
      </c>
      <c r="X51" s="46">
        <f t="shared" si="33"/>
        <v>16928.01045354388</v>
      </c>
      <c r="Y51" s="46">
        <f t="shared" si="33"/>
        <v>18595.469319925454</v>
      </c>
      <c r="Z51" s="46">
        <f t="shared" si="33"/>
        <v>20269.061558718749</v>
      </c>
      <c r="AA51" s="46">
        <f t="shared" si="33"/>
        <v>21921.081939925312</v>
      </c>
      <c r="AB51" s="46">
        <f t="shared" si="33"/>
        <v>23539.257286817665</v>
      </c>
      <c r="AC51" s="46">
        <f t="shared" si="33"/>
        <v>25109.589934190135</v>
      </c>
      <c r="AD51" s="46">
        <f t="shared" si="33"/>
        <v>26616.16533024154</v>
      </c>
      <c r="AE51" s="46">
        <f t="shared" si="33"/>
        <v>28213.135250056035</v>
      </c>
      <c r="AF51" s="46">
        <f t="shared" si="33"/>
        <v>29905.923365059396</v>
      </c>
      <c r="AG51" s="46">
        <f t="shared" si="33"/>
        <v>31700.278766962962</v>
      </c>
      <c r="AH51" s="46">
        <f t="shared" si="33"/>
        <v>33602.295492980738</v>
      </c>
      <c r="AI51" s="46"/>
    </row>
    <row r="52" spans="1:35">
      <c r="A52" s="273"/>
      <c r="B52" s="2" t="s">
        <v>71</v>
      </c>
      <c r="C52" s="46"/>
      <c r="D52" s="46"/>
      <c r="E52" s="46"/>
      <c r="F52" s="46"/>
      <c r="G52" s="46"/>
      <c r="H52" s="46"/>
      <c r="I52" s="46"/>
      <c r="J52" s="46"/>
      <c r="K52" s="46"/>
      <c r="L52" s="68">
        <v>7406.8</v>
      </c>
      <c r="M52" s="113"/>
      <c r="N52" s="85">
        <f t="shared" si="29"/>
        <v>7406.8</v>
      </c>
      <c r="O52" s="77">
        <f>Capitalizations!H9</f>
        <v>8449.5556724666676</v>
      </c>
      <c r="P52" s="66">
        <f>Capitalizations!I9</f>
        <v>9619.5771687113356</v>
      </c>
      <c r="Q52" s="66">
        <f>Capitalizations!J9</f>
        <v>10937.227020538481</v>
      </c>
      <c r="R52" s="66">
        <f>Capitalizations!K9</f>
        <v>12426.125764841305</v>
      </c>
      <c r="S52" s="66">
        <f>Capitalizations!L9</f>
        <v>13889.545652185356</v>
      </c>
      <c r="T52" s="66">
        <f>Capitalizations!M9</f>
        <v>15482.769519608524</v>
      </c>
      <c r="U52" s="66">
        <f>Capitalizations!N9</f>
        <v>17222.671884521093</v>
      </c>
      <c r="V52" s="66">
        <f>Capitalizations!O9</f>
        <v>19128.320951596685</v>
      </c>
      <c r="W52" s="66">
        <f>Capitalizations!P9</f>
        <v>20830.481670832509</v>
      </c>
      <c r="X52" s="66">
        <f>Capitalizations!Q9</f>
        <v>22560.271742211004</v>
      </c>
      <c r="Y52" s="66">
        <f>Capitalizations!R9</f>
        <v>24320.177807425014</v>
      </c>
      <c r="Z52" s="66">
        <f>Capitalizations!S9</f>
        <v>26112.910305919737</v>
      </c>
      <c r="AA52" s="66">
        <f>Capitalizations!T9</f>
        <v>28081.579453010785</v>
      </c>
      <c r="AB52" s="66">
        <f>Capitalizations!U9</f>
        <v>30063.209026682624</v>
      </c>
      <c r="AC52" s="66">
        <f>Capitalizations!V9</f>
        <v>32072.409894245109</v>
      </c>
      <c r="AD52" s="66">
        <f>Capitalizations!W9</f>
        <v>34126.882893721078</v>
      </c>
      <c r="AE52" s="66">
        <f>Capitalizations!X9</f>
        <v>35848.935044951941</v>
      </c>
      <c r="AF52" s="66">
        <f>Capitalizations!Y9</f>
        <v>37653.811312319289</v>
      </c>
      <c r="AG52" s="66">
        <f>Capitalizations!Z9</f>
        <v>39562.706640301185</v>
      </c>
      <c r="AH52" s="66">
        <f>Capitalizations!AA9</f>
        <v>41600.196984720693</v>
      </c>
      <c r="AI52" s="66"/>
    </row>
    <row r="53" spans="1:35">
      <c r="A53" s="273"/>
      <c r="B53" s="2" t="s">
        <v>112</v>
      </c>
      <c r="C53" s="46"/>
      <c r="D53" s="46"/>
      <c r="E53" s="46"/>
      <c r="F53" s="46"/>
      <c r="G53" s="46"/>
      <c r="H53" s="46"/>
      <c r="I53" s="46"/>
      <c r="J53" s="46"/>
      <c r="K53" s="46"/>
      <c r="L53" s="68">
        <v>2955.4586779238598</v>
      </c>
      <c r="M53" s="113"/>
      <c r="N53" s="85">
        <f t="shared" si="29"/>
        <v>2955.4586779238598</v>
      </c>
      <c r="O53" s="77">
        <f>Capitalizations!H49</f>
        <v>3417.7317036591667</v>
      </c>
      <c r="P53" s="66">
        <f>Capitalizations!I49</f>
        <v>3947.1097849539387</v>
      </c>
      <c r="Q53" s="66">
        <f>Capitalizations!J49</f>
        <v>4554.3297306976901</v>
      </c>
      <c r="R53" s="66">
        <f>Capitalizations!K49</f>
        <v>5251.8462392022575</v>
      </c>
      <c r="S53" s="66">
        <f>Capitalizations!L49</f>
        <v>5974.3017983740974</v>
      </c>
      <c r="T53" s="66">
        <f>Capitalizations!M49</f>
        <v>6778.7388186485377</v>
      </c>
      <c r="U53" s="66">
        <f>Capitalizations!N49</f>
        <v>7675.8148899689158</v>
      </c>
      <c r="V53" s="66">
        <f>Capitalizations!O49</f>
        <v>8677.5730889712031</v>
      </c>
      <c r="W53" s="66">
        <f>Capitalizations!P49</f>
        <v>9657.8910796976379</v>
      </c>
      <c r="X53" s="66">
        <f>Capitalizations!Q49</f>
        <v>10699.454134340333</v>
      </c>
      <c r="Y53" s="66">
        <f>Capitalizations!R49</f>
        <v>11807.774308651749</v>
      </c>
      <c r="Z53" s="66">
        <f>Capitalizations!S49</f>
        <v>12988.859743402072</v>
      </c>
      <c r="AA53" s="66">
        <f>Capitalizations!T49</f>
        <v>14079.151367002112</v>
      </c>
      <c r="AB53" s="66">
        <f>Capitalizations!U49</f>
        <v>15189.35501263373</v>
      </c>
      <c r="AC53" s="66">
        <f>Capitalizations!V49</f>
        <v>16320.665401618822</v>
      </c>
      <c r="AD53" s="66">
        <f>Capitalizations!W49</f>
        <v>17474.348938558596</v>
      </c>
      <c r="AE53" s="66">
        <f>Capitalizations!X49</f>
        <v>18512.089850986551</v>
      </c>
      <c r="AF53" s="66">
        <f>Capitalizations!Y49</f>
        <v>19573.572650842951</v>
      </c>
      <c r="AG53" s="66">
        <f>Capitalizations!Z49</f>
        <v>20660.221851373499</v>
      </c>
      <c r="AH53" s="66">
        <f>Capitalizations!AA49</f>
        <v>21773.547436618646</v>
      </c>
      <c r="AI53" s="66"/>
    </row>
    <row r="54" spans="1:35">
      <c r="A54" s="259"/>
      <c r="B54" s="9" t="s">
        <v>60</v>
      </c>
      <c r="C54" s="22"/>
      <c r="D54" s="22"/>
      <c r="E54" s="22"/>
      <c r="F54" s="22"/>
      <c r="G54" s="22"/>
      <c r="H54" s="22"/>
      <c r="I54" s="22"/>
      <c r="J54" s="22"/>
      <c r="K54" s="22"/>
      <c r="L54" s="22">
        <f>SUM(L48:L53)</f>
        <v>92094.33211933347</v>
      </c>
      <c r="M54" s="114"/>
      <c r="N54" s="78">
        <f t="shared" ref="N54:AH54" si="34">SUM(N48:N53)</f>
        <v>392094.33211933344</v>
      </c>
      <c r="O54" s="79">
        <f t="shared" si="34"/>
        <v>387979.92692824744</v>
      </c>
      <c r="P54" s="22">
        <f t="shared" si="34"/>
        <v>383838.96054642915</v>
      </c>
      <c r="Q54" s="22">
        <f t="shared" si="34"/>
        <v>378951.87172391999</v>
      </c>
      <c r="R54" s="22">
        <f t="shared" si="34"/>
        <v>374249.10973305936</v>
      </c>
      <c r="S54" s="22">
        <f t="shared" si="34"/>
        <v>369606.47243702697</v>
      </c>
      <c r="T54" s="22">
        <f t="shared" si="34"/>
        <v>364952.7550494129</v>
      </c>
      <c r="U54" s="22">
        <f t="shared" si="34"/>
        <v>359744.20881526242</v>
      </c>
      <c r="V54" s="22">
        <f t="shared" si="34"/>
        <v>354977.4233701402</v>
      </c>
      <c r="W54" s="22">
        <f t="shared" si="34"/>
        <v>350098.10513683356</v>
      </c>
      <c r="X54" s="22">
        <f t="shared" si="34"/>
        <v>345643.6588830601</v>
      </c>
      <c r="Y54" s="22">
        <f t="shared" si="34"/>
        <v>341169.01447647641</v>
      </c>
      <c r="Z54" s="22">
        <f t="shared" si="34"/>
        <v>337786.04883300111</v>
      </c>
      <c r="AA54" s="22">
        <f t="shared" si="34"/>
        <v>334232.09901630227</v>
      </c>
      <c r="AB54" s="22">
        <f t="shared" si="34"/>
        <v>331646.6498615524</v>
      </c>
      <c r="AC54" s="22">
        <f t="shared" si="34"/>
        <v>329659.0185493211</v>
      </c>
      <c r="AD54" s="22">
        <f t="shared" si="34"/>
        <v>329463.69181049149</v>
      </c>
      <c r="AE54" s="22">
        <f t="shared" si="34"/>
        <v>330563.40559319319</v>
      </c>
      <c r="AF54" s="22">
        <f t="shared" si="34"/>
        <v>332910.83985380811</v>
      </c>
      <c r="AG54" s="22">
        <f t="shared" si="34"/>
        <v>336152.06496186339</v>
      </c>
      <c r="AH54" s="22">
        <f t="shared" si="34"/>
        <v>341499.32602853759</v>
      </c>
      <c r="AI54" s="44"/>
    </row>
    <row r="55" spans="1:35">
      <c r="A55" s="259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113"/>
      <c r="N55" s="8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>
      <c r="A56" s="259"/>
      <c r="B56" s="2" t="s">
        <v>62</v>
      </c>
      <c r="C56" s="46"/>
      <c r="D56" s="46"/>
      <c r="E56" s="46"/>
      <c r="F56" s="46"/>
      <c r="G56" s="46"/>
      <c r="H56" s="46"/>
      <c r="I56" s="46"/>
      <c r="J56" s="46"/>
      <c r="K56" s="46"/>
      <c r="L56" s="68">
        <v>2557.0490457218998</v>
      </c>
      <c r="M56" s="113"/>
      <c r="N56" s="85">
        <f>+M56+L56</f>
        <v>2557.0490457218998</v>
      </c>
      <c r="O56" s="86">
        <f t="shared" ref="O56:AH56" si="35">O72*O15/90</f>
        <v>2824.2868501458329</v>
      </c>
      <c r="P56" s="46">
        <f t="shared" si="35"/>
        <v>3276.1727461691662</v>
      </c>
      <c r="Q56" s="46">
        <f t="shared" si="35"/>
        <v>3800.3603855562324</v>
      </c>
      <c r="R56" s="46">
        <f t="shared" si="35"/>
        <v>4408.4180472452281</v>
      </c>
      <c r="S56" s="46">
        <f t="shared" si="35"/>
        <v>4981.5123933871091</v>
      </c>
      <c r="T56" s="46">
        <f t="shared" si="35"/>
        <v>5629.1090045274341</v>
      </c>
      <c r="U56" s="46">
        <f t="shared" si="35"/>
        <v>6360.8931751160017</v>
      </c>
      <c r="V56" s="46">
        <f t="shared" si="35"/>
        <v>7187.809287881083</v>
      </c>
      <c r="W56" s="46">
        <f t="shared" si="35"/>
        <v>7834.7121237903812</v>
      </c>
      <c r="X56" s="46">
        <f t="shared" si="35"/>
        <v>8539.8362149315144</v>
      </c>
      <c r="Y56" s="46">
        <f t="shared" si="35"/>
        <v>9308.421474275352</v>
      </c>
      <c r="Z56" s="46">
        <f t="shared" si="35"/>
        <v>10146.179406960135</v>
      </c>
      <c r="AA56" s="46">
        <f t="shared" si="35"/>
        <v>10754.950171377744</v>
      </c>
      <c r="AB56" s="46">
        <f t="shared" si="35"/>
        <v>11400.247181660407</v>
      </c>
      <c r="AC56" s="46">
        <f t="shared" si="35"/>
        <v>12084.262012560032</v>
      </c>
      <c r="AD56" s="46">
        <f t="shared" si="35"/>
        <v>12809.317733313632</v>
      </c>
      <c r="AE56" s="46">
        <f t="shared" si="35"/>
        <v>13577.876797312452</v>
      </c>
      <c r="AF56" s="46">
        <f t="shared" si="35"/>
        <v>14392.5494051512</v>
      </c>
      <c r="AG56" s="46">
        <f t="shared" si="35"/>
        <v>15256.10236946027</v>
      </c>
      <c r="AH56" s="46">
        <f t="shared" si="35"/>
        <v>16171.468511627883</v>
      </c>
      <c r="AI56" s="46"/>
    </row>
    <row r="57" spans="1:35">
      <c r="A57" s="273"/>
      <c r="B57" s="2" t="s">
        <v>18</v>
      </c>
      <c r="C57" s="46"/>
      <c r="D57" s="46"/>
      <c r="E57" s="46"/>
      <c r="F57" s="46"/>
      <c r="G57" s="46"/>
      <c r="H57" s="46"/>
      <c r="I57" s="46"/>
      <c r="J57" s="46"/>
      <c r="K57" s="46"/>
      <c r="L57" s="68">
        <v>19792.9612690828</v>
      </c>
      <c r="M57" s="113"/>
      <c r="N57" s="85">
        <f>+M57+L57</f>
        <v>19792.9612690828</v>
      </c>
      <c r="O57" s="86">
        <f t="shared" ref="O57:AH57" si="36">O98</f>
        <v>19063.2940863328</v>
      </c>
      <c r="P57" s="46">
        <f t="shared" si="36"/>
        <v>18706.733751292802</v>
      </c>
      <c r="Q57" s="46">
        <f t="shared" si="36"/>
        <v>18209.555943046416</v>
      </c>
      <c r="R57" s="46">
        <f t="shared" si="36"/>
        <v>18599.0907287306</v>
      </c>
      <c r="S57" s="46">
        <f t="shared" si="36"/>
        <v>18068.014006704878</v>
      </c>
      <c r="T57" s="46">
        <f t="shared" si="36"/>
        <v>18060.360067718306</v>
      </c>
      <c r="U57" s="46">
        <f t="shared" si="36"/>
        <v>18101.865530516872</v>
      </c>
      <c r="V57" s="46">
        <f t="shared" si="36"/>
        <v>19267.638502947193</v>
      </c>
      <c r="W57" s="46">
        <f t="shared" si="36"/>
        <v>18346.309457510084</v>
      </c>
      <c r="X57" s="46">
        <f t="shared" si="36"/>
        <v>18206.071418514373</v>
      </c>
      <c r="Y57" s="46">
        <f t="shared" si="36"/>
        <v>18433.913966038483</v>
      </c>
      <c r="Z57" s="46">
        <f t="shared" si="36"/>
        <v>20176.65910254074</v>
      </c>
      <c r="AA57" s="46">
        <f t="shared" si="36"/>
        <v>18542.449255593005</v>
      </c>
      <c r="AB57" s="46">
        <f t="shared" si="36"/>
        <v>17991.924468779471</v>
      </c>
      <c r="AC57" s="46">
        <f t="shared" si="36"/>
        <v>18161.312986560617</v>
      </c>
      <c r="AD57" s="46">
        <f t="shared" si="36"/>
        <v>20252.427267544204</v>
      </c>
      <c r="AE57" s="46">
        <f t="shared" si="36"/>
        <v>18987.488713746701</v>
      </c>
      <c r="AF57" s="46">
        <f t="shared" si="36"/>
        <v>18828.391497672405</v>
      </c>
      <c r="AG57" s="46">
        <f t="shared" si="36"/>
        <v>19412.693240437147</v>
      </c>
      <c r="AH57" s="46">
        <f t="shared" si="36"/>
        <v>21943.615539903345</v>
      </c>
      <c r="AI57" s="66"/>
    </row>
    <row r="58" spans="1:35">
      <c r="A58" s="259"/>
      <c r="B58" s="2" t="s">
        <v>58</v>
      </c>
      <c r="C58" s="46"/>
      <c r="D58" s="46"/>
      <c r="E58" s="46"/>
      <c r="F58" s="46"/>
      <c r="G58" s="46"/>
      <c r="H58" s="46"/>
      <c r="I58" s="46"/>
      <c r="J58" s="46"/>
      <c r="K58" s="46"/>
      <c r="L58" s="68">
        <v>0</v>
      </c>
      <c r="M58" s="113"/>
      <c r="N58" s="85">
        <f>+M58+L58</f>
        <v>0</v>
      </c>
      <c r="O58" s="109">
        <f t="shared" ref="O58:AH58" si="37">N58</f>
        <v>0</v>
      </c>
      <c r="P58" s="328">
        <f t="shared" si="37"/>
        <v>0</v>
      </c>
      <c r="Q58" s="328">
        <f t="shared" si="37"/>
        <v>0</v>
      </c>
      <c r="R58" s="328">
        <f t="shared" si="37"/>
        <v>0</v>
      </c>
      <c r="S58" s="328">
        <f t="shared" si="37"/>
        <v>0</v>
      </c>
      <c r="T58" s="328">
        <f t="shared" si="37"/>
        <v>0</v>
      </c>
      <c r="U58" s="328">
        <f t="shared" si="37"/>
        <v>0</v>
      </c>
      <c r="V58" s="328">
        <f t="shared" si="37"/>
        <v>0</v>
      </c>
      <c r="W58" s="328">
        <f t="shared" si="37"/>
        <v>0</v>
      </c>
      <c r="X58" s="328">
        <f t="shared" si="37"/>
        <v>0</v>
      </c>
      <c r="Y58" s="328">
        <f t="shared" si="37"/>
        <v>0</v>
      </c>
      <c r="Z58" s="328">
        <f t="shared" si="37"/>
        <v>0</v>
      </c>
      <c r="AA58" s="328">
        <f t="shared" si="37"/>
        <v>0</v>
      </c>
      <c r="AB58" s="328">
        <f t="shared" si="37"/>
        <v>0</v>
      </c>
      <c r="AC58" s="328">
        <f t="shared" si="37"/>
        <v>0</v>
      </c>
      <c r="AD58" s="328">
        <f t="shared" si="37"/>
        <v>0</v>
      </c>
      <c r="AE58" s="328">
        <f t="shared" si="37"/>
        <v>0</v>
      </c>
      <c r="AF58" s="328">
        <f t="shared" si="37"/>
        <v>0</v>
      </c>
      <c r="AG58" s="328">
        <f t="shared" si="37"/>
        <v>0</v>
      </c>
      <c r="AH58" s="328">
        <f t="shared" si="37"/>
        <v>0</v>
      </c>
      <c r="AI58" s="68"/>
    </row>
    <row r="59" spans="1:35">
      <c r="A59" s="259"/>
      <c r="B59" s="2" t="s">
        <v>59</v>
      </c>
      <c r="C59" s="46"/>
      <c r="D59" s="46"/>
      <c r="E59" s="46"/>
      <c r="F59" s="46"/>
      <c r="G59" s="46"/>
      <c r="H59" s="46"/>
      <c r="I59" s="46"/>
      <c r="J59" s="46"/>
      <c r="K59" s="46"/>
      <c r="L59" s="68">
        <v>69744.321804528794</v>
      </c>
      <c r="M59" s="113">
        <f>Transaction!G4</f>
        <v>300000</v>
      </c>
      <c r="N59" s="85">
        <f>+M59+L59</f>
        <v>369744.32180452882</v>
      </c>
      <c r="O59" s="106">
        <f t="shared" ref="O59:AH59" si="38">N59+O42+O109</f>
        <v>366092.34599176882</v>
      </c>
      <c r="P59" s="107">
        <f t="shared" si="38"/>
        <v>361856.0540489672</v>
      </c>
      <c r="Q59" s="107">
        <f t="shared" si="38"/>
        <v>356941.95539531735</v>
      </c>
      <c r="R59" s="107">
        <f t="shared" si="38"/>
        <v>351241.60095708352</v>
      </c>
      <c r="S59" s="107">
        <f t="shared" si="38"/>
        <v>346556.94603693503</v>
      </c>
      <c r="T59" s="107">
        <f t="shared" si="38"/>
        <v>341263.28597716719</v>
      </c>
      <c r="U59" s="107">
        <f t="shared" si="38"/>
        <v>335281.45010962954</v>
      </c>
      <c r="V59" s="107">
        <f t="shared" si="38"/>
        <v>328521.97557931195</v>
      </c>
      <c r="W59" s="107">
        <f t="shared" si="38"/>
        <v>323917.08355553309</v>
      </c>
      <c r="X59" s="107">
        <f t="shared" si="38"/>
        <v>318897.75124961417</v>
      </c>
      <c r="Y59" s="107">
        <f t="shared" si="38"/>
        <v>313426.67903616256</v>
      </c>
      <c r="Z59" s="107">
        <f t="shared" si="38"/>
        <v>307463.21032350027</v>
      </c>
      <c r="AA59" s="107">
        <f t="shared" si="38"/>
        <v>304934.69958933152</v>
      </c>
      <c r="AB59" s="107">
        <f t="shared" si="38"/>
        <v>302254.47821111261</v>
      </c>
      <c r="AC59" s="107">
        <f t="shared" si="38"/>
        <v>299413.44355020055</v>
      </c>
      <c r="AD59" s="107">
        <f t="shared" si="38"/>
        <v>296401.94680963375</v>
      </c>
      <c r="AE59" s="107">
        <f t="shared" si="38"/>
        <v>297998.04008213413</v>
      </c>
      <c r="AF59" s="107">
        <f t="shared" si="38"/>
        <v>299689.89895098453</v>
      </c>
      <c r="AG59" s="107">
        <f t="shared" si="38"/>
        <v>301483.26935196598</v>
      </c>
      <c r="AH59" s="107">
        <f t="shared" si="38"/>
        <v>303384.24197700637</v>
      </c>
      <c r="AI59" s="17"/>
    </row>
    <row r="60" spans="1:35">
      <c r="A60" s="259"/>
      <c r="B60" s="9" t="s">
        <v>61</v>
      </c>
      <c r="C60" s="22"/>
      <c r="D60" s="22"/>
      <c r="E60" s="22"/>
      <c r="F60" s="22"/>
      <c r="G60" s="22"/>
      <c r="H60" s="22"/>
      <c r="I60" s="22"/>
      <c r="J60" s="22"/>
      <c r="K60" s="22"/>
      <c r="L60" s="22">
        <f>SUM(L56:L59)</f>
        <v>92094.3321193335</v>
      </c>
      <c r="M60" s="114"/>
      <c r="N60" s="78">
        <f t="shared" ref="N60:AH60" si="39">SUM(N56:N59)</f>
        <v>392094.3321193335</v>
      </c>
      <c r="O60" s="79">
        <f t="shared" si="39"/>
        <v>387979.92692824744</v>
      </c>
      <c r="P60" s="22">
        <f t="shared" si="39"/>
        <v>383838.96054642915</v>
      </c>
      <c r="Q60" s="22">
        <f t="shared" si="39"/>
        <v>378951.87172391999</v>
      </c>
      <c r="R60" s="22">
        <f t="shared" si="39"/>
        <v>374249.10973305936</v>
      </c>
      <c r="S60" s="22">
        <f t="shared" si="39"/>
        <v>369606.47243702703</v>
      </c>
      <c r="T60" s="22">
        <f t="shared" si="39"/>
        <v>364952.75504941295</v>
      </c>
      <c r="U60" s="22">
        <f t="shared" si="39"/>
        <v>359744.20881526242</v>
      </c>
      <c r="V60" s="22">
        <f t="shared" si="39"/>
        <v>354977.42337014026</v>
      </c>
      <c r="W60" s="22">
        <f t="shared" si="39"/>
        <v>350098.10513683356</v>
      </c>
      <c r="X60" s="22">
        <f t="shared" si="39"/>
        <v>345643.65888306004</v>
      </c>
      <c r="Y60" s="22">
        <f t="shared" si="39"/>
        <v>341169.01447647641</v>
      </c>
      <c r="Z60" s="22">
        <f t="shared" si="39"/>
        <v>337786.04883300117</v>
      </c>
      <c r="AA60" s="22">
        <f t="shared" si="39"/>
        <v>334232.09901630227</v>
      </c>
      <c r="AB60" s="22">
        <f t="shared" si="39"/>
        <v>331646.64986155252</v>
      </c>
      <c r="AC60" s="22">
        <f t="shared" si="39"/>
        <v>329659.01854932122</v>
      </c>
      <c r="AD60" s="22">
        <f t="shared" si="39"/>
        <v>329463.69181049161</v>
      </c>
      <c r="AE60" s="22">
        <f t="shared" si="39"/>
        <v>330563.40559319331</v>
      </c>
      <c r="AF60" s="22">
        <f t="shared" si="39"/>
        <v>332910.83985380811</v>
      </c>
      <c r="AG60" s="22">
        <f t="shared" si="39"/>
        <v>336152.06496186339</v>
      </c>
      <c r="AH60" s="22">
        <f t="shared" si="39"/>
        <v>341499.32602853759</v>
      </c>
      <c r="AI60" s="44"/>
    </row>
    <row r="61" spans="1:35">
      <c r="A61" s="260"/>
      <c r="B61" s="7" t="s">
        <v>11</v>
      </c>
      <c r="L61" s="14">
        <f>+L54-L60</f>
        <v>0</v>
      </c>
      <c r="M61" s="335"/>
      <c r="N61" s="99">
        <f t="shared" ref="N61:AH61" si="40">+N54-N60</f>
        <v>0</v>
      </c>
      <c r="O61" s="101">
        <f t="shared" si="40"/>
        <v>0</v>
      </c>
      <c r="P61" s="14">
        <f t="shared" si="40"/>
        <v>0</v>
      </c>
      <c r="Q61" s="14">
        <f t="shared" si="40"/>
        <v>0</v>
      </c>
      <c r="R61" s="14">
        <f t="shared" si="40"/>
        <v>0</v>
      </c>
      <c r="S61" s="14">
        <f t="shared" si="40"/>
        <v>0</v>
      </c>
      <c r="T61" s="14">
        <f t="shared" si="40"/>
        <v>0</v>
      </c>
      <c r="U61" s="14">
        <f t="shared" si="40"/>
        <v>0</v>
      </c>
      <c r="V61" s="14">
        <f t="shared" si="40"/>
        <v>0</v>
      </c>
      <c r="W61" s="14">
        <f t="shared" si="40"/>
        <v>0</v>
      </c>
      <c r="X61" s="14">
        <f t="shared" si="40"/>
        <v>0</v>
      </c>
      <c r="Y61" s="14">
        <f t="shared" si="40"/>
        <v>0</v>
      </c>
      <c r="Z61" s="14">
        <f t="shared" si="40"/>
        <v>0</v>
      </c>
      <c r="AA61" s="14">
        <f t="shared" si="40"/>
        <v>0</v>
      </c>
      <c r="AB61" s="14">
        <f t="shared" si="40"/>
        <v>0</v>
      </c>
      <c r="AC61" s="14">
        <f t="shared" si="40"/>
        <v>0</v>
      </c>
      <c r="AD61" s="14">
        <f t="shared" si="40"/>
        <v>0</v>
      </c>
      <c r="AE61" s="14">
        <f t="shared" si="40"/>
        <v>0</v>
      </c>
      <c r="AF61" s="14">
        <f t="shared" si="40"/>
        <v>0</v>
      </c>
      <c r="AG61" s="14">
        <f t="shared" si="40"/>
        <v>0</v>
      </c>
      <c r="AH61" s="14">
        <f t="shared" si="40"/>
        <v>0</v>
      </c>
      <c r="AI61" s="14"/>
    </row>
    <row r="62" spans="1:35">
      <c r="A62" s="260"/>
      <c r="B62" s="7"/>
      <c r="L62" s="14"/>
      <c r="M62" s="1"/>
      <c r="N62" s="99"/>
      <c r="O62" s="101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spans="1:35">
      <c r="A63" s="260"/>
      <c r="B63" s="16" t="s">
        <v>82</v>
      </c>
      <c r="N63" s="99"/>
    </row>
    <row r="64" spans="1:35">
      <c r="A64" s="260"/>
      <c r="B64" s="2" t="s">
        <v>124</v>
      </c>
      <c r="L64" s="17">
        <f>+N64</f>
        <v>56611.084275388726</v>
      </c>
      <c r="N64" s="85">
        <f t="shared" ref="N64:AH64" si="41">SUM(K8:N8)</f>
        <v>56611.084275388726</v>
      </c>
      <c r="O64" s="86">
        <f t="shared" si="41"/>
        <v>66428.769897409016</v>
      </c>
      <c r="P64" s="46">
        <f t="shared" si="41"/>
        <v>77531.941427811937</v>
      </c>
      <c r="Q64" s="46">
        <f t="shared" si="41"/>
        <v>90628.530796655978</v>
      </c>
      <c r="R64" s="46">
        <f t="shared" si="41"/>
        <v>105129.09572412093</v>
      </c>
      <c r="S64" s="46">
        <f t="shared" si="41"/>
        <v>120978.09971528134</v>
      </c>
      <c r="T64" s="46">
        <f t="shared" si="41"/>
        <v>138264.97834811761</v>
      </c>
      <c r="U64" s="46">
        <f t="shared" si="41"/>
        <v>157077.05598569958</v>
      </c>
      <c r="V64" s="46">
        <f t="shared" si="41"/>
        <v>177497.07326384055</v>
      </c>
      <c r="W64" s="46">
        <f t="shared" si="41"/>
        <v>198459.3569974156</v>
      </c>
      <c r="X64" s="46">
        <f t="shared" si="41"/>
        <v>219844.29160446598</v>
      </c>
      <c r="Y64" s="46">
        <f t="shared" si="41"/>
        <v>241499.60155747342</v>
      </c>
      <c r="Z64" s="46">
        <f t="shared" si="41"/>
        <v>263234.56569764612</v>
      </c>
      <c r="AA64" s="46">
        <f t="shared" si="41"/>
        <v>284689.37584318587</v>
      </c>
      <c r="AB64" s="46">
        <f t="shared" si="41"/>
        <v>305704.64008854108</v>
      </c>
      <c r="AC64" s="46">
        <f t="shared" si="41"/>
        <v>326098.57057389786</v>
      </c>
      <c r="AD64" s="46">
        <f t="shared" si="41"/>
        <v>345664.4848083317</v>
      </c>
      <c r="AE64" s="46">
        <f t="shared" si="41"/>
        <v>366404.35389683163</v>
      </c>
      <c r="AF64" s="46">
        <f t="shared" si="41"/>
        <v>388388.6151306415</v>
      </c>
      <c r="AG64" s="46">
        <f t="shared" si="41"/>
        <v>411691.93203848001</v>
      </c>
      <c r="AH64" s="46">
        <f t="shared" si="41"/>
        <v>436393.44796078879</v>
      </c>
    </row>
    <row r="65" spans="1:34">
      <c r="A65" s="260"/>
      <c r="B65" s="2" t="s">
        <v>66</v>
      </c>
      <c r="L65" s="17">
        <f>+N65</f>
        <v>19254.619767705968</v>
      </c>
      <c r="N65" s="85">
        <f t="shared" ref="N65:AH65" si="42">N15+M15+L15+K15</f>
        <v>19254.619767705968</v>
      </c>
      <c r="O65" s="86">
        <f t="shared" si="42"/>
        <v>22819.491993458854</v>
      </c>
      <c r="P65" s="46">
        <f t="shared" si="42"/>
        <v>26842.865085933339</v>
      </c>
      <c r="Q65" s="46">
        <f t="shared" si="42"/>
        <v>31558.761063408892</v>
      </c>
      <c r="R65" s="46">
        <f t="shared" si="42"/>
        <v>36795.183503442327</v>
      </c>
      <c r="S65" s="46">
        <f t="shared" si="42"/>
        <v>42342.334900348469</v>
      </c>
      <c r="T65" s="46">
        <f t="shared" si="42"/>
        <v>48392.742421841154</v>
      </c>
      <c r="U65" s="46">
        <f t="shared" si="42"/>
        <v>54976.969594994851</v>
      </c>
      <c r="V65" s="46">
        <f t="shared" si="42"/>
        <v>62123.97564234418</v>
      </c>
      <c r="W65" s="46">
        <f t="shared" si="42"/>
        <v>69460.774949095445</v>
      </c>
      <c r="X65" s="46">
        <f t="shared" si="42"/>
        <v>76945.502061563093</v>
      </c>
      <c r="Y65" s="46">
        <f t="shared" si="42"/>
        <v>84524.860545115691</v>
      </c>
      <c r="Z65" s="46">
        <f t="shared" si="42"/>
        <v>92132.097994176118</v>
      </c>
      <c r="AA65" s="46">
        <f t="shared" si="42"/>
        <v>99641.281545115053</v>
      </c>
      <c r="AB65" s="46">
        <f t="shared" si="42"/>
        <v>106996.62403098935</v>
      </c>
      <c r="AC65" s="46">
        <f t="shared" si="42"/>
        <v>114134.49970086424</v>
      </c>
      <c r="AD65" s="46">
        <f t="shared" si="42"/>
        <v>120982.56968291609</v>
      </c>
      <c r="AE65" s="46">
        <f t="shared" si="42"/>
        <v>128241.52386389104</v>
      </c>
      <c r="AF65" s="46">
        <f t="shared" si="42"/>
        <v>135936.01529572453</v>
      </c>
      <c r="AG65" s="46">
        <f t="shared" si="42"/>
        <v>144092.17621346802</v>
      </c>
      <c r="AH65" s="46">
        <f t="shared" si="42"/>
        <v>152737.70678627607</v>
      </c>
    </row>
    <row r="66" spans="1:34">
      <c r="A66" s="260"/>
      <c r="B66" s="2" t="s">
        <v>202</v>
      </c>
      <c r="L66" s="17">
        <f>+N66</f>
        <v>19561.928662730461</v>
      </c>
      <c r="N66" s="85">
        <f t="shared" ref="N66:W67" si="43">SUM(K20:N20)</f>
        <v>19561.928662730461</v>
      </c>
      <c r="O66" s="86">
        <f t="shared" si="43"/>
        <v>24450.06814478695</v>
      </c>
      <c r="P66" s="46">
        <f t="shared" si="43"/>
        <v>29480.34388845347</v>
      </c>
      <c r="Q66" s="46">
        <f t="shared" si="43"/>
        <v>35680.421037999549</v>
      </c>
      <c r="R66" s="46">
        <f t="shared" si="43"/>
        <v>42051.638289648377</v>
      </c>
      <c r="S66" s="46">
        <f t="shared" si="43"/>
        <v>47659.262554839326</v>
      </c>
      <c r="T66" s="46">
        <f t="shared" si="43"/>
        <v>53746.879623635112</v>
      </c>
      <c r="U66" s="46">
        <f t="shared" si="43"/>
        <v>60337.048824365142</v>
      </c>
      <c r="V66" s="46">
        <f t="shared" si="43"/>
        <v>67448.887840259413</v>
      </c>
      <c r="W66" s="46">
        <f t="shared" si="43"/>
        <v>74263.332653073216</v>
      </c>
      <c r="X66" s="46">
        <f t="shared" ref="X66:AG67" si="44">SUM(U20:X20)</f>
        <v>81134.774727272626</v>
      </c>
      <c r="Y66" s="46">
        <f t="shared" si="44"/>
        <v>87996.024456052546</v>
      </c>
      <c r="Z66" s="46">
        <f t="shared" si="44"/>
        <v>94764.443651152571</v>
      </c>
      <c r="AA66" s="46">
        <f t="shared" si="44"/>
        <v>100907.85609469142</v>
      </c>
      <c r="AB66" s="46">
        <f t="shared" si="44"/>
        <v>106798.21286163243</v>
      </c>
      <c r="AC66" s="46">
        <f t="shared" si="44"/>
        <v>112364.38117329084</v>
      </c>
      <c r="AD66" s="46">
        <f t="shared" si="44"/>
        <v>117525.92483483278</v>
      </c>
      <c r="AE66" s="46">
        <f t="shared" si="44"/>
        <v>122582.36373429725</v>
      </c>
      <c r="AF66" s="46">
        <f t="shared" si="44"/>
        <v>127942.1889677296</v>
      </c>
      <c r="AG66" s="46">
        <f t="shared" si="44"/>
        <v>133623.60371516785</v>
      </c>
      <c r="AH66" s="46">
        <f t="shared" ref="AH66:AQ67" si="45">SUM(AE20:AH20)</f>
        <v>139645.9033474524</v>
      </c>
    </row>
    <row r="67" spans="1:34">
      <c r="A67" s="260"/>
      <c r="B67" s="2" t="s">
        <v>200</v>
      </c>
      <c r="L67" s="17">
        <f>+N67</f>
        <v>22912.599012328337</v>
      </c>
      <c r="N67" s="85">
        <f t="shared" si="43"/>
        <v>22912.599012328337</v>
      </c>
      <c r="O67" s="86">
        <f t="shared" si="43"/>
        <v>27125.230958804415</v>
      </c>
      <c r="P67" s="46">
        <f t="shared" si="43"/>
        <v>31502.474191492696</v>
      </c>
      <c r="Q67" s="46">
        <f t="shared" si="43"/>
        <v>37623.867775828083</v>
      </c>
      <c r="R67" s="46">
        <f t="shared" si="43"/>
        <v>44154.22020413079</v>
      </c>
      <c r="S67" s="46">
        <f t="shared" si="43"/>
        <v>50078.824549144949</v>
      </c>
      <c r="T67" s="46">
        <f t="shared" si="43"/>
        <v>56512.179190597453</v>
      </c>
      <c r="U67" s="46">
        <f t="shared" si="43"/>
        <v>63478.589944079125</v>
      </c>
      <c r="V67" s="46">
        <f t="shared" si="43"/>
        <v>70998.829305536216</v>
      </c>
      <c r="W67" s="46">
        <f t="shared" si="43"/>
        <v>78232.519793021522</v>
      </c>
      <c r="X67" s="46">
        <f t="shared" si="44"/>
        <v>85531.660559361946</v>
      </c>
      <c r="Y67" s="46">
        <f t="shared" si="44"/>
        <v>92826.016487202025</v>
      </c>
      <c r="Z67" s="46">
        <f t="shared" si="44"/>
        <v>100029.13496510551</v>
      </c>
      <c r="AA67" s="46">
        <f t="shared" si="44"/>
        <v>106601.64361155515</v>
      </c>
      <c r="AB67" s="46">
        <f t="shared" si="44"/>
        <v>112912.30566340324</v>
      </c>
      <c r="AC67" s="46">
        <f t="shared" si="44"/>
        <v>118886.35258476879</v>
      </c>
      <c r="AD67" s="46">
        <f t="shared" si="44"/>
        <v>124439.21453099941</v>
      </c>
      <c r="AE67" s="46">
        <f t="shared" si="44"/>
        <v>129910.45081223387</v>
      </c>
      <c r="AF67" s="46">
        <f t="shared" si="44"/>
        <v>135709.96127034241</v>
      </c>
      <c r="AG67" s="46">
        <f t="shared" si="44"/>
        <v>141857.44235593744</v>
      </c>
      <c r="AH67" s="46">
        <f t="shared" si="45"/>
        <v>148373.77230666819</v>
      </c>
    </row>
    <row r="68" spans="1:34">
      <c r="A68" s="260"/>
      <c r="B68" s="2" t="s">
        <v>69</v>
      </c>
      <c r="L68" s="17">
        <f>+L49+L51-L56-L57</f>
        <v>-2793.796036213862</v>
      </c>
      <c r="N68" s="85">
        <f t="shared" ref="N68:AH68" si="46">+N49+N51-N56-N57</f>
        <v>-2793.796036213862</v>
      </c>
      <c r="O68" s="86">
        <f t="shared" si="46"/>
        <v>-382.09044329403696</v>
      </c>
      <c r="P68" s="46">
        <f t="shared" si="46"/>
        <v>2224.0706332186455</v>
      </c>
      <c r="Q68" s="46">
        <f t="shared" si="46"/>
        <v>5060.7766936037588</v>
      </c>
      <c r="R68" s="46">
        <f t="shared" si="46"/>
        <v>7856.7652488151471</v>
      </c>
      <c r="S68" s="46">
        <f t="shared" si="46"/>
        <v>10680.059715011121</v>
      </c>
      <c r="T68" s="46">
        <f t="shared" si="46"/>
        <v>14011.84441574326</v>
      </c>
      <c r="U68" s="46">
        <f t="shared" si="46"/>
        <v>17399.851210443368</v>
      </c>
      <c r="V68" s="46">
        <f t="shared" si="46"/>
        <v>20579.288236964669</v>
      </c>
      <c r="W68" s="46">
        <f t="shared" si="46"/>
        <v>23800.637049608806</v>
      </c>
      <c r="X68" s="46">
        <f t="shared" si="46"/>
        <v>27863.188228802566</v>
      </c>
      <c r="Y68" s="46">
        <f t="shared" si="46"/>
        <v>31541.634003655505</v>
      </c>
      <c r="Z68" s="46">
        <f t="shared" si="46"/>
        <v>34469.6525878174</v>
      </c>
      <c r="AA68" s="46">
        <f t="shared" si="46"/>
        <v>37694.935327077445</v>
      </c>
      <c r="AB68" s="46">
        <f t="shared" si="46"/>
        <v>42130.659793851024</v>
      </c>
      <c r="AC68" s="46">
        <f t="shared" si="46"/>
        <v>45720.253286920306</v>
      </c>
      <c r="AD68" s="46">
        <f t="shared" si="46"/>
        <v>48034.991557440822</v>
      </c>
      <c r="AE68" s="46">
        <f t="shared" si="46"/>
        <v>51273.592743944828</v>
      </c>
      <c r="AF68" s="46">
        <f t="shared" si="46"/>
        <v>55856.401021983605</v>
      </c>
      <c r="AG68" s="46">
        <f t="shared" si="46"/>
        <v>59746.836575327397</v>
      </c>
      <c r="AH68" s="46">
        <f t="shared" si="46"/>
        <v>62538.444639902315</v>
      </c>
    </row>
    <row r="69" spans="1:34">
      <c r="A69" s="260"/>
      <c r="N69" s="85"/>
      <c r="O69" s="8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1:34">
      <c r="A70" s="260"/>
      <c r="B70" s="16" t="s">
        <v>201</v>
      </c>
      <c r="N70" s="85"/>
      <c r="O70" s="8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spans="1:34" s="260" customFormat="1">
      <c r="B71" s="275" t="s">
        <v>228</v>
      </c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312">
        <f t="shared" ref="N71:AH71" si="47">N49/N8*90</f>
        <v>76.386905321899334</v>
      </c>
      <c r="O71" s="313">
        <f t="shared" si="47"/>
        <v>71.091688624125666</v>
      </c>
      <c r="P71" s="314">
        <f t="shared" si="47"/>
        <v>68.19038048597406</v>
      </c>
      <c r="Q71" s="314">
        <f t="shared" si="47"/>
        <v>64.765075644808434</v>
      </c>
      <c r="R71" s="314">
        <f t="shared" si="47"/>
        <v>63.270845521605899</v>
      </c>
      <c r="S71" s="314">
        <f t="shared" si="47"/>
        <v>60.036955393424634</v>
      </c>
      <c r="T71" s="314">
        <f t="shared" si="47"/>
        <v>58.876573385671421</v>
      </c>
      <c r="U71" s="314">
        <f t="shared" si="47"/>
        <v>57.327489768254551</v>
      </c>
      <c r="V71" s="314">
        <f t="shared" si="47"/>
        <v>56.867313198406123</v>
      </c>
      <c r="W71" s="314">
        <f t="shared" si="47"/>
        <v>54.255794345022622</v>
      </c>
      <c r="X71" s="314">
        <f t="shared" si="47"/>
        <v>54.051773902824529</v>
      </c>
      <c r="Y71" s="314">
        <f t="shared" si="47"/>
        <v>53.546579073262265</v>
      </c>
      <c r="Z71" s="314">
        <f t="shared" si="47"/>
        <v>53.75540782116461</v>
      </c>
      <c r="AA71" s="314">
        <f t="shared" si="47"/>
        <v>51.33662529114968</v>
      </c>
      <c r="AB71" s="314">
        <f t="shared" si="47"/>
        <v>51.560178833195813</v>
      </c>
      <c r="AC71" s="314">
        <f t="shared" si="47"/>
        <v>51.553741483150226</v>
      </c>
      <c r="AD71" s="314">
        <f t="shared" si="47"/>
        <v>52.101681872407873</v>
      </c>
      <c r="AE71" s="314">
        <f t="shared" si="47"/>
        <v>50.185779557632245</v>
      </c>
      <c r="AF71" s="314">
        <f t="shared" si="47"/>
        <v>50.362854901681381</v>
      </c>
      <c r="AG71" s="314">
        <f t="shared" si="47"/>
        <v>50.357755917502239</v>
      </c>
      <c r="AH71" s="314">
        <f t="shared" si="47"/>
        <v>50.791776027665385</v>
      </c>
    </row>
    <row r="72" spans="1:34">
      <c r="A72" s="260"/>
      <c r="B72" s="2" t="s">
        <v>206</v>
      </c>
      <c r="N72" s="312">
        <f>N56/N15*90</f>
        <v>37.729985873241617</v>
      </c>
      <c r="O72" s="315">
        <v>35</v>
      </c>
      <c r="P72" s="356">
        <f t="shared" ref="P72:AH72" si="48">O72</f>
        <v>35</v>
      </c>
      <c r="Q72" s="356">
        <f t="shared" si="48"/>
        <v>35</v>
      </c>
      <c r="R72" s="356">
        <f t="shared" si="48"/>
        <v>35</v>
      </c>
      <c r="S72" s="356">
        <f t="shared" si="48"/>
        <v>35</v>
      </c>
      <c r="T72" s="356">
        <f t="shared" si="48"/>
        <v>35</v>
      </c>
      <c r="U72" s="356">
        <f t="shared" si="48"/>
        <v>35</v>
      </c>
      <c r="V72" s="356">
        <f t="shared" si="48"/>
        <v>35</v>
      </c>
      <c r="W72" s="356">
        <f t="shared" si="48"/>
        <v>35</v>
      </c>
      <c r="X72" s="356">
        <f t="shared" si="48"/>
        <v>35</v>
      </c>
      <c r="Y72" s="356">
        <f t="shared" si="48"/>
        <v>35</v>
      </c>
      <c r="Z72" s="356">
        <f t="shared" si="48"/>
        <v>35</v>
      </c>
      <c r="AA72" s="356">
        <f t="shared" si="48"/>
        <v>35</v>
      </c>
      <c r="AB72" s="356">
        <f t="shared" si="48"/>
        <v>35</v>
      </c>
      <c r="AC72" s="356">
        <f t="shared" si="48"/>
        <v>35</v>
      </c>
      <c r="AD72" s="356">
        <f t="shared" si="48"/>
        <v>35</v>
      </c>
      <c r="AE72" s="356">
        <f t="shared" si="48"/>
        <v>35</v>
      </c>
      <c r="AF72" s="356">
        <f t="shared" si="48"/>
        <v>35</v>
      </c>
      <c r="AG72" s="356">
        <f t="shared" si="48"/>
        <v>35</v>
      </c>
      <c r="AH72" s="356">
        <f t="shared" si="48"/>
        <v>35</v>
      </c>
    </row>
    <row r="73" spans="1:34">
      <c r="A73" s="260"/>
      <c r="B73" s="2" t="s">
        <v>204</v>
      </c>
      <c r="N73" s="316">
        <f>N51/N64</f>
        <v>7.7264931708936113E-2</v>
      </c>
      <c r="O73" s="317">
        <v>7.6999999999999999E-2</v>
      </c>
      <c r="P73" s="318">
        <f t="shared" ref="P73:AH73" si="49">O73</f>
        <v>7.6999999999999999E-2</v>
      </c>
      <c r="Q73" s="318">
        <f t="shared" si="49"/>
        <v>7.6999999999999999E-2</v>
      </c>
      <c r="R73" s="318">
        <f t="shared" si="49"/>
        <v>7.6999999999999999E-2</v>
      </c>
      <c r="S73" s="318">
        <f t="shared" si="49"/>
        <v>7.6999999999999999E-2</v>
      </c>
      <c r="T73" s="318">
        <f t="shared" si="49"/>
        <v>7.6999999999999999E-2</v>
      </c>
      <c r="U73" s="318">
        <f t="shared" si="49"/>
        <v>7.6999999999999999E-2</v>
      </c>
      <c r="V73" s="318">
        <f t="shared" si="49"/>
        <v>7.6999999999999999E-2</v>
      </c>
      <c r="W73" s="318">
        <f t="shared" si="49"/>
        <v>7.6999999999999999E-2</v>
      </c>
      <c r="X73" s="318">
        <f t="shared" si="49"/>
        <v>7.6999999999999999E-2</v>
      </c>
      <c r="Y73" s="318">
        <f t="shared" si="49"/>
        <v>7.6999999999999999E-2</v>
      </c>
      <c r="Z73" s="318">
        <f t="shared" si="49"/>
        <v>7.6999999999999999E-2</v>
      </c>
      <c r="AA73" s="318">
        <f t="shared" si="49"/>
        <v>7.6999999999999999E-2</v>
      </c>
      <c r="AB73" s="318">
        <f t="shared" si="49"/>
        <v>7.6999999999999999E-2</v>
      </c>
      <c r="AC73" s="318">
        <f t="shared" si="49"/>
        <v>7.6999999999999999E-2</v>
      </c>
      <c r="AD73" s="318">
        <f t="shared" si="49"/>
        <v>7.6999999999999999E-2</v>
      </c>
      <c r="AE73" s="318">
        <f t="shared" si="49"/>
        <v>7.6999999999999999E-2</v>
      </c>
      <c r="AF73" s="318">
        <f t="shared" si="49"/>
        <v>7.6999999999999999E-2</v>
      </c>
      <c r="AG73" s="318">
        <f t="shared" si="49"/>
        <v>7.6999999999999999E-2</v>
      </c>
      <c r="AH73" s="318">
        <f t="shared" si="49"/>
        <v>7.6999999999999999E-2</v>
      </c>
    </row>
    <row r="74" spans="1:34">
      <c r="A74" s="260"/>
      <c r="B74" s="2" t="s">
        <v>203</v>
      </c>
      <c r="N74" s="316">
        <f t="shared" ref="N74:AH74" si="50">+N52/N66</f>
        <v>0.37863342248617304</v>
      </c>
      <c r="O74" s="319">
        <f t="shared" si="50"/>
        <v>0.34558413589813308</v>
      </c>
      <c r="P74" s="320">
        <f t="shared" si="50"/>
        <v>0.32630478142010494</v>
      </c>
      <c r="Q74" s="320">
        <f t="shared" si="50"/>
        <v>0.30653301453170534</v>
      </c>
      <c r="R74" s="320">
        <f t="shared" si="50"/>
        <v>0.29549682890476531</v>
      </c>
      <c r="S74" s="320">
        <f t="shared" si="50"/>
        <v>0.29143433841854544</v>
      </c>
      <c r="T74" s="320">
        <f t="shared" si="50"/>
        <v>0.28806824932028235</v>
      </c>
      <c r="U74" s="320">
        <f t="shared" si="50"/>
        <v>0.28544107178086375</v>
      </c>
      <c r="V74" s="320">
        <f t="shared" si="50"/>
        <v>0.28359727734723633</v>
      </c>
      <c r="W74" s="320">
        <f t="shared" si="50"/>
        <v>0.28049484081388704</v>
      </c>
      <c r="X74" s="320">
        <f t="shared" si="50"/>
        <v>0.27805921465913186</v>
      </c>
      <c r="Y74" s="320">
        <f t="shared" si="50"/>
        <v>0.27637814273724526</v>
      </c>
      <c r="Z74" s="320">
        <f t="shared" si="50"/>
        <v>0.27555599230916961</v>
      </c>
      <c r="AA74" s="320">
        <f t="shared" si="50"/>
        <v>0.27828932790583888</v>
      </c>
      <c r="AB74" s="320">
        <f t="shared" si="50"/>
        <v>0.28149543162892116</v>
      </c>
      <c r="AC74" s="320">
        <f t="shared" si="50"/>
        <v>0.28543217663240034</v>
      </c>
      <c r="AD74" s="320">
        <f t="shared" si="50"/>
        <v>0.29037748855566908</v>
      </c>
      <c r="AE74" s="320">
        <f t="shared" si="50"/>
        <v>0.29244773842553817</v>
      </c>
      <c r="AF74" s="320">
        <f t="shared" si="50"/>
        <v>0.2943033225874897</v>
      </c>
      <c r="AG74" s="320">
        <f t="shared" si="50"/>
        <v>0.29607573467808185</v>
      </c>
      <c r="AH74" s="320">
        <f t="shared" si="50"/>
        <v>0.29789772551519406</v>
      </c>
    </row>
    <row r="75" spans="1:34">
      <c r="B75" s="2" t="s">
        <v>205</v>
      </c>
      <c r="N75" s="316">
        <f t="shared" ref="N75:AH75" si="51">N53/N67</f>
        <v>0.12898836471295325</v>
      </c>
      <c r="O75" s="319">
        <f t="shared" si="51"/>
        <v>0.12599825265450232</v>
      </c>
      <c r="P75" s="320">
        <f t="shared" si="51"/>
        <v>0.12529523112885729</v>
      </c>
      <c r="Q75" s="320">
        <f t="shared" si="51"/>
        <v>0.12104895110288676</v>
      </c>
      <c r="R75" s="320">
        <f t="shared" si="51"/>
        <v>0.11894324517389909</v>
      </c>
      <c r="S75" s="320">
        <f t="shared" si="51"/>
        <v>0.11929796380326789</v>
      </c>
      <c r="T75" s="320">
        <f t="shared" si="51"/>
        <v>0.11995182128415233</v>
      </c>
      <c r="U75" s="320">
        <f t="shared" si="51"/>
        <v>0.12091974470023442</v>
      </c>
      <c r="V75" s="320">
        <f t="shared" si="51"/>
        <v>0.12222135454696235</v>
      </c>
      <c r="W75" s="320">
        <f t="shared" si="51"/>
        <v>0.12345110582209751</v>
      </c>
      <c r="X75" s="320">
        <f t="shared" si="51"/>
        <v>0.12509349244908602</v>
      </c>
      <c r="Y75" s="320">
        <f t="shared" si="51"/>
        <v>0.12720328584044854</v>
      </c>
      <c r="Z75" s="320">
        <f t="shared" si="51"/>
        <v>0.12985076545881508</v>
      </c>
      <c r="AA75" s="320">
        <f t="shared" si="51"/>
        <v>0.13207255432481901</v>
      </c>
      <c r="AB75" s="320">
        <f t="shared" si="51"/>
        <v>0.13452346866349443</v>
      </c>
      <c r="AC75" s="320">
        <f t="shared" si="51"/>
        <v>0.13727955351293836</v>
      </c>
      <c r="AD75" s="320">
        <f t="shared" si="51"/>
        <v>0.14042477690346969</v>
      </c>
      <c r="AE75" s="320">
        <f t="shared" si="51"/>
        <v>0.14249885005589741</v>
      </c>
      <c r="AF75" s="320">
        <f t="shared" si="51"/>
        <v>0.14423092061644036</v>
      </c>
      <c r="AG75" s="320">
        <f t="shared" si="51"/>
        <v>0.14564073275432746</v>
      </c>
      <c r="AH75" s="320">
        <f t="shared" si="51"/>
        <v>0.14674795348342101</v>
      </c>
    </row>
    <row r="76" spans="1:34" s="260" customFormat="1">
      <c r="B76" s="275" t="s">
        <v>207</v>
      </c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316">
        <f t="shared" ref="N76:AH76" si="52">N57/N5</f>
        <v>0.27662635104105399</v>
      </c>
      <c r="O76" s="319">
        <f t="shared" si="52"/>
        <v>0.2296797631758484</v>
      </c>
      <c r="P76" s="320">
        <f t="shared" si="52"/>
        <v>0.19429640264890305</v>
      </c>
      <c r="Q76" s="320">
        <f t="shared" si="52"/>
        <v>0.16304525365988548</v>
      </c>
      <c r="R76" s="320">
        <f t="shared" si="52"/>
        <v>0.14356300137675351</v>
      </c>
      <c r="S76" s="320">
        <f t="shared" si="52"/>
        <v>0.12341921829243818</v>
      </c>
      <c r="T76" s="320">
        <f t="shared" si="52"/>
        <v>0.10917427935339158</v>
      </c>
      <c r="U76" s="320">
        <f t="shared" si="52"/>
        <v>9.6836441153472189E-2</v>
      </c>
      <c r="V76" s="320">
        <f t="shared" si="52"/>
        <v>9.1214846557805471E-2</v>
      </c>
      <c r="W76" s="320">
        <f t="shared" si="52"/>
        <v>7.9681822560759452E-2</v>
      </c>
      <c r="X76" s="320">
        <f t="shared" si="52"/>
        <v>7.2543797895370618E-2</v>
      </c>
      <c r="Y76" s="320">
        <f t="shared" si="52"/>
        <v>6.7386842091812726E-2</v>
      </c>
      <c r="Z76" s="320">
        <f t="shared" si="52"/>
        <v>6.7667527322477494E-2</v>
      </c>
      <c r="AA76" s="320">
        <f t="shared" si="52"/>
        <v>5.8666784380295454E-2</v>
      </c>
      <c r="AB76" s="320">
        <f t="shared" si="52"/>
        <v>5.3702801164090354E-2</v>
      </c>
      <c r="AC76" s="320">
        <f t="shared" si="52"/>
        <v>5.1139996949506251E-2</v>
      </c>
      <c r="AD76" s="320">
        <f t="shared" si="52"/>
        <v>5.3800296695609172E-2</v>
      </c>
      <c r="AE76" s="320">
        <f t="shared" si="52"/>
        <v>4.7584910082357136E-2</v>
      </c>
      <c r="AF76" s="320">
        <f t="shared" si="52"/>
        <v>4.451527688114032E-2</v>
      </c>
      <c r="AG76" s="320">
        <f t="shared" si="52"/>
        <v>4.3298792552421354E-2</v>
      </c>
      <c r="AH76" s="320">
        <f t="shared" si="52"/>
        <v>4.6173448793220141E-2</v>
      </c>
    </row>
    <row r="77" spans="1:34">
      <c r="B77" s="7"/>
      <c r="N77" s="99"/>
      <c r="O77" s="101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>
      <c r="A78" s="260"/>
      <c r="B78" s="16" t="s">
        <v>57</v>
      </c>
      <c r="N78" s="85"/>
      <c r="O78" s="8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spans="1:34">
      <c r="B79" s="2" t="s">
        <v>198</v>
      </c>
      <c r="N79" s="85"/>
      <c r="O79" s="86">
        <f t="shared" ref="O79:AH79" si="53">+N82</f>
        <v>35699.125050049275</v>
      </c>
      <c r="P79" s="46">
        <f t="shared" si="53"/>
        <v>36031.268899536321</v>
      </c>
      <c r="Q79" s="46">
        <f t="shared" si="53"/>
        <v>36418.928606675385</v>
      </c>
      <c r="R79" s="46">
        <f t="shared" si="53"/>
        <v>36872.071260658668</v>
      </c>
      <c r="S79" s="46">
        <f t="shared" si="53"/>
        <v>37397.716739279269</v>
      </c>
      <c r="T79" s="46">
        <f t="shared" si="53"/>
        <v>38002.607237855671</v>
      </c>
      <c r="U79" s="46">
        <f t="shared" si="53"/>
        <v>38693.932129596258</v>
      </c>
      <c r="V79" s="46">
        <f t="shared" si="53"/>
        <v>39479.31740952476</v>
      </c>
      <c r="W79" s="46">
        <f t="shared" si="53"/>
        <v>40366.802775843964</v>
      </c>
      <c r="X79" s="46">
        <f t="shared" si="53"/>
        <v>41359.09956083104</v>
      </c>
      <c r="Y79" s="46">
        <f t="shared" si="53"/>
        <v>42458.32101885337</v>
      </c>
      <c r="Z79" s="46">
        <f t="shared" si="53"/>
        <v>43665.819026640733</v>
      </c>
      <c r="AA79" s="46">
        <f t="shared" si="53"/>
        <v>44981.991855128967</v>
      </c>
      <c r="AB79" s="46">
        <f t="shared" si="53"/>
        <v>46405.438734344898</v>
      </c>
      <c r="AC79" s="46">
        <f t="shared" si="53"/>
        <v>47933.961934787607</v>
      </c>
      <c r="AD79" s="46">
        <f t="shared" si="53"/>
        <v>49564.454787657094</v>
      </c>
      <c r="AE79" s="46">
        <f t="shared" si="53"/>
        <v>51292.777211698754</v>
      </c>
      <c r="AF79" s="46">
        <f t="shared" si="53"/>
        <v>53124.798981182917</v>
      </c>
      <c r="AG79" s="46">
        <f t="shared" si="53"/>
        <v>55066.742056836127</v>
      </c>
      <c r="AH79" s="46">
        <f t="shared" si="53"/>
        <v>57125.201717028525</v>
      </c>
    </row>
    <row r="80" spans="1:34">
      <c r="B80" s="2" t="s">
        <v>68</v>
      </c>
      <c r="N80" s="85"/>
      <c r="O80" s="86">
        <f t="shared" ref="O80:AH80" si="54">O86*O64</f>
        <v>1660.7192474352255</v>
      </c>
      <c r="P80" s="46">
        <f t="shared" si="54"/>
        <v>1938.2985356952986</v>
      </c>
      <c r="Q80" s="46">
        <f t="shared" si="54"/>
        <v>2265.7132699163994</v>
      </c>
      <c r="R80" s="46">
        <f t="shared" si="54"/>
        <v>2628.2273931030231</v>
      </c>
      <c r="S80" s="46">
        <f t="shared" si="54"/>
        <v>3024.4524928820338</v>
      </c>
      <c r="T80" s="46">
        <f t="shared" si="54"/>
        <v>3456.6244587029405</v>
      </c>
      <c r="U80" s="46">
        <f t="shared" si="54"/>
        <v>3926.9263996424897</v>
      </c>
      <c r="V80" s="46">
        <f t="shared" si="54"/>
        <v>4437.4268315960135</v>
      </c>
      <c r="W80" s="46">
        <f t="shared" si="54"/>
        <v>4961.48392493539</v>
      </c>
      <c r="X80" s="46">
        <f t="shared" si="54"/>
        <v>5496.1072901116495</v>
      </c>
      <c r="Y80" s="46">
        <f t="shared" si="54"/>
        <v>6037.4900389368358</v>
      </c>
      <c r="Z80" s="46">
        <f t="shared" si="54"/>
        <v>6580.8641424411535</v>
      </c>
      <c r="AA80" s="46">
        <f t="shared" si="54"/>
        <v>7117.234396079647</v>
      </c>
      <c r="AB80" s="46">
        <f t="shared" si="54"/>
        <v>7642.6160022135273</v>
      </c>
      <c r="AC80" s="46">
        <f t="shared" si="54"/>
        <v>8152.4642643474472</v>
      </c>
      <c r="AD80" s="46">
        <f t="shared" si="54"/>
        <v>8641.6121202082923</v>
      </c>
      <c r="AE80" s="46">
        <f t="shared" si="54"/>
        <v>9160.1088474207918</v>
      </c>
      <c r="AF80" s="46">
        <f t="shared" si="54"/>
        <v>9709.7153782660371</v>
      </c>
      <c r="AG80" s="46">
        <f t="shared" si="54"/>
        <v>10292.298300962</v>
      </c>
      <c r="AH80" s="46">
        <f t="shared" si="54"/>
        <v>10909.836199019721</v>
      </c>
    </row>
    <row r="81" spans="2:35">
      <c r="B81" s="2" t="s">
        <v>63</v>
      </c>
      <c r="N81" s="85"/>
      <c r="O81" s="160">
        <f t="shared" ref="O81:AH81" si="55">-O85*O64</f>
        <v>-1328.5753979481804</v>
      </c>
      <c r="P81" s="161">
        <f t="shared" si="55"/>
        <v>-1550.6388285562389</v>
      </c>
      <c r="Q81" s="161">
        <f t="shared" si="55"/>
        <v>-1812.5706159331196</v>
      </c>
      <c r="R81" s="161">
        <f t="shared" si="55"/>
        <v>-2102.5819144824186</v>
      </c>
      <c r="S81" s="161">
        <f t="shared" si="55"/>
        <v>-2419.5619943056267</v>
      </c>
      <c r="T81" s="161">
        <f t="shared" si="55"/>
        <v>-2765.2995669623524</v>
      </c>
      <c r="U81" s="161">
        <f t="shared" si="55"/>
        <v>-3141.5411197139915</v>
      </c>
      <c r="V81" s="161">
        <f t="shared" si="55"/>
        <v>-3549.941465276811</v>
      </c>
      <c r="W81" s="161">
        <f t="shared" si="55"/>
        <v>-3969.1871399483121</v>
      </c>
      <c r="X81" s="161">
        <f t="shared" si="55"/>
        <v>-4396.8858320893196</v>
      </c>
      <c r="Y81" s="161">
        <f t="shared" si="55"/>
        <v>-4829.9920311494689</v>
      </c>
      <c r="Z81" s="161">
        <f t="shared" si="55"/>
        <v>-5264.6913139529224</v>
      </c>
      <c r="AA81" s="161">
        <f t="shared" si="55"/>
        <v>-5693.7875168637174</v>
      </c>
      <c r="AB81" s="161">
        <f t="shared" si="55"/>
        <v>-6114.092801770822</v>
      </c>
      <c r="AC81" s="161">
        <f t="shared" si="55"/>
        <v>-6521.9714114779572</v>
      </c>
      <c r="AD81" s="161">
        <f t="shared" si="55"/>
        <v>-6913.2896961666338</v>
      </c>
      <c r="AE81" s="161">
        <f t="shared" si="55"/>
        <v>-7328.0870779366323</v>
      </c>
      <c r="AF81" s="161">
        <f t="shared" si="55"/>
        <v>-7767.7723026128297</v>
      </c>
      <c r="AG81" s="161">
        <f t="shared" si="55"/>
        <v>-8233.8386407695998</v>
      </c>
      <c r="AH81" s="161">
        <f t="shared" si="55"/>
        <v>-8727.8689592157752</v>
      </c>
    </row>
    <row r="82" spans="2:35">
      <c r="B82" s="9" t="s">
        <v>199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78">
        <f>+N50</f>
        <v>35699.125050049275</v>
      </c>
      <c r="O82" s="79">
        <f t="shared" ref="O82:AH82" si="56">SUM(O79:O81)</f>
        <v>36031.268899536321</v>
      </c>
      <c r="P82" s="22">
        <f t="shared" si="56"/>
        <v>36418.928606675385</v>
      </c>
      <c r="Q82" s="22">
        <f t="shared" si="56"/>
        <v>36872.071260658668</v>
      </c>
      <c r="R82" s="22">
        <f t="shared" si="56"/>
        <v>37397.716739279269</v>
      </c>
      <c r="S82" s="22">
        <f t="shared" si="56"/>
        <v>38002.607237855671</v>
      </c>
      <c r="T82" s="22">
        <f t="shared" si="56"/>
        <v>38693.932129596258</v>
      </c>
      <c r="U82" s="22">
        <f t="shared" si="56"/>
        <v>39479.31740952476</v>
      </c>
      <c r="V82" s="22">
        <f t="shared" si="56"/>
        <v>40366.802775843964</v>
      </c>
      <c r="W82" s="22">
        <f t="shared" si="56"/>
        <v>41359.09956083104</v>
      </c>
      <c r="X82" s="22">
        <f t="shared" si="56"/>
        <v>42458.32101885337</v>
      </c>
      <c r="Y82" s="22">
        <f t="shared" si="56"/>
        <v>43665.819026640733</v>
      </c>
      <c r="Z82" s="22">
        <f t="shared" si="56"/>
        <v>44981.991855128967</v>
      </c>
      <c r="AA82" s="22">
        <f t="shared" si="56"/>
        <v>46405.438734344898</v>
      </c>
      <c r="AB82" s="22">
        <f t="shared" si="56"/>
        <v>47933.961934787607</v>
      </c>
      <c r="AC82" s="22">
        <f t="shared" si="56"/>
        <v>49564.454787657094</v>
      </c>
      <c r="AD82" s="22">
        <f t="shared" si="56"/>
        <v>51292.777211698754</v>
      </c>
      <c r="AE82" s="22">
        <f t="shared" si="56"/>
        <v>53124.798981182917</v>
      </c>
      <c r="AF82" s="22">
        <f t="shared" si="56"/>
        <v>55066.742056836127</v>
      </c>
      <c r="AG82" s="22">
        <f t="shared" si="56"/>
        <v>57125.201717028525</v>
      </c>
      <c r="AH82" s="22">
        <f t="shared" si="56"/>
        <v>59307.168956832465</v>
      </c>
    </row>
    <row r="83" spans="2:3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03"/>
      <c r="O83" s="10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 spans="2:35">
      <c r="B84" s="16" t="s">
        <v>209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03"/>
      <c r="O84" s="10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spans="2:35">
      <c r="B85" s="2" t="s">
        <v>65</v>
      </c>
      <c r="N85" s="218"/>
      <c r="O85" s="321">
        <v>0.02</v>
      </c>
      <c r="P85" s="322">
        <f t="shared" ref="P85:AH85" si="57">O85</f>
        <v>0.02</v>
      </c>
      <c r="Q85" s="322">
        <f t="shared" si="57"/>
        <v>0.02</v>
      </c>
      <c r="R85" s="322">
        <f t="shared" si="57"/>
        <v>0.02</v>
      </c>
      <c r="S85" s="322">
        <f t="shared" si="57"/>
        <v>0.02</v>
      </c>
      <c r="T85" s="322">
        <f t="shared" si="57"/>
        <v>0.02</v>
      </c>
      <c r="U85" s="322">
        <f t="shared" si="57"/>
        <v>0.02</v>
      </c>
      <c r="V85" s="322">
        <f t="shared" si="57"/>
        <v>0.02</v>
      </c>
      <c r="W85" s="322">
        <f t="shared" si="57"/>
        <v>0.02</v>
      </c>
      <c r="X85" s="322">
        <f t="shared" si="57"/>
        <v>0.02</v>
      </c>
      <c r="Y85" s="322">
        <f t="shared" si="57"/>
        <v>0.02</v>
      </c>
      <c r="Z85" s="322">
        <f t="shared" si="57"/>
        <v>0.02</v>
      </c>
      <c r="AA85" s="322">
        <f t="shared" si="57"/>
        <v>0.02</v>
      </c>
      <c r="AB85" s="322">
        <f t="shared" si="57"/>
        <v>0.02</v>
      </c>
      <c r="AC85" s="322">
        <f t="shared" si="57"/>
        <v>0.02</v>
      </c>
      <c r="AD85" s="322">
        <f t="shared" si="57"/>
        <v>0.02</v>
      </c>
      <c r="AE85" s="322">
        <f t="shared" si="57"/>
        <v>0.02</v>
      </c>
      <c r="AF85" s="322">
        <f t="shared" si="57"/>
        <v>0.02</v>
      </c>
      <c r="AG85" s="322">
        <f t="shared" si="57"/>
        <v>0.02</v>
      </c>
      <c r="AH85" s="322">
        <f t="shared" si="57"/>
        <v>0.02</v>
      </c>
      <c r="AI85" s="217"/>
    </row>
    <row r="86" spans="2:35">
      <c r="B86" s="2" t="s">
        <v>64</v>
      </c>
      <c r="N86" s="218"/>
      <c r="O86" s="321">
        <v>2.5000000000000001E-2</v>
      </c>
      <c r="P86" s="322">
        <v>2.5000000000000001E-2</v>
      </c>
      <c r="Q86" s="322">
        <v>2.5000000000000001E-2</v>
      </c>
      <c r="R86" s="322">
        <v>2.5000000000000001E-2</v>
      </c>
      <c r="S86" s="322">
        <v>2.5000000000000001E-2</v>
      </c>
      <c r="T86" s="322">
        <v>2.5000000000000001E-2</v>
      </c>
      <c r="U86" s="322">
        <v>2.5000000000000001E-2</v>
      </c>
      <c r="V86" s="322">
        <v>2.5000000000000001E-2</v>
      </c>
      <c r="W86" s="322">
        <v>2.5000000000000001E-2</v>
      </c>
      <c r="X86" s="322">
        <v>2.5000000000000001E-2</v>
      </c>
      <c r="Y86" s="322">
        <v>2.5000000000000001E-2</v>
      </c>
      <c r="Z86" s="322">
        <v>2.5000000000000001E-2</v>
      </c>
      <c r="AA86" s="322">
        <v>2.5000000000000001E-2</v>
      </c>
      <c r="AB86" s="322">
        <v>2.5000000000000001E-2</v>
      </c>
      <c r="AC86" s="322">
        <v>2.5000000000000001E-2</v>
      </c>
      <c r="AD86" s="322">
        <v>2.5000000000000001E-2</v>
      </c>
      <c r="AE86" s="322">
        <v>2.5000000000000001E-2</v>
      </c>
      <c r="AF86" s="322">
        <v>2.5000000000000001E-2</v>
      </c>
      <c r="AG86" s="322">
        <v>2.5000000000000001E-2</v>
      </c>
      <c r="AH86" s="322">
        <v>2.5000000000000001E-2</v>
      </c>
      <c r="AI86" s="217"/>
    </row>
    <row r="87" spans="2:35">
      <c r="N87" s="349"/>
      <c r="O87" s="269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  <c r="AA87" s="270"/>
      <c r="AB87" s="270"/>
      <c r="AC87" s="270"/>
      <c r="AD87" s="270"/>
      <c r="AE87" s="270"/>
      <c r="AF87" s="270"/>
      <c r="AG87" s="270"/>
      <c r="AH87" s="270"/>
      <c r="AI87" s="217"/>
    </row>
    <row r="88" spans="2:35">
      <c r="B88" s="61" t="s">
        <v>36</v>
      </c>
      <c r="C88" s="1"/>
      <c r="D88" s="17"/>
      <c r="E88" s="17"/>
      <c r="N88" s="99"/>
      <c r="O88" s="101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2:35">
      <c r="B89" s="24" t="s">
        <v>41</v>
      </c>
      <c r="C89" s="1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350"/>
      <c r="O89" s="97">
        <f t="shared" ref="O89:AH89" si="58">+N92</f>
        <v>15182.162718084101</v>
      </c>
      <c r="P89" s="17">
        <f t="shared" si="58"/>
        <v>16390.4752110841</v>
      </c>
      <c r="Q89" s="17">
        <f t="shared" si="58"/>
        <v>18237.017640739097</v>
      </c>
      <c r="R89" s="17">
        <f t="shared" si="58"/>
        <v>20092.296150863898</v>
      </c>
      <c r="S89" s="17">
        <f t="shared" si="58"/>
        <v>22769.333654033664</v>
      </c>
      <c r="T89" s="17">
        <f t="shared" si="58"/>
        <v>24414.27243702644</v>
      </c>
      <c r="U89" s="17">
        <f t="shared" si="58"/>
        <v>27054.910155183941</v>
      </c>
      <c r="V89" s="17">
        <f t="shared" si="58"/>
        <v>29767.676605177374</v>
      </c>
      <c r="W89" s="17">
        <f t="shared" si="58"/>
        <v>33367.461386477225</v>
      </c>
      <c r="X89" s="17">
        <f t="shared" si="58"/>
        <v>34700.288142108271</v>
      </c>
      <c r="Y89" s="17">
        <f t="shared" si="58"/>
        <v>37681.085408704574</v>
      </c>
      <c r="Z89" s="17">
        <f t="shared" si="58"/>
        <v>40688.500124043887</v>
      </c>
      <c r="AA89" s="17">
        <f t="shared" si="58"/>
        <v>44523.429538599521</v>
      </c>
      <c r="AB89" s="17">
        <f t="shared" si="58"/>
        <v>45071.252814122883</v>
      </c>
      <c r="AC89" s="17">
        <f t="shared" si="58"/>
        <v>47983.574157473238</v>
      </c>
      <c r="AD89" s="17">
        <f t="shared" si="58"/>
        <v>50856.238351850814</v>
      </c>
      <c r="AE89" s="17">
        <f t="shared" si="58"/>
        <v>54480.571228057117</v>
      </c>
      <c r="AF89" s="17">
        <f t="shared" si="58"/>
        <v>55625.823004947946</v>
      </c>
      <c r="AG89" s="17">
        <f t="shared" si="58"/>
        <v>59171.418559747806</v>
      </c>
      <c r="AH89" s="17">
        <f t="shared" si="58"/>
        <v>62715.35341826186</v>
      </c>
    </row>
    <row r="90" spans="2:35">
      <c r="B90" s="24" t="s">
        <v>37</v>
      </c>
      <c r="C90" s="1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350"/>
      <c r="O90" s="77">
        <f>+'Billing Waterfall'!I69</f>
        <v>20020.195389750003</v>
      </c>
      <c r="P90" s="66">
        <f>+'Billing Waterfall'!J69</f>
        <v>23713.280249060001</v>
      </c>
      <c r="Q90" s="66">
        <f>+'Billing Waterfall'!K69</f>
        <v>27423.837269309603</v>
      </c>
      <c r="R90" s="66">
        <f>+'Billing Waterfall'!L69</f>
        <v>32777.912275649134</v>
      </c>
      <c r="S90" s="66">
        <f>+'Billing Waterfall'!M69</f>
        <v>36067.78984163468</v>
      </c>
      <c r="T90" s="66">
        <f>+'Billing Waterfall'!N69</f>
        <v>41349.065277949681</v>
      </c>
      <c r="U90" s="66">
        <f>+'Billing Waterfall'!O69</f>
        <v>46774.598177936539</v>
      </c>
      <c r="V90" s="66">
        <f>+'Billing Waterfall'!P69</f>
        <v>53974.167740536235</v>
      </c>
      <c r="W90" s="66">
        <f>+'Billing Waterfall'!Q69</f>
        <v>56639.821251798334</v>
      </c>
      <c r="X90" s="66">
        <f>+'Billing Waterfall'!R69</f>
        <v>62601.415784990932</v>
      </c>
      <c r="Y90" s="66">
        <f>+'Billing Waterfall'!S69</f>
        <v>68616.245215669551</v>
      </c>
      <c r="Z90" s="66">
        <f>+'Billing Waterfall'!T69</f>
        <v>76286.104044780805</v>
      </c>
      <c r="AA90" s="66">
        <f>+'Billing Waterfall'!U69</f>
        <v>77381.750595827529</v>
      </c>
      <c r="AB90" s="66">
        <f>+'Billing Waterfall'!V69</f>
        <v>83206.393282528239</v>
      </c>
      <c r="AC90" s="66">
        <f>+'Billing Waterfall'!W69</f>
        <v>88951.72167128342</v>
      </c>
      <c r="AD90" s="66">
        <f>+'Billing Waterfall'!X69</f>
        <v>96200.387423695996</v>
      </c>
      <c r="AE90" s="66">
        <f>+'Billing Waterfall'!Y69</f>
        <v>98490.890977477655</v>
      </c>
      <c r="AF90" s="66">
        <f>+'Billing Waterfall'!Z69</f>
        <v>105582.08208707738</v>
      </c>
      <c r="AG90" s="66">
        <f>+'Billing Waterfall'!AA69</f>
        <v>112669.95180410548</v>
      </c>
      <c r="AH90" s="66">
        <f>+'Billing Waterfall'!AB69</f>
        <v>121341.71136448739</v>
      </c>
    </row>
    <row r="91" spans="2:35">
      <c r="B91" s="24" t="s">
        <v>38</v>
      </c>
      <c r="C91" s="1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350"/>
      <c r="O91" s="77">
        <f>+-'Billing Waterfall'!I126</f>
        <v>-18811.882896750001</v>
      </c>
      <c r="P91" s="66">
        <f>+-'Billing Waterfall'!J126</f>
        <v>-21866.737819405003</v>
      </c>
      <c r="Q91" s="66">
        <f>+-'Billing Waterfall'!K126</f>
        <v>-25568.558759184802</v>
      </c>
      <c r="R91" s="66">
        <f>+-'Billing Waterfall'!L126</f>
        <v>-30100.874772479368</v>
      </c>
      <c r="S91" s="66">
        <f>+-'Billing Waterfall'!M126</f>
        <v>-34422.851058641907</v>
      </c>
      <c r="T91" s="66">
        <f>+-'Billing Waterfall'!N126</f>
        <v>-38708.427559792181</v>
      </c>
      <c r="U91" s="66">
        <f>+-'Billing Waterfall'!O126</f>
        <v>-44061.831727943107</v>
      </c>
      <c r="V91" s="66">
        <f>+-'Billing Waterfall'!P126</f>
        <v>-50374.382959236391</v>
      </c>
      <c r="W91" s="66">
        <f>+-'Billing Waterfall'!Q126</f>
        <v>-55306.994496167288</v>
      </c>
      <c r="X91" s="66">
        <f>+-'Billing Waterfall'!R126</f>
        <v>-59620.618518394636</v>
      </c>
      <c r="Y91" s="66">
        <f>+-'Billing Waterfall'!S126</f>
        <v>-65608.830500330238</v>
      </c>
      <c r="Z91" s="66">
        <f>+-'Billing Waterfall'!T126</f>
        <v>-72451.17463022517</v>
      </c>
      <c r="AA91" s="66">
        <f>+-'Billing Waterfall'!U126</f>
        <v>-76833.927320304167</v>
      </c>
      <c r="AB91" s="66">
        <f>+-'Billing Waterfall'!V126</f>
        <v>-80294.071939177884</v>
      </c>
      <c r="AC91" s="66">
        <f>+-'Billing Waterfall'!W126</f>
        <v>-86079.057476905829</v>
      </c>
      <c r="AD91" s="66">
        <f>+-'Billing Waterfall'!X126</f>
        <v>-92576.054547489708</v>
      </c>
      <c r="AE91" s="66">
        <f>+-'Billing Waterfall'!Y126</f>
        <v>-97345.639200586826</v>
      </c>
      <c r="AF91" s="66">
        <f>+-'Billing Waterfall'!Z126</f>
        <v>-102036.48653227751</v>
      </c>
      <c r="AG91" s="66">
        <f>+-'Billing Waterfall'!AA126</f>
        <v>-109126.01694559143</v>
      </c>
      <c r="AH91" s="66">
        <f>+-'Billing Waterfall'!AB126</f>
        <v>-117005.83158429644</v>
      </c>
    </row>
    <row r="92" spans="2:35">
      <c r="B92" s="62" t="s">
        <v>229</v>
      </c>
      <c r="C92" s="63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78">
        <f>N49</f>
        <v>15182.162718084101</v>
      </c>
      <c r="O92" s="271">
        <f t="shared" ref="O92:AH92" si="59">SUM(O89:O91)</f>
        <v>16390.4752110841</v>
      </c>
      <c r="P92" s="18">
        <f t="shared" si="59"/>
        <v>18237.017640739097</v>
      </c>
      <c r="Q92" s="18">
        <f t="shared" si="59"/>
        <v>20092.296150863898</v>
      </c>
      <c r="R92" s="18">
        <f t="shared" si="59"/>
        <v>22769.333654033664</v>
      </c>
      <c r="S92" s="18">
        <f t="shared" si="59"/>
        <v>24414.27243702644</v>
      </c>
      <c r="T92" s="18">
        <f t="shared" si="59"/>
        <v>27054.910155183941</v>
      </c>
      <c r="U92" s="18">
        <f t="shared" si="59"/>
        <v>29767.676605177374</v>
      </c>
      <c r="V92" s="18">
        <f t="shared" si="59"/>
        <v>33367.461386477225</v>
      </c>
      <c r="W92" s="18">
        <f t="shared" si="59"/>
        <v>34700.288142108271</v>
      </c>
      <c r="X92" s="18">
        <f t="shared" si="59"/>
        <v>37681.085408704574</v>
      </c>
      <c r="Y92" s="18">
        <f t="shared" si="59"/>
        <v>40688.500124043887</v>
      </c>
      <c r="Z92" s="18">
        <f t="shared" si="59"/>
        <v>44523.429538599521</v>
      </c>
      <c r="AA92" s="18">
        <f t="shared" si="59"/>
        <v>45071.252814122883</v>
      </c>
      <c r="AB92" s="18">
        <f t="shared" si="59"/>
        <v>47983.574157473238</v>
      </c>
      <c r="AC92" s="18">
        <f t="shared" si="59"/>
        <v>50856.238351850814</v>
      </c>
      <c r="AD92" s="18">
        <f t="shared" si="59"/>
        <v>54480.571228057117</v>
      </c>
      <c r="AE92" s="18">
        <f t="shared" si="59"/>
        <v>55625.823004947946</v>
      </c>
      <c r="AF92" s="18">
        <f t="shared" si="59"/>
        <v>59171.418559747806</v>
      </c>
      <c r="AG92" s="18">
        <f t="shared" si="59"/>
        <v>62715.35341826186</v>
      </c>
      <c r="AH92" s="18">
        <f t="shared" si="59"/>
        <v>67051.233198452814</v>
      </c>
    </row>
    <row r="93" spans="2:35">
      <c r="B93" s="64"/>
      <c r="C93" s="10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351"/>
      <c r="O93" s="272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</row>
    <row r="94" spans="2:35">
      <c r="B94" s="61" t="s">
        <v>18</v>
      </c>
      <c r="C94" s="1"/>
      <c r="N94" s="8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2:35">
      <c r="B95" s="24" t="s">
        <v>39</v>
      </c>
      <c r="C95" s="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82"/>
      <c r="O95" s="86">
        <f t="shared" ref="O95:AH95" si="60">+N98</f>
        <v>19792.9612690828</v>
      </c>
      <c r="P95" s="46">
        <f t="shared" si="60"/>
        <v>19063.2940863328</v>
      </c>
      <c r="Q95" s="46">
        <f t="shared" si="60"/>
        <v>18706.733751292802</v>
      </c>
      <c r="R95" s="46">
        <f t="shared" si="60"/>
        <v>18209.555943046416</v>
      </c>
      <c r="S95" s="46">
        <f t="shared" si="60"/>
        <v>18599.0907287306</v>
      </c>
      <c r="T95" s="46">
        <f t="shared" si="60"/>
        <v>18068.014006704878</v>
      </c>
      <c r="U95" s="46">
        <f t="shared" si="60"/>
        <v>18060.360067718306</v>
      </c>
      <c r="V95" s="46">
        <f t="shared" si="60"/>
        <v>18101.865530516872</v>
      </c>
      <c r="W95" s="46">
        <f t="shared" si="60"/>
        <v>19267.638502947193</v>
      </c>
      <c r="X95" s="46">
        <f t="shared" si="60"/>
        <v>18346.309457510084</v>
      </c>
      <c r="Y95" s="46">
        <f t="shared" si="60"/>
        <v>18206.071418514373</v>
      </c>
      <c r="Z95" s="46">
        <f t="shared" si="60"/>
        <v>18433.913966038483</v>
      </c>
      <c r="AA95" s="46">
        <f t="shared" si="60"/>
        <v>20176.65910254074</v>
      </c>
      <c r="AB95" s="46">
        <f t="shared" si="60"/>
        <v>18542.449255593005</v>
      </c>
      <c r="AC95" s="46">
        <f t="shared" si="60"/>
        <v>17991.924468779471</v>
      </c>
      <c r="AD95" s="46">
        <f t="shared" si="60"/>
        <v>18161.312986560617</v>
      </c>
      <c r="AE95" s="46">
        <f t="shared" si="60"/>
        <v>20252.427267544204</v>
      </c>
      <c r="AF95" s="46">
        <f t="shared" si="60"/>
        <v>18987.488713746701</v>
      </c>
      <c r="AG95" s="46">
        <f t="shared" si="60"/>
        <v>18828.391497672405</v>
      </c>
      <c r="AH95" s="46">
        <f t="shared" si="60"/>
        <v>19412.693240437147</v>
      </c>
    </row>
    <row r="96" spans="2:35">
      <c r="B96" s="24" t="s">
        <v>37</v>
      </c>
      <c r="C96" s="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350"/>
      <c r="O96" s="86">
        <f t="shared" ref="O96:AH96" si="61">O90</f>
        <v>20020.195389750003</v>
      </c>
      <c r="P96" s="46">
        <f t="shared" si="61"/>
        <v>23713.280249060001</v>
      </c>
      <c r="Q96" s="46">
        <f t="shared" si="61"/>
        <v>27423.837269309603</v>
      </c>
      <c r="R96" s="46">
        <f t="shared" si="61"/>
        <v>32777.912275649134</v>
      </c>
      <c r="S96" s="46">
        <f t="shared" si="61"/>
        <v>36067.78984163468</v>
      </c>
      <c r="T96" s="46">
        <f t="shared" si="61"/>
        <v>41349.065277949681</v>
      </c>
      <c r="U96" s="46">
        <f t="shared" si="61"/>
        <v>46774.598177936539</v>
      </c>
      <c r="V96" s="46">
        <f t="shared" si="61"/>
        <v>53974.167740536235</v>
      </c>
      <c r="W96" s="46">
        <f t="shared" si="61"/>
        <v>56639.821251798334</v>
      </c>
      <c r="X96" s="46">
        <f t="shared" si="61"/>
        <v>62601.415784990932</v>
      </c>
      <c r="Y96" s="46">
        <f t="shared" si="61"/>
        <v>68616.245215669551</v>
      </c>
      <c r="Z96" s="46">
        <f t="shared" si="61"/>
        <v>76286.104044780805</v>
      </c>
      <c r="AA96" s="46">
        <f t="shared" si="61"/>
        <v>77381.750595827529</v>
      </c>
      <c r="AB96" s="46">
        <f t="shared" si="61"/>
        <v>83206.393282528239</v>
      </c>
      <c r="AC96" s="46">
        <f t="shared" si="61"/>
        <v>88951.72167128342</v>
      </c>
      <c r="AD96" s="46">
        <f t="shared" si="61"/>
        <v>96200.387423695996</v>
      </c>
      <c r="AE96" s="46">
        <f t="shared" si="61"/>
        <v>98490.890977477655</v>
      </c>
      <c r="AF96" s="46">
        <f t="shared" si="61"/>
        <v>105582.08208707738</v>
      </c>
      <c r="AG96" s="46">
        <f t="shared" si="61"/>
        <v>112669.95180410548</v>
      </c>
      <c r="AH96" s="46">
        <f t="shared" si="61"/>
        <v>121341.71136448739</v>
      </c>
    </row>
    <row r="97" spans="2:35">
      <c r="B97" s="24" t="s">
        <v>17</v>
      </c>
      <c r="C97" s="1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350"/>
      <c r="O97" s="86">
        <f>-O8</f>
        <v>-20749.862572499998</v>
      </c>
      <c r="P97" s="46">
        <f t="shared" ref="P97:AH97" si="62">-P8</f>
        <v>-24069.840584099995</v>
      </c>
      <c r="Q97" s="46">
        <f t="shared" si="62"/>
        <v>-27921.015077555992</v>
      </c>
      <c r="R97" s="46">
        <f t="shared" si="62"/>
        <v>-32388.377489964947</v>
      </c>
      <c r="S97" s="46">
        <f t="shared" si="62"/>
        <v>-36598.866563660398</v>
      </c>
      <c r="T97" s="46">
        <f t="shared" si="62"/>
        <v>-41356.719216936253</v>
      </c>
      <c r="U97" s="46">
        <f t="shared" si="62"/>
        <v>-46733.092715137973</v>
      </c>
      <c r="V97" s="46">
        <f t="shared" si="62"/>
        <v>-52808.394768105914</v>
      </c>
      <c r="W97" s="46">
        <f t="shared" si="62"/>
        <v>-57561.15029723545</v>
      </c>
      <c r="X97" s="46">
        <f t="shared" si="62"/>
        <v>-62741.653823986635</v>
      </c>
      <c r="Y97" s="46">
        <f t="shared" si="62"/>
        <v>-68388.402668145442</v>
      </c>
      <c r="Z97" s="46">
        <f t="shared" si="62"/>
        <v>-74543.358908278547</v>
      </c>
      <c r="AA97" s="46">
        <f t="shared" si="62"/>
        <v>-79015.960442775264</v>
      </c>
      <c r="AB97" s="46">
        <f t="shared" si="62"/>
        <v>-83756.918069341773</v>
      </c>
      <c r="AC97" s="46">
        <f t="shared" si="62"/>
        <v>-88782.333153502273</v>
      </c>
      <c r="AD97" s="46">
        <f t="shared" si="62"/>
        <v>-94109.273142712409</v>
      </c>
      <c r="AE97" s="46">
        <f t="shared" si="62"/>
        <v>-99755.829531275158</v>
      </c>
      <c r="AF97" s="46">
        <f t="shared" si="62"/>
        <v>-105741.17930315167</v>
      </c>
      <c r="AG97" s="46">
        <f t="shared" si="62"/>
        <v>-112085.65006134076</v>
      </c>
      <c r="AH97" s="46">
        <f t="shared" si="62"/>
        <v>-118810.78906502121</v>
      </c>
    </row>
    <row r="98" spans="2:35">
      <c r="B98" s="62" t="s">
        <v>40</v>
      </c>
      <c r="C98" s="63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78">
        <f>N57</f>
        <v>19792.9612690828</v>
      </c>
      <c r="O98" s="79">
        <f t="shared" ref="O98:AH98" si="63">SUM(O95:O97)</f>
        <v>19063.2940863328</v>
      </c>
      <c r="P98" s="22">
        <f t="shared" si="63"/>
        <v>18706.733751292802</v>
      </c>
      <c r="Q98" s="22">
        <f t="shared" si="63"/>
        <v>18209.555943046416</v>
      </c>
      <c r="R98" s="22">
        <f t="shared" si="63"/>
        <v>18599.0907287306</v>
      </c>
      <c r="S98" s="22">
        <f t="shared" si="63"/>
        <v>18068.014006704878</v>
      </c>
      <c r="T98" s="22">
        <f t="shared" si="63"/>
        <v>18060.360067718306</v>
      </c>
      <c r="U98" s="22">
        <f t="shared" si="63"/>
        <v>18101.865530516872</v>
      </c>
      <c r="V98" s="22">
        <f t="shared" si="63"/>
        <v>19267.638502947193</v>
      </c>
      <c r="W98" s="22">
        <f t="shared" si="63"/>
        <v>18346.309457510084</v>
      </c>
      <c r="X98" s="22">
        <f t="shared" si="63"/>
        <v>18206.071418514373</v>
      </c>
      <c r="Y98" s="22">
        <f t="shared" si="63"/>
        <v>18433.913966038483</v>
      </c>
      <c r="Z98" s="22">
        <f t="shared" si="63"/>
        <v>20176.65910254074</v>
      </c>
      <c r="AA98" s="22">
        <f t="shared" si="63"/>
        <v>18542.449255593005</v>
      </c>
      <c r="AB98" s="22">
        <f t="shared" si="63"/>
        <v>17991.924468779471</v>
      </c>
      <c r="AC98" s="22">
        <f t="shared" si="63"/>
        <v>18161.312986560617</v>
      </c>
      <c r="AD98" s="22">
        <f t="shared" si="63"/>
        <v>20252.427267544204</v>
      </c>
      <c r="AE98" s="22">
        <f t="shared" si="63"/>
        <v>18987.488713746701</v>
      </c>
      <c r="AF98" s="22">
        <f t="shared" si="63"/>
        <v>18828.391497672405</v>
      </c>
      <c r="AG98" s="22">
        <f t="shared" si="63"/>
        <v>19412.693240437147</v>
      </c>
      <c r="AH98" s="22">
        <f t="shared" si="63"/>
        <v>21943.615539903345</v>
      </c>
    </row>
    <row r="99" spans="2:35">
      <c r="B99" s="64"/>
      <c r="C99" s="10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280"/>
      <c r="O99" s="272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</row>
    <row r="100" spans="2:35">
      <c r="C100" s="10"/>
      <c r="D100" s="65"/>
      <c r="E100" s="65"/>
    </row>
    <row r="101" spans="2:35" s="2" customFormat="1">
      <c r="B101" s="3" t="s">
        <v>55</v>
      </c>
      <c r="C101" s="29"/>
      <c r="D101" s="29"/>
      <c r="E101" s="29" t="s">
        <v>211</v>
      </c>
      <c r="F101" s="29"/>
      <c r="G101" s="29"/>
      <c r="H101" s="29"/>
      <c r="I101" s="29"/>
      <c r="J101" s="29"/>
      <c r="K101" s="29"/>
      <c r="L101" s="29"/>
      <c r="M101" s="29"/>
      <c r="N101" s="71"/>
      <c r="O101" s="72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67" t="s">
        <v>248</v>
      </c>
      <c r="AI101" s="219"/>
    </row>
    <row r="102" spans="2:35" s="2" customFormat="1">
      <c r="B102" s="4"/>
      <c r="C102" s="156">
        <f t="shared" ref="C102:N102" si="64">YEAR(C103)</f>
        <v>2020</v>
      </c>
      <c r="D102" s="156">
        <f t="shared" si="64"/>
        <v>2020</v>
      </c>
      <c r="E102" s="156">
        <f t="shared" si="64"/>
        <v>2020</v>
      </c>
      <c r="F102" s="156">
        <f t="shared" si="64"/>
        <v>2020</v>
      </c>
      <c r="G102" s="156">
        <f t="shared" si="64"/>
        <v>2021</v>
      </c>
      <c r="H102" s="156">
        <f t="shared" si="64"/>
        <v>2021</v>
      </c>
      <c r="I102" s="156">
        <f t="shared" si="64"/>
        <v>2021</v>
      </c>
      <c r="J102" s="156">
        <f t="shared" si="64"/>
        <v>2021</v>
      </c>
      <c r="K102" s="156">
        <f t="shared" si="64"/>
        <v>2022</v>
      </c>
      <c r="L102" s="156">
        <f t="shared" si="64"/>
        <v>2022</v>
      </c>
      <c r="M102" s="156">
        <f t="shared" si="64"/>
        <v>2022</v>
      </c>
      <c r="N102" s="340">
        <f t="shared" si="64"/>
        <v>2022</v>
      </c>
      <c r="O102" s="193">
        <f t="shared" ref="O102:AH102" si="65">YEAR(O103)</f>
        <v>2023</v>
      </c>
      <c r="P102" s="156">
        <f t="shared" si="65"/>
        <v>2023</v>
      </c>
      <c r="Q102" s="156">
        <f t="shared" si="65"/>
        <v>2023</v>
      </c>
      <c r="R102" s="156">
        <f t="shared" si="65"/>
        <v>2023</v>
      </c>
      <c r="S102" s="156">
        <f t="shared" si="65"/>
        <v>2024</v>
      </c>
      <c r="T102" s="156">
        <f t="shared" si="65"/>
        <v>2024</v>
      </c>
      <c r="U102" s="156">
        <f t="shared" si="65"/>
        <v>2024</v>
      </c>
      <c r="V102" s="156">
        <f t="shared" si="65"/>
        <v>2024</v>
      </c>
      <c r="W102" s="156">
        <f t="shared" si="65"/>
        <v>2025</v>
      </c>
      <c r="X102" s="156">
        <f t="shared" si="65"/>
        <v>2025</v>
      </c>
      <c r="Y102" s="156">
        <f t="shared" si="65"/>
        <v>2025</v>
      </c>
      <c r="Z102" s="156">
        <f t="shared" si="65"/>
        <v>2025</v>
      </c>
      <c r="AA102" s="156">
        <f t="shared" si="65"/>
        <v>2026</v>
      </c>
      <c r="AB102" s="156">
        <f t="shared" si="65"/>
        <v>2026</v>
      </c>
      <c r="AC102" s="156">
        <f t="shared" si="65"/>
        <v>2026</v>
      </c>
      <c r="AD102" s="156">
        <f t="shared" si="65"/>
        <v>2026</v>
      </c>
      <c r="AE102" s="156">
        <f t="shared" si="65"/>
        <v>2027</v>
      </c>
      <c r="AF102" s="156">
        <f t="shared" si="65"/>
        <v>2027</v>
      </c>
      <c r="AG102" s="156">
        <f t="shared" si="65"/>
        <v>2027</v>
      </c>
      <c r="AH102" s="156">
        <f t="shared" si="65"/>
        <v>2027</v>
      </c>
      <c r="AI102" s="220"/>
    </row>
    <row r="103" spans="2:35" s="2" customFormat="1">
      <c r="B103" s="4"/>
      <c r="C103" s="89">
        <f t="shared" ref="C103:AH103" si="66">C$4</f>
        <v>43921</v>
      </c>
      <c r="D103" s="89">
        <f t="shared" si="66"/>
        <v>44012</v>
      </c>
      <c r="E103" s="89">
        <f t="shared" si="66"/>
        <v>44104</v>
      </c>
      <c r="F103" s="89">
        <f t="shared" si="66"/>
        <v>44196</v>
      </c>
      <c r="G103" s="89">
        <f t="shared" si="66"/>
        <v>44286</v>
      </c>
      <c r="H103" s="89">
        <f t="shared" si="66"/>
        <v>44377</v>
      </c>
      <c r="I103" s="89">
        <f t="shared" si="66"/>
        <v>44469</v>
      </c>
      <c r="J103" s="89">
        <f t="shared" si="66"/>
        <v>44561</v>
      </c>
      <c r="K103" s="89">
        <f t="shared" si="66"/>
        <v>44651</v>
      </c>
      <c r="L103" s="89">
        <f t="shared" si="66"/>
        <v>44742</v>
      </c>
      <c r="M103" s="89">
        <f t="shared" si="66"/>
        <v>44834</v>
      </c>
      <c r="N103" s="110">
        <f t="shared" si="66"/>
        <v>44926</v>
      </c>
      <c r="O103" s="111">
        <f t="shared" si="66"/>
        <v>45016</v>
      </c>
      <c r="P103" s="89">
        <f t="shared" si="66"/>
        <v>45107</v>
      </c>
      <c r="Q103" s="89">
        <f t="shared" si="66"/>
        <v>45199</v>
      </c>
      <c r="R103" s="89">
        <f t="shared" si="66"/>
        <v>45291</v>
      </c>
      <c r="S103" s="89">
        <f t="shared" si="66"/>
        <v>45382</v>
      </c>
      <c r="T103" s="89">
        <f t="shared" si="66"/>
        <v>45473</v>
      </c>
      <c r="U103" s="89">
        <f t="shared" si="66"/>
        <v>45565</v>
      </c>
      <c r="V103" s="89">
        <f t="shared" si="66"/>
        <v>45657</v>
      </c>
      <c r="W103" s="89">
        <f t="shared" si="66"/>
        <v>45747</v>
      </c>
      <c r="X103" s="89">
        <f t="shared" si="66"/>
        <v>45838</v>
      </c>
      <c r="Y103" s="89">
        <f t="shared" si="66"/>
        <v>45930</v>
      </c>
      <c r="Z103" s="89">
        <f t="shared" si="66"/>
        <v>46022</v>
      </c>
      <c r="AA103" s="89">
        <f t="shared" si="66"/>
        <v>46112</v>
      </c>
      <c r="AB103" s="89">
        <f t="shared" si="66"/>
        <v>46203</v>
      </c>
      <c r="AC103" s="89">
        <f t="shared" si="66"/>
        <v>46295</v>
      </c>
      <c r="AD103" s="89">
        <f t="shared" si="66"/>
        <v>46387</v>
      </c>
      <c r="AE103" s="89">
        <f t="shared" si="66"/>
        <v>46477</v>
      </c>
      <c r="AF103" s="89">
        <f t="shared" si="66"/>
        <v>46568</v>
      </c>
      <c r="AG103" s="89">
        <f t="shared" si="66"/>
        <v>46660</v>
      </c>
      <c r="AH103" s="89">
        <f t="shared" si="66"/>
        <v>46752</v>
      </c>
      <c r="AI103" s="221"/>
    </row>
    <row r="104" spans="2:35">
      <c r="B104" s="16" t="s">
        <v>210</v>
      </c>
      <c r="I104" s="1"/>
      <c r="J104" s="1"/>
      <c r="K104" s="1"/>
      <c r="L104" s="1"/>
      <c r="M104" s="1"/>
      <c r="N104" s="8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2:35">
      <c r="B105" s="2" t="s">
        <v>51</v>
      </c>
      <c r="I105" s="1"/>
      <c r="J105" s="1"/>
      <c r="K105" s="1"/>
      <c r="L105" s="1"/>
      <c r="M105" s="1"/>
      <c r="N105" s="85"/>
      <c r="O105" s="86">
        <f t="shared" ref="O105:AH105" si="67">+O42</f>
        <v>-9752.4354090750021</v>
      </c>
      <c r="P105" s="46">
        <f t="shared" si="67"/>
        <v>-11312.825074527</v>
      </c>
      <c r="Q105" s="46">
        <f t="shared" si="67"/>
        <v>-13122.877086451317</v>
      </c>
      <c r="R105" s="46">
        <f t="shared" si="67"/>
        <v>-15222.537420283523</v>
      </c>
      <c r="S105" s="46">
        <f t="shared" si="67"/>
        <v>-15005.535291100758</v>
      </c>
      <c r="T105" s="46">
        <f t="shared" si="67"/>
        <v>-16956.254878943866</v>
      </c>
      <c r="U105" s="46">
        <f t="shared" si="67"/>
        <v>-19160.568013206568</v>
      </c>
      <c r="V105" s="46">
        <f t="shared" si="67"/>
        <v>-21651.441854923432</v>
      </c>
      <c r="W105" s="46">
        <f t="shared" si="67"/>
        <v>-20146.40260403241</v>
      </c>
      <c r="X105" s="46">
        <f t="shared" si="67"/>
        <v>-21959.578838395319</v>
      </c>
      <c r="Y105" s="46">
        <f t="shared" si="67"/>
        <v>-23935.940933850899</v>
      </c>
      <c r="Z105" s="46">
        <f t="shared" si="67"/>
        <v>-26090.17561789749</v>
      </c>
      <c r="AA105" s="46">
        <f t="shared" si="67"/>
        <v>-22914.628528404835</v>
      </c>
      <c r="AB105" s="46">
        <f t="shared" si="67"/>
        <v>-24289.506240109098</v>
      </c>
      <c r="AC105" s="46">
        <f t="shared" si="67"/>
        <v>-25746.876614515655</v>
      </c>
      <c r="AD105" s="46">
        <f t="shared" si="67"/>
        <v>-27291.689211386591</v>
      </c>
      <c r="AE105" s="46">
        <f t="shared" si="67"/>
        <v>-22943.840792193289</v>
      </c>
      <c r="AF105" s="46">
        <f t="shared" si="67"/>
        <v>-24320.471239724895</v>
      </c>
      <c r="AG105" s="46">
        <f t="shared" si="67"/>
        <v>-25779.699514108375</v>
      </c>
      <c r="AH105" s="46">
        <f t="shared" si="67"/>
        <v>-27326.481484954857</v>
      </c>
    </row>
    <row r="106" spans="2:35">
      <c r="B106" s="2" t="s">
        <v>63</v>
      </c>
      <c r="I106" s="1"/>
      <c r="J106" s="1"/>
      <c r="K106" s="1"/>
      <c r="L106" s="1"/>
      <c r="M106" s="1"/>
      <c r="N106" s="102"/>
      <c r="O106" s="86">
        <f t="shared" ref="O106:AH106" si="68">+-O81</f>
        <v>1328.5753979481804</v>
      </c>
      <c r="P106" s="46">
        <f t="shared" si="68"/>
        <v>1550.6388285562389</v>
      </c>
      <c r="Q106" s="46">
        <f t="shared" si="68"/>
        <v>1812.5706159331196</v>
      </c>
      <c r="R106" s="46">
        <f t="shared" si="68"/>
        <v>2102.5819144824186</v>
      </c>
      <c r="S106" s="46">
        <f t="shared" si="68"/>
        <v>2419.5619943056267</v>
      </c>
      <c r="T106" s="46">
        <f t="shared" si="68"/>
        <v>2765.2995669623524</v>
      </c>
      <c r="U106" s="46">
        <f t="shared" si="68"/>
        <v>3141.5411197139915</v>
      </c>
      <c r="V106" s="46">
        <f t="shared" si="68"/>
        <v>3549.941465276811</v>
      </c>
      <c r="W106" s="46">
        <f t="shared" si="68"/>
        <v>3969.1871399483121</v>
      </c>
      <c r="X106" s="46">
        <f t="shared" si="68"/>
        <v>4396.8858320893196</v>
      </c>
      <c r="Y106" s="46">
        <f t="shared" si="68"/>
        <v>4829.9920311494689</v>
      </c>
      <c r="Z106" s="46">
        <f t="shared" si="68"/>
        <v>5264.6913139529224</v>
      </c>
      <c r="AA106" s="46">
        <f t="shared" si="68"/>
        <v>5693.7875168637174</v>
      </c>
      <c r="AB106" s="46">
        <f t="shared" si="68"/>
        <v>6114.092801770822</v>
      </c>
      <c r="AC106" s="46">
        <f t="shared" si="68"/>
        <v>6521.9714114779572</v>
      </c>
      <c r="AD106" s="46">
        <f t="shared" si="68"/>
        <v>6913.2896961666338</v>
      </c>
      <c r="AE106" s="46">
        <f t="shared" si="68"/>
        <v>7328.0870779366323</v>
      </c>
      <c r="AF106" s="46">
        <f t="shared" si="68"/>
        <v>7767.7723026128297</v>
      </c>
      <c r="AG106" s="46">
        <f t="shared" si="68"/>
        <v>8233.8386407695998</v>
      </c>
      <c r="AH106" s="46">
        <f t="shared" si="68"/>
        <v>8727.8689592157752</v>
      </c>
    </row>
    <row r="107" spans="2:35">
      <c r="B107" s="2" t="s">
        <v>208</v>
      </c>
      <c r="I107" s="1"/>
      <c r="J107" s="1"/>
      <c r="K107" s="1"/>
      <c r="L107" s="1"/>
      <c r="M107" s="1"/>
      <c r="N107" s="102"/>
      <c r="O107" s="77">
        <f>+-(Capitalizations!H8+Capitalizations!H48)</f>
        <v>765.00626722952632</v>
      </c>
      <c r="P107" s="66">
        <f>+-(Capitalizations!I8+Capitalizations!I48)</f>
        <v>933.84098236110128</v>
      </c>
      <c r="Q107" s="66">
        <f>+-(Capitalizations!J8+Capitalizations!J48)</f>
        <v>1129.6892519137282</v>
      </c>
      <c r="R107" s="66">
        <f>+-(Capitalizations!K8+Capitalizations!K48)</f>
        <v>1356.8732445947755</v>
      </c>
      <c r="S107" s="66">
        <f>+-(Capitalizations!L8+Capitalizations!L48)</f>
        <v>1620.4066761047904</v>
      </c>
      <c r="T107" s="66">
        <f>+-(Capitalizations!M8+Capitalizations!M48)</f>
        <v>1903.437910863764</v>
      </c>
      <c r="U107" s="66">
        <f>+-(Capitalizations!N8+Capitalizations!N48)</f>
        <v>2223.2632061414047</v>
      </c>
      <c r="V107" s="66">
        <f>+-(Capitalizations!O8+Capitalizations!O48)</f>
        <v>2584.665789805138</v>
      </c>
      <c r="W107" s="66">
        <f>+-(Capitalizations!P8+Capitalizations!P48)</f>
        <v>2993.0507093451574</v>
      </c>
      <c r="X107" s="66">
        <f>+-(Capitalizations!Q8+Capitalizations!Q48)</f>
        <v>3414.9739410238935</v>
      </c>
      <c r="Y107" s="66">
        <f>+-(Capitalizations!R8+Capitalizations!R48)</f>
        <v>3874.8702635537152</v>
      </c>
      <c r="Z107" s="66">
        <f>+-(Capitalizations!S8+Capitalizations!S48)</f>
        <v>4376.1572551112213</v>
      </c>
      <c r="AA107" s="66">
        <f>+-(Capitalizations!T8+Capitalizations!T48)</f>
        <v>4305.3267425755694</v>
      </c>
      <c r="AB107" s="66">
        <f>+-(Capitalizations!U8+Capitalizations!U48)</f>
        <v>4714.3115447591936</v>
      </c>
      <c r="AC107" s="66">
        <f>+-(Capitalizations!V8+Capitalizations!V48)</f>
        <v>5134.0021933588341</v>
      </c>
      <c r="AD107" s="66">
        <f>+-(Capitalizations!W8+Capitalizations!W48)</f>
        <v>5562.8277204850529</v>
      </c>
      <c r="AE107" s="66">
        <f>+-(Capitalizations!X8+Capitalizations!X48)</f>
        <v>5998.7687691871424</v>
      </c>
      <c r="AF107" s="66">
        <f>+-(Capitalizations!Y8+Capitalizations!Y48)</f>
        <v>6417.716475592978</v>
      </c>
      <c r="AG107" s="66">
        <f>+-(Capitalizations!Z8+Capitalizations!Z48)</f>
        <v>6845.575546873275</v>
      </c>
      <c r="AH107" s="66">
        <f>+-(Capitalizations!AA8+Capitalizations!AA48)</f>
        <v>7280.771350244212</v>
      </c>
    </row>
    <row r="108" spans="2:35">
      <c r="B108" s="2" t="s">
        <v>103</v>
      </c>
      <c r="I108" s="1"/>
      <c r="J108" s="1"/>
      <c r="K108" s="1"/>
      <c r="L108" s="1"/>
      <c r="M108" s="1"/>
      <c r="N108" s="102"/>
      <c r="O108" s="86">
        <f t="shared" ref="O108:AH108" si="69">+N68-O68</f>
        <v>-2411.705592919825</v>
      </c>
      <c r="P108" s="46">
        <f t="shared" si="69"/>
        <v>-2606.1610765126825</v>
      </c>
      <c r="Q108" s="46">
        <f t="shared" si="69"/>
        <v>-2836.7060603851132</v>
      </c>
      <c r="R108" s="46">
        <f t="shared" si="69"/>
        <v>-2795.9885552113883</v>
      </c>
      <c r="S108" s="46">
        <f t="shared" si="69"/>
        <v>-2823.2944661959737</v>
      </c>
      <c r="T108" s="46">
        <f t="shared" si="69"/>
        <v>-3331.7847007321398</v>
      </c>
      <c r="U108" s="46">
        <f t="shared" si="69"/>
        <v>-3388.006794700108</v>
      </c>
      <c r="V108" s="46">
        <f t="shared" si="69"/>
        <v>-3179.4370265213001</v>
      </c>
      <c r="W108" s="46">
        <f t="shared" si="69"/>
        <v>-3221.3488126441371</v>
      </c>
      <c r="X108" s="46">
        <f t="shared" si="69"/>
        <v>-4062.5511791937606</v>
      </c>
      <c r="Y108" s="46">
        <f t="shared" si="69"/>
        <v>-3678.4457748529385</v>
      </c>
      <c r="Z108" s="46">
        <f t="shared" si="69"/>
        <v>-2928.018584161895</v>
      </c>
      <c r="AA108" s="46">
        <f t="shared" si="69"/>
        <v>-3225.2827392600448</v>
      </c>
      <c r="AB108" s="46">
        <f t="shared" si="69"/>
        <v>-4435.7244667735795</v>
      </c>
      <c r="AC108" s="46">
        <f t="shared" si="69"/>
        <v>-3589.593493069282</v>
      </c>
      <c r="AD108" s="46">
        <f t="shared" si="69"/>
        <v>-2314.7382705205164</v>
      </c>
      <c r="AE108" s="46">
        <f t="shared" si="69"/>
        <v>-3238.6011865040055</v>
      </c>
      <c r="AF108" s="46">
        <f t="shared" si="69"/>
        <v>-4582.8082780387776</v>
      </c>
      <c r="AG108" s="46">
        <f t="shared" si="69"/>
        <v>-3890.435553343792</v>
      </c>
      <c r="AH108" s="46">
        <f t="shared" si="69"/>
        <v>-2791.6080645749171</v>
      </c>
    </row>
    <row r="109" spans="2:35">
      <c r="B109" s="2" t="s">
        <v>154</v>
      </c>
      <c r="I109" s="1"/>
      <c r="J109" s="1"/>
      <c r="K109" s="1"/>
      <c r="L109" s="1"/>
      <c r="M109" s="1"/>
      <c r="N109" s="102"/>
      <c r="O109" s="77">
        <f>Model!O126</f>
        <v>6100.4595963150005</v>
      </c>
      <c r="P109" s="66">
        <f>Model!P126</f>
        <v>7076.5331317253995</v>
      </c>
      <c r="Q109" s="66">
        <f>Model!Q126</f>
        <v>8208.7784328014623</v>
      </c>
      <c r="R109" s="66">
        <f>Model!R126</f>
        <v>9522.1829820496932</v>
      </c>
      <c r="S109" s="66">
        <f>Model!S126</f>
        <v>10320.880370952233</v>
      </c>
      <c r="T109" s="66">
        <f>Model!T126</f>
        <v>11662.594819176025</v>
      </c>
      <c r="U109" s="66">
        <f>Model!U126</f>
        <v>13178.73214566891</v>
      </c>
      <c r="V109" s="66">
        <f>Model!V126</f>
        <v>14891.96732460587</v>
      </c>
      <c r="W109" s="66">
        <f>Model!W126</f>
        <v>15541.510580253573</v>
      </c>
      <c r="X109" s="66">
        <f>Model!X126</f>
        <v>16940.246532476391</v>
      </c>
      <c r="Y109" s="66">
        <f>Model!Y126</f>
        <v>18464.86872039927</v>
      </c>
      <c r="Z109" s="66">
        <f>Model!Z126</f>
        <v>20126.706905235209</v>
      </c>
      <c r="AA109" s="66">
        <f>Model!AA126</f>
        <v>20386.117794236023</v>
      </c>
      <c r="AB109" s="66">
        <f>Model!AB126</f>
        <v>21609.284861890177</v>
      </c>
      <c r="AC109" s="66">
        <f>Model!AC126</f>
        <v>22905.841953603587</v>
      </c>
      <c r="AD109" s="66">
        <f>Model!AD126</f>
        <v>24280.192470819802</v>
      </c>
      <c r="AE109" s="66">
        <f>Model!AE126</f>
        <v>24539.934064693691</v>
      </c>
      <c r="AF109" s="66">
        <f>Model!AF126</f>
        <v>26012.330108575316</v>
      </c>
      <c r="AG109" s="66">
        <f>Model!AG126</f>
        <v>27573.069915089829</v>
      </c>
      <c r="AH109" s="66">
        <f>Model!AH126</f>
        <v>29227.454109995215</v>
      </c>
    </row>
    <row r="110" spans="2:35">
      <c r="B110" s="2" t="s">
        <v>217</v>
      </c>
      <c r="I110" s="1"/>
      <c r="J110" s="1"/>
      <c r="K110" s="1"/>
      <c r="L110" s="1"/>
      <c r="M110" s="1"/>
      <c r="N110" s="102"/>
      <c r="O110" s="77">
        <f>-Capitalizations!H7</f>
        <v>-1659.9890058000001</v>
      </c>
      <c r="P110" s="66">
        <f>-Capitalizations!I7</f>
        <v>-1925.5872467279999</v>
      </c>
      <c r="Q110" s="66">
        <f>-Capitalizations!J7</f>
        <v>-2233.6812062044796</v>
      </c>
      <c r="R110" s="66">
        <f>-Capitalizations!K7</f>
        <v>-2591.0701991971964</v>
      </c>
      <c r="S110" s="66">
        <f>-Capitalizations!L7</f>
        <v>-2781.5138588381906</v>
      </c>
      <c r="T110" s="66">
        <f>-Capitalizations!M7</f>
        <v>-3143.1106604871557</v>
      </c>
      <c r="U110" s="66">
        <f>-Capitalizations!N7</f>
        <v>-3551.7150463504863</v>
      </c>
      <c r="V110" s="66">
        <f>-Capitalizations!O7</f>
        <v>-4013.4380023760496</v>
      </c>
      <c r="W110" s="66">
        <f>-Capitalizations!P7</f>
        <v>-4144.4028214009522</v>
      </c>
      <c r="X110" s="66">
        <f>-Capitalizations!Q7</f>
        <v>-4517.3990753270373</v>
      </c>
      <c r="Y110" s="66">
        <f>-Capitalizations!R7</f>
        <v>-4923.964992106472</v>
      </c>
      <c r="Z110" s="66">
        <f>-Capitalizations!S7</f>
        <v>-5367.121841396056</v>
      </c>
      <c r="AA110" s="66">
        <f>-Capitalizations!T7</f>
        <v>-5373.0853101087187</v>
      </c>
      <c r="AB110" s="66">
        <f>-Capitalizations!U7</f>
        <v>-5695.4704287152417</v>
      </c>
      <c r="AC110" s="66">
        <f>-Capitalizations!V7</f>
        <v>-6037.1986544381552</v>
      </c>
      <c r="AD110" s="66">
        <f>-Capitalizations!W7</f>
        <v>-6399.4305737044451</v>
      </c>
      <c r="AE110" s="66">
        <f>-Capitalizations!X7</f>
        <v>-6384.3730900016108</v>
      </c>
      <c r="AF110" s="66">
        <f>-Capitalizations!Y7</f>
        <v>-6767.4354754017077</v>
      </c>
      <c r="AG110" s="66">
        <f>-Capitalizations!Z7</f>
        <v>-7173.4816039258094</v>
      </c>
      <c r="AH110" s="66">
        <f>-Capitalizations!AA7</f>
        <v>-7603.8905001613575</v>
      </c>
    </row>
    <row r="111" spans="2:35">
      <c r="B111" s="2" t="s">
        <v>219</v>
      </c>
      <c r="I111" s="1"/>
      <c r="J111" s="1"/>
      <c r="K111" s="1"/>
      <c r="L111" s="1"/>
      <c r="M111" s="1"/>
      <c r="N111" s="102"/>
      <c r="O111" s="77">
        <f>-Capitalizations!H47</f>
        <v>-610.04595963149995</v>
      </c>
      <c r="P111" s="66">
        <f>-Capitalizations!I47</f>
        <v>-707.65331317253981</v>
      </c>
      <c r="Q111" s="66">
        <f>-Capitalizations!J47</f>
        <v>-820.87784328014629</v>
      </c>
      <c r="R111" s="66">
        <f>-Capitalizations!K47</f>
        <v>-952.21829820496953</v>
      </c>
      <c r="S111" s="66">
        <f>-Capitalizations!L47</f>
        <v>-1024.7682637824912</v>
      </c>
      <c r="T111" s="66">
        <f>-Capitalizations!M47</f>
        <v>-1157.9881380742152</v>
      </c>
      <c r="U111" s="66">
        <f>-Capitalizations!N47</f>
        <v>-1308.5265960238635</v>
      </c>
      <c r="V111" s="66">
        <f>-Capitalizations!O47</f>
        <v>-1478.6350535069657</v>
      </c>
      <c r="W111" s="66">
        <f>-Capitalizations!P47</f>
        <v>-1531.1265979064631</v>
      </c>
      <c r="X111" s="66">
        <f>-Capitalizations!Q47</f>
        <v>-1668.9279917180447</v>
      </c>
      <c r="Y111" s="66">
        <f>-Capitalizations!R47</f>
        <v>-1819.131510972669</v>
      </c>
      <c r="Z111" s="66">
        <f>-Capitalizations!S47</f>
        <v>-1982.8533469602096</v>
      </c>
      <c r="AA111" s="66">
        <f>-Capitalizations!T47</f>
        <v>-1991.2022031579368</v>
      </c>
      <c r="AB111" s="66">
        <f>-Capitalizations!U47</f>
        <v>-2110.6743353474126</v>
      </c>
      <c r="AC111" s="66">
        <f>-Capitalizations!V47</f>
        <v>-2237.3147954682572</v>
      </c>
      <c r="AD111" s="66">
        <f>-Capitalizations!W47</f>
        <v>-2371.5536831963527</v>
      </c>
      <c r="AE111" s="66">
        <f>-Capitalizations!X47</f>
        <v>-2374.1887428443492</v>
      </c>
      <c r="AF111" s="66">
        <f>-Capitalizations!Y47</f>
        <v>-2516.6400674150104</v>
      </c>
      <c r="AG111" s="66">
        <f>-Capitalizations!Z47</f>
        <v>-2667.6384714599108</v>
      </c>
      <c r="AH111" s="66">
        <f>-Capitalizations!AA47</f>
        <v>-2827.6967797475049</v>
      </c>
    </row>
    <row r="112" spans="2:35">
      <c r="B112" s="2" t="s">
        <v>68</v>
      </c>
      <c r="I112" s="1"/>
      <c r="J112" s="1"/>
      <c r="K112" s="1"/>
      <c r="L112" s="1"/>
      <c r="M112" s="1"/>
      <c r="N112" s="102"/>
      <c r="O112" s="86">
        <f t="shared" ref="O112:AH112" si="70">-O80</f>
        <v>-1660.7192474352255</v>
      </c>
      <c r="P112" s="46">
        <f t="shared" si="70"/>
        <v>-1938.2985356952986</v>
      </c>
      <c r="Q112" s="46">
        <f t="shared" si="70"/>
        <v>-2265.7132699163994</v>
      </c>
      <c r="R112" s="46">
        <f t="shared" si="70"/>
        <v>-2628.2273931030231</v>
      </c>
      <c r="S112" s="46">
        <f t="shared" si="70"/>
        <v>-3024.4524928820338</v>
      </c>
      <c r="T112" s="46">
        <f t="shared" si="70"/>
        <v>-3456.6244587029405</v>
      </c>
      <c r="U112" s="46">
        <f t="shared" si="70"/>
        <v>-3926.9263996424897</v>
      </c>
      <c r="V112" s="46">
        <f t="shared" si="70"/>
        <v>-4437.4268315960135</v>
      </c>
      <c r="W112" s="46">
        <f t="shared" si="70"/>
        <v>-4961.48392493539</v>
      </c>
      <c r="X112" s="46">
        <f t="shared" si="70"/>
        <v>-5496.1072901116495</v>
      </c>
      <c r="Y112" s="46">
        <f t="shared" si="70"/>
        <v>-6037.4900389368358</v>
      </c>
      <c r="Z112" s="46">
        <f t="shared" si="70"/>
        <v>-6580.8641424411535</v>
      </c>
      <c r="AA112" s="46">
        <f t="shared" si="70"/>
        <v>-7117.234396079647</v>
      </c>
      <c r="AB112" s="46">
        <f t="shared" si="70"/>
        <v>-7642.6160022135273</v>
      </c>
      <c r="AC112" s="46">
        <f t="shared" si="70"/>
        <v>-8152.4642643474472</v>
      </c>
      <c r="AD112" s="46">
        <f t="shared" si="70"/>
        <v>-8641.6121202082923</v>
      </c>
      <c r="AE112" s="46">
        <f t="shared" si="70"/>
        <v>-9160.1088474207918</v>
      </c>
      <c r="AF112" s="46">
        <f t="shared" si="70"/>
        <v>-9709.7153782660371</v>
      </c>
      <c r="AG112" s="46">
        <f t="shared" si="70"/>
        <v>-10292.298300962</v>
      </c>
      <c r="AH112" s="46">
        <f t="shared" si="70"/>
        <v>-10909.836199019721</v>
      </c>
    </row>
    <row r="113" spans="2:34">
      <c r="B113" s="9" t="s">
        <v>210</v>
      </c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80"/>
      <c r="O113" s="79">
        <f t="shared" ref="O113:AH113" si="71">SUM(O105:O112)</f>
        <v>-7900.8539533688454</v>
      </c>
      <c r="P113" s="22">
        <f t="shared" si="71"/>
        <v>-8929.5123039927803</v>
      </c>
      <c r="Q113" s="22">
        <f t="shared" si="71"/>
        <v>-10128.817165589144</v>
      </c>
      <c r="R113" s="22">
        <f t="shared" si="71"/>
        <v>-11208.403724873213</v>
      </c>
      <c r="S113" s="22">
        <f t="shared" si="71"/>
        <v>-10298.715331436797</v>
      </c>
      <c r="T113" s="22">
        <f t="shared" si="71"/>
        <v>-11714.430539938174</v>
      </c>
      <c r="U113" s="22">
        <f t="shared" si="71"/>
        <v>-12792.206378399209</v>
      </c>
      <c r="V113" s="22">
        <f t="shared" si="71"/>
        <v>-13733.804189235943</v>
      </c>
      <c r="W113" s="22">
        <f t="shared" si="71"/>
        <v>-11501.01633137231</v>
      </c>
      <c r="X113" s="22">
        <f t="shared" si="71"/>
        <v>-12952.458069156206</v>
      </c>
      <c r="Y113" s="22">
        <f t="shared" si="71"/>
        <v>-13225.242235617361</v>
      </c>
      <c r="Z113" s="22">
        <f t="shared" si="71"/>
        <v>-13181.478058557452</v>
      </c>
      <c r="AA113" s="22">
        <f t="shared" si="71"/>
        <v>-10236.201123335872</v>
      </c>
      <c r="AB113" s="22">
        <f t="shared" si="71"/>
        <v>-11736.30226473867</v>
      </c>
      <c r="AC113" s="22">
        <f t="shared" si="71"/>
        <v>-11201.632263398416</v>
      </c>
      <c r="AD113" s="22">
        <f t="shared" si="71"/>
        <v>-10262.713971544708</v>
      </c>
      <c r="AE113" s="22">
        <f t="shared" si="71"/>
        <v>-6234.3227471465816</v>
      </c>
      <c r="AF113" s="22">
        <f t="shared" si="71"/>
        <v>-7699.2515520653051</v>
      </c>
      <c r="AG113" s="22">
        <f t="shared" si="71"/>
        <v>-7151.069341067182</v>
      </c>
      <c r="AH113" s="22">
        <f t="shared" si="71"/>
        <v>-6223.4186090031544</v>
      </c>
    </row>
    <row r="114" spans="2:34">
      <c r="B114" s="6" t="s">
        <v>70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82"/>
      <c r="O114" s="199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</row>
    <row r="115" spans="2:34">
      <c r="I115" s="1"/>
      <c r="J115" s="1"/>
      <c r="K115" s="1"/>
      <c r="L115" s="1"/>
      <c r="M115" s="1"/>
      <c r="N115" s="8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2:34">
      <c r="B116" s="16" t="s">
        <v>144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8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2:34">
      <c r="B117" s="2" t="s">
        <v>145</v>
      </c>
      <c r="C117" s="5"/>
      <c r="D117" s="5"/>
      <c r="E117" s="5"/>
      <c r="F117" s="5"/>
      <c r="G117" s="5"/>
      <c r="H117" s="5"/>
      <c r="I117" s="10"/>
      <c r="J117" s="10"/>
      <c r="K117" s="10"/>
      <c r="L117" s="10"/>
      <c r="M117" s="10"/>
      <c r="N117" s="105"/>
      <c r="O117" s="86">
        <f>+N119</f>
        <v>326476.73411276948</v>
      </c>
      <c r="P117" s="46">
        <f t="shared" ref="P117:AH117" si="72">+O119</f>
        <v>318575.88015940064</v>
      </c>
      <c r="Q117" s="46">
        <f t="shared" si="72"/>
        <v>309646.36785540788</v>
      </c>
      <c r="R117" s="46">
        <f t="shared" si="72"/>
        <v>299517.55068981875</v>
      </c>
      <c r="S117" s="46">
        <f t="shared" si="72"/>
        <v>288309.14696494554</v>
      </c>
      <c r="T117" s="46">
        <f t="shared" si="72"/>
        <v>278010.43163350876</v>
      </c>
      <c r="U117" s="46">
        <f t="shared" si="72"/>
        <v>266296.00109357061</v>
      </c>
      <c r="V117" s="46">
        <f t="shared" si="72"/>
        <v>253503.79471517139</v>
      </c>
      <c r="W117" s="46">
        <f t="shared" si="72"/>
        <v>239769.99052593546</v>
      </c>
      <c r="X117" s="46">
        <f t="shared" si="72"/>
        <v>228268.97419456314</v>
      </c>
      <c r="Y117" s="46">
        <f t="shared" si="72"/>
        <v>215316.51612540692</v>
      </c>
      <c r="Z117" s="46">
        <f t="shared" si="72"/>
        <v>202091.27388978956</v>
      </c>
      <c r="AA117" s="46">
        <f t="shared" si="72"/>
        <v>188909.7958312321</v>
      </c>
      <c r="AB117" s="46">
        <f t="shared" si="72"/>
        <v>178673.59470789623</v>
      </c>
      <c r="AC117" s="46">
        <f t="shared" si="72"/>
        <v>166937.29244315755</v>
      </c>
      <c r="AD117" s="46">
        <f t="shared" si="72"/>
        <v>155735.66017975914</v>
      </c>
      <c r="AE117" s="46">
        <f t="shared" si="72"/>
        <v>145472.94620821445</v>
      </c>
      <c r="AF117" s="46">
        <f t="shared" si="72"/>
        <v>139238.62346106785</v>
      </c>
      <c r="AG117" s="46">
        <f t="shared" si="72"/>
        <v>131539.37190900254</v>
      </c>
      <c r="AH117" s="46">
        <f t="shared" si="72"/>
        <v>124388.30256793536</v>
      </c>
    </row>
    <row r="118" spans="2:34">
      <c r="B118" s="2" t="s">
        <v>146</v>
      </c>
      <c r="I118" s="1"/>
      <c r="J118" s="1"/>
      <c r="K118" s="1"/>
      <c r="L118" s="1"/>
      <c r="M118" s="1"/>
      <c r="N118" s="82"/>
      <c r="O118" s="97">
        <f>+O113</f>
        <v>-7900.8539533688454</v>
      </c>
      <c r="P118" s="17">
        <f t="shared" ref="P118:AH118" si="73">+P113</f>
        <v>-8929.5123039927803</v>
      </c>
      <c r="Q118" s="17">
        <f t="shared" si="73"/>
        <v>-10128.817165589144</v>
      </c>
      <c r="R118" s="17">
        <f t="shared" si="73"/>
        <v>-11208.403724873213</v>
      </c>
      <c r="S118" s="17">
        <f t="shared" si="73"/>
        <v>-10298.715331436797</v>
      </c>
      <c r="T118" s="17">
        <f t="shared" si="73"/>
        <v>-11714.430539938174</v>
      </c>
      <c r="U118" s="17">
        <f t="shared" si="73"/>
        <v>-12792.206378399209</v>
      </c>
      <c r="V118" s="17">
        <f t="shared" si="73"/>
        <v>-13733.804189235943</v>
      </c>
      <c r="W118" s="17">
        <f t="shared" si="73"/>
        <v>-11501.01633137231</v>
      </c>
      <c r="X118" s="17">
        <f t="shared" si="73"/>
        <v>-12952.458069156206</v>
      </c>
      <c r="Y118" s="17">
        <f t="shared" si="73"/>
        <v>-13225.242235617361</v>
      </c>
      <c r="Z118" s="17">
        <f t="shared" si="73"/>
        <v>-13181.478058557452</v>
      </c>
      <c r="AA118" s="17">
        <f t="shared" si="73"/>
        <v>-10236.201123335872</v>
      </c>
      <c r="AB118" s="17">
        <f t="shared" si="73"/>
        <v>-11736.30226473867</v>
      </c>
      <c r="AC118" s="17">
        <f t="shared" si="73"/>
        <v>-11201.632263398416</v>
      </c>
      <c r="AD118" s="17">
        <f t="shared" si="73"/>
        <v>-10262.713971544708</v>
      </c>
      <c r="AE118" s="17">
        <f t="shared" si="73"/>
        <v>-6234.3227471465816</v>
      </c>
      <c r="AF118" s="17">
        <f t="shared" si="73"/>
        <v>-7699.2515520653051</v>
      </c>
      <c r="AG118" s="17">
        <f t="shared" si="73"/>
        <v>-7151.069341067182</v>
      </c>
      <c r="AH118" s="17">
        <f t="shared" si="73"/>
        <v>-6223.4186090031544</v>
      </c>
    </row>
    <row r="119" spans="2:34">
      <c r="B119" s="9" t="s">
        <v>147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00">
        <f>+N48</f>
        <v>326476.73411276948</v>
      </c>
      <c r="O119" s="79">
        <f>SUM(O117:O118)</f>
        <v>318575.88015940064</v>
      </c>
      <c r="P119" s="22">
        <f t="shared" ref="P119:AH119" si="74">SUM(P117:P118)</f>
        <v>309646.36785540788</v>
      </c>
      <c r="Q119" s="22">
        <f t="shared" si="74"/>
        <v>299517.55068981875</v>
      </c>
      <c r="R119" s="22">
        <f t="shared" si="74"/>
        <v>288309.14696494554</v>
      </c>
      <c r="S119" s="22">
        <f t="shared" si="74"/>
        <v>278010.43163350876</v>
      </c>
      <c r="T119" s="22">
        <f t="shared" si="74"/>
        <v>266296.00109357061</v>
      </c>
      <c r="U119" s="22">
        <f t="shared" si="74"/>
        <v>253503.79471517139</v>
      </c>
      <c r="V119" s="22">
        <f t="shared" si="74"/>
        <v>239769.99052593546</v>
      </c>
      <c r="W119" s="22">
        <f t="shared" si="74"/>
        <v>228268.97419456314</v>
      </c>
      <c r="X119" s="22">
        <f t="shared" si="74"/>
        <v>215316.51612540692</v>
      </c>
      <c r="Y119" s="22">
        <f t="shared" si="74"/>
        <v>202091.27388978956</v>
      </c>
      <c r="Z119" s="22">
        <f t="shared" si="74"/>
        <v>188909.7958312321</v>
      </c>
      <c r="AA119" s="22">
        <f t="shared" si="74"/>
        <v>178673.59470789623</v>
      </c>
      <c r="AB119" s="22">
        <f t="shared" si="74"/>
        <v>166937.29244315755</v>
      </c>
      <c r="AC119" s="22">
        <f t="shared" si="74"/>
        <v>155735.66017975914</v>
      </c>
      <c r="AD119" s="22">
        <f t="shared" si="74"/>
        <v>145472.94620821445</v>
      </c>
      <c r="AE119" s="22">
        <f t="shared" si="74"/>
        <v>139238.62346106785</v>
      </c>
      <c r="AF119" s="22">
        <f t="shared" si="74"/>
        <v>131539.37190900254</v>
      </c>
      <c r="AG119" s="22">
        <f t="shared" si="74"/>
        <v>124388.30256793536</v>
      </c>
      <c r="AH119" s="22">
        <f t="shared" si="74"/>
        <v>118164.8839589322</v>
      </c>
    </row>
    <row r="121" spans="2:34">
      <c r="B121" s="186" t="s">
        <v>154</v>
      </c>
      <c r="M121" s="1"/>
      <c r="N121" s="82"/>
    </row>
    <row r="122" spans="2:34">
      <c r="B122" s="11" t="s">
        <v>233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352"/>
      <c r="O122" s="261">
        <f t="shared" ref="O122:AH122" si="75">O20+O21+O22+O15</f>
        <v>30502.297981575</v>
      </c>
      <c r="P122" s="264">
        <f t="shared" si="75"/>
        <v>35382.665658626996</v>
      </c>
      <c r="Q122" s="264">
        <f t="shared" si="75"/>
        <v>41043.892164007309</v>
      </c>
      <c r="R122" s="264">
        <f t="shared" si="75"/>
        <v>47610.914910248466</v>
      </c>
      <c r="S122" s="264">
        <f t="shared" si="75"/>
        <v>51604.401854761156</v>
      </c>
      <c r="T122" s="264">
        <f t="shared" si="75"/>
        <v>58312.974095880119</v>
      </c>
      <c r="U122" s="264">
        <f t="shared" si="75"/>
        <v>65893.660728344548</v>
      </c>
      <c r="V122" s="264">
        <f t="shared" si="75"/>
        <v>74459.836623029347</v>
      </c>
      <c r="W122" s="264">
        <f t="shared" si="75"/>
        <v>77707.55290126786</v>
      </c>
      <c r="X122" s="264">
        <f t="shared" si="75"/>
        <v>84701.232662381954</v>
      </c>
      <c r="Y122" s="264">
        <f t="shared" si="75"/>
        <v>92324.343601996341</v>
      </c>
      <c r="Z122" s="264">
        <f t="shared" si="75"/>
        <v>100633.53452617604</v>
      </c>
      <c r="AA122" s="264">
        <f t="shared" si="75"/>
        <v>101930.5889711801</v>
      </c>
      <c r="AB122" s="264">
        <f t="shared" si="75"/>
        <v>108046.42430945087</v>
      </c>
      <c r="AC122" s="264">
        <f t="shared" si="75"/>
        <v>114529.20976801793</v>
      </c>
      <c r="AD122" s="264">
        <f t="shared" si="75"/>
        <v>121400.962354099</v>
      </c>
      <c r="AE122" s="264">
        <f t="shared" si="75"/>
        <v>122699.67032346845</v>
      </c>
      <c r="AF122" s="264">
        <f t="shared" si="75"/>
        <v>130061.65054287657</v>
      </c>
      <c r="AG122" s="264">
        <f t="shared" si="75"/>
        <v>137865.34957544913</v>
      </c>
      <c r="AH122" s="264">
        <f t="shared" si="75"/>
        <v>146137.27054997606</v>
      </c>
    </row>
    <row r="123" spans="2:34">
      <c r="B123" s="41" t="s">
        <v>232</v>
      </c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262"/>
      <c r="O123" s="215">
        <v>0.8</v>
      </c>
      <c r="P123" s="216">
        <v>0.8</v>
      </c>
      <c r="Q123" s="216">
        <v>0.8</v>
      </c>
      <c r="R123" s="216">
        <v>0.8</v>
      </c>
      <c r="S123" s="216">
        <v>0.8</v>
      </c>
      <c r="T123" s="216">
        <v>0.8</v>
      </c>
      <c r="U123" s="216">
        <v>0.8</v>
      </c>
      <c r="V123" s="216">
        <v>0.8</v>
      </c>
      <c r="W123" s="216">
        <v>0.8</v>
      </c>
      <c r="X123" s="216">
        <v>0.8</v>
      </c>
      <c r="Y123" s="216">
        <v>0.8</v>
      </c>
      <c r="Z123" s="216">
        <v>0.8</v>
      </c>
      <c r="AA123" s="216">
        <v>0.8</v>
      </c>
      <c r="AB123" s="216">
        <v>0.8</v>
      </c>
      <c r="AC123" s="216">
        <v>0.8</v>
      </c>
      <c r="AD123" s="216">
        <v>0.8</v>
      </c>
      <c r="AE123" s="216">
        <v>0.8</v>
      </c>
      <c r="AF123" s="216">
        <v>0.8</v>
      </c>
      <c r="AG123" s="216">
        <v>0.8</v>
      </c>
      <c r="AH123" s="216">
        <v>0.8</v>
      </c>
    </row>
    <row r="124" spans="2:34">
      <c r="B124" s="94" t="s">
        <v>153</v>
      </c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353"/>
      <c r="O124" s="265">
        <f>O123*O122</f>
        <v>24401.838385260002</v>
      </c>
      <c r="P124" s="263">
        <f t="shared" ref="P124:AH124" si="76">P123*P122</f>
        <v>28306.132526901598</v>
      </c>
      <c r="Q124" s="263">
        <f t="shared" si="76"/>
        <v>32835.113731205849</v>
      </c>
      <c r="R124" s="263">
        <f t="shared" si="76"/>
        <v>38088.731928198773</v>
      </c>
      <c r="S124" s="263">
        <f t="shared" si="76"/>
        <v>41283.52148380893</v>
      </c>
      <c r="T124" s="263">
        <f t="shared" si="76"/>
        <v>46650.379276704101</v>
      </c>
      <c r="U124" s="263">
        <f t="shared" si="76"/>
        <v>52714.928582675639</v>
      </c>
      <c r="V124" s="263">
        <f t="shared" si="76"/>
        <v>59567.86929842348</v>
      </c>
      <c r="W124" s="263">
        <f t="shared" si="76"/>
        <v>62166.042321014291</v>
      </c>
      <c r="X124" s="263">
        <f t="shared" si="76"/>
        <v>67760.986129905563</v>
      </c>
      <c r="Y124" s="263">
        <f t="shared" si="76"/>
        <v>73859.474881597082</v>
      </c>
      <c r="Z124" s="263">
        <f t="shared" si="76"/>
        <v>80506.827620940836</v>
      </c>
      <c r="AA124" s="263">
        <f t="shared" si="76"/>
        <v>81544.471176944091</v>
      </c>
      <c r="AB124" s="263">
        <f t="shared" si="76"/>
        <v>86437.139447560709</v>
      </c>
      <c r="AC124" s="263">
        <f t="shared" si="76"/>
        <v>91623.367814414349</v>
      </c>
      <c r="AD124" s="263">
        <f t="shared" si="76"/>
        <v>97120.769883279208</v>
      </c>
      <c r="AE124" s="263">
        <f t="shared" si="76"/>
        <v>98159.736258774763</v>
      </c>
      <c r="AF124" s="263">
        <f t="shared" si="76"/>
        <v>104049.32043430126</v>
      </c>
      <c r="AG124" s="263">
        <f t="shared" si="76"/>
        <v>110292.27966035932</v>
      </c>
      <c r="AH124" s="263">
        <f t="shared" si="76"/>
        <v>116909.81643998086</v>
      </c>
    </row>
    <row r="125" spans="2:34">
      <c r="B125" s="41" t="s">
        <v>234</v>
      </c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262"/>
      <c r="O125" s="202">
        <v>0.25</v>
      </c>
      <c r="P125" s="187">
        <v>0.25</v>
      </c>
      <c r="Q125" s="187">
        <v>0.25</v>
      </c>
      <c r="R125" s="187">
        <v>0.25</v>
      </c>
      <c r="S125" s="187">
        <v>0.25</v>
      </c>
      <c r="T125" s="187">
        <v>0.25</v>
      </c>
      <c r="U125" s="187">
        <v>0.25</v>
      </c>
      <c r="V125" s="187">
        <v>0.25</v>
      </c>
      <c r="W125" s="187">
        <v>0.25</v>
      </c>
      <c r="X125" s="187">
        <v>0.25</v>
      </c>
      <c r="Y125" s="187">
        <v>0.25</v>
      </c>
      <c r="Z125" s="187">
        <v>0.25</v>
      </c>
      <c r="AA125" s="187">
        <v>0.25</v>
      </c>
      <c r="AB125" s="187">
        <v>0.25</v>
      </c>
      <c r="AC125" s="187">
        <v>0.25</v>
      </c>
      <c r="AD125" s="187">
        <v>0.25</v>
      </c>
      <c r="AE125" s="187">
        <v>0.25</v>
      </c>
      <c r="AF125" s="187">
        <v>0.25</v>
      </c>
      <c r="AG125" s="187">
        <v>0.25</v>
      </c>
      <c r="AH125" s="187">
        <v>0.25</v>
      </c>
    </row>
    <row r="126" spans="2:34">
      <c r="B126" s="94" t="s">
        <v>73</v>
      </c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353"/>
      <c r="O126" s="265">
        <f>O125*O124</f>
        <v>6100.4595963150005</v>
      </c>
      <c r="P126" s="263">
        <f t="shared" ref="P126:AH126" si="77">P125*P124</f>
        <v>7076.5331317253995</v>
      </c>
      <c r="Q126" s="263">
        <f t="shared" si="77"/>
        <v>8208.7784328014623</v>
      </c>
      <c r="R126" s="263">
        <f t="shared" si="77"/>
        <v>9522.1829820496932</v>
      </c>
      <c r="S126" s="263">
        <f t="shared" si="77"/>
        <v>10320.880370952233</v>
      </c>
      <c r="T126" s="263">
        <f t="shared" si="77"/>
        <v>11662.594819176025</v>
      </c>
      <c r="U126" s="263">
        <f t="shared" si="77"/>
        <v>13178.73214566891</v>
      </c>
      <c r="V126" s="263">
        <f t="shared" si="77"/>
        <v>14891.96732460587</v>
      </c>
      <c r="W126" s="263">
        <f t="shared" si="77"/>
        <v>15541.510580253573</v>
      </c>
      <c r="X126" s="263">
        <f t="shared" si="77"/>
        <v>16940.246532476391</v>
      </c>
      <c r="Y126" s="263">
        <f t="shared" si="77"/>
        <v>18464.86872039927</v>
      </c>
      <c r="Z126" s="263">
        <f t="shared" si="77"/>
        <v>20126.706905235209</v>
      </c>
      <c r="AA126" s="263">
        <f t="shared" si="77"/>
        <v>20386.117794236023</v>
      </c>
      <c r="AB126" s="263">
        <f t="shared" si="77"/>
        <v>21609.284861890177</v>
      </c>
      <c r="AC126" s="263">
        <f t="shared" si="77"/>
        <v>22905.841953603587</v>
      </c>
      <c r="AD126" s="263">
        <f t="shared" si="77"/>
        <v>24280.192470819802</v>
      </c>
      <c r="AE126" s="263">
        <f t="shared" si="77"/>
        <v>24539.934064693691</v>
      </c>
      <c r="AF126" s="263">
        <f t="shared" si="77"/>
        <v>26012.330108575316</v>
      </c>
      <c r="AG126" s="263">
        <f t="shared" si="77"/>
        <v>27573.069915089829</v>
      </c>
      <c r="AH126" s="263">
        <f t="shared" si="77"/>
        <v>29227.454109995215</v>
      </c>
    </row>
    <row r="127" spans="2:34">
      <c r="B127" s="146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54"/>
      <c r="O127" s="327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</row>
    <row r="128" spans="2:34">
      <c r="B128" s="2" t="s">
        <v>151</v>
      </c>
      <c r="C128" s="44"/>
      <c r="M128" s="1"/>
      <c r="N128" s="329">
        <f>+Transaction!C12</f>
        <v>3285.3509759512976</v>
      </c>
      <c r="O128" s="331">
        <f>N128*(1+O129)</f>
        <v>3351.0579954703235</v>
      </c>
      <c r="P128" s="137">
        <f t="shared" ref="P128:AH128" si="78">O128*(1+P129)</f>
        <v>3418.0791553797299</v>
      </c>
      <c r="Q128" s="137">
        <f t="shared" si="78"/>
        <v>3486.4407384873243</v>
      </c>
      <c r="R128" s="137">
        <f t="shared" si="78"/>
        <v>3556.1695532570707</v>
      </c>
      <c r="S128" s="137">
        <f t="shared" si="78"/>
        <v>3627.292944322212</v>
      </c>
      <c r="T128" s="137">
        <f t="shared" si="78"/>
        <v>3699.8388032086564</v>
      </c>
      <c r="U128" s="137">
        <f t="shared" si="78"/>
        <v>3773.8355792728294</v>
      </c>
      <c r="V128" s="137">
        <f t="shared" si="78"/>
        <v>3849.3122908582859</v>
      </c>
      <c r="W128" s="137">
        <f t="shared" si="78"/>
        <v>3926.2985366754515</v>
      </c>
      <c r="X128" s="137">
        <f t="shared" si="78"/>
        <v>4004.8245074089605</v>
      </c>
      <c r="Y128" s="137">
        <f t="shared" si="78"/>
        <v>4084.9209975571398</v>
      </c>
      <c r="Z128" s="137">
        <f t="shared" si="78"/>
        <v>4166.6194175082828</v>
      </c>
      <c r="AA128" s="137">
        <f t="shared" si="78"/>
        <v>4249.951805858449</v>
      </c>
      <c r="AB128" s="137">
        <f t="shared" si="78"/>
        <v>4334.9508419756185</v>
      </c>
      <c r="AC128" s="137">
        <f t="shared" si="78"/>
        <v>4421.6498588151308</v>
      </c>
      <c r="AD128" s="137">
        <f t="shared" si="78"/>
        <v>4510.0828559914335</v>
      </c>
      <c r="AE128" s="137">
        <f t="shared" si="78"/>
        <v>4600.2845131112626</v>
      </c>
      <c r="AF128" s="137">
        <f t="shared" si="78"/>
        <v>4692.2902033734881</v>
      </c>
      <c r="AG128" s="137">
        <f t="shared" si="78"/>
        <v>4786.1360074409577</v>
      </c>
      <c r="AH128" s="137">
        <f t="shared" si="78"/>
        <v>4881.8587275897771</v>
      </c>
    </row>
    <row r="129" spans="2:34">
      <c r="B129" s="2" t="s">
        <v>235</v>
      </c>
      <c r="C129" s="44"/>
      <c r="M129" s="1"/>
      <c r="N129" s="329"/>
      <c r="O129" s="311">
        <v>0.02</v>
      </c>
      <c r="P129" s="303">
        <v>0.02</v>
      </c>
      <c r="Q129" s="303">
        <v>0.02</v>
      </c>
      <c r="R129" s="303">
        <v>0.02</v>
      </c>
      <c r="S129" s="303">
        <v>0.02</v>
      </c>
      <c r="T129" s="303">
        <v>0.02</v>
      </c>
      <c r="U129" s="303">
        <v>0.02</v>
      </c>
      <c r="V129" s="303">
        <v>0.02</v>
      </c>
      <c r="W129" s="303">
        <v>0.02</v>
      </c>
      <c r="X129" s="303">
        <v>0.02</v>
      </c>
      <c r="Y129" s="303">
        <v>0.02</v>
      </c>
      <c r="Z129" s="303">
        <v>0.02</v>
      </c>
      <c r="AA129" s="303">
        <v>0.02</v>
      </c>
      <c r="AB129" s="303">
        <v>0.02</v>
      </c>
      <c r="AC129" s="303">
        <v>0.02</v>
      </c>
      <c r="AD129" s="303">
        <v>0.02</v>
      </c>
      <c r="AE129" s="303">
        <v>0.02</v>
      </c>
      <c r="AF129" s="303">
        <v>0.02</v>
      </c>
      <c r="AG129" s="303">
        <v>0.02</v>
      </c>
      <c r="AH129" s="303">
        <v>0.02</v>
      </c>
    </row>
    <row r="130" spans="2:34">
      <c r="B130" s="9" t="s">
        <v>84</v>
      </c>
      <c r="C130" s="22"/>
      <c r="D130" s="98"/>
      <c r="E130" s="98"/>
      <c r="F130" s="98"/>
      <c r="G130" s="98"/>
      <c r="H130" s="98"/>
      <c r="I130" s="98"/>
      <c r="J130" s="98"/>
      <c r="K130" s="98"/>
      <c r="L130" s="98"/>
      <c r="M130" s="96"/>
      <c r="N130" s="133"/>
      <c r="O130" s="134">
        <f t="shared" ref="O130:AH130" si="79">+O126*1000/O128</f>
        <v>1820.4577791733491</v>
      </c>
      <c r="P130" s="12">
        <f t="shared" si="79"/>
        <v>2070.3245331775342</v>
      </c>
      <c r="Q130" s="12">
        <f t="shared" si="79"/>
        <v>2354.4867240058229</v>
      </c>
      <c r="R130" s="12">
        <f t="shared" si="79"/>
        <v>2677.6515684772094</v>
      </c>
      <c r="S130" s="12">
        <f t="shared" si="79"/>
        <v>2845.3396318892487</v>
      </c>
      <c r="T130" s="12">
        <f t="shared" si="79"/>
        <v>3152.1899843478941</v>
      </c>
      <c r="U130" s="12">
        <f t="shared" si="79"/>
        <v>3492.1320414834513</v>
      </c>
      <c r="V130" s="12">
        <f t="shared" si="79"/>
        <v>3868.7345165453935</v>
      </c>
      <c r="W130" s="12">
        <f t="shared" si="79"/>
        <v>3958.310972810837</v>
      </c>
      <c r="X130" s="12">
        <f t="shared" si="79"/>
        <v>4229.959765062561</v>
      </c>
      <c r="Y130" s="12">
        <f t="shared" si="79"/>
        <v>4520.2511214884235</v>
      </c>
      <c r="Z130" s="12">
        <f t="shared" si="79"/>
        <v>4830.4644337474338</v>
      </c>
      <c r="AA130" s="12">
        <f t="shared" si="79"/>
        <v>4796.7879932507203</v>
      </c>
      <c r="AB130" s="12">
        <f t="shared" si="79"/>
        <v>4984.8973263193739</v>
      </c>
      <c r="AC130" s="12">
        <f t="shared" si="79"/>
        <v>5180.3834959789565</v>
      </c>
      <c r="AD130" s="12">
        <f t="shared" si="79"/>
        <v>5383.5357899389155</v>
      </c>
      <c r="AE130" s="12">
        <f t="shared" si="79"/>
        <v>5334.4383363143015</v>
      </c>
      <c r="AF130" s="12">
        <f t="shared" si="79"/>
        <v>5543.6319965619214</v>
      </c>
      <c r="AG130" s="12">
        <f t="shared" si="79"/>
        <v>5761.0293297604276</v>
      </c>
      <c r="AH130" s="12">
        <f t="shared" si="79"/>
        <v>5986.9520485745606</v>
      </c>
    </row>
    <row r="131" spans="2:34">
      <c r="C131" s="44"/>
      <c r="M131" s="1"/>
      <c r="N131" s="99"/>
    </row>
    <row r="132" spans="2:34">
      <c r="B132" s="16" t="s">
        <v>86</v>
      </c>
      <c r="C132" s="44"/>
      <c r="M132" s="1"/>
      <c r="N132" s="99"/>
    </row>
    <row r="133" spans="2:34">
      <c r="B133" s="2" t="s">
        <v>83</v>
      </c>
      <c r="M133" s="1"/>
      <c r="N133" s="82"/>
      <c r="O133" s="132">
        <f t="shared" ref="O133:AH133" si="80">+N135</f>
        <v>616314.44469586166</v>
      </c>
      <c r="P133" s="357">
        <f t="shared" si="80"/>
        <v>618134.90247503505</v>
      </c>
      <c r="Q133" s="357">
        <f t="shared" si="80"/>
        <v>620205.22700821259</v>
      </c>
      <c r="R133" s="357">
        <f t="shared" si="80"/>
        <v>622559.71373221837</v>
      </c>
      <c r="S133" s="357">
        <f t="shared" si="80"/>
        <v>625237.36530069553</v>
      </c>
      <c r="T133" s="357">
        <f t="shared" si="80"/>
        <v>628082.70493258478</v>
      </c>
      <c r="U133" s="357">
        <f t="shared" si="80"/>
        <v>631234.89491693268</v>
      </c>
      <c r="V133" s="357">
        <f t="shared" si="80"/>
        <v>634727.0269584161</v>
      </c>
      <c r="W133" s="357">
        <f t="shared" si="80"/>
        <v>638595.76147496153</v>
      </c>
      <c r="X133" s="357">
        <f t="shared" si="80"/>
        <v>642554.07244777237</v>
      </c>
      <c r="Y133" s="357">
        <f t="shared" si="80"/>
        <v>646784.03221283492</v>
      </c>
      <c r="Z133" s="357">
        <f t="shared" si="80"/>
        <v>651304.28333432332</v>
      </c>
      <c r="AA133" s="357">
        <f t="shared" si="80"/>
        <v>656134.74776807078</v>
      </c>
      <c r="AB133" s="357">
        <f t="shared" si="80"/>
        <v>660931.53576132155</v>
      </c>
      <c r="AC133" s="357">
        <f t="shared" si="80"/>
        <v>665916.43308764091</v>
      </c>
      <c r="AD133" s="357">
        <f t="shared" si="80"/>
        <v>671096.81658361992</v>
      </c>
      <c r="AE133" s="357">
        <f t="shared" si="80"/>
        <v>676480.3523735588</v>
      </c>
      <c r="AF133" s="357">
        <f t="shared" si="80"/>
        <v>681814.79070987308</v>
      </c>
      <c r="AG133" s="357">
        <f t="shared" si="80"/>
        <v>687358.42270643497</v>
      </c>
      <c r="AH133" s="357">
        <f t="shared" si="80"/>
        <v>693119.45203619543</v>
      </c>
    </row>
    <row r="134" spans="2:34">
      <c r="B134" s="2" t="s">
        <v>84</v>
      </c>
      <c r="O134" s="132">
        <f t="shared" ref="O134:AH134" si="81">+O130</f>
        <v>1820.4577791733491</v>
      </c>
      <c r="P134" s="357">
        <f t="shared" si="81"/>
        <v>2070.3245331775342</v>
      </c>
      <c r="Q134" s="357">
        <f t="shared" si="81"/>
        <v>2354.4867240058229</v>
      </c>
      <c r="R134" s="357">
        <f t="shared" si="81"/>
        <v>2677.6515684772094</v>
      </c>
      <c r="S134" s="357">
        <f t="shared" si="81"/>
        <v>2845.3396318892487</v>
      </c>
      <c r="T134" s="357">
        <f t="shared" si="81"/>
        <v>3152.1899843478941</v>
      </c>
      <c r="U134" s="357">
        <f t="shared" si="81"/>
        <v>3492.1320414834513</v>
      </c>
      <c r="V134" s="357">
        <f t="shared" si="81"/>
        <v>3868.7345165453935</v>
      </c>
      <c r="W134" s="357">
        <f t="shared" si="81"/>
        <v>3958.310972810837</v>
      </c>
      <c r="X134" s="357">
        <f t="shared" si="81"/>
        <v>4229.959765062561</v>
      </c>
      <c r="Y134" s="357">
        <f t="shared" si="81"/>
        <v>4520.2511214884235</v>
      </c>
      <c r="Z134" s="357">
        <f t="shared" si="81"/>
        <v>4830.4644337474338</v>
      </c>
      <c r="AA134" s="357">
        <f t="shared" si="81"/>
        <v>4796.7879932507203</v>
      </c>
      <c r="AB134" s="357">
        <f t="shared" si="81"/>
        <v>4984.8973263193739</v>
      </c>
      <c r="AC134" s="357">
        <f t="shared" si="81"/>
        <v>5180.3834959789565</v>
      </c>
      <c r="AD134" s="357">
        <f t="shared" si="81"/>
        <v>5383.5357899389155</v>
      </c>
      <c r="AE134" s="357">
        <f t="shared" si="81"/>
        <v>5334.4383363143015</v>
      </c>
      <c r="AF134" s="357">
        <f t="shared" si="81"/>
        <v>5543.6319965619214</v>
      </c>
      <c r="AG134" s="357">
        <f t="shared" si="81"/>
        <v>5761.0293297604276</v>
      </c>
      <c r="AH134" s="357">
        <f t="shared" si="81"/>
        <v>5986.9520485745606</v>
      </c>
    </row>
    <row r="135" spans="2:34">
      <c r="B135" s="9" t="s">
        <v>85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35">
        <f>+Transaction!C14</f>
        <v>616314.44469586166</v>
      </c>
      <c r="O135" s="136">
        <f t="shared" ref="O135:AH135" si="82">+O134+O133</f>
        <v>618134.90247503505</v>
      </c>
      <c r="P135" s="131">
        <f t="shared" si="82"/>
        <v>620205.22700821259</v>
      </c>
      <c r="Q135" s="131">
        <f t="shared" si="82"/>
        <v>622559.71373221837</v>
      </c>
      <c r="R135" s="131">
        <f t="shared" si="82"/>
        <v>625237.36530069553</v>
      </c>
      <c r="S135" s="131">
        <f t="shared" si="82"/>
        <v>628082.70493258478</v>
      </c>
      <c r="T135" s="131">
        <f t="shared" si="82"/>
        <v>631234.89491693268</v>
      </c>
      <c r="U135" s="131">
        <f t="shared" si="82"/>
        <v>634727.0269584161</v>
      </c>
      <c r="V135" s="131">
        <f t="shared" si="82"/>
        <v>638595.76147496153</v>
      </c>
      <c r="W135" s="131">
        <f t="shared" si="82"/>
        <v>642554.07244777237</v>
      </c>
      <c r="X135" s="131">
        <f t="shared" si="82"/>
        <v>646784.03221283492</v>
      </c>
      <c r="Y135" s="131">
        <f t="shared" si="82"/>
        <v>651304.28333432332</v>
      </c>
      <c r="Z135" s="131">
        <f t="shared" si="82"/>
        <v>656134.74776807078</v>
      </c>
      <c r="AA135" s="131">
        <f t="shared" si="82"/>
        <v>660931.53576132155</v>
      </c>
      <c r="AB135" s="131">
        <f t="shared" si="82"/>
        <v>665916.43308764091</v>
      </c>
      <c r="AC135" s="131">
        <f t="shared" si="82"/>
        <v>671096.81658361992</v>
      </c>
      <c r="AD135" s="131">
        <f t="shared" si="82"/>
        <v>676480.3523735588</v>
      </c>
      <c r="AE135" s="131">
        <f t="shared" si="82"/>
        <v>681814.79070987308</v>
      </c>
      <c r="AF135" s="131">
        <f t="shared" si="82"/>
        <v>687358.42270643497</v>
      </c>
      <c r="AG135" s="131">
        <f t="shared" si="82"/>
        <v>693119.45203619543</v>
      </c>
      <c r="AH135" s="131">
        <f t="shared" si="82"/>
        <v>699106.40408477001</v>
      </c>
    </row>
    <row r="136" spans="2:34">
      <c r="B136" s="7" t="s">
        <v>87</v>
      </c>
      <c r="M136" s="1"/>
      <c r="N136" s="82"/>
      <c r="O136" s="199">
        <f t="shared" ref="O136:AH136" si="83">(O135-$N135)/$N135</f>
        <v>2.9537808091967535E-3</v>
      </c>
      <c r="P136" s="182">
        <f t="shared" si="83"/>
        <v>6.3129825137733867E-3</v>
      </c>
      <c r="Q136" s="182">
        <f t="shared" si="83"/>
        <v>1.0133251118978105E-2</v>
      </c>
      <c r="R136" s="182">
        <f t="shared" si="83"/>
        <v>1.4477870317054053E-2</v>
      </c>
      <c r="S136" s="182">
        <f t="shared" si="83"/>
        <v>1.9094571509727484E-2</v>
      </c>
      <c r="T136" s="182">
        <f t="shared" si="83"/>
        <v>2.4209152242787284E-2</v>
      </c>
      <c r="U136" s="182">
        <f t="shared" si="83"/>
        <v>2.9875305407843659E-2</v>
      </c>
      <c r="V136" s="182">
        <f t="shared" si="83"/>
        <v>3.6152514306386628E-2</v>
      </c>
      <c r="W136" s="182">
        <f t="shared" si="83"/>
        <v>4.257506533837515E-2</v>
      </c>
      <c r="X136" s="182">
        <f t="shared" si="83"/>
        <v>4.9438379676480515E-2</v>
      </c>
      <c r="Y136" s="182">
        <f t="shared" si="83"/>
        <v>5.6772705782887206E-2</v>
      </c>
      <c r="Z136" s="182">
        <f t="shared" si="83"/>
        <v>6.4610367994635612E-2</v>
      </c>
      <c r="AA136" s="182">
        <f t="shared" si="83"/>
        <v>7.239338855262023E-2</v>
      </c>
      <c r="AB136" s="182">
        <f t="shared" si="83"/>
        <v>8.048162560307473E-2</v>
      </c>
      <c r="AC136" s="182">
        <f t="shared" si="83"/>
        <v>8.8887048420213832E-2</v>
      </c>
      <c r="AD136" s="182">
        <f t="shared" si="83"/>
        <v>9.7622095661554317E-2</v>
      </c>
      <c r="AE136" s="182">
        <f t="shared" si="83"/>
        <v>0.10627747990935775</v>
      </c>
      <c r="AF136" s="182">
        <f t="shared" si="83"/>
        <v>0.11527229099040837</v>
      </c>
      <c r="AG136" s="182">
        <f t="shared" si="83"/>
        <v>0.12461983976091205</v>
      </c>
      <c r="AH136" s="182">
        <f t="shared" si="83"/>
        <v>0.13433395907143544</v>
      </c>
    </row>
    <row r="137" spans="2:34">
      <c r="M137" s="1"/>
      <c r="N137" s="112"/>
    </row>
  </sheetData>
  <pageMargins left="0.7" right="0.7" top="0.75" bottom="0.75" header="0.3" footer="0.3"/>
  <pageSetup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2CE1-15DB-4542-B14C-3758982B729D}">
  <dimension ref="B1:AF127"/>
  <sheetViews>
    <sheetView showGridLines="0" zoomScale="120" zoomScaleNormal="120" zoomScaleSheetLayoutView="13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9.1328125" defaultRowHeight="13.15" outlineLevelRow="1"/>
  <cols>
    <col min="1" max="1" width="5.53125" style="1" customWidth="1"/>
    <col min="2" max="2" width="22" style="2" customWidth="1"/>
    <col min="3" max="8" width="9.1328125" style="1"/>
    <col min="9" max="9" width="9.86328125" style="2" customWidth="1"/>
    <col min="10" max="16384" width="9.1328125" style="1"/>
  </cols>
  <sheetData>
    <row r="1" spans="2:28" s="2" customFormat="1">
      <c r="B1" s="7"/>
      <c r="I1" s="7"/>
    </row>
    <row r="2" spans="2:28" s="2" customFormat="1">
      <c r="B2" s="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67" t="s">
        <v>248</v>
      </c>
    </row>
    <row r="3" spans="2:28" s="2" customFormat="1" hidden="1" outlineLevel="1">
      <c r="B3" s="30"/>
      <c r="C3" s="31"/>
      <c r="D3" s="31"/>
      <c r="E3" s="31"/>
      <c r="F3" s="31"/>
      <c r="G3" s="31"/>
      <c r="H3" s="31"/>
      <c r="I3" s="31" t="e">
        <f>EOMONTH(#REF!, 3)</f>
        <v>#REF!</v>
      </c>
      <c r="J3" s="31" t="e">
        <f t="shared" ref="J3:AB3" si="0">EOMONTH(I3, 3)</f>
        <v>#REF!</v>
      </c>
      <c r="K3" s="31" t="e">
        <f t="shared" si="0"/>
        <v>#REF!</v>
      </c>
      <c r="L3" s="31" t="e">
        <f t="shared" si="0"/>
        <v>#REF!</v>
      </c>
      <c r="M3" s="31" t="e">
        <f t="shared" si="0"/>
        <v>#REF!</v>
      </c>
      <c r="N3" s="31" t="e">
        <f t="shared" si="0"/>
        <v>#REF!</v>
      </c>
      <c r="O3" s="31" t="e">
        <f t="shared" si="0"/>
        <v>#REF!</v>
      </c>
      <c r="P3" s="31" t="e">
        <f t="shared" si="0"/>
        <v>#REF!</v>
      </c>
      <c r="Q3" s="31" t="e">
        <f t="shared" si="0"/>
        <v>#REF!</v>
      </c>
      <c r="R3" s="31" t="e">
        <f t="shared" si="0"/>
        <v>#REF!</v>
      </c>
      <c r="S3" s="31" t="e">
        <f t="shared" si="0"/>
        <v>#REF!</v>
      </c>
      <c r="T3" s="31" t="e">
        <f t="shared" si="0"/>
        <v>#REF!</v>
      </c>
      <c r="U3" s="31" t="e">
        <f t="shared" si="0"/>
        <v>#REF!</v>
      </c>
      <c r="V3" s="31" t="e">
        <f t="shared" si="0"/>
        <v>#REF!</v>
      </c>
      <c r="W3" s="31" t="e">
        <f t="shared" si="0"/>
        <v>#REF!</v>
      </c>
      <c r="X3" s="31" t="e">
        <f t="shared" si="0"/>
        <v>#REF!</v>
      </c>
      <c r="Y3" s="31" t="e">
        <f t="shared" si="0"/>
        <v>#REF!</v>
      </c>
      <c r="Z3" s="31" t="e">
        <f t="shared" si="0"/>
        <v>#REF!</v>
      </c>
      <c r="AA3" s="31" t="e">
        <f t="shared" si="0"/>
        <v>#REF!</v>
      </c>
      <c r="AB3" s="31" t="e">
        <f t="shared" si="0"/>
        <v>#REF!</v>
      </c>
    </row>
    <row r="4" spans="2:28" s="2" customFormat="1" hidden="1" outlineLevel="1">
      <c r="B4" s="30"/>
      <c r="C4" s="31"/>
      <c r="D4" s="31"/>
      <c r="E4" s="31"/>
      <c r="F4" s="31"/>
      <c r="G4" s="31"/>
      <c r="H4" s="31"/>
      <c r="I4" s="31" t="e">
        <f>EOMONTH(#REF!, 2)+1</f>
        <v>#REF!</v>
      </c>
      <c r="J4" s="31" t="e">
        <f t="shared" ref="J4:AB4" si="1">EOMONTH(I4, 2)+1</f>
        <v>#REF!</v>
      </c>
      <c r="K4" s="31" t="e">
        <f t="shared" si="1"/>
        <v>#REF!</v>
      </c>
      <c r="L4" s="31" t="e">
        <f t="shared" si="1"/>
        <v>#REF!</v>
      </c>
      <c r="M4" s="31" t="e">
        <f t="shared" si="1"/>
        <v>#REF!</v>
      </c>
      <c r="N4" s="31" t="e">
        <f t="shared" si="1"/>
        <v>#REF!</v>
      </c>
      <c r="O4" s="31" t="e">
        <f t="shared" si="1"/>
        <v>#REF!</v>
      </c>
      <c r="P4" s="31" t="e">
        <f t="shared" si="1"/>
        <v>#REF!</v>
      </c>
      <c r="Q4" s="31" t="e">
        <f t="shared" si="1"/>
        <v>#REF!</v>
      </c>
      <c r="R4" s="31" t="e">
        <f t="shared" si="1"/>
        <v>#REF!</v>
      </c>
      <c r="S4" s="31" t="e">
        <f t="shared" si="1"/>
        <v>#REF!</v>
      </c>
      <c r="T4" s="31" t="e">
        <f t="shared" si="1"/>
        <v>#REF!</v>
      </c>
      <c r="U4" s="31" t="e">
        <f t="shared" si="1"/>
        <v>#REF!</v>
      </c>
      <c r="V4" s="31" t="e">
        <f t="shared" si="1"/>
        <v>#REF!</v>
      </c>
      <c r="W4" s="31" t="e">
        <f t="shared" si="1"/>
        <v>#REF!</v>
      </c>
      <c r="X4" s="31" t="e">
        <f t="shared" si="1"/>
        <v>#REF!</v>
      </c>
      <c r="Y4" s="31" t="e">
        <f t="shared" si="1"/>
        <v>#REF!</v>
      </c>
      <c r="Z4" s="31" t="e">
        <f t="shared" si="1"/>
        <v>#REF!</v>
      </c>
      <c r="AA4" s="31" t="e">
        <f t="shared" si="1"/>
        <v>#REF!</v>
      </c>
      <c r="AB4" s="31" t="e">
        <f t="shared" si="1"/>
        <v>#REF!</v>
      </c>
    </row>
    <row r="5" spans="2:28" s="2" customFormat="1" collapsed="1">
      <c r="B5" s="366"/>
      <c r="C5" s="48"/>
      <c r="D5" s="48"/>
      <c r="E5" s="21">
        <f>EOMONTH(F5, -3)</f>
        <v>44651</v>
      </c>
      <c r="F5" s="21">
        <f>EOMONTH(G5, -3)</f>
        <v>44742</v>
      </c>
      <c r="G5" s="21">
        <f>EOMONTH(H5, -3)</f>
        <v>44834</v>
      </c>
      <c r="H5" s="21">
        <f>EOMONTH(I5, -3)</f>
        <v>44926</v>
      </c>
      <c r="I5" s="419">
        <f>Model!O4</f>
        <v>45016</v>
      </c>
      <c r="J5" s="241">
        <f>EOMONTH(I5, 3)</f>
        <v>45107</v>
      </c>
      <c r="K5" s="241">
        <f t="shared" ref="K5:AB5" si="2">EOMONTH(J5, 3)</f>
        <v>45199</v>
      </c>
      <c r="L5" s="241">
        <f t="shared" si="2"/>
        <v>45291</v>
      </c>
      <c r="M5" s="241">
        <f t="shared" si="2"/>
        <v>45382</v>
      </c>
      <c r="N5" s="241">
        <f t="shared" si="2"/>
        <v>45473</v>
      </c>
      <c r="O5" s="241">
        <f t="shared" si="2"/>
        <v>45565</v>
      </c>
      <c r="P5" s="241">
        <f t="shared" si="2"/>
        <v>45657</v>
      </c>
      <c r="Q5" s="241">
        <f t="shared" si="2"/>
        <v>45747</v>
      </c>
      <c r="R5" s="241">
        <f t="shared" si="2"/>
        <v>45838</v>
      </c>
      <c r="S5" s="241">
        <f t="shared" si="2"/>
        <v>45930</v>
      </c>
      <c r="T5" s="241">
        <f t="shared" si="2"/>
        <v>46022</v>
      </c>
      <c r="U5" s="241">
        <f t="shared" si="2"/>
        <v>46112</v>
      </c>
      <c r="V5" s="241">
        <f t="shared" si="2"/>
        <v>46203</v>
      </c>
      <c r="W5" s="241">
        <f t="shared" si="2"/>
        <v>46295</v>
      </c>
      <c r="X5" s="241">
        <f t="shared" si="2"/>
        <v>46387</v>
      </c>
      <c r="Y5" s="241">
        <f t="shared" si="2"/>
        <v>46477</v>
      </c>
      <c r="Z5" s="241">
        <f t="shared" si="2"/>
        <v>46568</v>
      </c>
      <c r="AA5" s="241">
        <f t="shared" si="2"/>
        <v>46660</v>
      </c>
      <c r="AB5" s="241">
        <f t="shared" si="2"/>
        <v>46752</v>
      </c>
    </row>
    <row r="6" spans="2:28" s="23" customFormat="1" ht="14.35" customHeight="1">
      <c r="B6" s="16" t="s">
        <v>195</v>
      </c>
      <c r="E6" s="42"/>
      <c r="F6" s="39"/>
      <c r="G6" s="39"/>
      <c r="H6" s="39"/>
    </row>
    <row r="7" spans="2:28" s="23" customFormat="1" ht="14.35" customHeight="1">
      <c r="B7" s="24" t="s">
        <v>193</v>
      </c>
      <c r="C7" s="41"/>
      <c r="D7" s="41"/>
      <c r="E7" s="42">
        <v>5660.4770062499992</v>
      </c>
      <c r="F7" s="42">
        <v>6828.9072499999984</v>
      </c>
      <c r="G7" s="42">
        <v>8507.6606999999985</v>
      </c>
      <c r="H7" s="42">
        <v>10270.13040625</v>
      </c>
      <c r="I7" s="43">
        <f>+E12</f>
        <v>11732.08000625</v>
      </c>
      <c r="J7" s="43">
        <f t="shared" ref="J7:AB7" si="3">+F12</f>
        <v>15085.88025</v>
      </c>
      <c r="K7" s="43">
        <f t="shared" si="3"/>
        <v>16109.181449999998</v>
      </c>
      <c r="L7" s="43">
        <f t="shared" si="3"/>
        <v>22545.355156250003</v>
      </c>
      <c r="M7" s="43">
        <f t="shared" si="3"/>
        <v>23180.280046250002</v>
      </c>
      <c r="N7" s="43">
        <f t="shared" si="3"/>
        <v>28365.792296400003</v>
      </c>
      <c r="O7" s="43">
        <f t="shared" si="3"/>
        <v>31513.879423823993</v>
      </c>
      <c r="P7" s="43">
        <f t="shared" si="3"/>
        <v>40414.80480588584</v>
      </c>
      <c r="Q7" s="43">
        <f t="shared" si="3"/>
        <v>40022.236341031778</v>
      </c>
      <c r="R7" s="43">
        <f t="shared" si="3"/>
        <v>47397.202909503401</v>
      </c>
      <c r="S7" s="43">
        <f t="shared" si="3"/>
        <v>53019.373416630842</v>
      </c>
      <c r="T7" s="43">
        <f t="shared" si="3"/>
        <v>64716.013017757585</v>
      </c>
      <c r="U7" s="43">
        <f t="shared" si="3"/>
        <v>59033.25845754992</v>
      </c>
      <c r="V7" s="43">
        <f t="shared" si="3"/>
        <v>68119.217016508148</v>
      </c>
      <c r="W7" s="43">
        <f t="shared" si="3"/>
        <v>75606.36879326604</v>
      </c>
      <c r="X7" s="43">
        <f t="shared" si="3"/>
        <v>89335.837978289928</v>
      </c>
      <c r="Y7" s="43">
        <f t="shared" si="3"/>
        <v>76923.664595536757</v>
      </c>
      <c r="Z7" s="43">
        <f t="shared" si="3"/>
        <v>87083.047522774228</v>
      </c>
      <c r="AA7" s="43">
        <f t="shared" si="3"/>
        <v>95708.029129908071</v>
      </c>
      <c r="AB7" s="43">
        <f t="shared" si="3"/>
        <v>110643.59793513047</v>
      </c>
    </row>
    <row r="8" spans="2:28" s="23" customFormat="1" ht="14.35" customHeight="1">
      <c r="B8" s="24" t="s">
        <v>5</v>
      </c>
      <c r="C8" s="41"/>
      <c r="D8" s="41"/>
      <c r="E8" s="39">
        <f>'ARR Waterfall'!K7</f>
        <v>2938.65</v>
      </c>
      <c r="F8" s="39">
        <f>'ARR Waterfall'!L7</f>
        <v>4775.55</v>
      </c>
      <c r="G8" s="39">
        <f>'ARR Waterfall'!M7</f>
        <v>4969.3500000000004</v>
      </c>
      <c r="H8" s="39">
        <f>'ARR Waterfall'!N7</f>
        <v>6157.89</v>
      </c>
      <c r="I8" s="39">
        <f>'ARR Waterfall'!O7</f>
        <v>8586.1500299999989</v>
      </c>
      <c r="J8" s="39">
        <f>'ARR Waterfall'!P7</f>
        <v>9959.9340347999987</v>
      </c>
      <c r="K8" s="39">
        <f>'ARR Waterfall'!Q7</f>
        <v>11553.523480367998</v>
      </c>
      <c r="L8" s="39">
        <f>'ARR Waterfall'!R7</f>
        <v>13402.087237226875</v>
      </c>
      <c r="M8" s="39">
        <f>'ARR Waterfall'!S7</f>
        <v>12955.35099598598</v>
      </c>
      <c r="N8" s="39">
        <f>'ARR Waterfall'!T7</f>
        <v>14639.54662546416</v>
      </c>
      <c r="O8" s="39">
        <f>'ARR Waterfall'!U7</f>
        <v>16542.687686774501</v>
      </c>
      <c r="P8" s="39">
        <f>'ARR Waterfall'!V7</f>
        <v>18693.237086055189</v>
      </c>
      <c r="Q8" s="39">
        <f>'ARR Waterfall'!W7</f>
        <v>16898.686325793893</v>
      </c>
      <c r="R8" s="39">
        <f>'ARR Waterfall'!X7</f>
        <v>18419.568095115344</v>
      </c>
      <c r="S8" s="39">
        <f>'ARR Waterfall'!Y7</f>
        <v>20077.329223675722</v>
      </c>
      <c r="T8" s="39">
        <f>'ARR Waterfall'!Z7</f>
        <v>21884.288853806542</v>
      </c>
      <c r="U8" s="39">
        <f>'ARR Waterfall'!AA7</f>
        <v>17890.406137986851</v>
      </c>
      <c r="V8" s="39">
        <f>'ARR Waterfall'!AB7</f>
        <v>18963.830506266062</v>
      </c>
      <c r="W8" s="39">
        <f>'ARR Waterfall'!AC7</f>
        <v>20101.660336642024</v>
      </c>
      <c r="X8" s="39">
        <f>'ARR Waterfall'!AD7</f>
        <v>21307.759956840546</v>
      </c>
      <c r="Y8" s="39">
        <f>'ARR Waterfall'!AE7</f>
        <v>22586.225554250977</v>
      </c>
      <c r="Z8" s="39">
        <f>'ARR Waterfall'!AF7</f>
        <v>23941.399087506037</v>
      </c>
      <c r="AA8" s="39">
        <f>'ARR Waterfall'!AG7</f>
        <v>25377.883032756399</v>
      </c>
      <c r="AB8" s="39">
        <f>'ARR Waterfall'!AH7</f>
        <v>26900.55601472178</v>
      </c>
    </row>
    <row r="9" spans="2:28" s="23" customFormat="1" ht="14.35" customHeight="1">
      <c r="B9" s="24" t="s">
        <v>6</v>
      </c>
      <c r="C9" s="41"/>
      <c r="D9" s="41"/>
      <c r="E9" s="39">
        <f>'ARR Waterfall'!K8</f>
        <v>4008.8319999999999</v>
      </c>
      <c r="F9" s="39">
        <f>'ARR Waterfall'!L8</f>
        <v>4671.8969999999999</v>
      </c>
      <c r="G9" s="39">
        <f>'ARR Waterfall'!M8</f>
        <v>4734.5702499999998</v>
      </c>
      <c r="H9" s="39">
        <f>'ARR Waterfall'!N8</f>
        <v>7403.5810000000001</v>
      </c>
      <c r="I9" s="39">
        <f>'ARR Waterfall'!O8</f>
        <v>5724.1000199999999</v>
      </c>
      <c r="J9" s="39">
        <f>'ARR Waterfall'!P8</f>
        <v>6639.9560231999994</v>
      </c>
      <c r="K9" s="39">
        <f>'ARR Waterfall'!Q8</f>
        <v>7702.3489869119985</v>
      </c>
      <c r="L9" s="39">
        <f>'ARR Waterfall'!R8</f>
        <v>8934.7248248179185</v>
      </c>
      <c r="M9" s="39">
        <f>'ARR Waterfall'!S8</f>
        <v>9068.7456971901865</v>
      </c>
      <c r="N9" s="39">
        <f>'ARR Waterfall'!T8</f>
        <v>10247.682637824912</v>
      </c>
      <c r="O9" s="39">
        <f>'ARR Waterfall'!U8</f>
        <v>11579.881380742152</v>
      </c>
      <c r="P9" s="39">
        <f>'ARR Waterfall'!V8</f>
        <v>13085.265960238634</v>
      </c>
      <c r="Q9" s="39">
        <f>'ARR Waterfall'!W8</f>
        <v>10561.678953621184</v>
      </c>
      <c r="R9" s="39">
        <f>'ARR Waterfall'!X8</f>
        <v>11512.230059447091</v>
      </c>
      <c r="S9" s="39">
        <f>'ARR Waterfall'!Y8</f>
        <v>12548.330764797327</v>
      </c>
      <c r="T9" s="39">
        <f>'ARR Waterfall'!Z8</f>
        <v>13677.680533629089</v>
      </c>
      <c r="U9" s="39">
        <f>'ARR Waterfall'!AA8</f>
        <v>11926.937425324568</v>
      </c>
      <c r="V9" s="39">
        <f>'ARR Waterfall'!AB8</f>
        <v>12642.553670844043</v>
      </c>
      <c r="W9" s="39">
        <f>'ARR Waterfall'!AC8</f>
        <v>13401.106891094683</v>
      </c>
      <c r="X9" s="39">
        <f>'ARR Waterfall'!AD8</f>
        <v>14205.173304560363</v>
      </c>
      <c r="Y9" s="39">
        <f>'ARR Waterfall'!AE8</f>
        <v>15057.483702833986</v>
      </c>
      <c r="Z9" s="39">
        <f>'ARR Waterfall'!AF8</f>
        <v>15960.932725004026</v>
      </c>
      <c r="AA9" s="39">
        <f>'ARR Waterfall'!AG8</f>
        <v>16918.588688504267</v>
      </c>
      <c r="AB9" s="39">
        <f>'ARR Waterfall'!AH8</f>
        <v>17933.704009814523</v>
      </c>
    </row>
    <row r="10" spans="2:28" s="23" customFormat="1" ht="14.35" customHeight="1">
      <c r="B10" s="24" t="s">
        <v>7</v>
      </c>
      <c r="C10" s="41"/>
      <c r="D10" s="41"/>
      <c r="E10" s="39">
        <f>'ARR Waterfall'!K9</f>
        <v>-379.44450000000001</v>
      </c>
      <c r="F10" s="39">
        <f>'ARR Waterfall'!L9</f>
        <v>-407.09750000000003</v>
      </c>
      <c r="G10" s="39">
        <f>'ARR Waterfall'!M9</f>
        <v>-880.04100000000005</v>
      </c>
      <c r="H10" s="39">
        <f>'ARR Waterfall'!N9</f>
        <v>-556.12474999999995</v>
      </c>
      <c r="I10" s="39">
        <f>'ARR Waterfall'!O9</f>
        <v>-1431.025005</v>
      </c>
      <c r="J10" s="39">
        <f>'ARR Waterfall'!P9</f>
        <v>-1659.9890057999999</v>
      </c>
      <c r="K10" s="39">
        <f>'ARR Waterfall'!Q9</f>
        <v>-1925.5872467279996</v>
      </c>
      <c r="L10" s="39">
        <f>'ARR Waterfall'!R9</f>
        <v>-2233.6812062044796</v>
      </c>
      <c r="M10" s="39">
        <f>'ARR Waterfall'!S9</f>
        <v>-2591.070199197196</v>
      </c>
      <c r="N10" s="39">
        <f>'ARR Waterfall'!T9</f>
        <v>-2927.9093250928318</v>
      </c>
      <c r="O10" s="39">
        <f>'ARR Waterfall'!U9</f>
        <v>-3308.5375373549005</v>
      </c>
      <c r="P10" s="39">
        <f>'ARR Waterfall'!V9</f>
        <v>-3738.6474172110379</v>
      </c>
      <c r="Q10" s="39">
        <f>'ARR Waterfall'!W9</f>
        <v>-4224.6715814484733</v>
      </c>
      <c r="R10" s="39">
        <f>'ARR Waterfall'!X9</f>
        <v>-4604.8920237788361</v>
      </c>
      <c r="S10" s="39">
        <f>'ARR Waterfall'!Y9</f>
        <v>-5019.3323059189306</v>
      </c>
      <c r="T10" s="39">
        <f>'ARR Waterfall'!Z9</f>
        <v>-5471.0722134516354</v>
      </c>
      <c r="U10" s="39">
        <f>'ARR Waterfall'!AA9</f>
        <v>-5963.4687126622839</v>
      </c>
      <c r="V10" s="39">
        <f>'ARR Waterfall'!AB9</f>
        <v>-6321.2768354220216</v>
      </c>
      <c r="W10" s="39">
        <f>'ARR Waterfall'!AC9</f>
        <v>-6700.5534455473417</v>
      </c>
      <c r="X10" s="39">
        <f>'ARR Waterfall'!AD9</f>
        <v>-7102.5866522801816</v>
      </c>
      <c r="Y10" s="39">
        <f>'ARR Waterfall'!AE9</f>
        <v>-7528.7418514169931</v>
      </c>
      <c r="Z10" s="39">
        <f>'ARR Waterfall'!AF9</f>
        <v>-7980.466362502013</v>
      </c>
      <c r="AA10" s="39">
        <f>'ARR Waterfall'!AG9</f>
        <v>-8459.2943442521337</v>
      </c>
      <c r="AB10" s="39">
        <f>'ARR Waterfall'!AH9</f>
        <v>-8966.8520049072613</v>
      </c>
    </row>
    <row r="11" spans="2:28" s="23" customFormat="1" ht="14.35" customHeight="1">
      <c r="B11" s="24" t="s">
        <v>8</v>
      </c>
      <c r="C11" s="41"/>
      <c r="D11" s="41"/>
      <c r="E11" s="39">
        <f>'ARR Waterfall'!K10</f>
        <v>-496.43450000000001</v>
      </c>
      <c r="F11" s="39">
        <f>'ARR Waterfall'!L10</f>
        <v>-783.37649999999996</v>
      </c>
      <c r="G11" s="39">
        <f>'ARR Waterfall'!M10</f>
        <v>-1222.3585</v>
      </c>
      <c r="H11" s="39">
        <f>'ARR Waterfall'!N10</f>
        <v>-730.12149999999997</v>
      </c>
      <c r="I11" s="39">
        <f>'ARR Waterfall'!O10</f>
        <v>-1431.025005</v>
      </c>
      <c r="J11" s="39">
        <f>'ARR Waterfall'!P10</f>
        <v>-1659.9890057999999</v>
      </c>
      <c r="K11" s="39">
        <f>'ARR Waterfall'!Q10</f>
        <v>-1925.5872467279996</v>
      </c>
      <c r="L11" s="39">
        <f>'ARR Waterfall'!R10</f>
        <v>-2233.6812062044796</v>
      </c>
      <c r="M11" s="39">
        <f>'ARR Waterfall'!S10</f>
        <v>-2591.070199197196</v>
      </c>
      <c r="N11" s="39">
        <f>'ARR Waterfall'!T10</f>
        <v>-2927.9093250928318</v>
      </c>
      <c r="O11" s="39">
        <f>'ARR Waterfall'!U10</f>
        <v>-3308.5375373549005</v>
      </c>
      <c r="P11" s="39">
        <f>'ARR Waterfall'!V10</f>
        <v>-3738.6474172110379</v>
      </c>
      <c r="Q11" s="39">
        <f>'ARR Waterfall'!W10</f>
        <v>-4224.6715814484733</v>
      </c>
      <c r="R11" s="39">
        <f>'ARR Waterfall'!X10</f>
        <v>-4604.8920237788361</v>
      </c>
      <c r="S11" s="39">
        <f>'ARR Waterfall'!Y10</f>
        <v>-5019.3323059189306</v>
      </c>
      <c r="T11" s="39">
        <f>'ARR Waterfall'!Z10</f>
        <v>-5471.0722134516354</v>
      </c>
      <c r="U11" s="39">
        <f>'ARR Waterfall'!AA10</f>
        <v>-5963.4687126622839</v>
      </c>
      <c r="V11" s="39">
        <f>'ARR Waterfall'!AB10</f>
        <v>-6321.2768354220216</v>
      </c>
      <c r="W11" s="39">
        <f>'ARR Waterfall'!AC10</f>
        <v>-6700.5534455473417</v>
      </c>
      <c r="X11" s="39">
        <f>'ARR Waterfall'!AD10</f>
        <v>-7102.5866522801816</v>
      </c>
      <c r="Y11" s="39">
        <f>'ARR Waterfall'!AE10</f>
        <v>-7528.7418514169931</v>
      </c>
      <c r="Z11" s="39">
        <f>'ARR Waterfall'!AF10</f>
        <v>-7980.466362502013</v>
      </c>
      <c r="AA11" s="39">
        <f>'ARR Waterfall'!AG10</f>
        <v>-8459.2943442521337</v>
      </c>
      <c r="AB11" s="39">
        <f>'ARR Waterfall'!AH10</f>
        <v>-8966.8520049072613</v>
      </c>
    </row>
    <row r="12" spans="2:28" s="23" customFormat="1" ht="14.35" customHeight="1">
      <c r="B12" s="9" t="s">
        <v>194</v>
      </c>
      <c r="C12" s="22"/>
      <c r="D12" s="22"/>
      <c r="E12" s="22">
        <f>SUM(E7:E11)</f>
        <v>11732.08000625</v>
      </c>
      <c r="F12" s="22">
        <f t="shared" ref="F12:I12" si="4">SUM(F7:F11)</f>
        <v>15085.88025</v>
      </c>
      <c r="G12" s="22">
        <f t="shared" si="4"/>
        <v>16109.181449999998</v>
      </c>
      <c r="H12" s="22">
        <f t="shared" si="4"/>
        <v>22545.355156250003</v>
      </c>
      <c r="I12" s="22">
        <f t="shared" si="4"/>
        <v>23180.280046250002</v>
      </c>
      <c r="J12" s="22">
        <f t="shared" ref="J12" si="5">SUM(J7:J11)</f>
        <v>28365.792296400003</v>
      </c>
      <c r="K12" s="22">
        <f t="shared" ref="K12" si="6">SUM(K7:K11)</f>
        <v>31513.879423823993</v>
      </c>
      <c r="L12" s="22">
        <f t="shared" ref="L12" si="7">SUM(L7:L11)</f>
        <v>40414.80480588584</v>
      </c>
      <c r="M12" s="22">
        <f t="shared" ref="M12" si="8">SUM(M7:M11)</f>
        <v>40022.236341031778</v>
      </c>
      <c r="N12" s="22">
        <f t="shared" ref="N12" si="9">SUM(N7:N11)</f>
        <v>47397.202909503401</v>
      </c>
      <c r="O12" s="22">
        <f t="shared" ref="O12" si="10">SUM(O7:O11)</f>
        <v>53019.373416630842</v>
      </c>
      <c r="P12" s="22">
        <f t="shared" ref="P12" si="11">SUM(P7:P11)</f>
        <v>64716.013017757585</v>
      </c>
      <c r="Q12" s="22">
        <f t="shared" ref="Q12" si="12">SUM(Q7:Q11)</f>
        <v>59033.25845754992</v>
      </c>
      <c r="R12" s="22">
        <f t="shared" ref="R12" si="13">SUM(R7:R11)</f>
        <v>68119.217016508148</v>
      </c>
      <c r="S12" s="22">
        <f t="shared" ref="S12" si="14">SUM(S7:S11)</f>
        <v>75606.36879326604</v>
      </c>
      <c r="T12" s="22">
        <f t="shared" ref="T12" si="15">SUM(T7:T11)</f>
        <v>89335.837978289928</v>
      </c>
      <c r="U12" s="22">
        <f t="shared" ref="U12" si="16">SUM(U7:U11)</f>
        <v>76923.664595536757</v>
      </c>
      <c r="V12" s="22">
        <f t="shared" ref="V12" si="17">SUM(V7:V11)</f>
        <v>87083.047522774228</v>
      </c>
      <c r="W12" s="22">
        <f t="shared" ref="W12" si="18">SUM(W7:W11)</f>
        <v>95708.029129908071</v>
      </c>
      <c r="X12" s="22">
        <f t="shared" ref="X12" si="19">SUM(X7:X11)</f>
        <v>110643.59793513047</v>
      </c>
      <c r="Y12" s="22">
        <f t="shared" ref="Y12" si="20">SUM(Y7:Y11)</f>
        <v>99509.890149787723</v>
      </c>
      <c r="Z12" s="22">
        <f t="shared" ref="Z12" si="21">SUM(Z7:Z11)</f>
        <v>111024.44661028025</v>
      </c>
      <c r="AA12" s="22">
        <f t="shared" ref="AA12" si="22">SUM(AA7:AA11)</f>
        <v>121085.91216266446</v>
      </c>
      <c r="AB12" s="22">
        <f t="shared" ref="AB12" si="23">SUM(AB7:AB11)</f>
        <v>137544.15394985222</v>
      </c>
    </row>
    <row r="13" spans="2:28" s="23" customFormat="1" ht="14.35" customHeight="1">
      <c r="B13" s="5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spans="2:28" s="23" customFormat="1" ht="14.35" customHeight="1">
      <c r="B14" s="52" t="s">
        <v>32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 spans="2:28" s="23" customFormat="1" ht="14.35" customHeight="1">
      <c r="B15" s="53" t="s">
        <v>4</v>
      </c>
      <c r="C15" s="54" t="s">
        <v>173</v>
      </c>
      <c r="D15" s="54" t="s">
        <v>31</v>
      </c>
      <c r="E15" s="54"/>
      <c r="F15" s="54"/>
      <c r="G15" s="54"/>
      <c r="H15" s="5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spans="2:28" s="23" customFormat="1" ht="14.35" customHeight="1">
      <c r="B16" s="24" cm="1">
        <f t="array" ref="B16:B39">TRANSPOSE(E5:AB5)</f>
        <v>44651</v>
      </c>
      <c r="C16" s="49" cm="1">
        <f t="array" ref="C16:C39">TRANSPOSE(E12:AB12)</f>
        <v>11732.08000625</v>
      </c>
      <c r="D16" s="58">
        <v>0.2</v>
      </c>
      <c r="E16" s="46">
        <f>$C16*$D16</f>
        <v>2346.4160012500001</v>
      </c>
      <c r="F16" s="54"/>
      <c r="G16" s="54"/>
      <c r="H16" s="54"/>
      <c r="I16" s="46"/>
      <c r="J16" s="46"/>
      <c r="K16" s="46"/>
      <c r="L16" s="46"/>
      <c r="M16" s="46"/>
      <c r="N16" s="46"/>
      <c r="O16" s="46"/>
      <c r="P16" s="46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spans="2:28" s="23" customFormat="1" ht="14.35" customHeight="1">
      <c r="B17" s="24">
        <v>44742</v>
      </c>
      <c r="C17" s="49">
        <v>15085.88025</v>
      </c>
      <c r="D17" s="183">
        <f>+D16</f>
        <v>0.2</v>
      </c>
      <c r="E17" s="54"/>
      <c r="F17" s="46">
        <f>$C17*$D17</f>
        <v>3017.17605</v>
      </c>
      <c r="G17" s="54"/>
      <c r="H17" s="54"/>
      <c r="J17" s="46"/>
      <c r="K17" s="46"/>
      <c r="L17" s="46"/>
      <c r="M17" s="46"/>
      <c r="N17" s="46"/>
      <c r="O17" s="46"/>
      <c r="P17" s="46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spans="2:28" s="23" customFormat="1" ht="14.35" customHeight="1">
      <c r="B18" s="24">
        <v>44834</v>
      </c>
      <c r="C18" s="49">
        <v>16109.181449999998</v>
      </c>
      <c r="D18" s="183">
        <f t="shared" ref="D18:D39" si="24">+D17</f>
        <v>0.2</v>
      </c>
      <c r="E18" s="54"/>
      <c r="F18" s="54"/>
      <c r="G18" s="46">
        <f>$C18*$D18</f>
        <v>3221.8362899999997</v>
      </c>
      <c r="H18" s="54"/>
      <c r="K18" s="46"/>
      <c r="L18" s="46"/>
      <c r="M18" s="46"/>
      <c r="N18" s="46"/>
      <c r="O18" s="46"/>
      <c r="P18" s="46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2:28" s="23" customFormat="1" ht="14.35" customHeight="1">
      <c r="B19" s="24">
        <v>44926</v>
      </c>
      <c r="C19" s="49">
        <v>22545.355156250003</v>
      </c>
      <c r="D19" s="183">
        <f t="shared" si="24"/>
        <v>0.2</v>
      </c>
      <c r="E19" s="54"/>
      <c r="F19" s="54"/>
      <c r="G19" s="54"/>
      <c r="H19" s="46">
        <f>$C19*$D19</f>
        <v>4509.0710312500005</v>
      </c>
      <c r="L19" s="46"/>
      <c r="M19" s="46"/>
      <c r="N19" s="46"/>
      <c r="O19" s="46"/>
      <c r="P19" s="46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spans="2:28" s="23" customFormat="1" ht="14.35" customHeight="1">
      <c r="B20" s="24">
        <v>45016</v>
      </c>
      <c r="C20" s="49">
        <v>23180.280046250002</v>
      </c>
      <c r="D20" s="183">
        <f t="shared" si="24"/>
        <v>0.2</v>
      </c>
      <c r="E20" s="54"/>
      <c r="F20" s="54"/>
      <c r="G20" s="54"/>
      <c r="H20" s="54"/>
      <c r="I20" s="46">
        <f>$C20*$D20</f>
        <v>4636.0560092500009</v>
      </c>
      <c r="M20" s="46"/>
      <c r="N20" s="46"/>
      <c r="O20" s="46"/>
      <c r="P20" s="46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pans="2:28" s="23" customFormat="1" ht="14.35" customHeight="1">
      <c r="B21" s="24">
        <v>45107</v>
      </c>
      <c r="C21" s="49">
        <v>28365.792296400003</v>
      </c>
      <c r="D21" s="183">
        <f t="shared" si="24"/>
        <v>0.2</v>
      </c>
      <c r="E21" s="54"/>
      <c r="F21" s="54"/>
      <c r="G21" s="54"/>
      <c r="H21" s="54"/>
      <c r="J21" s="46">
        <f>$C21*$D21</f>
        <v>5673.1584592800009</v>
      </c>
      <c r="M21" s="46"/>
      <c r="N21" s="46"/>
      <c r="O21" s="46"/>
      <c r="P21" s="46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spans="2:28" s="23" customFormat="1" ht="14.35" customHeight="1">
      <c r="B22" s="24">
        <v>45199</v>
      </c>
      <c r="C22" s="49">
        <v>31513.879423823993</v>
      </c>
      <c r="D22" s="183">
        <f t="shared" si="24"/>
        <v>0.2</v>
      </c>
      <c r="E22" s="54"/>
      <c r="F22" s="54"/>
      <c r="G22" s="54"/>
      <c r="H22" s="54"/>
      <c r="K22" s="46">
        <f>$C22*$D22</f>
        <v>6302.7758847647992</v>
      </c>
      <c r="M22" s="46"/>
      <c r="N22" s="46"/>
      <c r="O22" s="46"/>
      <c r="P22" s="46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spans="2:28" s="23" customFormat="1" ht="14.35" customHeight="1">
      <c r="B23" s="24">
        <v>45291</v>
      </c>
      <c r="C23" s="49">
        <v>40414.80480588584</v>
      </c>
      <c r="D23" s="183">
        <f t="shared" si="24"/>
        <v>0.2</v>
      </c>
      <c r="E23" s="54"/>
      <c r="F23" s="54"/>
      <c r="G23" s="54"/>
      <c r="H23" s="54"/>
      <c r="L23" s="46">
        <f>$C23*$D23</f>
        <v>8082.9609611771684</v>
      </c>
      <c r="M23" s="46"/>
      <c r="N23" s="46"/>
      <c r="O23" s="46"/>
      <c r="P23" s="46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spans="2:28" s="23" customFormat="1" ht="14.35" customHeight="1">
      <c r="B24" s="24">
        <v>45382</v>
      </c>
      <c r="C24" s="49">
        <v>40022.236341031778</v>
      </c>
      <c r="D24" s="183">
        <f t="shared" si="24"/>
        <v>0.2</v>
      </c>
      <c r="E24" s="54"/>
      <c r="F24" s="54"/>
      <c r="G24" s="54"/>
      <c r="H24" s="54"/>
      <c r="M24" s="46">
        <f>$C24*$D24</f>
        <v>8004.4472682063561</v>
      </c>
      <c r="N24" s="46"/>
      <c r="O24" s="46"/>
      <c r="P24" s="46"/>
      <c r="Q24" s="46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spans="2:28" s="23" customFormat="1" ht="14.35" customHeight="1">
      <c r="B25" s="24">
        <v>45473</v>
      </c>
      <c r="C25" s="49">
        <v>47397.202909503401</v>
      </c>
      <c r="D25" s="183">
        <f t="shared" si="24"/>
        <v>0.2</v>
      </c>
      <c r="E25" s="54"/>
      <c r="F25" s="54"/>
      <c r="G25" s="54"/>
      <c r="H25" s="54"/>
      <c r="M25" s="46"/>
      <c r="N25" s="46">
        <f>$C25*$D25</f>
        <v>9479.4405819006806</v>
      </c>
      <c r="O25" s="46"/>
      <c r="P25" s="46"/>
      <c r="R25" s="46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spans="2:28" s="23" customFormat="1" ht="14.35" customHeight="1">
      <c r="B26" s="24">
        <v>45565</v>
      </c>
      <c r="C26" s="49">
        <v>53019.373416630842</v>
      </c>
      <c r="D26" s="183">
        <f t="shared" si="24"/>
        <v>0.2</v>
      </c>
      <c r="E26" s="54"/>
      <c r="F26" s="54"/>
      <c r="G26" s="54"/>
      <c r="H26" s="54"/>
      <c r="M26" s="46"/>
      <c r="N26" s="46"/>
      <c r="O26" s="46">
        <f>$C26*$D26</f>
        <v>10603.874683326168</v>
      </c>
      <c r="P26" s="46"/>
      <c r="R26" s="44"/>
      <c r="S26" s="46"/>
      <c r="T26" s="44"/>
      <c r="U26" s="44"/>
      <c r="V26" s="44"/>
      <c r="W26" s="44"/>
      <c r="X26" s="44"/>
      <c r="Y26" s="44"/>
      <c r="Z26" s="44"/>
      <c r="AA26" s="44"/>
      <c r="AB26" s="44"/>
    </row>
    <row r="27" spans="2:28" s="23" customFormat="1" ht="14.35" customHeight="1">
      <c r="B27" s="24">
        <v>45657</v>
      </c>
      <c r="C27" s="49">
        <v>64716.013017757585</v>
      </c>
      <c r="D27" s="183">
        <f t="shared" si="24"/>
        <v>0.2</v>
      </c>
      <c r="E27" s="54"/>
      <c r="F27" s="54"/>
      <c r="G27" s="54"/>
      <c r="H27" s="54"/>
      <c r="M27" s="46"/>
      <c r="N27" s="46"/>
      <c r="O27" s="46"/>
      <c r="P27" s="46">
        <f>$C27*$D27</f>
        <v>12943.202603551517</v>
      </c>
      <c r="R27" s="44"/>
      <c r="S27" s="44"/>
      <c r="T27" s="46"/>
      <c r="U27" s="44"/>
      <c r="V27" s="44"/>
      <c r="W27" s="44"/>
      <c r="X27" s="44"/>
      <c r="Y27" s="44"/>
      <c r="Z27" s="44"/>
      <c r="AA27" s="44"/>
      <c r="AB27" s="44"/>
    </row>
    <row r="28" spans="2:28" s="23" customFormat="1" ht="14.35" customHeight="1">
      <c r="B28" s="24">
        <v>45747</v>
      </c>
      <c r="C28" s="49">
        <v>59033.25845754992</v>
      </c>
      <c r="D28" s="183">
        <f t="shared" si="24"/>
        <v>0.2</v>
      </c>
      <c r="E28" s="54"/>
      <c r="F28" s="54"/>
      <c r="G28" s="54"/>
      <c r="H28" s="54"/>
      <c r="M28" s="46"/>
      <c r="N28" s="46"/>
      <c r="O28" s="46"/>
      <c r="P28" s="46"/>
      <c r="Q28" s="46">
        <f>$C28*$D28</f>
        <v>11806.651691509986</v>
      </c>
      <c r="R28" s="44"/>
      <c r="S28" s="44"/>
      <c r="T28" s="44"/>
      <c r="U28" s="46"/>
      <c r="V28" s="44"/>
      <c r="W28" s="44"/>
      <c r="X28" s="44"/>
      <c r="Y28" s="44"/>
      <c r="Z28" s="44"/>
      <c r="AA28" s="44"/>
      <c r="AB28" s="44"/>
    </row>
    <row r="29" spans="2:28" s="23" customFormat="1" ht="14.35" customHeight="1">
      <c r="B29" s="24">
        <v>45838</v>
      </c>
      <c r="C29" s="49">
        <v>68119.217016508148</v>
      </c>
      <c r="D29" s="183">
        <f t="shared" si="24"/>
        <v>0.2</v>
      </c>
      <c r="E29" s="54"/>
      <c r="F29" s="54"/>
      <c r="G29" s="54"/>
      <c r="H29" s="54"/>
      <c r="M29" s="46"/>
      <c r="N29" s="46"/>
      <c r="O29" s="46"/>
      <c r="P29" s="46"/>
      <c r="R29" s="46">
        <f>$C29*$D29</f>
        <v>13623.843403301631</v>
      </c>
      <c r="S29" s="44"/>
      <c r="T29" s="44"/>
      <c r="U29" s="44"/>
      <c r="V29" s="46"/>
      <c r="W29" s="44"/>
      <c r="X29" s="44"/>
      <c r="Y29" s="44"/>
      <c r="Z29" s="44"/>
      <c r="AA29" s="44"/>
      <c r="AB29" s="44"/>
    </row>
    <row r="30" spans="2:28" s="23" customFormat="1" ht="14.35" customHeight="1">
      <c r="B30" s="24">
        <v>45930</v>
      </c>
      <c r="C30" s="49">
        <v>75606.36879326604</v>
      </c>
      <c r="D30" s="183">
        <f t="shared" si="24"/>
        <v>0.2</v>
      </c>
      <c r="E30" s="54"/>
      <c r="F30" s="54"/>
      <c r="G30" s="54"/>
      <c r="H30" s="54"/>
      <c r="M30" s="46"/>
      <c r="N30" s="46"/>
      <c r="O30" s="46"/>
      <c r="P30" s="46"/>
      <c r="R30" s="44"/>
      <c r="S30" s="46">
        <f>$C30*$D30</f>
        <v>15121.273758653209</v>
      </c>
      <c r="T30" s="44"/>
      <c r="U30" s="44"/>
      <c r="V30" s="44"/>
      <c r="W30" s="46"/>
      <c r="X30" s="44"/>
      <c r="Y30" s="44"/>
      <c r="Z30" s="44"/>
      <c r="AA30" s="44"/>
      <c r="AB30" s="44"/>
    </row>
    <row r="31" spans="2:28" s="23" customFormat="1" ht="14.35" customHeight="1">
      <c r="B31" s="24">
        <v>46022</v>
      </c>
      <c r="C31" s="49">
        <v>89335.837978289928</v>
      </c>
      <c r="D31" s="183">
        <f t="shared" si="24"/>
        <v>0.2</v>
      </c>
      <c r="E31" s="54"/>
      <c r="F31" s="54"/>
      <c r="G31" s="54"/>
      <c r="H31" s="54"/>
      <c r="M31" s="46"/>
      <c r="N31" s="46"/>
      <c r="O31" s="46"/>
      <c r="P31" s="46"/>
      <c r="R31" s="44"/>
      <c r="S31" s="44"/>
      <c r="T31" s="46">
        <f>$C31*$D31</f>
        <v>17867.167595657986</v>
      </c>
      <c r="U31" s="44"/>
      <c r="V31" s="44"/>
      <c r="W31" s="44"/>
      <c r="X31" s="46"/>
      <c r="Y31" s="44"/>
      <c r="Z31" s="44"/>
      <c r="AA31" s="44"/>
      <c r="AB31" s="44"/>
    </row>
    <row r="32" spans="2:28" s="23" customFormat="1" ht="14.35" customHeight="1">
      <c r="B32" s="24">
        <v>46112</v>
      </c>
      <c r="C32" s="49">
        <v>76923.664595536757</v>
      </c>
      <c r="D32" s="183">
        <f t="shared" si="24"/>
        <v>0.2</v>
      </c>
      <c r="E32" s="54"/>
      <c r="F32" s="54"/>
      <c r="G32" s="54"/>
      <c r="H32" s="54"/>
      <c r="M32" s="46"/>
      <c r="N32" s="46"/>
      <c r="O32" s="46"/>
      <c r="P32" s="46"/>
      <c r="R32" s="44"/>
      <c r="S32" s="44"/>
      <c r="T32" s="44"/>
      <c r="U32" s="46">
        <f>$C32*$D32</f>
        <v>15384.732919107351</v>
      </c>
      <c r="V32" s="44"/>
      <c r="W32" s="44"/>
      <c r="X32" s="44"/>
      <c r="Y32" s="46"/>
      <c r="Z32" s="44"/>
      <c r="AA32" s="44"/>
      <c r="AB32" s="44"/>
    </row>
    <row r="33" spans="2:28" s="23" customFormat="1" ht="14.35" customHeight="1">
      <c r="B33" s="24">
        <v>46203</v>
      </c>
      <c r="C33" s="49">
        <v>87083.047522774228</v>
      </c>
      <c r="D33" s="183">
        <f t="shared" si="24"/>
        <v>0.2</v>
      </c>
      <c r="E33" s="54"/>
      <c r="F33" s="54"/>
      <c r="G33" s="54"/>
      <c r="H33" s="54"/>
      <c r="M33" s="46"/>
      <c r="N33" s="46"/>
      <c r="O33" s="46"/>
      <c r="P33" s="46"/>
      <c r="R33" s="44"/>
      <c r="S33" s="44"/>
      <c r="T33" s="44"/>
      <c r="U33" s="44"/>
      <c r="V33" s="46">
        <f>$C33*$D33</f>
        <v>17416.609504554846</v>
      </c>
      <c r="W33" s="44"/>
      <c r="X33" s="44"/>
      <c r="Y33" s="44"/>
      <c r="Z33" s="46"/>
      <c r="AA33" s="44"/>
      <c r="AB33" s="44"/>
    </row>
    <row r="34" spans="2:28" s="23" customFormat="1" ht="14.35" customHeight="1">
      <c r="B34" s="24">
        <v>46295</v>
      </c>
      <c r="C34" s="49">
        <v>95708.029129908071</v>
      </c>
      <c r="D34" s="183">
        <f t="shared" si="24"/>
        <v>0.2</v>
      </c>
      <c r="E34" s="54"/>
      <c r="F34" s="54"/>
      <c r="G34" s="54"/>
      <c r="H34" s="54"/>
      <c r="M34" s="46"/>
      <c r="N34" s="46"/>
      <c r="O34" s="46"/>
      <c r="P34" s="46"/>
      <c r="R34" s="44"/>
      <c r="S34" s="44"/>
      <c r="T34" s="44"/>
      <c r="U34" s="44"/>
      <c r="V34" s="44"/>
      <c r="W34" s="46">
        <f>$C34*$D34</f>
        <v>19141.605825981616</v>
      </c>
      <c r="X34" s="44"/>
      <c r="Y34" s="44"/>
      <c r="Z34" s="44"/>
      <c r="AA34" s="46"/>
      <c r="AB34" s="44"/>
    </row>
    <row r="35" spans="2:28" s="23" customFormat="1" ht="14.35" customHeight="1">
      <c r="B35" s="24">
        <v>46387</v>
      </c>
      <c r="C35" s="49">
        <v>110643.59793513047</v>
      </c>
      <c r="D35" s="183">
        <f t="shared" si="24"/>
        <v>0.2</v>
      </c>
      <c r="E35" s="54"/>
      <c r="F35" s="54"/>
      <c r="G35" s="54"/>
      <c r="H35" s="54"/>
      <c r="M35" s="46"/>
      <c r="N35" s="46"/>
      <c r="O35" s="46"/>
      <c r="P35" s="46"/>
      <c r="R35" s="44"/>
      <c r="S35" s="44"/>
      <c r="T35" s="44"/>
      <c r="U35" s="44"/>
      <c r="V35" s="44"/>
      <c r="W35" s="44"/>
      <c r="X35" s="46">
        <f>$C35*$D35</f>
        <v>22128.719587026095</v>
      </c>
      <c r="Y35" s="44"/>
      <c r="Z35" s="44"/>
      <c r="AA35" s="44"/>
      <c r="AB35" s="46"/>
    </row>
    <row r="36" spans="2:28" s="23" customFormat="1" ht="14.35" customHeight="1">
      <c r="B36" s="24">
        <v>46477</v>
      </c>
      <c r="C36" s="49">
        <v>99509.890149787723</v>
      </c>
      <c r="D36" s="183">
        <f t="shared" si="24"/>
        <v>0.2</v>
      </c>
      <c r="E36" s="54"/>
      <c r="F36" s="54"/>
      <c r="G36" s="54"/>
      <c r="H36" s="54"/>
      <c r="M36" s="46"/>
      <c r="N36" s="46"/>
      <c r="O36" s="46"/>
      <c r="P36" s="46"/>
      <c r="R36" s="44"/>
      <c r="S36" s="44"/>
      <c r="T36" s="44"/>
      <c r="U36" s="44"/>
      <c r="V36" s="44"/>
      <c r="W36" s="44"/>
      <c r="X36" s="44"/>
      <c r="Y36" s="46">
        <f>$C36*$D36</f>
        <v>19901.978029957547</v>
      </c>
      <c r="Z36" s="44"/>
      <c r="AA36" s="44"/>
      <c r="AB36" s="46"/>
    </row>
    <row r="37" spans="2:28" s="23" customFormat="1" ht="14.35" customHeight="1">
      <c r="B37" s="24">
        <v>46568</v>
      </c>
      <c r="C37" s="49">
        <v>111024.44661028025</v>
      </c>
      <c r="D37" s="183">
        <f t="shared" si="24"/>
        <v>0.2</v>
      </c>
      <c r="E37" s="54"/>
      <c r="F37" s="54"/>
      <c r="G37" s="54"/>
      <c r="H37" s="54"/>
      <c r="M37" s="46"/>
      <c r="N37" s="46"/>
      <c r="O37" s="46"/>
      <c r="P37" s="46"/>
      <c r="R37" s="44"/>
      <c r="S37" s="44"/>
      <c r="T37" s="44"/>
      <c r="U37" s="44"/>
      <c r="V37" s="44"/>
      <c r="W37" s="44"/>
      <c r="X37" s="44"/>
      <c r="Y37" s="44"/>
      <c r="Z37" s="46">
        <f>$C37*$D37</f>
        <v>22204.889322056053</v>
      </c>
      <c r="AA37" s="44"/>
      <c r="AB37" s="46"/>
    </row>
    <row r="38" spans="2:28" s="23" customFormat="1" ht="14.35" customHeight="1">
      <c r="B38" s="24">
        <v>46660</v>
      </c>
      <c r="C38" s="49">
        <v>121085.91216266446</v>
      </c>
      <c r="D38" s="183">
        <f t="shared" si="24"/>
        <v>0.2</v>
      </c>
      <c r="E38" s="54"/>
      <c r="F38" s="54"/>
      <c r="G38" s="54"/>
      <c r="H38" s="54"/>
      <c r="M38" s="46"/>
      <c r="N38" s="46"/>
      <c r="O38" s="46"/>
      <c r="P38" s="46"/>
      <c r="R38" s="44"/>
      <c r="S38" s="44"/>
      <c r="T38" s="44"/>
      <c r="U38" s="44"/>
      <c r="V38" s="44"/>
      <c r="W38" s="44"/>
      <c r="X38" s="44"/>
      <c r="Y38" s="44"/>
      <c r="Z38" s="44"/>
      <c r="AA38" s="46">
        <f>$C38*$D38</f>
        <v>24217.182432532893</v>
      </c>
      <c r="AB38" s="46"/>
    </row>
    <row r="39" spans="2:28" s="23" customFormat="1" ht="14.35" customHeight="1">
      <c r="B39" s="24">
        <v>46752</v>
      </c>
      <c r="C39" s="49">
        <v>137544.15394985222</v>
      </c>
      <c r="D39" s="183">
        <f t="shared" si="24"/>
        <v>0.2</v>
      </c>
      <c r="E39" s="54"/>
      <c r="F39" s="54"/>
      <c r="G39" s="54"/>
      <c r="H39" s="54"/>
      <c r="M39" s="46"/>
      <c r="N39" s="46"/>
      <c r="O39" s="46"/>
      <c r="P39" s="46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6">
        <f>$C39*$D39</f>
        <v>27508.830789970445</v>
      </c>
    </row>
    <row r="40" spans="2:28" s="23" customFormat="1" ht="14.35" customHeight="1">
      <c r="B40" s="24"/>
      <c r="C40" s="49"/>
      <c r="D40" s="49"/>
      <c r="E40" s="54"/>
      <c r="F40" s="54"/>
      <c r="G40" s="54"/>
      <c r="H40" s="54"/>
      <c r="M40" s="46"/>
      <c r="N40" s="46"/>
      <c r="O40" s="46"/>
      <c r="P40" s="46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6"/>
    </row>
    <row r="41" spans="2:28" s="23" customFormat="1" ht="14.35" customHeight="1">
      <c r="B41" s="24"/>
      <c r="C41" s="49"/>
      <c r="D41" s="55"/>
      <c r="E41" s="55"/>
      <c r="F41" s="55"/>
      <c r="G41" s="55"/>
      <c r="H41" s="55"/>
      <c r="M41" s="46"/>
      <c r="N41" s="46"/>
      <c r="O41" s="46"/>
      <c r="P41" s="46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6"/>
    </row>
    <row r="42" spans="2:28" s="23" customFormat="1" ht="14.35" customHeight="1">
      <c r="B42" s="52" t="s">
        <v>33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 spans="2:28" s="23" customFormat="1" ht="14.35" customHeight="1">
      <c r="B43" s="53" t="s">
        <v>4</v>
      </c>
      <c r="C43" s="54" t="s">
        <v>173</v>
      </c>
      <c r="D43" s="54" t="s">
        <v>31</v>
      </c>
      <c r="E43" s="54"/>
      <c r="F43" s="54"/>
      <c r="G43" s="54"/>
      <c r="H43" s="5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spans="2:28" s="23" customFormat="1" ht="14.35" customHeight="1">
      <c r="B44" s="24">
        <f t="shared" ref="B44:C59" si="25">+B16</f>
        <v>44651</v>
      </c>
      <c r="C44" s="49">
        <f>+C16</f>
        <v>11732.08000625</v>
      </c>
      <c r="D44" s="50">
        <f>1-D16</f>
        <v>0.8</v>
      </c>
      <c r="E44" s="46">
        <f>$C44*$D44/4</f>
        <v>2346.4160012500001</v>
      </c>
      <c r="F44" s="46">
        <f>$C44*$D44/4</f>
        <v>2346.4160012500001</v>
      </c>
      <c r="G44" s="46">
        <f>$C44*$D44/4</f>
        <v>2346.4160012500001</v>
      </c>
      <c r="H44" s="46">
        <f>$C44*$D44/4</f>
        <v>2346.4160012500001</v>
      </c>
      <c r="I44" s="46"/>
      <c r="J44" s="46"/>
      <c r="K44" s="46"/>
      <c r="L44" s="46"/>
      <c r="M44" s="46"/>
      <c r="N44" s="46"/>
      <c r="O44" s="46"/>
      <c r="P44" s="46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spans="2:28" s="23" customFormat="1" ht="14.35" customHeight="1">
      <c r="B45" s="24">
        <f t="shared" si="25"/>
        <v>44742</v>
      </c>
      <c r="C45" s="49">
        <f t="shared" si="25"/>
        <v>15085.88025</v>
      </c>
      <c r="D45" s="50">
        <f t="shared" ref="D45:D67" si="26">1-D17</f>
        <v>0.8</v>
      </c>
      <c r="E45" s="50"/>
      <c r="F45" s="46">
        <f>$C45*$D45/4</f>
        <v>3017.17605</v>
      </c>
      <c r="G45" s="46">
        <f>$C45*$D45/4</f>
        <v>3017.17605</v>
      </c>
      <c r="H45" s="46">
        <f>$C45*$D45/4</f>
        <v>3017.17605</v>
      </c>
      <c r="I45" s="46">
        <f>$C45*$D45/4</f>
        <v>3017.17605</v>
      </c>
      <c r="J45" s="46"/>
      <c r="K45" s="46"/>
      <c r="L45" s="46"/>
      <c r="M45" s="46"/>
      <c r="N45" s="46"/>
      <c r="O45" s="46"/>
      <c r="P45" s="46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 spans="2:28" s="23" customFormat="1" ht="14.35" customHeight="1">
      <c r="B46" s="24">
        <f t="shared" si="25"/>
        <v>44834</v>
      </c>
      <c r="C46" s="49">
        <f t="shared" si="25"/>
        <v>16109.181449999998</v>
      </c>
      <c r="D46" s="50">
        <f t="shared" si="26"/>
        <v>0.8</v>
      </c>
      <c r="E46" s="50"/>
      <c r="F46" s="50"/>
      <c r="G46" s="46">
        <f>$C46*$D46/4</f>
        <v>3221.8362899999997</v>
      </c>
      <c r="H46" s="46">
        <f>$C46*$D46/4</f>
        <v>3221.8362899999997</v>
      </c>
      <c r="I46" s="46">
        <f>$C46*$D46/4</f>
        <v>3221.8362899999997</v>
      </c>
      <c r="J46" s="46">
        <f>$C46*$D46/4</f>
        <v>3221.8362899999997</v>
      </c>
      <c r="K46" s="46"/>
      <c r="L46" s="46"/>
      <c r="M46" s="46"/>
      <c r="N46" s="46"/>
      <c r="O46" s="46"/>
      <c r="P46" s="46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spans="2:28" s="23" customFormat="1" ht="14.35" customHeight="1">
      <c r="B47" s="24">
        <f t="shared" si="25"/>
        <v>44926</v>
      </c>
      <c r="C47" s="49">
        <f t="shared" si="25"/>
        <v>22545.355156250003</v>
      </c>
      <c r="D47" s="50">
        <f t="shared" si="26"/>
        <v>0.8</v>
      </c>
      <c r="E47" s="50"/>
      <c r="F47" s="50"/>
      <c r="G47" s="50"/>
      <c r="H47" s="46">
        <f>$C47*$D47/4</f>
        <v>4509.0710312500005</v>
      </c>
      <c r="I47" s="46">
        <f>$C47*$D47/4</f>
        <v>4509.0710312500005</v>
      </c>
      <c r="J47" s="46">
        <f>$C47*$D47/4</f>
        <v>4509.0710312500005</v>
      </c>
      <c r="K47" s="46">
        <f>$C47*$D47/4</f>
        <v>4509.0710312500005</v>
      </c>
      <c r="L47" s="46"/>
      <c r="M47" s="46"/>
      <c r="N47" s="46"/>
      <c r="O47" s="46"/>
      <c r="P47" s="46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 spans="2:28" s="23" customFormat="1" ht="14.35" customHeight="1">
      <c r="B48" s="24">
        <f t="shared" si="25"/>
        <v>45016</v>
      </c>
      <c r="C48" s="49">
        <f t="shared" si="25"/>
        <v>23180.280046250002</v>
      </c>
      <c r="D48" s="50">
        <f t="shared" si="26"/>
        <v>0.8</v>
      </c>
      <c r="E48" s="50"/>
      <c r="F48" s="50"/>
      <c r="G48" s="50"/>
      <c r="H48" s="50"/>
      <c r="I48" s="46">
        <f>$C48*$D48/4</f>
        <v>4636.0560092500009</v>
      </c>
      <c r="J48" s="46">
        <f>$C48*$D48/4</f>
        <v>4636.0560092500009</v>
      </c>
      <c r="K48" s="46">
        <f>$C48*$D48/4</f>
        <v>4636.0560092500009</v>
      </c>
      <c r="L48" s="46">
        <f>$C48*$D48/4</f>
        <v>4636.0560092500009</v>
      </c>
      <c r="M48" s="46"/>
      <c r="N48" s="46"/>
      <c r="O48" s="46"/>
      <c r="P48" s="46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2:31" s="23" customFormat="1" ht="14.35" customHeight="1">
      <c r="B49" s="24">
        <f t="shared" si="25"/>
        <v>45107</v>
      </c>
      <c r="C49" s="49">
        <f t="shared" si="25"/>
        <v>28365.792296400003</v>
      </c>
      <c r="D49" s="50">
        <f t="shared" si="26"/>
        <v>0.8</v>
      </c>
      <c r="E49" s="50"/>
      <c r="F49" s="50"/>
      <c r="G49" s="50"/>
      <c r="H49" s="50"/>
      <c r="J49" s="46">
        <f>$C49*$D49/4</f>
        <v>5673.1584592800009</v>
      </c>
      <c r="K49" s="46">
        <f>$C49*$D49/4</f>
        <v>5673.1584592800009</v>
      </c>
      <c r="L49" s="46">
        <f>$C49*$D49/4</f>
        <v>5673.1584592800009</v>
      </c>
      <c r="M49" s="46">
        <f>$C49*$D49/4</f>
        <v>5673.1584592800009</v>
      </c>
      <c r="N49" s="46"/>
      <c r="O49" s="46"/>
      <c r="P49" s="46"/>
      <c r="Q49" s="46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spans="2:31" s="23" customFormat="1" ht="14.35" customHeight="1">
      <c r="B50" s="24">
        <f t="shared" si="25"/>
        <v>45199</v>
      </c>
      <c r="C50" s="49">
        <f t="shared" si="25"/>
        <v>31513.879423823993</v>
      </c>
      <c r="D50" s="50">
        <f t="shared" si="26"/>
        <v>0.8</v>
      </c>
      <c r="E50" s="50"/>
      <c r="F50" s="50"/>
      <c r="G50" s="50"/>
      <c r="H50" s="50"/>
      <c r="K50" s="46">
        <f>$C50*$D50/4</f>
        <v>6302.7758847647992</v>
      </c>
      <c r="L50" s="46">
        <f>$C50*$D50/4</f>
        <v>6302.7758847647992</v>
      </c>
      <c r="M50" s="46">
        <f>$C50*$D50/4</f>
        <v>6302.7758847647992</v>
      </c>
      <c r="N50" s="46">
        <f>$C50*$D50/4</f>
        <v>6302.7758847647992</v>
      </c>
      <c r="O50" s="46"/>
      <c r="P50" s="46"/>
      <c r="Q50" s="46"/>
      <c r="R50" s="46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spans="2:31" s="23" customFormat="1" ht="14.35" customHeight="1">
      <c r="B51" s="24">
        <f t="shared" si="25"/>
        <v>45291</v>
      </c>
      <c r="C51" s="49">
        <f t="shared" si="25"/>
        <v>40414.80480588584</v>
      </c>
      <c r="D51" s="50">
        <f t="shared" si="26"/>
        <v>0.8</v>
      </c>
      <c r="E51" s="50"/>
      <c r="F51" s="50"/>
      <c r="G51" s="50"/>
      <c r="H51" s="50"/>
      <c r="L51" s="46">
        <f>$C51*$D51/4</f>
        <v>8082.9609611771684</v>
      </c>
      <c r="M51" s="46">
        <f>$C51*$D51/4</f>
        <v>8082.9609611771684</v>
      </c>
      <c r="N51" s="46">
        <f>$C51*$D51/4</f>
        <v>8082.9609611771684</v>
      </c>
      <c r="O51" s="46">
        <f>$C51*$D51/4</f>
        <v>8082.9609611771684</v>
      </c>
      <c r="P51" s="46"/>
      <c r="Q51" s="46"/>
      <c r="R51" s="46"/>
      <c r="S51" s="46"/>
      <c r="T51" s="44"/>
      <c r="U51" s="44"/>
      <c r="V51" s="44"/>
      <c r="W51" s="44"/>
      <c r="X51" s="44"/>
      <c r="Y51" s="44"/>
      <c r="Z51" s="44"/>
      <c r="AA51" s="44"/>
      <c r="AB51" s="44"/>
    </row>
    <row r="52" spans="2:31" s="23" customFormat="1" ht="14.35" customHeight="1">
      <c r="B52" s="24">
        <f t="shared" si="25"/>
        <v>45382</v>
      </c>
      <c r="C52" s="49">
        <f t="shared" si="25"/>
        <v>40022.236341031778</v>
      </c>
      <c r="D52" s="50">
        <f t="shared" si="26"/>
        <v>0.8</v>
      </c>
      <c r="E52" s="50"/>
      <c r="F52" s="50"/>
      <c r="G52" s="50"/>
      <c r="H52" s="50"/>
      <c r="M52" s="46">
        <f>$C52*$D52/4</f>
        <v>8004.4472682063561</v>
      </c>
      <c r="N52" s="46">
        <f>$C52*$D52/4</f>
        <v>8004.4472682063561</v>
      </c>
      <c r="O52" s="46">
        <f>$C52*$D52/4</f>
        <v>8004.4472682063561</v>
      </c>
      <c r="P52" s="46">
        <f>$C52*$D52/4</f>
        <v>8004.4472682063561</v>
      </c>
      <c r="Q52" s="46"/>
      <c r="R52" s="46"/>
      <c r="S52" s="46"/>
      <c r="T52" s="46"/>
      <c r="U52" s="44"/>
      <c r="V52" s="44"/>
      <c r="W52" s="44"/>
      <c r="X52" s="44"/>
      <c r="Y52" s="44"/>
      <c r="Z52" s="44"/>
      <c r="AA52" s="44"/>
      <c r="AB52" s="44"/>
    </row>
    <row r="53" spans="2:31" s="23" customFormat="1" ht="14.35" customHeight="1">
      <c r="B53" s="24">
        <f t="shared" si="25"/>
        <v>45473</v>
      </c>
      <c r="C53" s="49">
        <f t="shared" si="25"/>
        <v>47397.202909503401</v>
      </c>
      <c r="D53" s="50">
        <f t="shared" si="26"/>
        <v>0.8</v>
      </c>
      <c r="E53" s="50"/>
      <c r="F53" s="50"/>
      <c r="G53" s="50"/>
      <c r="H53" s="50"/>
      <c r="M53" s="46"/>
      <c r="N53" s="46">
        <f>$C53*$D53/4</f>
        <v>9479.4405819006806</v>
      </c>
      <c r="O53" s="46">
        <f>$C53*$D53/4</f>
        <v>9479.4405819006806</v>
      </c>
      <c r="P53" s="46">
        <f>$C53*$D53/4</f>
        <v>9479.4405819006806</v>
      </c>
      <c r="Q53" s="46">
        <f>$C53*$D53/4</f>
        <v>9479.4405819006806</v>
      </c>
      <c r="R53" s="46"/>
      <c r="S53" s="46"/>
      <c r="T53" s="46"/>
      <c r="U53" s="46"/>
      <c r="V53" s="44"/>
      <c r="W53" s="44"/>
      <c r="X53" s="44"/>
      <c r="Y53" s="44"/>
      <c r="Z53" s="44"/>
      <c r="AA53" s="44"/>
      <c r="AB53" s="44"/>
    </row>
    <row r="54" spans="2:31" s="23" customFormat="1" ht="14.35" customHeight="1">
      <c r="B54" s="24">
        <f t="shared" si="25"/>
        <v>45565</v>
      </c>
      <c r="C54" s="49">
        <f t="shared" si="25"/>
        <v>53019.373416630842</v>
      </c>
      <c r="D54" s="50">
        <f t="shared" si="26"/>
        <v>0.8</v>
      </c>
      <c r="E54" s="50"/>
      <c r="F54" s="50"/>
      <c r="G54" s="50"/>
      <c r="H54" s="50"/>
      <c r="M54" s="46"/>
      <c r="N54" s="46"/>
      <c r="O54" s="46">
        <f>$C54*$D54/4</f>
        <v>10603.874683326168</v>
      </c>
      <c r="P54" s="46">
        <f>$C54*$D54/4</f>
        <v>10603.874683326168</v>
      </c>
      <c r="Q54" s="46">
        <f>$C54*$D54/4</f>
        <v>10603.874683326168</v>
      </c>
      <c r="R54" s="46">
        <f>$C54*$D54/4</f>
        <v>10603.874683326168</v>
      </c>
      <c r="S54" s="46"/>
      <c r="T54" s="46"/>
      <c r="U54" s="46"/>
      <c r="V54" s="46"/>
      <c r="W54" s="44"/>
      <c r="X54" s="44"/>
      <c r="Y54" s="44"/>
      <c r="Z54" s="44"/>
      <c r="AA54" s="44"/>
      <c r="AB54" s="44"/>
    </row>
    <row r="55" spans="2:31" s="23" customFormat="1" ht="14.35" customHeight="1">
      <c r="B55" s="24">
        <f t="shared" si="25"/>
        <v>45657</v>
      </c>
      <c r="C55" s="49">
        <f t="shared" si="25"/>
        <v>64716.013017757585</v>
      </c>
      <c r="D55" s="50">
        <f t="shared" si="26"/>
        <v>0.8</v>
      </c>
      <c r="E55" s="50"/>
      <c r="F55" s="50"/>
      <c r="G55" s="50"/>
      <c r="H55" s="50"/>
      <c r="M55" s="46"/>
      <c r="N55" s="46"/>
      <c r="O55" s="46"/>
      <c r="P55" s="46">
        <f>$C55*$D55/4</f>
        <v>12943.202603551517</v>
      </c>
      <c r="Q55" s="46">
        <f>$C55*$D55/4</f>
        <v>12943.202603551517</v>
      </c>
      <c r="R55" s="46">
        <f>$C55*$D55/4</f>
        <v>12943.202603551517</v>
      </c>
      <c r="S55" s="46">
        <f>$C55*$D55/4</f>
        <v>12943.202603551517</v>
      </c>
      <c r="T55" s="46"/>
      <c r="U55" s="46"/>
      <c r="V55" s="46"/>
      <c r="W55" s="46"/>
      <c r="X55" s="44"/>
      <c r="Y55" s="44"/>
      <c r="Z55" s="44"/>
      <c r="AA55" s="44"/>
      <c r="AB55" s="44"/>
    </row>
    <row r="56" spans="2:31" s="23" customFormat="1" ht="14.35" customHeight="1">
      <c r="B56" s="24">
        <f t="shared" si="25"/>
        <v>45747</v>
      </c>
      <c r="C56" s="49">
        <f t="shared" si="25"/>
        <v>59033.25845754992</v>
      </c>
      <c r="D56" s="50">
        <f t="shared" si="26"/>
        <v>0.8</v>
      </c>
      <c r="E56" s="50"/>
      <c r="F56" s="50"/>
      <c r="G56" s="50"/>
      <c r="H56" s="50"/>
      <c r="M56" s="46"/>
      <c r="N56" s="46"/>
      <c r="O56" s="46"/>
      <c r="P56" s="46"/>
      <c r="Q56" s="46">
        <f>$C56*$D56/4</f>
        <v>11806.651691509986</v>
      </c>
      <c r="R56" s="46">
        <f>$C56*$D56/4</f>
        <v>11806.651691509986</v>
      </c>
      <c r="S56" s="46">
        <f>$C56*$D56/4</f>
        <v>11806.651691509986</v>
      </c>
      <c r="T56" s="46">
        <f>$C56*$D56/4</f>
        <v>11806.651691509986</v>
      </c>
      <c r="U56" s="46"/>
      <c r="V56" s="46"/>
      <c r="W56" s="46"/>
      <c r="X56" s="46"/>
      <c r="Y56" s="44"/>
      <c r="Z56" s="44"/>
      <c r="AA56" s="44"/>
      <c r="AB56" s="44"/>
    </row>
    <row r="57" spans="2:31" s="23" customFormat="1" ht="14.35" customHeight="1">
      <c r="B57" s="24">
        <f t="shared" si="25"/>
        <v>45838</v>
      </c>
      <c r="C57" s="49">
        <f t="shared" si="25"/>
        <v>68119.217016508148</v>
      </c>
      <c r="D57" s="50">
        <f t="shared" si="26"/>
        <v>0.8</v>
      </c>
      <c r="E57" s="50"/>
      <c r="F57" s="50"/>
      <c r="G57" s="50"/>
      <c r="H57" s="50"/>
      <c r="M57" s="46"/>
      <c r="N57" s="46"/>
      <c r="O57" s="46"/>
      <c r="P57" s="46"/>
      <c r="R57" s="46">
        <f>$C57*$D57/4</f>
        <v>13623.843403301631</v>
      </c>
      <c r="S57" s="46">
        <f>$C57*$D57/4</f>
        <v>13623.843403301631</v>
      </c>
      <c r="T57" s="46">
        <f>$C57*$D57/4</f>
        <v>13623.843403301631</v>
      </c>
      <c r="U57" s="46">
        <f>$C57*$D57/4</f>
        <v>13623.843403301631</v>
      </c>
      <c r="V57" s="46"/>
      <c r="W57" s="46"/>
      <c r="X57" s="46"/>
      <c r="Y57" s="46"/>
      <c r="Z57" s="44"/>
      <c r="AA57" s="44"/>
      <c r="AB57" s="44"/>
    </row>
    <row r="58" spans="2:31" s="23" customFormat="1" ht="14.35" customHeight="1">
      <c r="B58" s="24">
        <f t="shared" si="25"/>
        <v>45930</v>
      </c>
      <c r="C58" s="49">
        <f t="shared" si="25"/>
        <v>75606.36879326604</v>
      </c>
      <c r="D58" s="50">
        <f t="shared" si="26"/>
        <v>0.8</v>
      </c>
      <c r="E58" s="50"/>
      <c r="F58" s="50"/>
      <c r="G58" s="50"/>
      <c r="H58" s="50"/>
      <c r="M58" s="46"/>
      <c r="N58" s="46"/>
      <c r="O58" s="46"/>
      <c r="P58" s="46"/>
      <c r="R58" s="44"/>
      <c r="S58" s="46">
        <f>$C58*$D58/4</f>
        <v>15121.273758653209</v>
      </c>
      <c r="T58" s="46">
        <f>$C58*$D58/4</f>
        <v>15121.273758653209</v>
      </c>
      <c r="U58" s="46">
        <f>$C58*$D58/4</f>
        <v>15121.273758653209</v>
      </c>
      <c r="V58" s="46">
        <f>$C58*$D58/4</f>
        <v>15121.273758653209</v>
      </c>
      <c r="W58" s="46"/>
      <c r="X58" s="46"/>
      <c r="Y58" s="46"/>
      <c r="Z58" s="46"/>
      <c r="AA58" s="44"/>
      <c r="AB58" s="44"/>
    </row>
    <row r="59" spans="2:31" s="23" customFormat="1" ht="14.35" customHeight="1">
      <c r="B59" s="24">
        <f t="shared" si="25"/>
        <v>46022</v>
      </c>
      <c r="C59" s="49">
        <f t="shared" si="25"/>
        <v>89335.837978289928</v>
      </c>
      <c r="D59" s="50">
        <f t="shared" si="26"/>
        <v>0.8</v>
      </c>
      <c r="E59" s="50"/>
      <c r="F59" s="50"/>
      <c r="G59" s="50"/>
      <c r="H59" s="50"/>
      <c r="M59" s="46"/>
      <c r="N59" s="46"/>
      <c r="O59" s="46"/>
      <c r="P59" s="46"/>
      <c r="R59" s="44"/>
      <c r="S59" s="44"/>
      <c r="T59" s="46">
        <f>$C59*$D59/4</f>
        <v>17867.167595657986</v>
      </c>
      <c r="U59" s="46">
        <f>$C59*$D59/4</f>
        <v>17867.167595657986</v>
      </c>
      <c r="V59" s="46">
        <f>$C59*$D59/4</f>
        <v>17867.167595657986</v>
      </c>
      <c r="W59" s="46">
        <f>$C59*$D59/4</f>
        <v>17867.167595657986</v>
      </c>
      <c r="X59" s="46"/>
      <c r="Y59" s="46"/>
      <c r="Z59" s="46"/>
      <c r="AA59" s="46"/>
      <c r="AB59" s="44"/>
    </row>
    <row r="60" spans="2:31" s="23" customFormat="1" ht="14.35" customHeight="1">
      <c r="B60" s="24">
        <f t="shared" ref="B60:C67" si="27">+B32</f>
        <v>46112</v>
      </c>
      <c r="C60" s="49">
        <f t="shared" si="27"/>
        <v>76923.664595536757</v>
      </c>
      <c r="D60" s="50">
        <f t="shared" si="26"/>
        <v>0.8</v>
      </c>
      <c r="E60" s="50"/>
      <c r="F60" s="50"/>
      <c r="G60" s="50"/>
      <c r="H60" s="50"/>
      <c r="M60" s="46"/>
      <c r="N60" s="46"/>
      <c r="O60" s="46"/>
      <c r="P60" s="46"/>
      <c r="R60" s="44"/>
      <c r="S60" s="44"/>
      <c r="T60" s="44"/>
      <c r="U60" s="46">
        <f>$C60*$D60/4</f>
        <v>15384.732919107351</v>
      </c>
      <c r="V60" s="46">
        <f>$C60*$D60/4</f>
        <v>15384.732919107351</v>
      </c>
      <c r="W60" s="46">
        <f>$C60*$D60/4</f>
        <v>15384.732919107351</v>
      </c>
      <c r="X60" s="46">
        <f>$C60*$D60/4</f>
        <v>15384.732919107351</v>
      </c>
      <c r="Y60" s="46"/>
      <c r="Z60" s="46"/>
      <c r="AA60" s="46"/>
      <c r="AB60" s="46"/>
    </row>
    <row r="61" spans="2:31" s="23" customFormat="1" ht="14.35" customHeight="1">
      <c r="B61" s="24">
        <f t="shared" si="27"/>
        <v>46203</v>
      </c>
      <c r="C61" s="49">
        <f t="shared" si="27"/>
        <v>87083.047522774228</v>
      </c>
      <c r="D61" s="50">
        <f t="shared" si="26"/>
        <v>0.8</v>
      </c>
      <c r="E61" s="50"/>
      <c r="F61" s="50"/>
      <c r="G61" s="50"/>
      <c r="H61" s="50"/>
      <c r="M61" s="46"/>
      <c r="N61" s="46"/>
      <c r="O61" s="46"/>
      <c r="P61" s="46"/>
      <c r="R61" s="44"/>
      <c r="S61" s="44"/>
      <c r="T61" s="44"/>
      <c r="U61" s="44"/>
      <c r="V61" s="46">
        <f>$C61*$D61/4</f>
        <v>17416.609504554846</v>
      </c>
      <c r="W61" s="46">
        <f>$C61*$D61/4</f>
        <v>17416.609504554846</v>
      </c>
      <c r="X61" s="46">
        <f>$C61*$D61/4</f>
        <v>17416.609504554846</v>
      </c>
      <c r="Y61" s="46">
        <f>$C61*$D61/4</f>
        <v>17416.609504554846</v>
      </c>
      <c r="Z61" s="46"/>
      <c r="AA61" s="46"/>
      <c r="AB61" s="46"/>
      <c r="AC61" s="46"/>
    </row>
    <row r="62" spans="2:31" s="23" customFormat="1" ht="14.35" customHeight="1">
      <c r="B62" s="24">
        <f t="shared" si="27"/>
        <v>46295</v>
      </c>
      <c r="C62" s="49">
        <f t="shared" si="27"/>
        <v>95708.029129908071</v>
      </c>
      <c r="D62" s="50">
        <f t="shared" si="26"/>
        <v>0.8</v>
      </c>
      <c r="E62" s="50"/>
      <c r="F62" s="50"/>
      <c r="G62" s="50"/>
      <c r="H62" s="50"/>
      <c r="M62" s="46"/>
      <c r="N62" s="46"/>
      <c r="O62" s="46"/>
      <c r="P62" s="46"/>
      <c r="R62" s="44"/>
      <c r="S62" s="44"/>
      <c r="T62" s="44"/>
      <c r="U62" s="44"/>
      <c r="V62" s="44"/>
      <c r="W62" s="46">
        <f>$C62*$D62/4</f>
        <v>19141.605825981616</v>
      </c>
      <c r="X62" s="46">
        <f>$C62*$D62/4</f>
        <v>19141.605825981616</v>
      </c>
      <c r="Y62" s="46">
        <f>$C62*$D62/4</f>
        <v>19141.605825981616</v>
      </c>
      <c r="Z62" s="46">
        <f>$C62*$D62/4</f>
        <v>19141.605825981616</v>
      </c>
      <c r="AA62" s="46"/>
      <c r="AB62" s="46"/>
      <c r="AC62" s="46"/>
      <c r="AD62" s="46"/>
    </row>
    <row r="63" spans="2:31" s="23" customFormat="1" ht="14.35" customHeight="1">
      <c r="B63" s="24">
        <f t="shared" si="27"/>
        <v>46387</v>
      </c>
      <c r="C63" s="49">
        <f t="shared" si="27"/>
        <v>110643.59793513047</v>
      </c>
      <c r="D63" s="50">
        <f t="shared" si="26"/>
        <v>0.8</v>
      </c>
      <c r="E63" s="50"/>
      <c r="F63" s="50"/>
      <c r="G63" s="50"/>
      <c r="H63" s="50"/>
      <c r="M63" s="46"/>
      <c r="N63" s="46"/>
      <c r="O63" s="46"/>
      <c r="P63" s="46"/>
      <c r="R63" s="44"/>
      <c r="S63" s="44"/>
      <c r="T63" s="44"/>
      <c r="U63" s="44"/>
      <c r="V63" s="44"/>
      <c r="W63" s="44"/>
      <c r="X63" s="46">
        <f>$C63*$D63/4</f>
        <v>22128.719587026095</v>
      </c>
      <c r="Y63" s="46">
        <f>$C63*$D63/4</f>
        <v>22128.719587026095</v>
      </c>
      <c r="Z63" s="46">
        <f>$C63*$D63/4</f>
        <v>22128.719587026095</v>
      </c>
      <c r="AA63" s="46">
        <f>$C63*$D63/4</f>
        <v>22128.719587026095</v>
      </c>
      <c r="AB63" s="46"/>
      <c r="AC63" s="46"/>
      <c r="AD63" s="46"/>
      <c r="AE63" s="46"/>
    </row>
    <row r="64" spans="2:31" s="23" customFormat="1" ht="14.35" customHeight="1">
      <c r="B64" s="24">
        <f t="shared" si="27"/>
        <v>46477</v>
      </c>
      <c r="C64" s="49">
        <f t="shared" si="27"/>
        <v>99509.890149787723</v>
      </c>
      <c r="D64" s="50">
        <f t="shared" si="26"/>
        <v>0.8</v>
      </c>
      <c r="E64" s="50"/>
      <c r="F64" s="50"/>
      <c r="G64" s="50"/>
      <c r="H64" s="50"/>
      <c r="M64" s="46"/>
      <c r="N64" s="46"/>
      <c r="O64" s="46"/>
      <c r="P64" s="46"/>
      <c r="R64" s="44"/>
      <c r="S64" s="44"/>
      <c r="T64" s="44"/>
      <c r="U64" s="44"/>
      <c r="V64" s="44"/>
      <c r="W64" s="44"/>
      <c r="X64" s="44"/>
      <c r="Y64" s="46">
        <f>$C64*$D64/4</f>
        <v>19901.978029957547</v>
      </c>
      <c r="Z64" s="46">
        <f>$C64*$D64/4</f>
        <v>19901.978029957547</v>
      </c>
      <c r="AA64" s="46">
        <f>$C64*$D64/4</f>
        <v>19901.978029957547</v>
      </c>
      <c r="AB64" s="46">
        <f>$C64*$D64/4</f>
        <v>19901.978029957547</v>
      </c>
      <c r="AC64" s="46"/>
      <c r="AD64" s="46"/>
      <c r="AE64" s="46"/>
    </row>
    <row r="65" spans="2:32" s="23" customFormat="1" ht="14.35" customHeight="1">
      <c r="B65" s="24">
        <f t="shared" si="27"/>
        <v>46568</v>
      </c>
      <c r="C65" s="49">
        <f t="shared" si="27"/>
        <v>111024.44661028025</v>
      </c>
      <c r="D65" s="50">
        <f t="shared" si="26"/>
        <v>0.8</v>
      </c>
      <c r="E65" s="50"/>
      <c r="F65" s="50"/>
      <c r="G65" s="50"/>
      <c r="H65" s="50"/>
      <c r="M65" s="46"/>
      <c r="N65" s="46"/>
      <c r="O65" s="46"/>
      <c r="P65" s="46"/>
      <c r="R65" s="44"/>
      <c r="S65" s="44"/>
      <c r="T65" s="44"/>
      <c r="U65" s="44"/>
      <c r="V65" s="44"/>
      <c r="W65" s="44"/>
      <c r="X65" s="44"/>
      <c r="Y65" s="44"/>
      <c r="Z65" s="46">
        <f>$C65*$D65/4</f>
        <v>22204.889322056053</v>
      </c>
      <c r="AA65" s="46">
        <f>$C65*$D65/4</f>
        <v>22204.889322056053</v>
      </c>
      <c r="AB65" s="46">
        <f>$C65*$D65/4</f>
        <v>22204.889322056053</v>
      </c>
      <c r="AC65" s="46"/>
      <c r="AD65" s="46"/>
      <c r="AE65" s="46"/>
    </row>
    <row r="66" spans="2:32" s="23" customFormat="1" ht="14.35" customHeight="1">
      <c r="B66" s="24">
        <f t="shared" si="27"/>
        <v>46660</v>
      </c>
      <c r="C66" s="49">
        <f t="shared" si="27"/>
        <v>121085.91216266446</v>
      </c>
      <c r="D66" s="50">
        <f t="shared" si="26"/>
        <v>0.8</v>
      </c>
      <c r="E66" s="50"/>
      <c r="F66" s="50"/>
      <c r="G66" s="50"/>
      <c r="H66" s="50"/>
      <c r="M66" s="46"/>
      <c r="N66" s="46"/>
      <c r="O66" s="46"/>
      <c r="P66" s="46"/>
      <c r="R66" s="44"/>
      <c r="S66" s="44"/>
      <c r="T66" s="44"/>
      <c r="U66" s="44"/>
      <c r="V66" s="44"/>
      <c r="W66" s="44"/>
      <c r="X66" s="44"/>
      <c r="Y66" s="44"/>
      <c r="Z66" s="44"/>
      <c r="AA66" s="46">
        <f>$C66*$D66/4</f>
        <v>24217.182432532893</v>
      </c>
      <c r="AB66" s="46">
        <f>$C66*$D66/4</f>
        <v>24217.182432532893</v>
      </c>
      <c r="AC66" s="46"/>
      <c r="AD66" s="46"/>
      <c r="AE66" s="46"/>
    </row>
    <row r="67" spans="2:32" s="23" customFormat="1" ht="14.35" customHeight="1">
      <c r="B67" s="24">
        <f t="shared" si="27"/>
        <v>46752</v>
      </c>
      <c r="C67" s="49">
        <f t="shared" si="27"/>
        <v>137544.15394985222</v>
      </c>
      <c r="D67" s="50">
        <f t="shared" si="26"/>
        <v>0.8</v>
      </c>
      <c r="E67" s="50"/>
      <c r="F67" s="50"/>
      <c r="G67" s="50"/>
      <c r="H67" s="50"/>
      <c r="M67" s="46"/>
      <c r="N67" s="46"/>
      <c r="O67" s="46"/>
      <c r="P67" s="46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6">
        <f>$C67*$D67/4</f>
        <v>27508.830789970445</v>
      </c>
      <c r="AC67" s="46"/>
      <c r="AD67" s="46"/>
      <c r="AE67" s="46"/>
    </row>
    <row r="68" spans="2:32" s="23" customFormat="1" ht="14.35" customHeight="1">
      <c r="C68" s="45"/>
      <c r="D68" s="47"/>
      <c r="E68" s="47"/>
      <c r="F68" s="47"/>
      <c r="G68" s="47"/>
      <c r="H68" s="47"/>
      <c r="M68" s="46"/>
      <c r="N68" s="46"/>
      <c r="O68" s="46"/>
      <c r="P68" s="46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6"/>
      <c r="AD68" s="46"/>
      <c r="AE68" s="46"/>
      <c r="AF68" s="46"/>
    </row>
    <row r="69" spans="2:32" s="23" customFormat="1" ht="14.35" customHeight="1" thickBot="1">
      <c r="B69" s="56" t="s">
        <v>30</v>
      </c>
      <c r="C69" s="57"/>
      <c r="D69" s="56"/>
      <c r="E69" s="56">
        <f>SUM(E16:E68)</f>
        <v>4692.8320025000003</v>
      </c>
      <c r="F69" s="56">
        <f t="shared" ref="F69:AB69" si="28">SUM(F16:F68)</f>
        <v>8380.7681012499997</v>
      </c>
      <c r="G69" s="56">
        <f t="shared" si="28"/>
        <v>11807.26463125</v>
      </c>
      <c r="H69" s="56">
        <f t="shared" si="28"/>
        <v>17603.57040375</v>
      </c>
      <c r="I69" s="56">
        <f t="shared" si="28"/>
        <v>20020.195389750003</v>
      </c>
      <c r="J69" s="56">
        <f t="shared" si="28"/>
        <v>23713.280249060001</v>
      </c>
      <c r="K69" s="56">
        <f t="shared" si="28"/>
        <v>27423.837269309603</v>
      </c>
      <c r="L69" s="56">
        <f t="shared" si="28"/>
        <v>32777.912275649134</v>
      </c>
      <c r="M69" s="56">
        <f t="shared" si="28"/>
        <v>36067.78984163468</v>
      </c>
      <c r="N69" s="56">
        <f t="shared" si="28"/>
        <v>41349.065277949681</v>
      </c>
      <c r="O69" s="56">
        <f t="shared" si="28"/>
        <v>46774.598177936539</v>
      </c>
      <c r="P69" s="56">
        <f t="shared" si="28"/>
        <v>53974.167740536235</v>
      </c>
      <c r="Q69" s="56">
        <f t="shared" si="28"/>
        <v>56639.821251798334</v>
      </c>
      <c r="R69" s="56">
        <f t="shared" si="28"/>
        <v>62601.415784990932</v>
      </c>
      <c r="S69" s="56">
        <f t="shared" si="28"/>
        <v>68616.245215669551</v>
      </c>
      <c r="T69" s="56">
        <f t="shared" si="28"/>
        <v>76286.104044780805</v>
      </c>
      <c r="U69" s="56">
        <f t="shared" si="28"/>
        <v>77381.750595827529</v>
      </c>
      <c r="V69" s="56">
        <f t="shared" si="28"/>
        <v>83206.393282528239</v>
      </c>
      <c r="W69" s="56">
        <f t="shared" si="28"/>
        <v>88951.72167128342</v>
      </c>
      <c r="X69" s="56">
        <f t="shared" si="28"/>
        <v>96200.387423695996</v>
      </c>
      <c r="Y69" s="56">
        <f t="shared" si="28"/>
        <v>98490.890977477655</v>
      </c>
      <c r="Z69" s="56">
        <f t="shared" si="28"/>
        <v>105582.08208707738</v>
      </c>
      <c r="AA69" s="56">
        <f t="shared" si="28"/>
        <v>112669.95180410548</v>
      </c>
      <c r="AB69" s="56">
        <f t="shared" si="28"/>
        <v>121341.71136448739</v>
      </c>
    </row>
    <row r="70" spans="2:32" ht="14.35" customHeight="1" thickTop="1"/>
    <row r="71" spans="2:32" ht="14.35" customHeight="1"/>
    <row r="72" spans="2:32" ht="14.35" customHeight="1">
      <c r="B72" s="52" t="s">
        <v>34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spans="2:32" s="23" customFormat="1" ht="14.35" customHeight="1">
      <c r="B73" s="53" t="s">
        <v>4</v>
      </c>
      <c r="C73" s="54" t="s">
        <v>212</v>
      </c>
      <c r="D73" s="54" t="s">
        <v>31</v>
      </c>
      <c r="E73" s="54"/>
      <c r="F73" s="54"/>
      <c r="G73" s="54"/>
      <c r="H73" s="5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spans="2:32" ht="14.35" customHeight="1">
      <c r="B74" s="24">
        <f t="shared" ref="B74:B97" si="29">+B44</f>
        <v>44651</v>
      </c>
      <c r="C74" s="49" cm="1">
        <f t="array" ref="C74:C97">TRANSPOSE(E69:AB69)</f>
        <v>4692.8320025000003</v>
      </c>
      <c r="D74" s="58">
        <v>0.5</v>
      </c>
      <c r="E74" s="46">
        <f>+$C74*$D74</f>
        <v>2346.4160012500001</v>
      </c>
      <c r="F74" s="54"/>
      <c r="G74" s="54"/>
      <c r="H74" s="54"/>
      <c r="I74" s="46"/>
      <c r="J74" s="46"/>
      <c r="K74" s="46"/>
      <c r="L74" s="46"/>
      <c r="M74" s="46"/>
      <c r="N74" s="46"/>
      <c r="O74" s="46"/>
      <c r="P74" s="46"/>
      <c r="Q74" s="23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spans="2:32" ht="14.35" customHeight="1">
      <c r="B75" s="24">
        <f t="shared" si="29"/>
        <v>44742</v>
      </c>
      <c r="C75" s="49">
        <v>8380.7681012499997</v>
      </c>
      <c r="D75" s="183">
        <f>+D74</f>
        <v>0.5</v>
      </c>
      <c r="E75" s="54"/>
      <c r="F75" s="46">
        <f>+$C75*$D75</f>
        <v>4190.3840506249999</v>
      </c>
      <c r="G75" s="54"/>
      <c r="H75" s="54"/>
      <c r="I75" s="23"/>
      <c r="J75" s="46"/>
      <c r="K75" s="46"/>
      <c r="L75" s="46"/>
      <c r="M75" s="46"/>
      <c r="N75" s="46"/>
      <c r="O75" s="46"/>
      <c r="P75" s="46"/>
      <c r="Q75" s="23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spans="2:32" ht="14.35" customHeight="1">
      <c r="B76" s="24">
        <f t="shared" si="29"/>
        <v>44834</v>
      </c>
      <c r="C76" s="49">
        <v>11807.26463125</v>
      </c>
      <c r="D76" s="183">
        <f t="shared" ref="D76:D97" si="30">+D75</f>
        <v>0.5</v>
      </c>
      <c r="E76" s="54"/>
      <c r="F76" s="54"/>
      <c r="G76" s="46">
        <f>+$C76*$D76</f>
        <v>5903.632315625</v>
      </c>
      <c r="H76" s="54"/>
      <c r="I76" s="23"/>
      <c r="J76" s="23"/>
      <c r="K76" s="46"/>
      <c r="L76" s="46"/>
      <c r="M76" s="46"/>
      <c r="N76" s="46"/>
      <c r="O76" s="46"/>
      <c r="P76" s="46"/>
      <c r="Q76" s="23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spans="2:32" ht="14.35" customHeight="1">
      <c r="B77" s="24">
        <f t="shared" si="29"/>
        <v>44926</v>
      </c>
      <c r="C77" s="49">
        <v>17603.57040375</v>
      </c>
      <c r="D77" s="183">
        <f t="shared" si="30"/>
        <v>0.5</v>
      </c>
      <c r="E77" s="54"/>
      <c r="F77" s="54"/>
      <c r="G77" s="54"/>
      <c r="H77" s="46">
        <f>+$C77*$D77</f>
        <v>8801.785201875</v>
      </c>
      <c r="I77" s="23"/>
      <c r="J77" s="23"/>
      <c r="K77" s="23"/>
      <c r="L77" s="46"/>
      <c r="M77" s="46"/>
      <c r="N77" s="46"/>
      <c r="O77" s="46"/>
      <c r="P77" s="46"/>
      <c r="Q77" s="23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 spans="2:32" ht="14.35" customHeight="1">
      <c r="B78" s="24">
        <f t="shared" si="29"/>
        <v>45016</v>
      </c>
      <c r="C78" s="49">
        <v>20020.195389750003</v>
      </c>
      <c r="D78" s="183">
        <f t="shared" si="30"/>
        <v>0.5</v>
      </c>
      <c r="E78" s="54"/>
      <c r="F78" s="54"/>
      <c r="G78" s="54"/>
      <c r="H78" s="54"/>
      <c r="I78" s="46">
        <f>+$C78*$D78</f>
        <v>10010.097694875001</v>
      </c>
      <c r="J78" s="23"/>
      <c r="K78" s="23"/>
      <c r="L78" s="23"/>
      <c r="M78" s="46"/>
      <c r="N78" s="46"/>
      <c r="O78" s="46"/>
      <c r="P78" s="46"/>
      <c r="Q78" s="46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 spans="2:32" ht="14.35" customHeight="1">
      <c r="B79" s="24">
        <f t="shared" si="29"/>
        <v>45107</v>
      </c>
      <c r="C79" s="49">
        <v>23713.280249060001</v>
      </c>
      <c r="D79" s="183">
        <f t="shared" si="30"/>
        <v>0.5</v>
      </c>
      <c r="E79" s="54"/>
      <c r="F79" s="54"/>
      <c r="G79" s="54"/>
      <c r="H79" s="54"/>
      <c r="I79" s="23"/>
      <c r="J79" s="46">
        <f>+$C79*$D79</f>
        <v>11856.64012453</v>
      </c>
      <c r="K79" s="23"/>
      <c r="L79" s="23"/>
      <c r="M79" s="46"/>
      <c r="N79" s="46"/>
      <c r="O79" s="46"/>
      <c r="P79" s="46"/>
      <c r="Q79" s="46"/>
      <c r="R79" s="46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 spans="2:32" ht="14.35" customHeight="1">
      <c r="B80" s="24">
        <f t="shared" si="29"/>
        <v>45199</v>
      </c>
      <c r="C80" s="49">
        <v>27423.837269309603</v>
      </c>
      <c r="D80" s="183">
        <f t="shared" si="30"/>
        <v>0.5</v>
      </c>
      <c r="E80" s="54"/>
      <c r="F80" s="54"/>
      <c r="G80" s="54"/>
      <c r="H80" s="54"/>
      <c r="I80" s="23"/>
      <c r="J80" s="23"/>
      <c r="K80" s="46">
        <f>+$C80*$D80</f>
        <v>13711.918634654801</v>
      </c>
      <c r="L80" s="23"/>
      <c r="M80" s="46"/>
      <c r="N80" s="46"/>
      <c r="O80" s="46"/>
      <c r="P80" s="46"/>
      <c r="Q80" s="46"/>
      <c r="R80" s="46"/>
      <c r="S80" s="46"/>
      <c r="T80" s="44"/>
      <c r="U80" s="44"/>
      <c r="V80" s="44"/>
      <c r="W80" s="44"/>
      <c r="X80" s="44"/>
      <c r="Y80" s="44"/>
      <c r="Z80" s="44"/>
      <c r="AA80" s="44"/>
      <c r="AB80" s="44"/>
    </row>
    <row r="81" spans="2:32" ht="14.35" customHeight="1">
      <c r="B81" s="24">
        <f t="shared" si="29"/>
        <v>45291</v>
      </c>
      <c r="C81" s="49">
        <v>32777.912275649134</v>
      </c>
      <c r="D81" s="183">
        <f t="shared" si="30"/>
        <v>0.5</v>
      </c>
      <c r="E81" s="54"/>
      <c r="F81" s="54"/>
      <c r="G81" s="54"/>
      <c r="H81" s="54"/>
      <c r="I81" s="23"/>
      <c r="J81" s="23"/>
      <c r="K81" s="23"/>
      <c r="L81" s="46">
        <f>+$C81*$D81</f>
        <v>16388.956137824567</v>
      </c>
      <c r="M81" s="46"/>
      <c r="N81" s="46"/>
      <c r="O81" s="46"/>
      <c r="P81" s="46"/>
      <c r="Q81" s="46"/>
      <c r="R81" s="46"/>
      <c r="S81" s="46"/>
      <c r="T81" s="46"/>
      <c r="U81" s="44"/>
      <c r="V81" s="44"/>
      <c r="W81" s="44"/>
      <c r="X81" s="44"/>
      <c r="Y81" s="44"/>
      <c r="Z81" s="44"/>
      <c r="AA81" s="44"/>
      <c r="AB81" s="44"/>
    </row>
    <row r="82" spans="2:32" ht="14.35" customHeight="1">
      <c r="B82" s="24">
        <f t="shared" si="29"/>
        <v>45382</v>
      </c>
      <c r="C82" s="49">
        <v>36067.78984163468</v>
      </c>
      <c r="D82" s="183">
        <f t="shared" si="30"/>
        <v>0.5</v>
      </c>
      <c r="E82" s="54"/>
      <c r="F82" s="54"/>
      <c r="G82" s="54"/>
      <c r="H82" s="54"/>
      <c r="I82" s="23"/>
      <c r="J82" s="23"/>
      <c r="K82" s="23"/>
      <c r="L82" s="23"/>
      <c r="M82" s="46">
        <f>+$C82*$D82</f>
        <v>18033.89492081734</v>
      </c>
      <c r="N82" s="46"/>
      <c r="O82" s="46"/>
      <c r="P82" s="46"/>
      <c r="Q82" s="46"/>
      <c r="R82" s="46"/>
      <c r="S82" s="46"/>
      <c r="T82" s="46"/>
      <c r="U82" s="46"/>
      <c r="V82" s="44"/>
      <c r="W82" s="44"/>
      <c r="X82" s="44"/>
      <c r="Y82" s="44"/>
      <c r="Z82" s="44"/>
      <c r="AA82" s="44"/>
      <c r="AB82" s="44"/>
    </row>
    <row r="83" spans="2:32" ht="14.35" customHeight="1">
      <c r="B83" s="24">
        <f t="shared" si="29"/>
        <v>45473</v>
      </c>
      <c r="C83" s="49">
        <v>41349.065277949681</v>
      </c>
      <c r="D83" s="183">
        <f t="shared" si="30"/>
        <v>0.5</v>
      </c>
      <c r="E83" s="54"/>
      <c r="F83" s="54"/>
      <c r="G83" s="54"/>
      <c r="H83" s="54"/>
      <c r="I83" s="23"/>
      <c r="J83" s="23"/>
      <c r="K83" s="23"/>
      <c r="L83" s="23"/>
      <c r="M83" s="46"/>
      <c r="N83" s="46">
        <f>+$C83*$D83</f>
        <v>20674.532638974841</v>
      </c>
      <c r="O83" s="46"/>
      <c r="P83" s="46"/>
      <c r="Q83" s="23"/>
      <c r="R83" s="46"/>
      <c r="S83" s="46"/>
      <c r="T83" s="46"/>
      <c r="U83" s="46"/>
      <c r="V83" s="46"/>
      <c r="W83" s="44"/>
      <c r="X83" s="44"/>
      <c r="Y83" s="44"/>
      <c r="Z83" s="44"/>
      <c r="AA83" s="44"/>
      <c r="AB83" s="44"/>
    </row>
    <row r="84" spans="2:32" ht="14.35" customHeight="1">
      <c r="B84" s="24">
        <f t="shared" si="29"/>
        <v>45565</v>
      </c>
      <c r="C84" s="49">
        <v>46774.598177936539</v>
      </c>
      <c r="D84" s="183">
        <f t="shared" si="30"/>
        <v>0.5</v>
      </c>
      <c r="E84" s="54"/>
      <c r="F84" s="54"/>
      <c r="G84" s="54"/>
      <c r="H84" s="54"/>
      <c r="I84" s="23"/>
      <c r="J84" s="23"/>
      <c r="K84" s="23"/>
      <c r="L84" s="23"/>
      <c r="M84" s="46"/>
      <c r="N84" s="46"/>
      <c r="O84" s="46">
        <f>+$C84*$D84</f>
        <v>23387.29908896827</v>
      </c>
      <c r="P84" s="46"/>
      <c r="Q84" s="23"/>
      <c r="R84" s="44"/>
      <c r="S84" s="46"/>
      <c r="T84" s="46"/>
      <c r="U84" s="46"/>
      <c r="V84" s="46"/>
      <c r="W84" s="46"/>
      <c r="X84" s="44"/>
      <c r="Y84" s="44"/>
      <c r="Z84" s="44"/>
      <c r="AA84" s="44"/>
      <c r="AB84" s="44"/>
    </row>
    <row r="85" spans="2:32" ht="14.35" customHeight="1">
      <c r="B85" s="24">
        <f t="shared" si="29"/>
        <v>45657</v>
      </c>
      <c r="C85" s="49">
        <v>53974.167740536235</v>
      </c>
      <c r="D85" s="183">
        <f t="shared" si="30"/>
        <v>0.5</v>
      </c>
      <c r="E85" s="54"/>
      <c r="F85" s="54"/>
      <c r="G85" s="54"/>
      <c r="H85" s="54"/>
      <c r="I85" s="23"/>
      <c r="J85" s="23"/>
      <c r="K85" s="23"/>
      <c r="L85" s="23"/>
      <c r="M85" s="46"/>
      <c r="N85" s="46"/>
      <c r="O85" s="46"/>
      <c r="P85" s="46">
        <f>+$C85*$D85</f>
        <v>26987.083870268118</v>
      </c>
      <c r="Q85" s="23"/>
      <c r="R85" s="44"/>
      <c r="S85" s="44"/>
      <c r="T85" s="46"/>
      <c r="U85" s="46"/>
      <c r="V85" s="46"/>
      <c r="W85" s="46"/>
      <c r="X85" s="46"/>
      <c r="Y85" s="44"/>
      <c r="Z85" s="44"/>
      <c r="AA85" s="44"/>
      <c r="AB85" s="44"/>
    </row>
    <row r="86" spans="2:32" ht="14.35" customHeight="1">
      <c r="B86" s="24">
        <f t="shared" si="29"/>
        <v>45747</v>
      </c>
      <c r="C86" s="49">
        <v>56639.821251798334</v>
      </c>
      <c r="D86" s="183">
        <f t="shared" si="30"/>
        <v>0.5</v>
      </c>
      <c r="E86" s="54"/>
      <c r="F86" s="54"/>
      <c r="G86" s="54"/>
      <c r="H86" s="54"/>
      <c r="I86" s="23"/>
      <c r="J86" s="23"/>
      <c r="K86" s="23"/>
      <c r="L86" s="23"/>
      <c r="M86" s="46"/>
      <c r="N86" s="46"/>
      <c r="O86" s="46"/>
      <c r="P86" s="46"/>
      <c r="Q86" s="46">
        <f>+$C86*$D86</f>
        <v>28319.910625899167</v>
      </c>
      <c r="R86" s="44"/>
      <c r="S86" s="44"/>
      <c r="T86" s="44"/>
      <c r="U86" s="46"/>
      <c r="V86" s="46"/>
      <c r="W86" s="46"/>
      <c r="X86" s="46"/>
      <c r="Y86" s="46"/>
      <c r="Z86" s="44"/>
      <c r="AA86" s="44"/>
      <c r="AB86" s="44"/>
    </row>
    <row r="87" spans="2:32" ht="14.35" customHeight="1">
      <c r="B87" s="24">
        <f t="shared" si="29"/>
        <v>45838</v>
      </c>
      <c r="C87" s="49">
        <v>62601.415784990932</v>
      </c>
      <c r="D87" s="183">
        <f t="shared" si="30"/>
        <v>0.5</v>
      </c>
      <c r="E87" s="54"/>
      <c r="F87" s="54"/>
      <c r="G87" s="54"/>
      <c r="H87" s="54"/>
      <c r="I87" s="23"/>
      <c r="J87" s="23"/>
      <c r="K87" s="23"/>
      <c r="L87" s="23"/>
      <c r="M87" s="46"/>
      <c r="N87" s="46"/>
      <c r="O87" s="46"/>
      <c r="P87" s="46"/>
      <c r="Q87" s="23"/>
      <c r="R87" s="46">
        <f>+$C87*$D87</f>
        <v>31300.707892495466</v>
      </c>
      <c r="S87" s="44"/>
      <c r="T87" s="44"/>
      <c r="U87" s="44"/>
      <c r="V87" s="46"/>
      <c r="W87" s="46"/>
      <c r="X87" s="46"/>
      <c r="Y87" s="46"/>
      <c r="Z87" s="46"/>
      <c r="AA87" s="44"/>
      <c r="AB87" s="44"/>
    </row>
    <row r="88" spans="2:32" ht="14.35" customHeight="1">
      <c r="B88" s="24">
        <f t="shared" si="29"/>
        <v>45930</v>
      </c>
      <c r="C88" s="49">
        <v>68616.245215669551</v>
      </c>
      <c r="D88" s="183">
        <f t="shared" si="30"/>
        <v>0.5</v>
      </c>
      <c r="E88" s="54"/>
      <c r="F88" s="54"/>
      <c r="G88" s="54"/>
      <c r="H88" s="54"/>
      <c r="I88" s="23"/>
      <c r="J88" s="23"/>
      <c r="K88" s="23"/>
      <c r="L88" s="23"/>
      <c r="M88" s="46"/>
      <c r="N88" s="46"/>
      <c r="O88" s="46"/>
      <c r="P88" s="46"/>
      <c r="Q88" s="23"/>
      <c r="R88" s="44"/>
      <c r="S88" s="46">
        <f>+$C88*$D88</f>
        <v>34308.122607834775</v>
      </c>
      <c r="T88" s="44"/>
      <c r="U88" s="44"/>
      <c r="V88" s="44"/>
      <c r="W88" s="46"/>
      <c r="X88" s="46"/>
      <c r="Y88" s="46"/>
      <c r="Z88" s="46"/>
      <c r="AA88" s="46"/>
      <c r="AB88" s="44"/>
    </row>
    <row r="89" spans="2:32" ht="14.35" customHeight="1">
      <c r="B89" s="24">
        <f t="shared" si="29"/>
        <v>46022</v>
      </c>
      <c r="C89" s="49">
        <v>76286.104044780805</v>
      </c>
      <c r="D89" s="183">
        <f t="shared" si="30"/>
        <v>0.5</v>
      </c>
      <c r="E89" s="54"/>
      <c r="F89" s="54"/>
      <c r="G89" s="54"/>
      <c r="H89" s="54"/>
      <c r="I89" s="23"/>
      <c r="J89" s="23"/>
      <c r="K89" s="23"/>
      <c r="L89" s="23"/>
      <c r="M89" s="46"/>
      <c r="N89" s="46"/>
      <c r="O89" s="46"/>
      <c r="P89" s="46"/>
      <c r="Q89" s="23"/>
      <c r="R89" s="44"/>
      <c r="S89" s="44"/>
      <c r="T89" s="46">
        <f>+$C89*$D89</f>
        <v>38143.052022390402</v>
      </c>
      <c r="U89" s="44"/>
      <c r="V89" s="44"/>
      <c r="W89" s="44"/>
      <c r="X89" s="46"/>
      <c r="Y89" s="46"/>
      <c r="Z89" s="46"/>
      <c r="AA89" s="46"/>
      <c r="AB89" s="46"/>
    </row>
    <row r="90" spans="2:32" ht="14.35" customHeight="1">
      <c r="B90" s="24">
        <f t="shared" si="29"/>
        <v>46112</v>
      </c>
      <c r="C90" s="49">
        <v>77381.750595827529</v>
      </c>
      <c r="D90" s="183">
        <f t="shared" si="30"/>
        <v>0.5</v>
      </c>
      <c r="E90" s="54"/>
      <c r="F90" s="54"/>
      <c r="G90" s="54"/>
      <c r="H90" s="54"/>
      <c r="I90" s="23"/>
      <c r="J90" s="23"/>
      <c r="K90" s="23"/>
      <c r="L90" s="23"/>
      <c r="M90" s="46"/>
      <c r="N90" s="46"/>
      <c r="O90" s="46"/>
      <c r="P90" s="46"/>
      <c r="Q90" s="23"/>
      <c r="R90" s="44"/>
      <c r="S90" s="44"/>
      <c r="T90" s="44"/>
      <c r="U90" s="46">
        <f>+$C90*$D90</f>
        <v>38690.875297913764</v>
      </c>
      <c r="V90" s="44"/>
      <c r="W90" s="44"/>
      <c r="X90" s="44"/>
      <c r="Y90" s="46"/>
      <c r="Z90" s="46"/>
      <c r="AA90" s="46"/>
      <c r="AB90" s="46"/>
      <c r="AC90" s="46"/>
    </row>
    <row r="91" spans="2:32" ht="14.35" customHeight="1">
      <c r="B91" s="24">
        <f t="shared" si="29"/>
        <v>46203</v>
      </c>
      <c r="C91" s="49">
        <v>83206.393282528239</v>
      </c>
      <c r="D91" s="183">
        <f t="shared" si="30"/>
        <v>0.5</v>
      </c>
      <c r="E91" s="54"/>
      <c r="F91" s="54"/>
      <c r="G91" s="54"/>
      <c r="H91" s="54"/>
      <c r="I91" s="23"/>
      <c r="J91" s="23"/>
      <c r="K91" s="23"/>
      <c r="L91" s="23"/>
      <c r="M91" s="46"/>
      <c r="N91" s="46"/>
      <c r="O91" s="46"/>
      <c r="P91" s="46"/>
      <c r="Q91" s="23"/>
      <c r="R91" s="44"/>
      <c r="S91" s="44"/>
      <c r="T91" s="44"/>
      <c r="U91" s="44"/>
      <c r="V91" s="46">
        <f>+$C91*$D91</f>
        <v>41603.19664126412</v>
      </c>
      <c r="W91" s="44"/>
      <c r="X91" s="44"/>
      <c r="Y91" s="44"/>
      <c r="Z91" s="46"/>
      <c r="AA91" s="46"/>
      <c r="AB91" s="46"/>
      <c r="AC91" s="46"/>
      <c r="AD91" s="46"/>
    </row>
    <row r="92" spans="2:32" ht="14.35" customHeight="1">
      <c r="B92" s="24">
        <f t="shared" si="29"/>
        <v>46295</v>
      </c>
      <c r="C92" s="49">
        <v>88951.72167128342</v>
      </c>
      <c r="D92" s="183">
        <f t="shared" si="30"/>
        <v>0.5</v>
      </c>
      <c r="E92" s="54"/>
      <c r="F92" s="54"/>
      <c r="G92" s="54"/>
      <c r="H92" s="54"/>
      <c r="I92" s="23"/>
      <c r="J92" s="23"/>
      <c r="K92" s="23"/>
      <c r="L92" s="23"/>
      <c r="M92" s="46"/>
      <c r="N92" s="46"/>
      <c r="O92" s="46"/>
      <c r="P92" s="46"/>
      <c r="Q92" s="23"/>
      <c r="R92" s="44"/>
      <c r="S92" s="44"/>
      <c r="T92" s="44"/>
      <c r="U92" s="44"/>
      <c r="V92" s="44"/>
      <c r="W92" s="46">
        <f>+$C92*$D92</f>
        <v>44475.86083564171</v>
      </c>
      <c r="X92" s="44"/>
      <c r="Y92" s="44"/>
      <c r="Z92" s="44"/>
      <c r="AA92" s="46"/>
      <c r="AB92" s="46"/>
      <c r="AC92" s="46"/>
      <c r="AD92" s="46"/>
      <c r="AE92" s="46"/>
    </row>
    <row r="93" spans="2:32" ht="14.35" customHeight="1">
      <c r="B93" s="24">
        <f t="shared" si="29"/>
        <v>46387</v>
      </c>
      <c r="C93" s="49">
        <v>96200.387423695996</v>
      </c>
      <c r="D93" s="183">
        <f t="shared" si="30"/>
        <v>0.5</v>
      </c>
      <c r="E93" s="54"/>
      <c r="F93" s="54"/>
      <c r="G93" s="54"/>
      <c r="H93" s="54"/>
      <c r="I93" s="23"/>
      <c r="J93" s="23"/>
      <c r="K93" s="23"/>
      <c r="L93" s="23"/>
      <c r="M93" s="46"/>
      <c r="N93" s="46"/>
      <c r="O93" s="46"/>
      <c r="P93" s="46"/>
      <c r="Q93" s="23"/>
      <c r="R93" s="44"/>
      <c r="S93" s="44"/>
      <c r="T93" s="44"/>
      <c r="U93" s="44"/>
      <c r="V93" s="44"/>
      <c r="W93" s="44"/>
      <c r="X93" s="46">
        <f>+$C93*$D93</f>
        <v>48100.193711847998</v>
      </c>
      <c r="Y93" s="44"/>
      <c r="Z93" s="44"/>
      <c r="AA93" s="44"/>
      <c r="AB93" s="46"/>
      <c r="AC93" s="46"/>
      <c r="AD93" s="46"/>
      <c r="AE93" s="46"/>
      <c r="AF93" s="46"/>
    </row>
    <row r="94" spans="2:32" ht="14.35" customHeight="1">
      <c r="B94" s="24">
        <f t="shared" si="29"/>
        <v>46477</v>
      </c>
      <c r="C94" s="49">
        <v>98490.890977477655</v>
      </c>
      <c r="D94" s="183">
        <f t="shared" si="30"/>
        <v>0.5</v>
      </c>
      <c r="E94" s="54"/>
      <c r="F94" s="54"/>
      <c r="G94" s="54"/>
      <c r="H94" s="54"/>
      <c r="I94" s="23"/>
      <c r="J94" s="23"/>
      <c r="K94" s="23"/>
      <c r="L94" s="23"/>
      <c r="M94" s="46"/>
      <c r="N94" s="46"/>
      <c r="O94" s="46"/>
      <c r="P94" s="46"/>
      <c r="Q94" s="23"/>
      <c r="R94" s="44"/>
      <c r="S94" s="44"/>
      <c r="T94" s="44"/>
      <c r="U94" s="44"/>
      <c r="V94" s="44"/>
      <c r="W94" s="44"/>
      <c r="X94" s="44"/>
      <c r="Y94" s="46">
        <f>+$C94*$D94</f>
        <v>49245.445488738827</v>
      </c>
      <c r="Z94" s="44"/>
      <c r="AA94" s="44"/>
      <c r="AB94" s="46"/>
      <c r="AC94" s="46"/>
      <c r="AD94" s="46"/>
      <c r="AE94" s="46"/>
      <c r="AF94" s="46"/>
    </row>
    <row r="95" spans="2:32" ht="14.35" customHeight="1">
      <c r="B95" s="24">
        <f t="shared" si="29"/>
        <v>46568</v>
      </c>
      <c r="C95" s="49">
        <v>105582.08208707738</v>
      </c>
      <c r="D95" s="183">
        <f t="shared" si="30"/>
        <v>0.5</v>
      </c>
      <c r="E95" s="54"/>
      <c r="F95" s="54"/>
      <c r="G95" s="54"/>
      <c r="H95" s="54"/>
      <c r="I95" s="23"/>
      <c r="J95" s="23"/>
      <c r="K95" s="23"/>
      <c r="L95" s="23"/>
      <c r="M95" s="46"/>
      <c r="N95" s="46"/>
      <c r="O95" s="46"/>
      <c r="P95" s="46"/>
      <c r="Q95" s="23"/>
      <c r="R95" s="44"/>
      <c r="S95" s="44"/>
      <c r="T95" s="44"/>
      <c r="U95" s="44"/>
      <c r="V95" s="44"/>
      <c r="W95" s="44"/>
      <c r="X95" s="44"/>
      <c r="Y95" s="44"/>
      <c r="Z95" s="46">
        <f>+$C95*$D95</f>
        <v>52791.041043538688</v>
      </c>
      <c r="AA95" s="44"/>
      <c r="AB95" s="46"/>
      <c r="AC95" s="46"/>
      <c r="AD95" s="46"/>
      <c r="AE95" s="46"/>
      <c r="AF95" s="46"/>
    </row>
    <row r="96" spans="2:32" ht="14.35" customHeight="1">
      <c r="B96" s="24">
        <f t="shared" si="29"/>
        <v>46660</v>
      </c>
      <c r="C96" s="49">
        <v>112669.95180410548</v>
      </c>
      <c r="D96" s="183">
        <f t="shared" si="30"/>
        <v>0.5</v>
      </c>
      <c r="E96" s="54"/>
      <c r="F96" s="54"/>
      <c r="G96" s="54"/>
      <c r="H96" s="54"/>
      <c r="I96" s="23"/>
      <c r="J96" s="23"/>
      <c r="K96" s="23"/>
      <c r="L96" s="23"/>
      <c r="M96" s="46"/>
      <c r="N96" s="46"/>
      <c r="O96" s="46"/>
      <c r="P96" s="46"/>
      <c r="Q96" s="23"/>
      <c r="R96" s="44"/>
      <c r="S96" s="44"/>
      <c r="T96" s="44"/>
      <c r="U96" s="44"/>
      <c r="V96" s="44"/>
      <c r="W96" s="44"/>
      <c r="X96" s="44"/>
      <c r="Y96" s="44"/>
      <c r="Z96" s="44"/>
      <c r="AA96" s="46">
        <f>+$C96*$D96</f>
        <v>56334.975902052742</v>
      </c>
      <c r="AB96" s="46"/>
      <c r="AC96" s="46"/>
      <c r="AD96" s="46"/>
      <c r="AE96" s="46"/>
      <c r="AF96" s="46"/>
    </row>
    <row r="97" spans="2:32" ht="14.35" customHeight="1">
      <c r="B97" s="24">
        <f t="shared" si="29"/>
        <v>46752</v>
      </c>
      <c r="C97" s="49">
        <v>121341.71136448739</v>
      </c>
      <c r="D97" s="183">
        <f t="shared" si="30"/>
        <v>0.5</v>
      </c>
      <c r="E97" s="54"/>
      <c r="F97" s="54"/>
      <c r="G97" s="54"/>
      <c r="H97" s="54"/>
      <c r="I97" s="23"/>
      <c r="J97" s="23"/>
      <c r="K97" s="23"/>
      <c r="L97" s="23"/>
      <c r="M97" s="46"/>
      <c r="N97" s="46"/>
      <c r="O97" s="46"/>
      <c r="P97" s="46"/>
      <c r="Q97" s="23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6">
        <f>+$C97*$D97</f>
        <v>60670.855682243695</v>
      </c>
      <c r="AC97" s="46"/>
      <c r="AD97" s="46"/>
      <c r="AE97" s="46"/>
      <c r="AF97" s="46"/>
    </row>
    <row r="98" spans="2:32" ht="14.35" customHeight="1">
      <c r="B98" s="23"/>
      <c r="C98" s="45"/>
      <c r="D98" s="47"/>
      <c r="E98" s="47"/>
      <c r="F98" s="47"/>
      <c r="G98" s="47"/>
      <c r="H98" s="47"/>
      <c r="I98" s="23"/>
      <c r="J98" s="23"/>
      <c r="K98" s="23"/>
      <c r="L98" s="23"/>
      <c r="M98" s="46"/>
      <c r="N98" s="46"/>
      <c r="O98" s="46"/>
      <c r="P98" s="46"/>
      <c r="Q98" s="23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6"/>
    </row>
    <row r="99" spans="2:32" ht="14.35" customHeight="1">
      <c r="B99" s="52" t="s">
        <v>35</v>
      </c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spans="2:32" s="23" customFormat="1" ht="14.35" customHeight="1">
      <c r="B100" s="53" t="s">
        <v>4</v>
      </c>
      <c r="C100" s="54" t="s">
        <v>212</v>
      </c>
      <c r="D100" s="54" t="s">
        <v>31</v>
      </c>
      <c r="E100" s="54"/>
      <c r="F100" s="54"/>
      <c r="G100" s="54"/>
      <c r="H100" s="5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 spans="2:32" ht="14.35" customHeight="1">
      <c r="B101" s="24">
        <f t="shared" ref="B101:B124" si="31">B74</f>
        <v>44651</v>
      </c>
      <c r="C101" s="49">
        <f>+C74</f>
        <v>4692.8320025000003</v>
      </c>
      <c r="D101" s="59">
        <f>1-D74</f>
        <v>0.5</v>
      </c>
      <c r="F101" s="46">
        <f>+$C101*$D101</f>
        <v>2346.4160012500001</v>
      </c>
      <c r="G101" s="59"/>
      <c r="H101" s="59"/>
      <c r="I101" s="1"/>
      <c r="J101" s="46"/>
      <c r="K101" s="46"/>
      <c r="L101" s="46"/>
      <c r="M101" s="46"/>
      <c r="N101" s="46"/>
      <c r="O101" s="46"/>
      <c r="P101" s="46"/>
      <c r="Q101" s="46"/>
      <c r="R101" s="23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spans="2:32" ht="14.35" customHeight="1">
      <c r="B102" s="24">
        <f t="shared" si="31"/>
        <v>44742</v>
      </c>
      <c r="C102" s="49">
        <f t="shared" ref="C102:C124" si="32">+C75</f>
        <v>8380.7681012499997</v>
      </c>
      <c r="D102" s="59">
        <f t="shared" ref="D102:D124" si="33">1-D75</f>
        <v>0.5</v>
      </c>
      <c r="E102" s="59"/>
      <c r="F102" s="59"/>
      <c r="G102" s="46">
        <f>+$C102*$D102</f>
        <v>4190.3840506249999</v>
      </c>
      <c r="H102" s="59"/>
      <c r="I102" s="1"/>
      <c r="J102" s="23"/>
      <c r="K102" s="46"/>
      <c r="L102" s="46"/>
      <c r="M102" s="46"/>
      <c r="N102" s="46"/>
      <c r="O102" s="46"/>
      <c r="P102" s="46"/>
      <c r="Q102" s="46"/>
      <c r="R102" s="23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spans="2:32" ht="14.35" customHeight="1">
      <c r="B103" s="24">
        <f t="shared" si="31"/>
        <v>44834</v>
      </c>
      <c r="C103" s="49">
        <f t="shared" si="32"/>
        <v>11807.26463125</v>
      </c>
      <c r="D103" s="59">
        <f t="shared" si="33"/>
        <v>0.5</v>
      </c>
      <c r="E103" s="59"/>
      <c r="F103" s="59"/>
      <c r="G103" s="59"/>
      <c r="H103" s="46">
        <f>+$C103*$D103</f>
        <v>5903.632315625</v>
      </c>
      <c r="I103" s="1"/>
      <c r="J103" s="23"/>
      <c r="K103" s="23"/>
      <c r="L103" s="46"/>
      <c r="M103" s="46"/>
      <c r="N103" s="46"/>
      <c r="O103" s="46"/>
      <c r="P103" s="46"/>
      <c r="Q103" s="46"/>
      <c r="R103" s="23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spans="2:32" ht="14.35" customHeight="1">
      <c r="B104" s="24">
        <f t="shared" si="31"/>
        <v>44926</v>
      </c>
      <c r="C104" s="49">
        <f t="shared" si="32"/>
        <v>17603.57040375</v>
      </c>
      <c r="D104" s="59">
        <f t="shared" si="33"/>
        <v>0.5</v>
      </c>
      <c r="E104" s="59"/>
      <c r="F104" s="59"/>
      <c r="G104" s="59"/>
      <c r="H104" s="59"/>
      <c r="I104" s="46">
        <f>+$C104*$D104</f>
        <v>8801.785201875</v>
      </c>
      <c r="J104" s="23"/>
      <c r="K104" s="23"/>
      <c r="L104" s="23"/>
      <c r="M104" s="46"/>
      <c r="N104" s="46"/>
      <c r="O104" s="46"/>
      <c r="P104" s="46"/>
      <c r="Q104" s="46"/>
      <c r="R104" s="23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spans="2:32" ht="14.35" customHeight="1">
      <c r="B105" s="24">
        <f t="shared" si="31"/>
        <v>45016</v>
      </c>
      <c r="C105" s="49">
        <f t="shared" si="32"/>
        <v>20020.195389750003</v>
      </c>
      <c r="D105" s="59">
        <f t="shared" si="33"/>
        <v>0.5</v>
      </c>
      <c r="E105" s="59"/>
      <c r="F105" s="59"/>
      <c r="G105" s="59"/>
      <c r="H105" s="59"/>
      <c r="I105" s="1"/>
      <c r="J105" s="46">
        <f>+$C105*$D105</f>
        <v>10010.097694875001</v>
      </c>
      <c r="K105" s="23"/>
      <c r="L105" s="23"/>
      <c r="M105" s="23"/>
      <c r="N105" s="46"/>
      <c r="O105" s="46"/>
      <c r="P105" s="46"/>
      <c r="Q105" s="46"/>
      <c r="R105" s="46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spans="2:32" ht="14.35" customHeight="1">
      <c r="B106" s="24">
        <f t="shared" si="31"/>
        <v>45107</v>
      </c>
      <c r="C106" s="49">
        <f t="shared" si="32"/>
        <v>23713.280249060001</v>
      </c>
      <c r="D106" s="59">
        <f t="shared" si="33"/>
        <v>0.5</v>
      </c>
      <c r="E106" s="59"/>
      <c r="F106" s="59"/>
      <c r="G106" s="59"/>
      <c r="H106" s="59"/>
      <c r="I106" s="1"/>
      <c r="J106" s="23"/>
      <c r="K106" s="46">
        <f>+$C106*$D106</f>
        <v>11856.64012453</v>
      </c>
      <c r="L106" s="23"/>
      <c r="M106" s="23"/>
      <c r="N106" s="46"/>
      <c r="O106" s="46"/>
      <c r="P106" s="46"/>
      <c r="Q106" s="46"/>
      <c r="R106" s="46"/>
      <c r="S106" s="46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spans="2:32" ht="14.35" customHeight="1">
      <c r="B107" s="24">
        <f t="shared" si="31"/>
        <v>45199</v>
      </c>
      <c r="C107" s="49">
        <f t="shared" si="32"/>
        <v>27423.837269309603</v>
      </c>
      <c r="D107" s="59">
        <f t="shared" si="33"/>
        <v>0.5</v>
      </c>
      <c r="E107" s="59"/>
      <c r="F107" s="59"/>
      <c r="G107" s="59"/>
      <c r="H107" s="59"/>
      <c r="I107" s="1"/>
      <c r="J107" s="23"/>
      <c r="K107" s="23"/>
      <c r="L107" s="46">
        <f>+$C107*$D107</f>
        <v>13711.918634654801</v>
      </c>
      <c r="M107" s="23"/>
      <c r="N107" s="46"/>
      <c r="O107" s="46"/>
      <c r="P107" s="46"/>
      <c r="Q107" s="46"/>
      <c r="R107" s="46"/>
      <c r="S107" s="46"/>
      <c r="T107" s="46"/>
      <c r="U107" s="44"/>
      <c r="V107" s="44"/>
      <c r="W107" s="44"/>
      <c r="X107" s="44"/>
      <c r="Y107" s="44"/>
      <c r="Z107" s="44"/>
      <c r="AA107" s="44"/>
      <c r="AB107" s="44"/>
      <c r="AC107" s="44"/>
    </row>
    <row r="108" spans="2:32" ht="14.35" customHeight="1">
      <c r="B108" s="24">
        <f t="shared" si="31"/>
        <v>45291</v>
      </c>
      <c r="C108" s="49">
        <f t="shared" si="32"/>
        <v>32777.912275649134</v>
      </c>
      <c r="D108" s="59">
        <f t="shared" si="33"/>
        <v>0.5</v>
      </c>
      <c r="E108" s="59"/>
      <c r="F108" s="59"/>
      <c r="G108" s="59"/>
      <c r="H108" s="59"/>
      <c r="I108" s="1"/>
      <c r="J108" s="23"/>
      <c r="K108" s="23"/>
      <c r="L108" s="23"/>
      <c r="M108" s="46">
        <f>+$C108*$D108</f>
        <v>16388.956137824567</v>
      </c>
      <c r="N108" s="46"/>
      <c r="O108" s="46"/>
      <c r="P108" s="46"/>
      <c r="Q108" s="46"/>
      <c r="R108" s="46"/>
      <c r="S108" s="46"/>
      <c r="T108" s="46"/>
      <c r="U108" s="46"/>
      <c r="V108" s="44"/>
      <c r="W108" s="44"/>
      <c r="X108" s="44"/>
      <c r="Y108" s="44"/>
      <c r="Z108" s="44"/>
      <c r="AA108" s="44"/>
      <c r="AB108" s="44"/>
      <c r="AC108" s="44"/>
    </row>
    <row r="109" spans="2:32" ht="14.35" customHeight="1">
      <c r="B109" s="24">
        <f t="shared" si="31"/>
        <v>45382</v>
      </c>
      <c r="C109" s="49">
        <f t="shared" si="32"/>
        <v>36067.78984163468</v>
      </c>
      <c r="D109" s="59">
        <f t="shared" si="33"/>
        <v>0.5</v>
      </c>
      <c r="E109" s="59"/>
      <c r="F109" s="59"/>
      <c r="G109" s="59"/>
      <c r="H109" s="59"/>
      <c r="I109" s="1"/>
      <c r="J109" s="23"/>
      <c r="K109" s="23"/>
      <c r="L109" s="23"/>
      <c r="M109" s="23"/>
      <c r="N109" s="46">
        <f>+$C109*$D109</f>
        <v>18033.89492081734</v>
      </c>
      <c r="O109" s="46"/>
      <c r="P109" s="46"/>
      <c r="Q109" s="46"/>
      <c r="R109" s="46"/>
      <c r="S109" s="46"/>
      <c r="T109" s="46"/>
      <c r="U109" s="46"/>
      <c r="V109" s="46"/>
      <c r="W109" s="44"/>
      <c r="X109" s="44"/>
      <c r="Y109" s="44"/>
      <c r="Z109" s="44"/>
      <c r="AA109" s="44"/>
      <c r="AB109" s="44"/>
      <c r="AC109" s="44"/>
    </row>
    <row r="110" spans="2:32" ht="14.35" customHeight="1">
      <c r="B110" s="24">
        <f t="shared" si="31"/>
        <v>45473</v>
      </c>
      <c r="C110" s="49">
        <f t="shared" si="32"/>
        <v>41349.065277949681</v>
      </c>
      <c r="D110" s="59">
        <f t="shared" si="33"/>
        <v>0.5</v>
      </c>
      <c r="E110" s="59"/>
      <c r="F110" s="59"/>
      <c r="G110" s="59"/>
      <c r="H110" s="59"/>
      <c r="I110" s="1"/>
      <c r="J110" s="23"/>
      <c r="K110" s="23"/>
      <c r="L110" s="23"/>
      <c r="M110" s="23"/>
      <c r="N110" s="46"/>
      <c r="O110" s="46">
        <f>+$C110*$D110</f>
        <v>20674.532638974841</v>
      </c>
      <c r="P110" s="46"/>
      <c r="Q110" s="46"/>
      <c r="R110" s="23"/>
      <c r="S110" s="46"/>
      <c r="T110" s="46"/>
      <c r="U110" s="46"/>
      <c r="V110" s="46"/>
      <c r="W110" s="46"/>
      <c r="X110" s="44"/>
      <c r="Y110" s="44"/>
      <c r="Z110" s="44"/>
      <c r="AA110" s="44"/>
      <c r="AB110" s="44"/>
      <c r="AC110" s="44"/>
    </row>
    <row r="111" spans="2:32" ht="14.35" customHeight="1">
      <c r="B111" s="24">
        <f t="shared" si="31"/>
        <v>45565</v>
      </c>
      <c r="C111" s="49">
        <f t="shared" si="32"/>
        <v>46774.598177936539</v>
      </c>
      <c r="D111" s="59">
        <f t="shared" si="33"/>
        <v>0.5</v>
      </c>
      <c r="E111" s="59"/>
      <c r="F111" s="59"/>
      <c r="G111" s="59"/>
      <c r="H111" s="59"/>
      <c r="I111" s="1"/>
      <c r="J111" s="23"/>
      <c r="K111" s="23"/>
      <c r="L111" s="23"/>
      <c r="M111" s="23"/>
      <c r="N111" s="46"/>
      <c r="O111" s="46"/>
      <c r="P111" s="46">
        <f>+$C111*$D111</f>
        <v>23387.29908896827</v>
      </c>
      <c r="Q111" s="46"/>
      <c r="R111" s="23"/>
      <c r="S111" s="44"/>
      <c r="T111" s="46"/>
      <c r="U111" s="46"/>
      <c r="V111" s="46"/>
      <c r="W111" s="46"/>
      <c r="X111" s="46"/>
      <c r="Y111" s="44"/>
      <c r="Z111" s="44"/>
      <c r="AA111" s="44"/>
      <c r="AB111" s="44"/>
      <c r="AC111" s="44"/>
    </row>
    <row r="112" spans="2:32" ht="14.35" customHeight="1">
      <c r="B112" s="24">
        <f t="shared" si="31"/>
        <v>45657</v>
      </c>
      <c r="C112" s="49">
        <f t="shared" si="32"/>
        <v>53974.167740536235</v>
      </c>
      <c r="D112" s="59">
        <f t="shared" si="33"/>
        <v>0.5</v>
      </c>
      <c r="E112" s="59"/>
      <c r="F112" s="59"/>
      <c r="G112" s="59"/>
      <c r="H112" s="59"/>
      <c r="I112" s="1"/>
      <c r="J112" s="23"/>
      <c r="K112" s="23"/>
      <c r="L112" s="23"/>
      <c r="M112" s="23"/>
      <c r="N112" s="46"/>
      <c r="O112" s="46"/>
      <c r="P112" s="46"/>
      <c r="Q112" s="46">
        <f>+$C112*$D112</f>
        <v>26987.083870268118</v>
      </c>
      <c r="R112" s="23"/>
      <c r="S112" s="44"/>
      <c r="T112" s="44"/>
      <c r="U112" s="46"/>
      <c r="V112" s="46"/>
      <c r="W112" s="46"/>
      <c r="X112" s="46"/>
      <c r="Y112" s="46"/>
      <c r="Z112" s="44"/>
      <c r="AA112" s="44"/>
      <c r="AB112" s="44"/>
      <c r="AC112" s="44"/>
    </row>
    <row r="113" spans="2:32" ht="14.35" customHeight="1">
      <c r="B113" s="24">
        <f t="shared" si="31"/>
        <v>45747</v>
      </c>
      <c r="C113" s="49">
        <f t="shared" si="32"/>
        <v>56639.821251798334</v>
      </c>
      <c r="D113" s="59">
        <f t="shared" si="33"/>
        <v>0.5</v>
      </c>
      <c r="E113" s="59"/>
      <c r="F113" s="59"/>
      <c r="G113" s="59"/>
      <c r="H113" s="59"/>
      <c r="I113" s="1"/>
      <c r="J113" s="23"/>
      <c r="K113" s="23"/>
      <c r="L113" s="23"/>
      <c r="M113" s="23"/>
      <c r="N113" s="46"/>
      <c r="O113" s="46"/>
      <c r="P113" s="46"/>
      <c r="Q113" s="46"/>
      <c r="R113" s="46">
        <f>+$C113*$D113</f>
        <v>28319.910625899167</v>
      </c>
      <c r="S113" s="44"/>
      <c r="T113" s="44"/>
      <c r="U113" s="44"/>
      <c r="V113" s="46"/>
      <c r="W113" s="46"/>
      <c r="X113" s="46"/>
      <c r="Y113" s="46"/>
      <c r="Z113" s="46"/>
      <c r="AA113" s="44"/>
      <c r="AB113" s="44"/>
      <c r="AC113" s="44"/>
    </row>
    <row r="114" spans="2:32" ht="14.35" customHeight="1">
      <c r="B114" s="24">
        <f t="shared" si="31"/>
        <v>45838</v>
      </c>
      <c r="C114" s="49">
        <f t="shared" si="32"/>
        <v>62601.415784990932</v>
      </c>
      <c r="D114" s="59">
        <f t="shared" si="33"/>
        <v>0.5</v>
      </c>
      <c r="E114" s="59"/>
      <c r="F114" s="59"/>
      <c r="G114" s="59"/>
      <c r="H114" s="59"/>
      <c r="I114" s="1"/>
      <c r="J114" s="23"/>
      <c r="K114" s="23"/>
      <c r="L114" s="23"/>
      <c r="M114" s="23"/>
      <c r="N114" s="46"/>
      <c r="O114" s="46"/>
      <c r="P114" s="46"/>
      <c r="Q114" s="46"/>
      <c r="R114" s="23"/>
      <c r="S114" s="46">
        <f>+$C114*$D114</f>
        <v>31300.707892495466</v>
      </c>
      <c r="T114" s="44"/>
      <c r="U114" s="44"/>
      <c r="V114" s="44"/>
      <c r="W114" s="46"/>
      <c r="X114" s="46"/>
      <c r="Y114" s="46"/>
      <c r="Z114" s="46"/>
      <c r="AA114" s="46"/>
      <c r="AB114" s="44"/>
      <c r="AC114" s="44"/>
    </row>
    <row r="115" spans="2:32" ht="14.35" customHeight="1">
      <c r="B115" s="24">
        <f t="shared" si="31"/>
        <v>45930</v>
      </c>
      <c r="C115" s="49">
        <f t="shared" si="32"/>
        <v>68616.245215669551</v>
      </c>
      <c r="D115" s="59">
        <f t="shared" si="33"/>
        <v>0.5</v>
      </c>
      <c r="E115" s="59"/>
      <c r="F115" s="59"/>
      <c r="G115" s="59"/>
      <c r="H115" s="59"/>
      <c r="I115" s="1"/>
      <c r="J115" s="23"/>
      <c r="K115" s="23"/>
      <c r="L115" s="23"/>
      <c r="M115" s="23"/>
      <c r="N115" s="46"/>
      <c r="O115" s="46"/>
      <c r="P115" s="46"/>
      <c r="Q115" s="46"/>
      <c r="R115" s="23"/>
      <c r="S115" s="44"/>
      <c r="T115" s="46">
        <f>+$C115*$D115</f>
        <v>34308.122607834775</v>
      </c>
      <c r="U115" s="44"/>
      <c r="V115" s="44"/>
      <c r="W115" s="44"/>
      <c r="X115" s="46"/>
      <c r="Y115" s="46"/>
      <c r="Z115" s="46"/>
      <c r="AA115" s="46"/>
      <c r="AB115" s="46"/>
      <c r="AC115" s="44"/>
    </row>
    <row r="116" spans="2:32" ht="14.35" customHeight="1">
      <c r="B116" s="24">
        <f t="shared" si="31"/>
        <v>46022</v>
      </c>
      <c r="C116" s="49">
        <f t="shared" si="32"/>
        <v>76286.104044780805</v>
      </c>
      <c r="D116" s="59">
        <f t="shared" si="33"/>
        <v>0.5</v>
      </c>
      <c r="E116" s="59"/>
      <c r="F116" s="59"/>
      <c r="G116" s="59"/>
      <c r="H116" s="59"/>
      <c r="I116" s="1"/>
      <c r="J116" s="23"/>
      <c r="K116" s="23"/>
      <c r="L116" s="23"/>
      <c r="M116" s="23"/>
      <c r="N116" s="46"/>
      <c r="O116" s="46"/>
      <c r="P116" s="46"/>
      <c r="Q116" s="46"/>
      <c r="R116" s="23"/>
      <c r="S116" s="44"/>
      <c r="T116" s="44"/>
      <c r="U116" s="46">
        <f>+$C116*$D116</f>
        <v>38143.052022390402</v>
      </c>
      <c r="V116" s="44"/>
      <c r="W116" s="44"/>
      <c r="X116" s="44"/>
      <c r="Y116" s="46"/>
      <c r="Z116" s="46"/>
      <c r="AA116" s="46"/>
      <c r="AB116" s="46"/>
      <c r="AC116" s="46"/>
    </row>
    <row r="117" spans="2:32" ht="14.35" customHeight="1">
      <c r="B117" s="24">
        <f t="shared" si="31"/>
        <v>46112</v>
      </c>
      <c r="C117" s="49">
        <f t="shared" si="32"/>
        <v>77381.750595827529</v>
      </c>
      <c r="D117" s="59">
        <f t="shared" si="33"/>
        <v>0.5</v>
      </c>
      <c r="E117" s="59"/>
      <c r="F117" s="59"/>
      <c r="G117" s="59"/>
      <c r="H117" s="59"/>
      <c r="I117" s="1"/>
      <c r="J117" s="23"/>
      <c r="K117" s="23"/>
      <c r="L117" s="23"/>
      <c r="M117" s="23"/>
      <c r="N117" s="46"/>
      <c r="O117" s="46"/>
      <c r="P117" s="46"/>
      <c r="Q117" s="46"/>
      <c r="R117" s="23"/>
      <c r="S117" s="44"/>
      <c r="T117" s="44"/>
      <c r="U117" s="44"/>
      <c r="V117" s="46">
        <f>+$C117*$D117</f>
        <v>38690.875297913764</v>
      </c>
      <c r="W117" s="44"/>
      <c r="X117" s="44"/>
      <c r="Y117" s="44"/>
      <c r="Z117" s="46"/>
      <c r="AA117" s="46"/>
      <c r="AB117" s="46"/>
      <c r="AC117" s="46"/>
    </row>
    <row r="118" spans="2:32" ht="14.35" customHeight="1">
      <c r="B118" s="24">
        <f t="shared" si="31"/>
        <v>46203</v>
      </c>
      <c r="C118" s="49">
        <f t="shared" si="32"/>
        <v>83206.393282528239</v>
      </c>
      <c r="D118" s="59">
        <f t="shared" si="33"/>
        <v>0.5</v>
      </c>
      <c r="E118" s="59"/>
      <c r="F118" s="59"/>
      <c r="G118" s="59"/>
      <c r="H118" s="59"/>
      <c r="I118" s="1"/>
      <c r="J118" s="23"/>
      <c r="K118" s="23"/>
      <c r="L118" s="23"/>
      <c r="M118" s="23"/>
      <c r="N118" s="46"/>
      <c r="O118" s="46"/>
      <c r="P118" s="46"/>
      <c r="Q118" s="46"/>
      <c r="R118" s="23"/>
      <c r="S118" s="44"/>
      <c r="T118" s="44"/>
      <c r="U118" s="44"/>
      <c r="V118" s="44"/>
      <c r="W118" s="46">
        <f>+$C118*$D118</f>
        <v>41603.19664126412</v>
      </c>
      <c r="X118" s="44"/>
      <c r="Y118" s="44"/>
      <c r="Z118" s="44"/>
      <c r="AA118" s="46"/>
      <c r="AB118" s="46"/>
      <c r="AC118" s="46"/>
      <c r="AD118" s="46"/>
    </row>
    <row r="119" spans="2:32" ht="14.35" customHeight="1">
      <c r="B119" s="24">
        <f t="shared" si="31"/>
        <v>46295</v>
      </c>
      <c r="C119" s="49">
        <f t="shared" si="32"/>
        <v>88951.72167128342</v>
      </c>
      <c r="D119" s="59">
        <f t="shared" si="33"/>
        <v>0.5</v>
      </c>
      <c r="E119" s="59"/>
      <c r="F119" s="59"/>
      <c r="G119" s="59"/>
      <c r="H119" s="59"/>
      <c r="I119" s="1"/>
      <c r="J119" s="23"/>
      <c r="K119" s="23"/>
      <c r="L119" s="23"/>
      <c r="M119" s="23"/>
      <c r="N119" s="46"/>
      <c r="O119" s="46"/>
      <c r="P119" s="46"/>
      <c r="Q119" s="46"/>
      <c r="R119" s="23"/>
      <c r="S119" s="44"/>
      <c r="T119" s="44"/>
      <c r="U119" s="44"/>
      <c r="V119" s="44"/>
      <c r="W119" s="44"/>
      <c r="X119" s="46">
        <f>+$C119*$D119</f>
        <v>44475.86083564171</v>
      </c>
      <c r="Y119" s="46"/>
      <c r="Z119" s="44"/>
      <c r="AA119" s="44"/>
      <c r="AB119" s="46"/>
      <c r="AC119" s="46"/>
      <c r="AD119" s="46"/>
      <c r="AE119" s="46"/>
    </row>
    <row r="120" spans="2:32" ht="14.35" customHeight="1">
      <c r="B120" s="24">
        <f t="shared" si="31"/>
        <v>46387</v>
      </c>
      <c r="C120" s="49">
        <f t="shared" si="32"/>
        <v>96200.387423695996</v>
      </c>
      <c r="D120" s="59">
        <f t="shared" si="33"/>
        <v>0.5</v>
      </c>
      <c r="E120" s="59"/>
      <c r="F120" s="59"/>
      <c r="G120" s="59"/>
      <c r="H120" s="59"/>
      <c r="I120" s="1"/>
      <c r="J120" s="23"/>
      <c r="K120" s="23"/>
      <c r="L120" s="23"/>
      <c r="M120" s="23"/>
      <c r="N120" s="46"/>
      <c r="O120" s="46"/>
      <c r="P120" s="46"/>
      <c r="Q120" s="46"/>
      <c r="R120" s="23"/>
      <c r="S120" s="44"/>
      <c r="T120" s="44"/>
      <c r="U120" s="44"/>
      <c r="V120" s="44"/>
      <c r="W120" s="44"/>
      <c r="X120" s="44"/>
      <c r="Y120" s="46">
        <f>+$C120*$D120</f>
        <v>48100.193711847998</v>
      </c>
      <c r="Z120" s="44"/>
      <c r="AA120" s="44"/>
      <c r="AB120" s="44"/>
      <c r="AC120" s="46"/>
      <c r="AD120" s="46"/>
      <c r="AE120" s="46"/>
      <c r="AF120" s="46"/>
    </row>
    <row r="121" spans="2:32" ht="14.35" customHeight="1">
      <c r="B121" s="24">
        <f t="shared" si="31"/>
        <v>46477</v>
      </c>
      <c r="C121" s="49">
        <f t="shared" si="32"/>
        <v>98490.890977477655</v>
      </c>
      <c r="D121" s="59">
        <f t="shared" si="33"/>
        <v>0.5</v>
      </c>
      <c r="E121" s="59"/>
      <c r="F121" s="59"/>
      <c r="G121" s="59"/>
      <c r="H121" s="59"/>
      <c r="I121" s="1"/>
      <c r="J121" s="23"/>
      <c r="K121" s="23"/>
      <c r="L121" s="23"/>
      <c r="M121" s="23"/>
      <c r="N121" s="46"/>
      <c r="O121" s="46"/>
      <c r="P121" s="46"/>
      <c r="Q121" s="46"/>
      <c r="R121" s="23"/>
      <c r="S121" s="44"/>
      <c r="T121" s="44"/>
      <c r="U121" s="44"/>
      <c r="V121" s="44"/>
      <c r="W121" s="44"/>
      <c r="X121" s="44"/>
      <c r="Y121" s="44"/>
      <c r="Z121" s="46">
        <f>+$C121*$D121</f>
        <v>49245.445488738827</v>
      </c>
      <c r="AA121" s="44"/>
      <c r="AB121" s="44"/>
      <c r="AC121" s="46"/>
      <c r="AD121" s="46"/>
      <c r="AE121" s="46"/>
      <c r="AF121" s="46"/>
    </row>
    <row r="122" spans="2:32" ht="14.35" customHeight="1">
      <c r="B122" s="24">
        <f t="shared" si="31"/>
        <v>46568</v>
      </c>
      <c r="C122" s="49">
        <f t="shared" si="32"/>
        <v>105582.08208707738</v>
      </c>
      <c r="D122" s="59">
        <f t="shared" si="33"/>
        <v>0.5</v>
      </c>
      <c r="E122" s="59"/>
      <c r="F122" s="59"/>
      <c r="G122" s="59"/>
      <c r="H122" s="59"/>
      <c r="I122" s="1"/>
      <c r="J122" s="23"/>
      <c r="K122" s="23"/>
      <c r="L122" s="23"/>
      <c r="M122" s="23"/>
      <c r="N122" s="46"/>
      <c r="O122" s="46"/>
      <c r="P122" s="46"/>
      <c r="Q122" s="46"/>
      <c r="R122" s="23"/>
      <c r="S122" s="44"/>
      <c r="T122" s="44"/>
      <c r="U122" s="44"/>
      <c r="V122" s="44"/>
      <c r="W122" s="44"/>
      <c r="X122" s="44"/>
      <c r="Y122" s="44"/>
      <c r="Z122" s="44"/>
      <c r="AA122" s="46">
        <f>+$C122*$D122</f>
        <v>52791.041043538688</v>
      </c>
      <c r="AB122" s="44"/>
      <c r="AC122" s="46"/>
      <c r="AD122" s="46"/>
      <c r="AE122" s="46"/>
      <c r="AF122" s="46"/>
    </row>
    <row r="123" spans="2:32" ht="14.35" customHeight="1">
      <c r="B123" s="24">
        <f t="shared" si="31"/>
        <v>46660</v>
      </c>
      <c r="C123" s="49">
        <f t="shared" si="32"/>
        <v>112669.95180410548</v>
      </c>
      <c r="D123" s="59">
        <f t="shared" si="33"/>
        <v>0.5</v>
      </c>
      <c r="E123" s="59"/>
      <c r="F123" s="59"/>
      <c r="G123" s="59"/>
      <c r="H123" s="59"/>
      <c r="I123" s="1"/>
      <c r="J123" s="23"/>
      <c r="K123" s="23"/>
      <c r="L123" s="23"/>
      <c r="M123" s="23"/>
      <c r="N123" s="46"/>
      <c r="O123" s="46"/>
      <c r="P123" s="46"/>
      <c r="Q123" s="46"/>
      <c r="R123" s="23"/>
      <c r="S123" s="44"/>
      <c r="T123" s="44"/>
      <c r="U123" s="44"/>
      <c r="V123" s="44"/>
      <c r="W123" s="44"/>
      <c r="X123" s="44"/>
      <c r="Y123" s="44"/>
      <c r="Z123" s="44"/>
      <c r="AA123" s="44"/>
      <c r="AB123" s="46">
        <f>+$C123*$D123</f>
        <v>56334.975902052742</v>
      </c>
      <c r="AC123" s="46"/>
      <c r="AD123" s="46"/>
      <c r="AE123" s="46"/>
      <c r="AF123" s="46"/>
    </row>
    <row r="124" spans="2:32" ht="14.35" customHeight="1">
      <c r="B124" s="24">
        <f t="shared" si="31"/>
        <v>46752</v>
      </c>
      <c r="C124" s="49">
        <f t="shared" si="32"/>
        <v>121341.71136448739</v>
      </c>
      <c r="D124" s="59">
        <f t="shared" si="33"/>
        <v>0.5</v>
      </c>
      <c r="E124" s="59"/>
      <c r="F124" s="59"/>
      <c r="G124" s="59"/>
      <c r="H124" s="59"/>
      <c r="I124" s="1"/>
      <c r="J124" s="23"/>
      <c r="K124" s="23"/>
      <c r="L124" s="23"/>
      <c r="M124" s="23"/>
      <c r="N124" s="46"/>
      <c r="O124" s="46"/>
      <c r="P124" s="46"/>
      <c r="Q124" s="46"/>
      <c r="R124" s="23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6">
        <f>+$C124*$D124</f>
        <v>60670.855682243695</v>
      </c>
      <c r="AD124" s="46"/>
      <c r="AE124" s="46"/>
      <c r="AF124" s="46"/>
    </row>
    <row r="125" spans="2:32" ht="14.35" customHeight="1">
      <c r="B125" s="23"/>
      <c r="C125" s="45"/>
      <c r="D125" s="47"/>
      <c r="E125" s="47"/>
      <c r="F125" s="47"/>
      <c r="G125" s="47"/>
      <c r="H125" s="47"/>
      <c r="I125" s="23"/>
      <c r="J125" s="23"/>
      <c r="K125" s="23"/>
      <c r="L125" s="23"/>
      <c r="M125" s="46"/>
      <c r="N125" s="46"/>
      <c r="O125" s="46"/>
      <c r="P125" s="46"/>
      <c r="Q125" s="23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D125" s="46"/>
    </row>
    <row r="126" spans="2:32" ht="14.35" customHeight="1" thickBot="1">
      <c r="B126" s="56" t="s">
        <v>19</v>
      </c>
      <c r="C126" s="57"/>
      <c r="D126" s="56"/>
      <c r="E126" s="56">
        <f>SUM(E74:E124)</f>
        <v>2346.4160012500001</v>
      </c>
      <c r="F126" s="56">
        <f t="shared" ref="F126:AC126" si="34">SUM(F74:F124)</f>
        <v>6536.8000518749996</v>
      </c>
      <c r="G126" s="56">
        <f t="shared" si="34"/>
        <v>10094.01636625</v>
      </c>
      <c r="H126" s="56">
        <f t="shared" si="34"/>
        <v>14705.4175175</v>
      </c>
      <c r="I126" s="56">
        <f t="shared" si="34"/>
        <v>18811.882896750001</v>
      </c>
      <c r="J126" s="56">
        <f t="shared" si="34"/>
        <v>21866.737819405003</v>
      </c>
      <c r="K126" s="56">
        <f t="shared" si="34"/>
        <v>25568.558759184802</v>
      </c>
      <c r="L126" s="56">
        <f t="shared" si="34"/>
        <v>30100.874772479368</v>
      </c>
      <c r="M126" s="56">
        <f t="shared" si="34"/>
        <v>34422.851058641907</v>
      </c>
      <c r="N126" s="56">
        <f t="shared" si="34"/>
        <v>38708.427559792181</v>
      </c>
      <c r="O126" s="56">
        <f t="shared" si="34"/>
        <v>44061.831727943107</v>
      </c>
      <c r="P126" s="56">
        <f t="shared" si="34"/>
        <v>50374.382959236391</v>
      </c>
      <c r="Q126" s="56">
        <f t="shared" si="34"/>
        <v>55306.994496167288</v>
      </c>
      <c r="R126" s="56">
        <f t="shared" si="34"/>
        <v>59620.618518394636</v>
      </c>
      <c r="S126" s="56">
        <f t="shared" si="34"/>
        <v>65608.830500330238</v>
      </c>
      <c r="T126" s="56">
        <f t="shared" si="34"/>
        <v>72451.17463022517</v>
      </c>
      <c r="U126" s="56">
        <f t="shared" si="34"/>
        <v>76833.927320304167</v>
      </c>
      <c r="V126" s="56">
        <f t="shared" si="34"/>
        <v>80294.071939177884</v>
      </c>
      <c r="W126" s="56">
        <f t="shared" si="34"/>
        <v>86079.057476905829</v>
      </c>
      <c r="X126" s="56">
        <f t="shared" si="34"/>
        <v>92576.054547489708</v>
      </c>
      <c r="Y126" s="56">
        <f t="shared" si="34"/>
        <v>97345.639200586826</v>
      </c>
      <c r="Z126" s="56">
        <f t="shared" si="34"/>
        <v>102036.48653227751</v>
      </c>
      <c r="AA126" s="56">
        <f t="shared" si="34"/>
        <v>109126.01694559143</v>
      </c>
      <c r="AB126" s="56">
        <f t="shared" si="34"/>
        <v>117005.83158429644</v>
      </c>
      <c r="AC126" s="56">
        <f t="shared" si="34"/>
        <v>60670.855682243695</v>
      </c>
      <c r="AD126" s="46"/>
    </row>
    <row r="127" spans="2:32" ht="14.35" customHeight="1" thickTop="1">
      <c r="B127" s="44"/>
      <c r="C127" s="23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</sheetData>
  <pageMargins left="0.7" right="0.7" top="0.75" bottom="0.75" header="0.3" footer="0.3"/>
  <pageSetup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C029-8639-430A-B491-7B63C8ACEC66}">
  <dimension ref="B1:AQ85"/>
  <sheetViews>
    <sheetView showGridLines="0" zoomScale="120" zoomScaleNormal="120" zoomScaleSheetLayoutView="13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5.53125" style="1" customWidth="1"/>
    <col min="2" max="2" width="22" style="2" customWidth="1"/>
    <col min="3" max="6" width="9.1328125" style="1"/>
    <col min="7" max="7" width="9.1328125" style="82"/>
    <col min="8" max="8" width="9.86328125" style="83" customWidth="1"/>
    <col min="9" max="16384" width="9.1328125" style="1"/>
  </cols>
  <sheetData>
    <row r="1" spans="2:27" s="2" customFormat="1">
      <c r="B1" s="7"/>
      <c r="G1" s="69"/>
      <c r="H1" s="70"/>
    </row>
    <row r="2" spans="2:27" s="2" customFormat="1">
      <c r="B2" s="3"/>
      <c r="C2" s="29"/>
      <c r="D2" s="29"/>
      <c r="E2" s="29"/>
      <c r="F2" s="29"/>
      <c r="G2" s="71"/>
      <c r="H2" s="72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367" t="s">
        <v>248</v>
      </c>
    </row>
    <row r="3" spans="2:27" s="2" customFormat="1">
      <c r="B3" s="366"/>
      <c r="C3" s="21"/>
      <c r="D3" s="21"/>
      <c r="E3" s="21"/>
      <c r="F3" s="21"/>
      <c r="G3" s="276">
        <v>44926</v>
      </c>
      <c r="H3" s="241">
        <f t="shared" ref="H3:AA3" si="0">EOMONTH(G3, 3)</f>
        <v>45016</v>
      </c>
      <c r="I3" s="241">
        <f t="shared" si="0"/>
        <v>45107</v>
      </c>
      <c r="J3" s="241">
        <f t="shared" si="0"/>
        <v>45199</v>
      </c>
      <c r="K3" s="241">
        <f t="shared" si="0"/>
        <v>45291</v>
      </c>
      <c r="L3" s="241">
        <f t="shared" si="0"/>
        <v>45382</v>
      </c>
      <c r="M3" s="241">
        <f t="shared" si="0"/>
        <v>45473</v>
      </c>
      <c r="N3" s="241">
        <f t="shared" si="0"/>
        <v>45565</v>
      </c>
      <c r="O3" s="241">
        <f t="shared" si="0"/>
        <v>45657</v>
      </c>
      <c r="P3" s="241">
        <f t="shared" si="0"/>
        <v>45747</v>
      </c>
      <c r="Q3" s="241">
        <f t="shared" si="0"/>
        <v>45838</v>
      </c>
      <c r="R3" s="241">
        <f t="shared" si="0"/>
        <v>45930</v>
      </c>
      <c r="S3" s="241">
        <f t="shared" si="0"/>
        <v>46022</v>
      </c>
      <c r="T3" s="241">
        <f t="shared" si="0"/>
        <v>46112</v>
      </c>
      <c r="U3" s="241">
        <f t="shared" si="0"/>
        <v>46203</v>
      </c>
      <c r="V3" s="241">
        <f t="shared" si="0"/>
        <v>46295</v>
      </c>
      <c r="W3" s="241">
        <f t="shared" si="0"/>
        <v>46387</v>
      </c>
      <c r="X3" s="241">
        <f t="shared" si="0"/>
        <v>46477</v>
      </c>
      <c r="Y3" s="241">
        <f t="shared" si="0"/>
        <v>46568</v>
      </c>
      <c r="Z3" s="241">
        <f t="shared" si="0"/>
        <v>46660</v>
      </c>
      <c r="AA3" s="241">
        <f t="shared" si="0"/>
        <v>46752</v>
      </c>
    </row>
    <row r="4" spans="2:27">
      <c r="B4" s="52" t="s">
        <v>71</v>
      </c>
      <c r="C4" s="51"/>
      <c r="D4" s="51"/>
      <c r="E4" s="51"/>
      <c r="F4" s="51"/>
      <c r="G4" s="203"/>
      <c r="H4" s="204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2:27" s="23" customFormat="1" ht="14.35" customHeight="1">
      <c r="B5" s="61" t="s">
        <v>54</v>
      </c>
      <c r="E5" s="39"/>
      <c r="F5" s="39"/>
      <c r="G5" s="74"/>
      <c r="H5" s="75"/>
      <c r="I5" s="39"/>
      <c r="J5" s="39"/>
      <c r="K5" s="39"/>
      <c r="L5" s="39"/>
      <c r="M5" s="39"/>
      <c r="N5" s="39"/>
      <c r="O5" s="46"/>
      <c r="Q5" s="44"/>
      <c r="R5" s="44"/>
      <c r="S5" s="44"/>
      <c r="T5" s="44"/>
      <c r="U5" s="44"/>
      <c r="V5" s="44"/>
      <c r="W5" s="44"/>
      <c r="X5" s="44"/>
      <c r="Y5" s="44"/>
      <c r="Z5" s="44"/>
      <c r="AA5" s="46"/>
    </row>
    <row r="6" spans="2:27">
      <c r="B6" s="24" t="s">
        <v>110</v>
      </c>
      <c r="C6" s="23"/>
      <c r="D6" s="23"/>
      <c r="G6" s="207"/>
      <c r="H6" s="81">
        <f>+G9</f>
        <v>7406.8</v>
      </c>
      <c r="I6" s="41">
        <f t="shared" ref="I6:AA6" si="1">+H9</f>
        <v>8449.5556724666676</v>
      </c>
      <c r="J6" s="41">
        <f t="shared" si="1"/>
        <v>9619.5771687113356</v>
      </c>
      <c r="K6" s="41">
        <f t="shared" si="1"/>
        <v>10937.227020538481</v>
      </c>
      <c r="L6" s="41">
        <f t="shared" si="1"/>
        <v>12426.125764841305</v>
      </c>
      <c r="M6" s="41">
        <f t="shared" si="1"/>
        <v>13889.545652185356</v>
      </c>
      <c r="N6" s="41">
        <f t="shared" si="1"/>
        <v>15482.769519608524</v>
      </c>
      <c r="O6" s="41">
        <f t="shared" si="1"/>
        <v>17222.671884521093</v>
      </c>
      <c r="P6" s="41">
        <f t="shared" si="1"/>
        <v>19128.320951596685</v>
      </c>
      <c r="Q6" s="41">
        <f t="shared" si="1"/>
        <v>20830.481670832509</v>
      </c>
      <c r="R6" s="41">
        <f t="shared" si="1"/>
        <v>22560.271742211004</v>
      </c>
      <c r="S6" s="41">
        <f t="shared" si="1"/>
        <v>24320.177807425014</v>
      </c>
      <c r="T6" s="41">
        <f t="shared" si="1"/>
        <v>26112.910305919737</v>
      </c>
      <c r="U6" s="41">
        <f t="shared" si="1"/>
        <v>28081.579453010785</v>
      </c>
      <c r="V6" s="41">
        <f t="shared" si="1"/>
        <v>30063.209026682624</v>
      </c>
      <c r="W6" s="41">
        <f t="shared" si="1"/>
        <v>32072.409894245109</v>
      </c>
      <c r="X6" s="41">
        <f t="shared" si="1"/>
        <v>34126.882893721078</v>
      </c>
      <c r="Y6" s="41">
        <f t="shared" si="1"/>
        <v>35848.935044951941</v>
      </c>
      <c r="Z6" s="41">
        <f t="shared" si="1"/>
        <v>37653.811312319289</v>
      </c>
      <c r="AA6" s="41">
        <f t="shared" si="1"/>
        <v>39562.706640301185</v>
      </c>
    </row>
    <row r="7" spans="2:27">
      <c r="B7" s="24" t="s">
        <v>108</v>
      </c>
      <c r="C7" s="23"/>
      <c r="D7" s="23"/>
      <c r="G7" s="74"/>
      <c r="H7" s="81">
        <f>+H12*H13</f>
        <v>1659.9890058000001</v>
      </c>
      <c r="I7" s="41">
        <f t="shared" ref="I7:AA7" si="2">+I12*I13</f>
        <v>1925.5872467279999</v>
      </c>
      <c r="J7" s="41">
        <f t="shared" si="2"/>
        <v>2233.6812062044796</v>
      </c>
      <c r="K7" s="41">
        <f t="shared" si="2"/>
        <v>2591.0701991971964</v>
      </c>
      <c r="L7" s="41">
        <f t="shared" si="2"/>
        <v>2781.5138588381906</v>
      </c>
      <c r="M7" s="41">
        <f t="shared" si="2"/>
        <v>3143.1106604871557</v>
      </c>
      <c r="N7" s="41">
        <f t="shared" si="2"/>
        <v>3551.7150463504863</v>
      </c>
      <c r="O7" s="41">
        <f t="shared" si="2"/>
        <v>4013.4380023760496</v>
      </c>
      <c r="P7" s="41">
        <f t="shared" si="2"/>
        <v>4144.4028214009522</v>
      </c>
      <c r="Q7" s="41">
        <f t="shared" si="2"/>
        <v>4517.3990753270373</v>
      </c>
      <c r="R7" s="41">
        <f t="shared" si="2"/>
        <v>4923.964992106472</v>
      </c>
      <c r="S7" s="41">
        <f t="shared" si="2"/>
        <v>5367.121841396056</v>
      </c>
      <c r="T7" s="41">
        <f t="shared" si="2"/>
        <v>5373.0853101087187</v>
      </c>
      <c r="U7" s="41">
        <f t="shared" si="2"/>
        <v>5695.4704287152417</v>
      </c>
      <c r="V7" s="41">
        <f t="shared" si="2"/>
        <v>6037.1986544381552</v>
      </c>
      <c r="W7" s="41">
        <f t="shared" si="2"/>
        <v>6399.4305737044451</v>
      </c>
      <c r="X7" s="41">
        <f t="shared" si="2"/>
        <v>6384.3730900016108</v>
      </c>
      <c r="Y7" s="41">
        <f t="shared" si="2"/>
        <v>6767.4354754017077</v>
      </c>
      <c r="Z7" s="41">
        <f t="shared" si="2"/>
        <v>7173.4816039258094</v>
      </c>
      <c r="AA7" s="41">
        <f t="shared" si="2"/>
        <v>7603.8905001613575</v>
      </c>
    </row>
    <row r="8" spans="2:27">
      <c r="B8" s="24" t="s">
        <v>109</v>
      </c>
      <c r="C8" s="23"/>
      <c r="D8" s="23"/>
      <c r="E8" s="41"/>
      <c r="F8" s="41"/>
      <c r="G8" s="74"/>
      <c r="H8" s="81">
        <f>+-H39</f>
        <v>-617.23333333333335</v>
      </c>
      <c r="I8" s="41">
        <f t="shared" ref="I8:AA8" si="3">+-I39</f>
        <v>-755.56575048333332</v>
      </c>
      <c r="J8" s="41">
        <f t="shared" si="3"/>
        <v>-916.03135437733329</v>
      </c>
      <c r="K8" s="41">
        <f t="shared" si="3"/>
        <v>-1102.1714548943733</v>
      </c>
      <c r="L8" s="41">
        <f t="shared" si="3"/>
        <v>-1318.0939714941396</v>
      </c>
      <c r="M8" s="41">
        <f t="shared" si="3"/>
        <v>-1549.8867930639888</v>
      </c>
      <c r="N8" s="41">
        <f t="shared" si="3"/>
        <v>-1811.8126814379184</v>
      </c>
      <c r="O8" s="41">
        <f t="shared" si="3"/>
        <v>-2107.7889353004589</v>
      </c>
      <c r="P8" s="41">
        <f t="shared" si="3"/>
        <v>-2442.2421021651298</v>
      </c>
      <c r="Q8" s="41">
        <f t="shared" si="3"/>
        <v>-2787.6090039485425</v>
      </c>
      <c r="R8" s="41">
        <f t="shared" si="3"/>
        <v>-3164.0589268924623</v>
      </c>
      <c r="S8" s="41">
        <f t="shared" si="3"/>
        <v>-3574.3893429013351</v>
      </c>
      <c r="T8" s="41">
        <f t="shared" si="3"/>
        <v>-3404.4161630176727</v>
      </c>
      <c r="U8" s="41">
        <f t="shared" si="3"/>
        <v>-3713.8408550433996</v>
      </c>
      <c r="V8" s="41">
        <f t="shared" si="3"/>
        <v>-4027.9977868756696</v>
      </c>
      <c r="W8" s="41">
        <f t="shared" si="3"/>
        <v>-4344.957574228476</v>
      </c>
      <c r="X8" s="41">
        <f t="shared" si="3"/>
        <v>-4662.3209387707475</v>
      </c>
      <c r="Y8" s="41">
        <f t="shared" si="3"/>
        <v>-4962.5592080343658</v>
      </c>
      <c r="Z8" s="41">
        <f t="shared" si="3"/>
        <v>-5264.5862759439124</v>
      </c>
      <c r="AA8" s="41">
        <f t="shared" si="3"/>
        <v>-5566.4001557418542</v>
      </c>
    </row>
    <row r="9" spans="2:27">
      <c r="B9" s="62" t="s">
        <v>111</v>
      </c>
      <c r="C9" s="147"/>
      <c r="D9" s="147"/>
      <c r="E9" s="94"/>
      <c r="F9" s="94"/>
      <c r="G9" s="209">
        <f>Model!N52</f>
        <v>7406.8</v>
      </c>
      <c r="H9" s="95">
        <f>SUM(H6:H8)</f>
        <v>8449.5556724666676</v>
      </c>
      <c r="I9" s="94">
        <f t="shared" ref="I9:AA9" si="4">SUM(I6:I8)</f>
        <v>9619.5771687113356</v>
      </c>
      <c r="J9" s="94">
        <f t="shared" si="4"/>
        <v>10937.227020538481</v>
      </c>
      <c r="K9" s="94">
        <f t="shared" si="4"/>
        <v>12426.125764841305</v>
      </c>
      <c r="L9" s="94">
        <f t="shared" si="4"/>
        <v>13889.545652185356</v>
      </c>
      <c r="M9" s="94">
        <f t="shared" si="4"/>
        <v>15482.769519608524</v>
      </c>
      <c r="N9" s="94">
        <f t="shared" si="4"/>
        <v>17222.671884521093</v>
      </c>
      <c r="O9" s="94">
        <f t="shared" si="4"/>
        <v>19128.320951596685</v>
      </c>
      <c r="P9" s="94">
        <f t="shared" si="4"/>
        <v>20830.481670832509</v>
      </c>
      <c r="Q9" s="94">
        <f t="shared" si="4"/>
        <v>22560.271742211004</v>
      </c>
      <c r="R9" s="94">
        <f t="shared" si="4"/>
        <v>24320.177807425014</v>
      </c>
      <c r="S9" s="94">
        <f t="shared" si="4"/>
        <v>26112.910305919737</v>
      </c>
      <c r="T9" s="94">
        <f t="shared" si="4"/>
        <v>28081.579453010785</v>
      </c>
      <c r="U9" s="94">
        <f t="shared" si="4"/>
        <v>30063.209026682624</v>
      </c>
      <c r="V9" s="94">
        <f t="shared" si="4"/>
        <v>32072.409894245109</v>
      </c>
      <c r="W9" s="94">
        <f t="shared" si="4"/>
        <v>34126.882893721078</v>
      </c>
      <c r="X9" s="94">
        <f t="shared" si="4"/>
        <v>35848.935044951941</v>
      </c>
      <c r="Y9" s="94">
        <f t="shared" si="4"/>
        <v>37653.811312319289</v>
      </c>
      <c r="Z9" s="94">
        <f t="shared" si="4"/>
        <v>39562.706640301185</v>
      </c>
      <c r="AA9" s="94">
        <f t="shared" si="4"/>
        <v>41600.196984720693</v>
      </c>
    </row>
    <row r="10" spans="2:27">
      <c r="B10" s="64"/>
      <c r="C10" s="155"/>
      <c r="D10" s="155"/>
      <c r="G10" s="87"/>
      <c r="H10" s="205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2:27">
      <c r="B11" s="16" t="s">
        <v>216</v>
      </c>
      <c r="C11" s="146"/>
      <c r="D11" s="146"/>
      <c r="E11" s="146"/>
      <c r="F11" s="146"/>
      <c r="G11" s="206"/>
      <c r="H11" s="205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2:27">
      <c r="B12" s="2" t="s">
        <v>156</v>
      </c>
      <c r="C12" s="277"/>
      <c r="D12" s="277"/>
      <c r="E12" s="277"/>
      <c r="F12" s="277"/>
      <c r="G12" s="278"/>
      <c r="H12" s="279">
        <f>Model!O20</f>
        <v>8299.9450290000004</v>
      </c>
      <c r="I12" s="281">
        <f>Model!P20</f>
        <v>9627.936233639999</v>
      </c>
      <c r="J12" s="281">
        <f>Model!Q20</f>
        <v>11168.406031022398</v>
      </c>
      <c r="K12" s="281">
        <f>Model!R20</f>
        <v>12955.35099598598</v>
      </c>
      <c r="L12" s="281">
        <f>Model!S20</f>
        <v>13907.569294190951</v>
      </c>
      <c r="M12" s="281">
        <f>Model!T20</f>
        <v>15715.553302435777</v>
      </c>
      <c r="N12" s="281">
        <f>Model!U20</f>
        <v>17758.575231752431</v>
      </c>
      <c r="O12" s="281">
        <f>Model!V20</f>
        <v>20067.190011880248</v>
      </c>
      <c r="P12" s="281">
        <f>Model!W20</f>
        <v>20722.014107004761</v>
      </c>
      <c r="Q12" s="281">
        <f>Model!X20</f>
        <v>22586.995376635186</v>
      </c>
      <c r="R12" s="281">
        <f>Model!Y20</f>
        <v>24619.824960532358</v>
      </c>
      <c r="S12" s="281">
        <f>Model!Z20</f>
        <v>26835.609206980276</v>
      </c>
      <c r="T12" s="281">
        <f>Model!AA20</f>
        <v>26865.426550543591</v>
      </c>
      <c r="U12" s="281">
        <f>Model!AB20</f>
        <v>28477.352143576205</v>
      </c>
      <c r="V12" s="281">
        <f>Model!AC20</f>
        <v>30185.993272190775</v>
      </c>
      <c r="W12" s="281">
        <f>Model!AD20</f>
        <v>31997.152868522222</v>
      </c>
      <c r="X12" s="281">
        <f>Model!AE20</f>
        <v>31921.865450008052</v>
      </c>
      <c r="Y12" s="281">
        <f>Model!AF20</f>
        <v>33837.177377008535</v>
      </c>
      <c r="Z12" s="281">
        <f>Model!AG20</f>
        <v>35867.408019629045</v>
      </c>
      <c r="AA12" s="281">
        <f>Model!AH20</f>
        <v>38019.452500806787</v>
      </c>
    </row>
    <row r="13" spans="2:27">
      <c r="B13" s="2" t="s">
        <v>231</v>
      </c>
      <c r="C13" s="253"/>
      <c r="D13" s="253"/>
      <c r="E13" s="253"/>
      <c r="F13" s="253"/>
      <c r="G13" s="262"/>
      <c r="H13" s="202">
        <v>0.2</v>
      </c>
      <c r="I13" s="187">
        <v>0.2</v>
      </c>
      <c r="J13" s="187">
        <v>0.2</v>
      </c>
      <c r="K13" s="187">
        <v>0.2</v>
      </c>
      <c r="L13" s="187">
        <v>0.2</v>
      </c>
      <c r="M13" s="187">
        <v>0.2</v>
      </c>
      <c r="N13" s="187">
        <v>0.2</v>
      </c>
      <c r="O13" s="187">
        <v>0.2</v>
      </c>
      <c r="P13" s="187">
        <v>0.2</v>
      </c>
      <c r="Q13" s="187">
        <v>0.2</v>
      </c>
      <c r="R13" s="187">
        <v>0.2</v>
      </c>
      <c r="S13" s="187">
        <v>0.2</v>
      </c>
      <c r="T13" s="187">
        <v>0.2</v>
      </c>
      <c r="U13" s="187">
        <v>0.2</v>
      </c>
      <c r="V13" s="187">
        <v>0.2</v>
      </c>
      <c r="W13" s="187">
        <v>0.2</v>
      </c>
      <c r="X13" s="187">
        <v>0.2</v>
      </c>
      <c r="Y13" s="187">
        <v>0.2</v>
      </c>
      <c r="Z13" s="187">
        <v>0.2</v>
      </c>
      <c r="AA13" s="187">
        <v>0.2</v>
      </c>
    </row>
    <row r="14" spans="2:27">
      <c r="B14" s="6"/>
      <c r="C14" s="91"/>
      <c r="D14" s="91"/>
      <c r="E14" s="91"/>
      <c r="F14" s="91"/>
      <c r="G14" s="92"/>
      <c r="H14" s="93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</row>
    <row r="15" spans="2:27">
      <c r="B15" s="61" t="s">
        <v>168</v>
      </c>
      <c r="C15" s="155"/>
      <c r="D15" s="155"/>
      <c r="G15" s="87"/>
      <c r="H15" s="205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2:27">
      <c r="B16" s="53" t="s">
        <v>4</v>
      </c>
      <c r="C16" s="54" t="s">
        <v>104</v>
      </c>
      <c r="D16" s="54" t="s">
        <v>105</v>
      </c>
      <c r="E16" s="54" t="s">
        <v>106</v>
      </c>
      <c r="F16" s="54" t="s">
        <v>107</v>
      </c>
      <c r="G16" s="210"/>
      <c r="H16" s="10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2:38">
      <c r="B17" s="24" cm="1">
        <f t="array" ref="B17:B37">TRANSPOSE(G3:AA3)</f>
        <v>44926</v>
      </c>
      <c r="C17" s="154">
        <f>G9</f>
        <v>7406.8</v>
      </c>
      <c r="D17" s="148">
        <v>3</v>
      </c>
      <c r="E17" s="149">
        <f>+D17*4</f>
        <v>12</v>
      </c>
      <c r="F17" s="150">
        <f>EOMONTH(B17, D17*12)</f>
        <v>46022</v>
      </c>
      <c r="G17" s="85"/>
      <c r="H17" s="151">
        <f>$C17/$E17</f>
        <v>617.23333333333335</v>
      </c>
      <c r="I17" s="151">
        <f t="shared" ref="I17:AA35" si="5">$C17/$E17</f>
        <v>617.23333333333335</v>
      </c>
      <c r="J17" s="151">
        <f t="shared" si="5"/>
        <v>617.23333333333335</v>
      </c>
      <c r="K17" s="151">
        <f t="shared" si="5"/>
        <v>617.23333333333335</v>
      </c>
      <c r="L17" s="151">
        <f t="shared" si="5"/>
        <v>617.23333333333335</v>
      </c>
      <c r="M17" s="151">
        <f t="shared" si="5"/>
        <v>617.23333333333335</v>
      </c>
      <c r="N17" s="151">
        <f t="shared" si="5"/>
        <v>617.23333333333335</v>
      </c>
      <c r="O17" s="151">
        <f t="shared" si="5"/>
        <v>617.23333333333335</v>
      </c>
      <c r="P17" s="151">
        <f t="shared" si="5"/>
        <v>617.23333333333335</v>
      </c>
      <c r="Q17" s="151">
        <f t="shared" si="5"/>
        <v>617.23333333333335</v>
      </c>
      <c r="R17" s="151">
        <f t="shared" si="5"/>
        <v>617.23333333333335</v>
      </c>
      <c r="S17" s="151">
        <f t="shared" si="5"/>
        <v>617.23333333333335</v>
      </c>
      <c r="T17" s="151"/>
      <c r="U17" s="151"/>
      <c r="V17" s="151"/>
      <c r="W17" s="151"/>
      <c r="X17" s="151"/>
      <c r="Y17" s="151"/>
      <c r="Z17" s="151"/>
      <c r="AA17" s="151"/>
    </row>
    <row r="18" spans="2:38">
      <c r="B18" s="24">
        <v>45016</v>
      </c>
      <c r="C18" s="49" cm="1">
        <f t="array" ref="C18:C37">TRANSPOSE(H7:AA7)</f>
        <v>1659.9890058000001</v>
      </c>
      <c r="D18" s="148">
        <v>3</v>
      </c>
      <c r="E18" s="149">
        <f t="shared" ref="E18:E37" si="6">+D18*4</f>
        <v>12</v>
      </c>
      <c r="F18" s="150">
        <f t="shared" ref="F18" si="7">EOMONTH(B18, D18*12)</f>
        <v>46112</v>
      </c>
      <c r="G18" s="210"/>
      <c r="H18" s="211"/>
      <c r="I18" s="151">
        <f>$C18/$E18</f>
        <v>138.33241715</v>
      </c>
      <c r="J18" s="151">
        <f t="shared" si="5"/>
        <v>138.33241715</v>
      </c>
      <c r="K18" s="151">
        <f t="shared" si="5"/>
        <v>138.33241715</v>
      </c>
      <c r="L18" s="151">
        <f t="shared" si="5"/>
        <v>138.33241715</v>
      </c>
      <c r="M18" s="151">
        <f t="shared" si="5"/>
        <v>138.33241715</v>
      </c>
      <c r="N18" s="151">
        <f t="shared" si="5"/>
        <v>138.33241715</v>
      </c>
      <c r="O18" s="151">
        <f t="shared" si="5"/>
        <v>138.33241715</v>
      </c>
      <c r="P18" s="151">
        <f t="shared" si="5"/>
        <v>138.33241715</v>
      </c>
      <c r="Q18" s="151">
        <f t="shared" si="5"/>
        <v>138.33241715</v>
      </c>
      <c r="R18" s="151">
        <f t="shared" si="5"/>
        <v>138.33241715</v>
      </c>
      <c r="S18" s="151">
        <f t="shared" si="5"/>
        <v>138.33241715</v>
      </c>
      <c r="T18" s="151">
        <f t="shared" si="5"/>
        <v>138.33241715</v>
      </c>
      <c r="U18" s="151"/>
      <c r="V18" s="151"/>
      <c r="W18" s="151"/>
      <c r="X18" s="151"/>
      <c r="Y18" s="151"/>
      <c r="Z18" s="151"/>
      <c r="AA18" s="151"/>
    </row>
    <row r="19" spans="2:38">
      <c r="B19" s="24">
        <v>45107</v>
      </c>
      <c r="C19" s="49">
        <v>1925.5872467279999</v>
      </c>
      <c r="D19" s="148">
        <v>3</v>
      </c>
      <c r="E19" s="149">
        <f t="shared" si="6"/>
        <v>12</v>
      </c>
      <c r="F19" s="150">
        <f t="shared" ref="F19:F37" si="8">EOMONTH(B19, D19*12)</f>
        <v>46203</v>
      </c>
      <c r="G19" s="210"/>
      <c r="H19" s="211"/>
      <c r="I19" s="151"/>
      <c r="J19" s="151">
        <f>$C19/$E19</f>
        <v>160.465603894</v>
      </c>
      <c r="K19" s="151">
        <f t="shared" si="5"/>
        <v>160.465603894</v>
      </c>
      <c r="L19" s="151">
        <f t="shared" si="5"/>
        <v>160.465603894</v>
      </c>
      <c r="M19" s="151">
        <f t="shared" si="5"/>
        <v>160.465603894</v>
      </c>
      <c r="N19" s="151">
        <f t="shared" si="5"/>
        <v>160.465603894</v>
      </c>
      <c r="O19" s="151">
        <f t="shared" si="5"/>
        <v>160.465603894</v>
      </c>
      <c r="P19" s="151">
        <f t="shared" si="5"/>
        <v>160.465603894</v>
      </c>
      <c r="Q19" s="151">
        <f t="shared" si="5"/>
        <v>160.465603894</v>
      </c>
      <c r="R19" s="151">
        <f t="shared" si="5"/>
        <v>160.465603894</v>
      </c>
      <c r="S19" s="151">
        <f t="shared" si="5"/>
        <v>160.465603894</v>
      </c>
      <c r="T19" s="151">
        <f t="shared" si="5"/>
        <v>160.465603894</v>
      </c>
      <c r="U19" s="151">
        <f t="shared" si="5"/>
        <v>160.465603894</v>
      </c>
      <c r="V19" s="151"/>
      <c r="W19" s="151"/>
      <c r="X19" s="151"/>
      <c r="Y19" s="151"/>
      <c r="Z19" s="151"/>
      <c r="AA19" s="151"/>
    </row>
    <row r="20" spans="2:38">
      <c r="B20" s="24">
        <v>45199</v>
      </c>
      <c r="C20" s="49">
        <v>2233.6812062044796</v>
      </c>
      <c r="D20" s="148">
        <v>3</v>
      </c>
      <c r="E20" s="149">
        <f t="shared" si="6"/>
        <v>12</v>
      </c>
      <c r="F20" s="150">
        <f t="shared" si="8"/>
        <v>46295</v>
      </c>
      <c r="G20" s="85"/>
      <c r="H20" s="211"/>
      <c r="I20" s="151"/>
      <c r="J20" s="151"/>
      <c r="K20" s="151">
        <f>$C20/$E20</f>
        <v>186.14010051703997</v>
      </c>
      <c r="L20" s="151">
        <f t="shared" si="5"/>
        <v>186.14010051703997</v>
      </c>
      <c r="M20" s="151">
        <f t="shared" si="5"/>
        <v>186.14010051703997</v>
      </c>
      <c r="N20" s="151">
        <f t="shared" si="5"/>
        <v>186.14010051703997</v>
      </c>
      <c r="O20" s="151">
        <f t="shared" si="5"/>
        <v>186.14010051703997</v>
      </c>
      <c r="P20" s="151">
        <f t="shared" si="5"/>
        <v>186.14010051703997</v>
      </c>
      <c r="Q20" s="151">
        <f t="shared" si="5"/>
        <v>186.14010051703997</v>
      </c>
      <c r="R20" s="151">
        <f t="shared" si="5"/>
        <v>186.14010051703997</v>
      </c>
      <c r="S20" s="151">
        <f t="shared" si="5"/>
        <v>186.14010051703997</v>
      </c>
      <c r="T20" s="151">
        <f t="shared" si="5"/>
        <v>186.14010051703997</v>
      </c>
      <c r="U20" s="151">
        <f t="shared" si="5"/>
        <v>186.14010051703997</v>
      </c>
      <c r="V20" s="151">
        <f t="shared" si="5"/>
        <v>186.14010051703997</v>
      </c>
      <c r="W20" s="151"/>
      <c r="X20" s="151"/>
      <c r="Y20" s="151"/>
      <c r="Z20" s="151"/>
      <c r="AA20" s="151"/>
    </row>
    <row r="21" spans="2:38">
      <c r="B21" s="24">
        <v>45291</v>
      </c>
      <c r="C21" s="49">
        <v>2591.0701991971964</v>
      </c>
      <c r="D21" s="148">
        <v>3</v>
      </c>
      <c r="E21" s="149">
        <f t="shared" si="6"/>
        <v>12</v>
      </c>
      <c r="F21" s="150">
        <f t="shared" si="8"/>
        <v>46387</v>
      </c>
      <c r="G21" s="210"/>
      <c r="H21" s="211"/>
      <c r="I21" s="151"/>
      <c r="J21" s="151"/>
      <c r="K21" s="151"/>
      <c r="L21" s="151">
        <f>$C21/$E21</f>
        <v>215.92251659976637</v>
      </c>
      <c r="M21" s="151">
        <f t="shared" si="5"/>
        <v>215.92251659976637</v>
      </c>
      <c r="N21" s="151">
        <f t="shared" si="5"/>
        <v>215.92251659976637</v>
      </c>
      <c r="O21" s="151">
        <f t="shared" si="5"/>
        <v>215.92251659976637</v>
      </c>
      <c r="P21" s="151">
        <f t="shared" si="5"/>
        <v>215.92251659976637</v>
      </c>
      <c r="Q21" s="151">
        <f t="shared" si="5"/>
        <v>215.92251659976637</v>
      </c>
      <c r="R21" s="151">
        <f t="shared" si="5"/>
        <v>215.92251659976637</v>
      </c>
      <c r="S21" s="151">
        <f t="shared" si="5"/>
        <v>215.92251659976637</v>
      </c>
      <c r="T21" s="151">
        <f t="shared" si="5"/>
        <v>215.92251659976637</v>
      </c>
      <c r="U21" s="151">
        <f t="shared" si="5"/>
        <v>215.92251659976637</v>
      </c>
      <c r="V21" s="151">
        <f t="shared" si="5"/>
        <v>215.92251659976637</v>
      </c>
      <c r="W21" s="151">
        <f t="shared" si="5"/>
        <v>215.92251659976637</v>
      </c>
      <c r="X21" s="151"/>
      <c r="Y21" s="151"/>
      <c r="Z21" s="151"/>
      <c r="AA21" s="151"/>
    </row>
    <row r="22" spans="2:38">
      <c r="B22" s="24">
        <v>45382</v>
      </c>
      <c r="C22" s="49">
        <v>2781.5138588381906</v>
      </c>
      <c r="D22" s="148">
        <v>3</v>
      </c>
      <c r="E22" s="149">
        <f t="shared" si="6"/>
        <v>12</v>
      </c>
      <c r="F22" s="150">
        <f t="shared" si="8"/>
        <v>46477</v>
      </c>
      <c r="G22" s="210"/>
      <c r="H22" s="211"/>
      <c r="I22" s="151"/>
      <c r="J22" s="151"/>
      <c r="K22" s="151"/>
      <c r="L22" s="151"/>
      <c r="M22" s="151">
        <f>$C22/$E22</f>
        <v>231.79282156984922</v>
      </c>
      <c r="N22" s="151">
        <f t="shared" si="5"/>
        <v>231.79282156984922</v>
      </c>
      <c r="O22" s="151">
        <f t="shared" si="5"/>
        <v>231.79282156984922</v>
      </c>
      <c r="P22" s="151">
        <f t="shared" si="5"/>
        <v>231.79282156984922</v>
      </c>
      <c r="Q22" s="151">
        <f t="shared" si="5"/>
        <v>231.79282156984922</v>
      </c>
      <c r="R22" s="151">
        <f t="shared" si="5"/>
        <v>231.79282156984922</v>
      </c>
      <c r="S22" s="151">
        <f t="shared" si="5"/>
        <v>231.79282156984922</v>
      </c>
      <c r="T22" s="151">
        <f t="shared" si="5"/>
        <v>231.79282156984922</v>
      </c>
      <c r="U22" s="151">
        <f t="shared" si="5"/>
        <v>231.79282156984922</v>
      </c>
      <c r="V22" s="151">
        <f t="shared" si="5"/>
        <v>231.79282156984922</v>
      </c>
      <c r="W22" s="151">
        <f t="shared" si="5"/>
        <v>231.79282156984922</v>
      </c>
      <c r="X22" s="151">
        <f t="shared" si="5"/>
        <v>231.79282156984922</v>
      </c>
      <c r="Y22" s="151"/>
      <c r="Z22" s="151"/>
      <c r="AA22" s="151"/>
      <c r="AB22" s="151"/>
    </row>
    <row r="23" spans="2:38">
      <c r="B23" s="24">
        <v>45473</v>
      </c>
      <c r="C23" s="49">
        <v>3143.1106604871557</v>
      </c>
      <c r="D23" s="148">
        <v>3</v>
      </c>
      <c r="E23" s="149">
        <f t="shared" si="6"/>
        <v>12</v>
      </c>
      <c r="F23" s="150">
        <f t="shared" si="8"/>
        <v>46568</v>
      </c>
      <c r="G23" s="210"/>
      <c r="H23" s="211"/>
      <c r="I23" s="151"/>
      <c r="J23" s="151"/>
      <c r="K23" s="151"/>
      <c r="L23" s="151"/>
      <c r="M23" s="151"/>
      <c r="N23" s="151">
        <f>$C23/$E23</f>
        <v>261.92588837392964</v>
      </c>
      <c r="O23" s="151">
        <f t="shared" si="5"/>
        <v>261.92588837392964</v>
      </c>
      <c r="P23" s="151">
        <f t="shared" si="5"/>
        <v>261.92588837392964</v>
      </c>
      <c r="Q23" s="151">
        <f t="shared" si="5"/>
        <v>261.92588837392964</v>
      </c>
      <c r="R23" s="151">
        <f t="shared" si="5"/>
        <v>261.92588837392964</v>
      </c>
      <c r="S23" s="151">
        <f t="shared" si="5"/>
        <v>261.92588837392964</v>
      </c>
      <c r="T23" s="151">
        <f t="shared" si="5"/>
        <v>261.92588837392964</v>
      </c>
      <c r="U23" s="151">
        <f t="shared" si="5"/>
        <v>261.92588837392964</v>
      </c>
      <c r="V23" s="151">
        <f t="shared" si="5"/>
        <v>261.92588837392964</v>
      </c>
      <c r="W23" s="151">
        <f t="shared" si="5"/>
        <v>261.92588837392964</v>
      </c>
      <c r="X23" s="151">
        <f t="shared" si="5"/>
        <v>261.92588837392964</v>
      </c>
      <c r="Y23" s="151">
        <f t="shared" si="5"/>
        <v>261.92588837392964</v>
      </c>
      <c r="Z23" s="151"/>
      <c r="AA23" s="151"/>
      <c r="AB23" s="151"/>
      <c r="AC23" s="151"/>
    </row>
    <row r="24" spans="2:38">
      <c r="B24" s="24">
        <v>45565</v>
      </c>
      <c r="C24" s="49">
        <v>3551.7150463504863</v>
      </c>
      <c r="D24" s="148">
        <v>3</v>
      </c>
      <c r="E24" s="149">
        <f t="shared" si="6"/>
        <v>12</v>
      </c>
      <c r="F24" s="150">
        <f t="shared" si="8"/>
        <v>46660</v>
      </c>
      <c r="G24" s="210"/>
      <c r="H24" s="211"/>
      <c r="I24" s="151"/>
      <c r="J24" s="151"/>
      <c r="K24" s="151"/>
      <c r="L24" s="151"/>
      <c r="M24" s="151"/>
      <c r="N24" s="151"/>
      <c r="O24" s="151">
        <f>$C24/$E24</f>
        <v>295.97625386254055</v>
      </c>
      <c r="P24" s="151">
        <f t="shared" si="5"/>
        <v>295.97625386254055</v>
      </c>
      <c r="Q24" s="151">
        <f t="shared" si="5"/>
        <v>295.97625386254055</v>
      </c>
      <c r="R24" s="151">
        <f t="shared" si="5"/>
        <v>295.97625386254055</v>
      </c>
      <c r="S24" s="151">
        <f t="shared" si="5"/>
        <v>295.97625386254055</v>
      </c>
      <c r="T24" s="151">
        <f t="shared" si="5"/>
        <v>295.97625386254055</v>
      </c>
      <c r="U24" s="151">
        <f t="shared" si="5"/>
        <v>295.97625386254055</v>
      </c>
      <c r="V24" s="151">
        <f t="shared" si="5"/>
        <v>295.97625386254055</v>
      </c>
      <c r="W24" s="151">
        <f t="shared" si="5"/>
        <v>295.97625386254055</v>
      </c>
      <c r="X24" s="151">
        <f t="shared" si="5"/>
        <v>295.97625386254055</v>
      </c>
      <c r="Y24" s="151">
        <f t="shared" si="5"/>
        <v>295.97625386254055</v>
      </c>
      <c r="Z24" s="151">
        <f t="shared" ref="Z20:AA34" si="9">$C24/$E24</f>
        <v>295.97625386254055</v>
      </c>
      <c r="AA24" s="151"/>
      <c r="AB24" s="151"/>
      <c r="AC24" s="151"/>
      <c r="AD24" s="151"/>
    </row>
    <row r="25" spans="2:38">
      <c r="B25" s="24">
        <v>45657</v>
      </c>
      <c r="C25" s="49">
        <v>4013.4380023760496</v>
      </c>
      <c r="D25" s="148">
        <v>3</v>
      </c>
      <c r="E25" s="149">
        <f t="shared" si="6"/>
        <v>12</v>
      </c>
      <c r="F25" s="150">
        <f t="shared" si="8"/>
        <v>46752</v>
      </c>
      <c r="G25" s="210"/>
      <c r="H25" s="211"/>
      <c r="I25" s="151"/>
      <c r="J25" s="151"/>
      <c r="K25" s="151"/>
      <c r="L25" s="151"/>
      <c r="M25" s="151"/>
      <c r="N25" s="151"/>
      <c r="O25" s="151"/>
      <c r="P25" s="151">
        <f>$C25/$E25</f>
        <v>334.45316686467078</v>
      </c>
      <c r="Q25" s="151">
        <f t="shared" si="5"/>
        <v>334.45316686467078</v>
      </c>
      <c r="R25" s="151">
        <f t="shared" si="5"/>
        <v>334.45316686467078</v>
      </c>
      <c r="S25" s="151">
        <f t="shared" si="5"/>
        <v>334.45316686467078</v>
      </c>
      <c r="T25" s="151">
        <f t="shared" si="5"/>
        <v>334.45316686467078</v>
      </c>
      <c r="U25" s="151">
        <f t="shared" si="5"/>
        <v>334.45316686467078</v>
      </c>
      <c r="V25" s="151">
        <f t="shared" si="5"/>
        <v>334.45316686467078</v>
      </c>
      <c r="W25" s="151">
        <f t="shared" si="5"/>
        <v>334.45316686467078</v>
      </c>
      <c r="X25" s="151">
        <f t="shared" si="5"/>
        <v>334.45316686467078</v>
      </c>
      <c r="Y25" s="151">
        <f t="shared" si="5"/>
        <v>334.45316686467078</v>
      </c>
      <c r="Z25" s="151">
        <f t="shared" si="9"/>
        <v>334.45316686467078</v>
      </c>
      <c r="AA25" s="151">
        <f t="shared" si="9"/>
        <v>334.45316686467078</v>
      </c>
      <c r="AB25" s="151"/>
      <c r="AC25" s="151"/>
      <c r="AD25" s="151"/>
      <c r="AE25" s="151"/>
    </row>
    <row r="26" spans="2:38">
      <c r="B26" s="24">
        <v>45747</v>
      </c>
      <c r="C26" s="49">
        <v>4144.4028214009522</v>
      </c>
      <c r="D26" s="148">
        <v>3</v>
      </c>
      <c r="E26" s="149">
        <f t="shared" si="6"/>
        <v>12</v>
      </c>
      <c r="F26" s="150">
        <f t="shared" si="8"/>
        <v>46843</v>
      </c>
      <c r="G26" s="210"/>
      <c r="H26" s="211"/>
      <c r="I26" s="151"/>
      <c r="J26" s="151"/>
      <c r="K26" s="151"/>
      <c r="L26" s="151"/>
      <c r="M26" s="151"/>
      <c r="N26" s="151"/>
      <c r="O26" s="151"/>
      <c r="P26" s="151"/>
      <c r="Q26" s="151">
        <f>$C26/$E26</f>
        <v>345.36690178341269</v>
      </c>
      <c r="R26" s="151">
        <f t="shared" si="5"/>
        <v>345.36690178341269</v>
      </c>
      <c r="S26" s="151">
        <f t="shared" si="5"/>
        <v>345.36690178341269</v>
      </c>
      <c r="T26" s="151">
        <f t="shared" si="5"/>
        <v>345.36690178341269</v>
      </c>
      <c r="U26" s="151">
        <f t="shared" si="5"/>
        <v>345.36690178341269</v>
      </c>
      <c r="V26" s="151">
        <f t="shared" si="5"/>
        <v>345.36690178341269</v>
      </c>
      <c r="W26" s="151">
        <f t="shared" si="5"/>
        <v>345.36690178341269</v>
      </c>
      <c r="X26" s="151">
        <f t="shared" si="5"/>
        <v>345.36690178341269</v>
      </c>
      <c r="Y26" s="151">
        <f t="shared" si="5"/>
        <v>345.36690178341269</v>
      </c>
      <c r="Z26" s="151">
        <f t="shared" si="9"/>
        <v>345.36690178341269</v>
      </c>
      <c r="AA26" s="151">
        <f t="shared" si="9"/>
        <v>345.36690178341269</v>
      </c>
      <c r="AB26" s="151"/>
      <c r="AC26" s="151"/>
      <c r="AD26" s="151"/>
      <c r="AE26" s="151"/>
      <c r="AF26" s="151"/>
    </row>
    <row r="27" spans="2:38">
      <c r="B27" s="24">
        <v>45838</v>
      </c>
      <c r="C27" s="49">
        <v>4517.3990753270373</v>
      </c>
      <c r="D27" s="148">
        <v>3</v>
      </c>
      <c r="E27" s="149">
        <f t="shared" si="6"/>
        <v>12</v>
      </c>
      <c r="F27" s="150">
        <f t="shared" si="8"/>
        <v>46934</v>
      </c>
      <c r="G27" s="210"/>
      <c r="H27" s="211"/>
      <c r="I27" s="151"/>
      <c r="J27" s="151"/>
      <c r="K27" s="151"/>
      <c r="L27" s="151"/>
      <c r="M27" s="151"/>
      <c r="N27" s="151"/>
      <c r="O27" s="151"/>
      <c r="P27" s="151"/>
      <c r="Q27" s="151"/>
      <c r="R27" s="151">
        <f>$C27/$E27</f>
        <v>376.44992294391977</v>
      </c>
      <c r="S27" s="151">
        <f t="shared" si="5"/>
        <v>376.44992294391977</v>
      </c>
      <c r="T27" s="151">
        <f t="shared" si="5"/>
        <v>376.44992294391977</v>
      </c>
      <c r="U27" s="151">
        <f t="shared" si="5"/>
        <v>376.44992294391977</v>
      </c>
      <c r="V27" s="151">
        <f t="shared" si="5"/>
        <v>376.44992294391977</v>
      </c>
      <c r="W27" s="151">
        <f t="shared" si="5"/>
        <v>376.44992294391977</v>
      </c>
      <c r="X27" s="151">
        <f t="shared" si="5"/>
        <v>376.44992294391977</v>
      </c>
      <c r="Y27" s="151">
        <f t="shared" si="5"/>
        <v>376.44992294391977</v>
      </c>
      <c r="Z27" s="151">
        <f t="shared" si="9"/>
        <v>376.44992294391977</v>
      </c>
      <c r="AA27" s="151">
        <f t="shared" si="9"/>
        <v>376.44992294391977</v>
      </c>
      <c r="AB27" s="151"/>
      <c r="AC27" s="151"/>
      <c r="AD27" s="151"/>
      <c r="AE27" s="151"/>
      <c r="AF27" s="151"/>
      <c r="AG27" s="151"/>
    </row>
    <row r="28" spans="2:38">
      <c r="B28" s="24">
        <v>45930</v>
      </c>
      <c r="C28" s="49">
        <v>4923.964992106472</v>
      </c>
      <c r="D28" s="148">
        <v>3</v>
      </c>
      <c r="E28" s="149">
        <f t="shared" si="6"/>
        <v>12</v>
      </c>
      <c r="F28" s="150">
        <f t="shared" si="8"/>
        <v>47026</v>
      </c>
      <c r="G28" s="210"/>
      <c r="H28" s="21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>
        <f>$C28/$E28</f>
        <v>410.33041600887265</v>
      </c>
      <c r="T28" s="151">
        <f t="shared" si="5"/>
        <v>410.33041600887265</v>
      </c>
      <c r="U28" s="151">
        <f t="shared" si="5"/>
        <v>410.33041600887265</v>
      </c>
      <c r="V28" s="151">
        <f t="shared" si="5"/>
        <v>410.33041600887265</v>
      </c>
      <c r="W28" s="151">
        <f t="shared" si="5"/>
        <v>410.33041600887265</v>
      </c>
      <c r="X28" s="151">
        <f t="shared" si="5"/>
        <v>410.33041600887265</v>
      </c>
      <c r="Y28" s="151">
        <f t="shared" si="5"/>
        <v>410.33041600887265</v>
      </c>
      <c r="Z28" s="151">
        <f t="shared" si="9"/>
        <v>410.33041600887265</v>
      </c>
      <c r="AA28" s="151">
        <f t="shared" si="9"/>
        <v>410.33041600887265</v>
      </c>
      <c r="AB28" s="151"/>
      <c r="AC28" s="151"/>
      <c r="AD28" s="151"/>
      <c r="AE28" s="151"/>
      <c r="AF28" s="151"/>
      <c r="AG28" s="151"/>
      <c r="AH28" s="151"/>
    </row>
    <row r="29" spans="2:38">
      <c r="B29" s="24">
        <v>46022</v>
      </c>
      <c r="C29" s="49">
        <v>5367.121841396056</v>
      </c>
      <c r="D29" s="148">
        <v>3</v>
      </c>
      <c r="E29" s="149">
        <f t="shared" si="6"/>
        <v>12</v>
      </c>
      <c r="F29" s="150">
        <f t="shared" si="8"/>
        <v>47118</v>
      </c>
      <c r="G29" s="210"/>
      <c r="H29" s="21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>
        <f>$C29/$E29</f>
        <v>447.26015344967135</v>
      </c>
      <c r="U29" s="151">
        <f t="shared" si="5"/>
        <v>447.26015344967135</v>
      </c>
      <c r="V29" s="151">
        <f t="shared" si="5"/>
        <v>447.26015344967135</v>
      </c>
      <c r="W29" s="151">
        <f t="shared" si="5"/>
        <v>447.26015344967135</v>
      </c>
      <c r="X29" s="151">
        <f t="shared" si="5"/>
        <v>447.26015344967135</v>
      </c>
      <c r="Y29" s="151">
        <f t="shared" si="5"/>
        <v>447.26015344967135</v>
      </c>
      <c r="Z29" s="151">
        <f t="shared" si="9"/>
        <v>447.26015344967135</v>
      </c>
      <c r="AA29" s="151">
        <f t="shared" si="9"/>
        <v>447.26015344967135</v>
      </c>
      <c r="AB29" s="151"/>
      <c r="AC29" s="151"/>
      <c r="AD29" s="151"/>
      <c r="AE29" s="151"/>
      <c r="AF29" s="151"/>
      <c r="AG29" s="151"/>
      <c r="AH29" s="151"/>
      <c r="AI29" s="151"/>
    </row>
    <row r="30" spans="2:38">
      <c r="B30" s="24">
        <v>46112</v>
      </c>
      <c r="C30" s="49">
        <v>5373.0853101087187</v>
      </c>
      <c r="D30" s="148">
        <v>3</v>
      </c>
      <c r="E30" s="149">
        <f t="shared" si="6"/>
        <v>12</v>
      </c>
      <c r="F30" s="150">
        <f t="shared" si="8"/>
        <v>47208</v>
      </c>
      <c r="G30" s="210"/>
      <c r="H30" s="21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>
        <f>$C30/$E30</f>
        <v>447.75710917572655</v>
      </c>
      <c r="V30" s="151">
        <f t="shared" si="5"/>
        <v>447.75710917572655</v>
      </c>
      <c r="W30" s="151">
        <f t="shared" si="5"/>
        <v>447.75710917572655</v>
      </c>
      <c r="X30" s="151">
        <f t="shared" si="5"/>
        <v>447.75710917572655</v>
      </c>
      <c r="Y30" s="151">
        <f t="shared" si="5"/>
        <v>447.75710917572655</v>
      </c>
      <c r="Z30" s="151">
        <f t="shared" si="9"/>
        <v>447.75710917572655</v>
      </c>
      <c r="AA30" s="151">
        <f t="shared" si="9"/>
        <v>447.75710917572655</v>
      </c>
      <c r="AB30" s="151"/>
      <c r="AC30" s="151"/>
      <c r="AD30" s="151"/>
      <c r="AE30" s="151"/>
      <c r="AF30" s="151"/>
      <c r="AG30" s="151"/>
      <c r="AH30" s="151"/>
      <c r="AI30" s="151"/>
      <c r="AJ30" s="151"/>
    </row>
    <row r="31" spans="2:38">
      <c r="B31" s="24">
        <v>46203</v>
      </c>
      <c r="C31" s="49">
        <v>5695.4704287152417</v>
      </c>
      <c r="D31" s="148">
        <v>3</v>
      </c>
      <c r="E31" s="149">
        <f t="shared" si="6"/>
        <v>12</v>
      </c>
      <c r="F31" s="150">
        <f t="shared" si="8"/>
        <v>47299</v>
      </c>
      <c r="G31" s="210"/>
      <c r="H31" s="21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>
        <f>$C31/$E31</f>
        <v>474.62253572627014</v>
      </c>
      <c r="W31" s="151">
        <f t="shared" si="5"/>
        <v>474.62253572627014</v>
      </c>
      <c r="X31" s="151">
        <f t="shared" si="5"/>
        <v>474.62253572627014</v>
      </c>
      <c r="Y31" s="151">
        <f t="shared" si="5"/>
        <v>474.62253572627014</v>
      </c>
      <c r="Z31" s="151">
        <f t="shared" si="9"/>
        <v>474.62253572627014</v>
      </c>
      <c r="AA31" s="151">
        <f t="shared" si="9"/>
        <v>474.62253572627014</v>
      </c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</row>
    <row r="32" spans="2:38">
      <c r="B32" s="24">
        <v>46295</v>
      </c>
      <c r="C32" s="49">
        <v>6037.1986544381552</v>
      </c>
      <c r="D32" s="148">
        <v>3</v>
      </c>
      <c r="E32" s="149">
        <f t="shared" si="6"/>
        <v>12</v>
      </c>
      <c r="F32" s="150">
        <f t="shared" si="8"/>
        <v>47391</v>
      </c>
      <c r="G32" s="210"/>
      <c r="H32" s="21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>
        <f>$C32/$E32</f>
        <v>503.09988786984627</v>
      </c>
      <c r="X32" s="151">
        <f t="shared" si="5"/>
        <v>503.09988786984627</v>
      </c>
      <c r="Y32" s="151">
        <f t="shared" si="5"/>
        <v>503.09988786984627</v>
      </c>
      <c r="Z32" s="151">
        <f t="shared" si="9"/>
        <v>503.09988786984627</v>
      </c>
      <c r="AA32" s="151">
        <f t="shared" si="9"/>
        <v>503.09988786984627</v>
      </c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</row>
    <row r="33" spans="2:43">
      <c r="B33" s="24">
        <v>46387</v>
      </c>
      <c r="C33" s="49">
        <v>6399.4305737044451</v>
      </c>
      <c r="D33" s="148">
        <v>3</v>
      </c>
      <c r="E33" s="149">
        <f t="shared" si="6"/>
        <v>12</v>
      </c>
      <c r="F33" s="150">
        <f t="shared" si="8"/>
        <v>47483</v>
      </c>
      <c r="G33" s="210"/>
      <c r="H33" s="21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>
        <f>$C33/$E33</f>
        <v>533.28588114203706</v>
      </c>
      <c r="Y33" s="151">
        <f t="shared" si="5"/>
        <v>533.28588114203706</v>
      </c>
      <c r="Z33" s="151">
        <f t="shared" si="9"/>
        <v>533.28588114203706</v>
      </c>
      <c r="AA33" s="151">
        <f t="shared" si="9"/>
        <v>533.28588114203706</v>
      </c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</row>
    <row r="34" spans="2:43">
      <c r="B34" s="24">
        <v>46477</v>
      </c>
      <c r="C34" s="49">
        <v>6384.3730900016108</v>
      </c>
      <c r="D34" s="148">
        <v>3</v>
      </c>
      <c r="E34" s="149">
        <f t="shared" si="6"/>
        <v>12</v>
      </c>
      <c r="F34" s="150">
        <f t="shared" si="8"/>
        <v>47573</v>
      </c>
      <c r="G34" s="210"/>
      <c r="H34" s="21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>
        <f>$C34/$E34</f>
        <v>532.0310908334676</v>
      </c>
      <c r="Z34" s="151">
        <f t="shared" si="5"/>
        <v>532.0310908334676</v>
      </c>
      <c r="AA34" s="151">
        <f t="shared" si="9"/>
        <v>532.0310908334676</v>
      </c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</row>
    <row r="35" spans="2:43">
      <c r="B35" s="24">
        <v>46568</v>
      </c>
      <c r="C35" s="49">
        <v>6767.4354754017077</v>
      </c>
      <c r="D35" s="148">
        <v>3</v>
      </c>
      <c r="E35" s="149">
        <f t="shared" si="6"/>
        <v>12</v>
      </c>
      <c r="F35" s="150">
        <f t="shared" si="8"/>
        <v>47664</v>
      </c>
      <c r="G35" s="210"/>
      <c r="H35" s="21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>
        <f>$C35/$E35</f>
        <v>563.9529562834756</v>
      </c>
      <c r="AA35" s="151">
        <f t="shared" si="5"/>
        <v>563.9529562834756</v>
      </c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</row>
    <row r="36" spans="2:43">
      <c r="B36" s="24">
        <v>46660</v>
      </c>
      <c r="C36" s="49">
        <v>7173.4816039258094</v>
      </c>
      <c r="D36" s="148">
        <v>3</v>
      </c>
      <c r="E36" s="149">
        <f t="shared" si="6"/>
        <v>12</v>
      </c>
      <c r="F36" s="150">
        <f t="shared" si="8"/>
        <v>47756</v>
      </c>
      <c r="G36" s="210"/>
      <c r="H36" s="21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>
        <f>$C36/$E36</f>
        <v>597.79013366048412</v>
      </c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</row>
    <row r="37" spans="2:43">
      <c r="B37" s="24">
        <v>46752</v>
      </c>
      <c r="C37" s="49">
        <v>7603.8905001613575</v>
      </c>
      <c r="D37" s="148">
        <v>3</v>
      </c>
      <c r="E37" s="149">
        <f t="shared" si="6"/>
        <v>12</v>
      </c>
      <c r="F37" s="150">
        <f t="shared" si="8"/>
        <v>47848</v>
      </c>
      <c r="G37" s="210"/>
      <c r="H37" s="21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</row>
    <row r="38" spans="2:43">
      <c r="B38" s="24"/>
      <c r="C38" s="49"/>
      <c r="D38" s="49"/>
      <c r="E38" s="49"/>
      <c r="F38" s="150"/>
      <c r="G38" s="210"/>
      <c r="H38" s="21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</row>
    <row r="39" spans="2:43">
      <c r="B39" s="62" t="s">
        <v>215</v>
      </c>
      <c r="C39" s="152"/>
      <c r="D39" s="152"/>
      <c r="E39" s="152"/>
      <c r="F39" s="152"/>
      <c r="G39" s="212"/>
      <c r="H39" s="213">
        <f>SUM(H17:H38)</f>
        <v>617.23333333333335</v>
      </c>
      <c r="I39" s="153">
        <f t="shared" ref="I39:AA39" si="10">SUM(I17:I38)</f>
        <v>755.56575048333332</v>
      </c>
      <c r="J39" s="153">
        <f t="shared" si="10"/>
        <v>916.03135437733329</v>
      </c>
      <c r="K39" s="153">
        <f t="shared" si="10"/>
        <v>1102.1714548943733</v>
      </c>
      <c r="L39" s="153">
        <f t="shared" si="10"/>
        <v>1318.0939714941396</v>
      </c>
      <c r="M39" s="153">
        <f t="shared" si="10"/>
        <v>1549.8867930639888</v>
      </c>
      <c r="N39" s="153">
        <f t="shared" si="10"/>
        <v>1811.8126814379184</v>
      </c>
      <c r="O39" s="153">
        <f t="shared" si="10"/>
        <v>2107.7889353004589</v>
      </c>
      <c r="P39" s="153">
        <f t="shared" si="10"/>
        <v>2442.2421021651298</v>
      </c>
      <c r="Q39" s="153">
        <f t="shared" si="10"/>
        <v>2787.6090039485425</v>
      </c>
      <c r="R39" s="153">
        <f t="shared" si="10"/>
        <v>3164.0589268924623</v>
      </c>
      <c r="S39" s="153">
        <f t="shared" si="10"/>
        <v>3574.3893429013351</v>
      </c>
      <c r="T39" s="153">
        <f t="shared" si="10"/>
        <v>3404.4161630176727</v>
      </c>
      <c r="U39" s="153">
        <f t="shared" si="10"/>
        <v>3713.8408550433996</v>
      </c>
      <c r="V39" s="153">
        <f t="shared" si="10"/>
        <v>4027.9977868756696</v>
      </c>
      <c r="W39" s="153">
        <f t="shared" si="10"/>
        <v>4344.957574228476</v>
      </c>
      <c r="X39" s="153">
        <f t="shared" si="10"/>
        <v>4662.3209387707475</v>
      </c>
      <c r="Y39" s="153">
        <f t="shared" si="10"/>
        <v>4962.5592080343658</v>
      </c>
      <c r="Z39" s="153">
        <f t="shared" si="10"/>
        <v>5264.5862759439124</v>
      </c>
      <c r="AA39" s="153">
        <f t="shared" si="10"/>
        <v>5566.4001557418542</v>
      </c>
    </row>
    <row r="40" spans="2:43">
      <c r="B40" s="24"/>
      <c r="C40" s="54"/>
      <c r="D40" s="54"/>
      <c r="G40" s="210"/>
      <c r="H40" s="274"/>
      <c r="I40" s="23"/>
      <c r="J40" s="23"/>
      <c r="K40" s="23"/>
      <c r="L40" s="46"/>
      <c r="M40" s="46"/>
      <c r="N40" s="46"/>
      <c r="O40" s="46"/>
      <c r="P40" s="23"/>
      <c r="Q40" s="44"/>
      <c r="R40" s="44"/>
      <c r="S40" s="44"/>
      <c r="T40" s="44"/>
      <c r="U40" s="44"/>
      <c r="V40" s="44"/>
      <c r="W40" s="44"/>
      <c r="X40" s="44"/>
      <c r="Y40" s="44"/>
      <c r="Z40" s="46"/>
      <c r="AA40" s="46"/>
    </row>
    <row r="41" spans="2:43">
      <c r="B41" s="24"/>
      <c r="C41" s="54"/>
      <c r="D41" s="54"/>
      <c r="G41" s="210"/>
      <c r="H41" s="214"/>
      <c r="I41" s="23"/>
      <c r="J41" s="23"/>
      <c r="K41" s="23"/>
      <c r="L41" s="46"/>
      <c r="M41" s="46"/>
      <c r="N41" s="46"/>
      <c r="O41" s="46"/>
      <c r="P41" s="23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6"/>
    </row>
    <row r="44" spans="2:43" s="23" customFormat="1" ht="14.35" customHeight="1">
      <c r="B44" s="52" t="s">
        <v>112</v>
      </c>
      <c r="C44" s="51"/>
      <c r="D44" s="51"/>
      <c r="E44" s="51"/>
      <c r="F44" s="51"/>
      <c r="G44" s="203"/>
      <c r="H44" s="204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spans="2:43" s="23" customFormat="1" ht="14.35" customHeight="1">
      <c r="B45" s="61" t="s">
        <v>54</v>
      </c>
      <c r="C45" s="41"/>
      <c r="D45" s="41"/>
      <c r="E45" s="41"/>
      <c r="F45" s="41"/>
      <c r="G45" s="74"/>
      <c r="H45" s="75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43" s="23" customFormat="1" ht="14.35" customHeight="1">
      <c r="B46" s="24" t="s">
        <v>113</v>
      </c>
      <c r="C46" s="41"/>
      <c r="D46" s="41"/>
      <c r="E46" s="41"/>
      <c r="F46" s="41"/>
      <c r="H46" s="81">
        <f>+G49</f>
        <v>2955.4586779238598</v>
      </c>
      <c r="I46" s="41">
        <f t="shared" ref="I46:AA46" si="11">+H49</f>
        <v>3417.7317036591667</v>
      </c>
      <c r="J46" s="41">
        <f t="shared" si="11"/>
        <v>3947.1097849539387</v>
      </c>
      <c r="K46" s="41">
        <f t="shared" si="11"/>
        <v>4554.3297306976901</v>
      </c>
      <c r="L46" s="41">
        <f t="shared" si="11"/>
        <v>5251.8462392022575</v>
      </c>
      <c r="M46" s="41">
        <f t="shared" si="11"/>
        <v>5974.3017983740974</v>
      </c>
      <c r="N46" s="41">
        <f t="shared" si="11"/>
        <v>6778.7388186485377</v>
      </c>
      <c r="O46" s="41">
        <f t="shared" si="11"/>
        <v>7675.8148899689158</v>
      </c>
      <c r="P46" s="41">
        <f t="shared" si="11"/>
        <v>8677.5730889712031</v>
      </c>
      <c r="Q46" s="41">
        <f t="shared" si="11"/>
        <v>9657.8910796976379</v>
      </c>
      <c r="R46" s="41">
        <f t="shared" si="11"/>
        <v>10699.454134340333</v>
      </c>
      <c r="S46" s="41">
        <f t="shared" si="11"/>
        <v>11807.774308651749</v>
      </c>
      <c r="T46" s="41">
        <f t="shared" si="11"/>
        <v>12988.859743402072</v>
      </c>
      <c r="U46" s="41">
        <f t="shared" si="11"/>
        <v>14079.151367002112</v>
      </c>
      <c r="V46" s="41">
        <f t="shared" si="11"/>
        <v>15189.35501263373</v>
      </c>
      <c r="W46" s="41">
        <f t="shared" si="11"/>
        <v>16320.665401618822</v>
      </c>
      <c r="X46" s="41">
        <f t="shared" si="11"/>
        <v>17474.348938558596</v>
      </c>
      <c r="Y46" s="41">
        <f t="shared" si="11"/>
        <v>18512.089850986551</v>
      </c>
      <c r="Z46" s="41">
        <f t="shared" si="11"/>
        <v>19573.572650842951</v>
      </c>
      <c r="AA46" s="41">
        <f t="shared" si="11"/>
        <v>20660.221851373499</v>
      </c>
    </row>
    <row r="47" spans="2:43" s="23" customFormat="1" ht="14.35" customHeight="1">
      <c r="B47" s="24" t="s">
        <v>115</v>
      </c>
      <c r="C47" s="41"/>
      <c r="D47" s="41"/>
      <c r="E47" s="41"/>
      <c r="F47" s="41"/>
      <c r="G47" s="74"/>
      <c r="H47" s="81">
        <f>H52*H53</f>
        <v>610.04595963149995</v>
      </c>
      <c r="I47" s="41">
        <f t="shared" ref="I47:AA47" si="12">I52*I53</f>
        <v>707.65331317253981</v>
      </c>
      <c r="J47" s="41">
        <f t="shared" si="12"/>
        <v>820.87784328014629</v>
      </c>
      <c r="K47" s="41">
        <f t="shared" si="12"/>
        <v>952.21829820496953</v>
      </c>
      <c r="L47" s="41">
        <f t="shared" si="12"/>
        <v>1024.7682637824912</v>
      </c>
      <c r="M47" s="41">
        <f t="shared" si="12"/>
        <v>1157.9881380742152</v>
      </c>
      <c r="N47" s="41">
        <f t="shared" si="12"/>
        <v>1308.5265960238635</v>
      </c>
      <c r="O47" s="41">
        <f t="shared" si="12"/>
        <v>1478.6350535069657</v>
      </c>
      <c r="P47" s="41">
        <f t="shared" si="12"/>
        <v>1531.1265979064631</v>
      </c>
      <c r="Q47" s="41">
        <f t="shared" si="12"/>
        <v>1668.9279917180447</v>
      </c>
      <c r="R47" s="41">
        <f t="shared" si="12"/>
        <v>1819.131510972669</v>
      </c>
      <c r="S47" s="41">
        <f t="shared" si="12"/>
        <v>1982.8533469602096</v>
      </c>
      <c r="T47" s="41">
        <f t="shared" si="12"/>
        <v>1991.2022031579368</v>
      </c>
      <c r="U47" s="41">
        <f t="shared" si="12"/>
        <v>2110.6743353474126</v>
      </c>
      <c r="V47" s="41">
        <f t="shared" si="12"/>
        <v>2237.3147954682572</v>
      </c>
      <c r="W47" s="41">
        <f t="shared" si="12"/>
        <v>2371.5536831963527</v>
      </c>
      <c r="X47" s="41">
        <f t="shared" si="12"/>
        <v>2374.1887428443492</v>
      </c>
      <c r="Y47" s="41">
        <f t="shared" si="12"/>
        <v>2516.6400674150104</v>
      </c>
      <c r="Z47" s="41">
        <f t="shared" si="12"/>
        <v>2667.6384714599108</v>
      </c>
      <c r="AA47" s="41">
        <f t="shared" si="12"/>
        <v>2827.6967797475049</v>
      </c>
    </row>
    <row r="48" spans="2:43" s="23" customFormat="1" ht="14.35" customHeight="1">
      <c r="B48" s="24" t="s">
        <v>114</v>
      </c>
      <c r="C48" s="41"/>
      <c r="D48" s="41"/>
      <c r="E48" s="41"/>
      <c r="F48" s="41"/>
      <c r="G48" s="74"/>
      <c r="H48" s="81">
        <f>-H78</f>
        <v>-147.772933896193</v>
      </c>
      <c r="I48" s="41">
        <f t="shared" ref="I48:AA48" si="13">-I78</f>
        <v>-178.27523187776799</v>
      </c>
      <c r="J48" s="41">
        <f t="shared" si="13"/>
        <v>-213.65789753639498</v>
      </c>
      <c r="K48" s="41">
        <f t="shared" si="13"/>
        <v>-254.70178970040229</v>
      </c>
      <c r="L48" s="41">
        <f t="shared" si="13"/>
        <v>-302.31270461065077</v>
      </c>
      <c r="M48" s="41">
        <f t="shared" si="13"/>
        <v>-353.55111779977534</v>
      </c>
      <c r="N48" s="41">
        <f t="shared" si="13"/>
        <v>-411.45052470348611</v>
      </c>
      <c r="O48" s="41">
        <f t="shared" si="13"/>
        <v>-476.87685450467927</v>
      </c>
      <c r="P48" s="41">
        <f t="shared" si="13"/>
        <v>-550.80860718002759</v>
      </c>
      <c r="Q48" s="41">
        <f t="shared" si="13"/>
        <v>-627.36493707535078</v>
      </c>
      <c r="R48" s="41">
        <f t="shared" si="13"/>
        <v>-710.81133666125299</v>
      </c>
      <c r="S48" s="41">
        <f t="shared" si="13"/>
        <v>-801.76791220988639</v>
      </c>
      <c r="T48" s="41">
        <f t="shared" si="13"/>
        <v>-900.91057955789688</v>
      </c>
      <c r="U48" s="41">
        <f t="shared" si="13"/>
        <v>-1000.4706897157937</v>
      </c>
      <c r="V48" s="41">
        <f t="shared" si="13"/>
        <v>-1106.0044064831643</v>
      </c>
      <c r="W48" s="41">
        <f t="shared" si="13"/>
        <v>-1217.8701462565771</v>
      </c>
      <c r="X48" s="41">
        <f t="shared" si="13"/>
        <v>-1336.4478304163947</v>
      </c>
      <c r="Y48" s="41">
        <f t="shared" si="13"/>
        <v>-1455.1572675586121</v>
      </c>
      <c r="Z48" s="41">
        <f t="shared" si="13"/>
        <v>-1580.9892709293626</v>
      </c>
      <c r="AA48" s="41">
        <f t="shared" si="13"/>
        <v>-1714.3711945023581</v>
      </c>
    </row>
    <row r="49" spans="2:32" s="23" customFormat="1" ht="14.35" customHeight="1">
      <c r="B49" s="62" t="s">
        <v>213</v>
      </c>
      <c r="C49" s="94"/>
      <c r="D49" s="94"/>
      <c r="E49" s="94"/>
      <c r="F49" s="94"/>
      <c r="G49" s="209">
        <f>Model!N53</f>
        <v>2955.4586779238598</v>
      </c>
      <c r="H49" s="95">
        <f>SUM(H46:H48)</f>
        <v>3417.7317036591667</v>
      </c>
      <c r="I49" s="94">
        <f t="shared" ref="I49:AA49" si="14">SUM(I46:I48)</f>
        <v>3947.1097849539387</v>
      </c>
      <c r="J49" s="94">
        <f t="shared" si="14"/>
        <v>4554.3297306976901</v>
      </c>
      <c r="K49" s="94">
        <f t="shared" si="14"/>
        <v>5251.8462392022575</v>
      </c>
      <c r="L49" s="94">
        <f t="shared" si="14"/>
        <v>5974.3017983740974</v>
      </c>
      <c r="M49" s="94">
        <f t="shared" si="14"/>
        <v>6778.7388186485377</v>
      </c>
      <c r="N49" s="94">
        <f t="shared" si="14"/>
        <v>7675.8148899689158</v>
      </c>
      <c r="O49" s="94">
        <f t="shared" si="14"/>
        <v>8677.5730889712031</v>
      </c>
      <c r="P49" s="94">
        <f t="shared" si="14"/>
        <v>9657.8910796976379</v>
      </c>
      <c r="Q49" s="94">
        <f t="shared" si="14"/>
        <v>10699.454134340333</v>
      </c>
      <c r="R49" s="94">
        <f t="shared" si="14"/>
        <v>11807.774308651749</v>
      </c>
      <c r="S49" s="94">
        <f t="shared" si="14"/>
        <v>12988.859743402072</v>
      </c>
      <c r="T49" s="94">
        <f t="shared" si="14"/>
        <v>14079.151367002112</v>
      </c>
      <c r="U49" s="94">
        <f t="shared" si="14"/>
        <v>15189.35501263373</v>
      </c>
      <c r="V49" s="94">
        <f t="shared" si="14"/>
        <v>16320.665401618822</v>
      </c>
      <c r="W49" s="94">
        <f t="shared" si="14"/>
        <v>17474.348938558596</v>
      </c>
      <c r="X49" s="94">
        <f t="shared" si="14"/>
        <v>18512.089850986551</v>
      </c>
      <c r="Y49" s="94">
        <f t="shared" si="14"/>
        <v>19573.572650842951</v>
      </c>
      <c r="Z49" s="94">
        <f t="shared" si="14"/>
        <v>20660.221851373499</v>
      </c>
      <c r="AA49" s="94">
        <f t="shared" si="14"/>
        <v>21773.547436618646</v>
      </c>
    </row>
    <row r="50" spans="2:32" s="23" customFormat="1" ht="14.35" customHeight="1">
      <c r="B50" s="64"/>
      <c r="C50" s="146"/>
      <c r="D50" s="146"/>
      <c r="E50" s="146"/>
      <c r="F50" s="146"/>
      <c r="G50" s="87"/>
      <c r="H50" s="205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2:32">
      <c r="B51" s="16" t="s">
        <v>214</v>
      </c>
      <c r="C51" s="146"/>
      <c r="D51" s="146"/>
      <c r="E51" s="146"/>
      <c r="F51" s="146"/>
      <c r="G51" s="206"/>
      <c r="H51" s="205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</row>
    <row r="52" spans="2:32">
      <c r="B52" s="2" t="s">
        <v>155</v>
      </c>
      <c r="C52" s="39"/>
      <c r="D52" s="39"/>
      <c r="E52" s="39"/>
      <c r="F52" s="39"/>
      <c r="G52" s="74"/>
      <c r="H52" s="75">
        <f>Model!O21</f>
        <v>8714.9422804499991</v>
      </c>
      <c r="I52" s="39">
        <f>Model!P21</f>
        <v>10109.333045321997</v>
      </c>
      <c r="J52" s="39">
        <f>Model!Q21</f>
        <v>11726.826332573517</v>
      </c>
      <c r="K52" s="39">
        <f>Model!R21</f>
        <v>13603.118545785277</v>
      </c>
      <c r="L52" s="39">
        <f>Model!S21</f>
        <v>14639.54662546416</v>
      </c>
      <c r="M52" s="39">
        <f>Model!T21</f>
        <v>16542.687686774501</v>
      </c>
      <c r="N52" s="39">
        <f>Model!U21</f>
        <v>18693.237086055189</v>
      </c>
      <c r="O52" s="39">
        <f>Model!V21</f>
        <v>21123.357907242367</v>
      </c>
      <c r="P52" s="39">
        <f>Model!W21</f>
        <v>21873.237112949471</v>
      </c>
      <c r="Q52" s="39">
        <f>Model!X21</f>
        <v>23841.828453114922</v>
      </c>
      <c r="R52" s="39">
        <f>Model!Y21</f>
        <v>25987.593013895268</v>
      </c>
      <c r="S52" s="39">
        <f>Model!Z21</f>
        <v>28326.476385145848</v>
      </c>
      <c r="T52" s="39">
        <f>Model!AA21</f>
        <v>28445.745759399095</v>
      </c>
      <c r="U52" s="39">
        <f>Model!AB21</f>
        <v>30152.490504963036</v>
      </c>
      <c r="V52" s="39">
        <f>Model!AC21</f>
        <v>31961.639935260817</v>
      </c>
      <c r="W52" s="39">
        <f>Model!AD21</f>
        <v>33879.338331376464</v>
      </c>
      <c r="X52" s="39">
        <f>Model!AE21</f>
        <v>33916.982040633557</v>
      </c>
      <c r="Y52" s="39">
        <f>Model!AF21</f>
        <v>35952.000963071572</v>
      </c>
      <c r="Z52" s="39">
        <f>Model!AG21</f>
        <v>38109.121020855862</v>
      </c>
      <c r="AA52" s="39">
        <f>Model!AH21</f>
        <v>40395.66828210721</v>
      </c>
    </row>
    <row r="53" spans="2:32">
      <c r="B53" s="41" t="s">
        <v>230</v>
      </c>
      <c r="C53" s="55"/>
      <c r="D53" s="55"/>
      <c r="E53" s="55"/>
      <c r="F53" s="55"/>
      <c r="G53" s="282"/>
      <c r="H53" s="323">
        <v>7.0000000000000007E-2</v>
      </c>
      <c r="I53" s="324">
        <f t="shared" ref="I53:AA53" si="15">H53</f>
        <v>7.0000000000000007E-2</v>
      </c>
      <c r="J53" s="324">
        <f t="shared" si="15"/>
        <v>7.0000000000000007E-2</v>
      </c>
      <c r="K53" s="324">
        <f t="shared" si="15"/>
        <v>7.0000000000000007E-2</v>
      </c>
      <c r="L53" s="324">
        <f t="shared" si="15"/>
        <v>7.0000000000000007E-2</v>
      </c>
      <c r="M53" s="324">
        <f t="shared" si="15"/>
        <v>7.0000000000000007E-2</v>
      </c>
      <c r="N53" s="324">
        <f t="shared" si="15"/>
        <v>7.0000000000000007E-2</v>
      </c>
      <c r="O53" s="324">
        <f t="shared" si="15"/>
        <v>7.0000000000000007E-2</v>
      </c>
      <c r="P53" s="324">
        <f t="shared" si="15"/>
        <v>7.0000000000000007E-2</v>
      </c>
      <c r="Q53" s="324">
        <f t="shared" si="15"/>
        <v>7.0000000000000007E-2</v>
      </c>
      <c r="R53" s="324">
        <f t="shared" si="15"/>
        <v>7.0000000000000007E-2</v>
      </c>
      <c r="S53" s="324">
        <f t="shared" si="15"/>
        <v>7.0000000000000007E-2</v>
      </c>
      <c r="T53" s="324">
        <f t="shared" si="15"/>
        <v>7.0000000000000007E-2</v>
      </c>
      <c r="U53" s="324">
        <f t="shared" si="15"/>
        <v>7.0000000000000007E-2</v>
      </c>
      <c r="V53" s="324">
        <f t="shared" si="15"/>
        <v>7.0000000000000007E-2</v>
      </c>
      <c r="W53" s="324">
        <f t="shared" si="15"/>
        <v>7.0000000000000007E-2</v>
      </c>
      <c r="X53" s="324">
        <f t="shared" si="15"/>
        <v>7.0000000000000007E-2</v>
      </c>
      <c r="Y53" s="324">
        <f t="shared" si="15"/>
        <v>7.0000000000000007E-2</v>
      </c>
      <c r="Z53" s="324">
        <f t="shared" si="15"/>
        <v>7.0000000000000007E-2</v>
      </c>
      <c r="AA53" s="324">
        <f t="shared" si="15"/>
        <v>7.0000000000000007E-2</v>
      </c>
    </row>
    <row r="54" spans="2:32" s="23" customFormat="1" ht="14.35" customHeight="1">
      <c r="B54" s="192"/>
      <c r="C54" s="146"/>
      <c r="D54" s="146"/>
      <c r="E54" s="146"/>
      <c r="F54" s="146"/>
      <c r="G54" s="87"/>
      <c r="H54" s="88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spans="2:32" s="23" customFormat="1" ht="14.35" customHeight="1">
      <c r="B55" s="16" t="s">
        <v>168</v>
      </c>
      <c r="C55" s="44"/>
      <c r="D55" s="44"/>
      <c r="E55" s="44"/>
      <c r="F55" s="44"/>
      <c r="G55" s="103"/>
      <c r="H55" s="10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2:32" s="23" customFormat="1" ht="14.35" customHeight="1">
      <c r="B56" s="53" t="s">
        <v>4</v>
      </c>
      <c r="C56" s="54" t="s">
        <v>218</v>
      </c>
      <c r="D56" s="54" t="s">
        <v>105</v>
      </c>
      <c r="E56" s="54" t="s">
        <v>106</v>
      </c>
      <c r="F56" s="54" t="s">
        <v>107</v>
      </c>
      <c r="G56" s="210"/>
      <c r="H56" s="10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2:32" s="23" customFormat="1" ht="14.35" customHeight="1">
      <c r="B57" s="24" cm="1">
        <f t="array" ref="B57:B77">TRANSPOSE(G3:AA3)</f>
        <v>44926</v>
      </c>
      <c r="C57" s="154">
        <f>G49</f>
        <v>2955.4586779238598</v>
      </c>
      <c r="D57" s="148">
        <v>5</v>
      </c>
      <c r="E57" s="149">
        <f>+D57*4</f>
        <v>20</v>
      </c>
      <c r="F57" s="150">
        <f>EOMONTH(B57, 12*D57)</f>
        <v>46752</v>
      </c>
      <c r="G57" s="85"/>
      <c r="H57" s="211">
        <f>$C57/$E57</f>
        <v>147.772933896193</v>
      </c>
      <c r="I57" s="151">
        <f t="shared" ref="I57:AA75" si="16">$C57/$E57</f>
        <v>147.772933896193</v>
      </c>
      <c r="J57" s="151">
        <f t="shared" si="16"/>
        <v>147.772933896193</v>
      </c>
      <c r="K57" s="151">
        <f t="shared" si="16"/>
        <v>147.772933896193</v>
      </c>
      <c r="L57" s="151">
        <f t="shared" si="16"/>
        <v>147.772933896193</v>
      </c>
      <c r="M57" s="151">
        <f t="shared" si="16"/>
        <v>147.772933896193</v>
      </c>
      <c r="N57" s="151">
        <f t="shared" si="16"/>
        <v>147.772933896193</v>
      </c>
      <c r="O57" s="151">
        <f t="shared" si="16"/>
        <v>147.772933896193</v>
      </c>
      <c r="P57" s="151">
        <f t="shared" si="16"/>
        <v>147.772933896193</v>
      </c>
      <c r="Q57" s="151">
        <f t="shared" si="16"/>
        <v>147.772933896193</v>
      </c>
      <c r="R57" s="151">
        <f t="shared" si="16"/>
        <v>147.772933896193</v>
      </c>
      <c r="S57" s="151">
        <f t="shared" si="16"/>
        <v>147.772933896193</v>
      </c>
      <c r="T57" s="151">
        <f t="shared" si="16"/>
        <v>147.772933896193</v>
      </c>
      <c r="U57" s="151">
        <f t="shared" si="16"/>
        <v>147.772933896193</v>
      </c>
      <c r="V57" s="151">
        <f t="shared" si="16"/>
        <v>147.772933896193</v>
      </c>
      <c r="W57" s="151">
        <f t="shared" si="16"/>
        <v>147.772933896193</v>
      </c>
      <c r="X57" s="151">
        <f t="shared" si="16"/>
        <v>147.772933896193</v>
      </c>
      <c r="Y57" s="151">
        <f t="shared" si="16"/>
        <v>147.772933896193</v>
      </c>
      <c r="Z57" s="151">
        <f t="shared" si="16"/>
        <v>147.772933896193</v>
      </c>
      <c r="AA57" s="151">
        <f t="shared" si="16"/>
        <v>147.772933896193</v>
      </c>
    </row>
    <row r="58" spans="2:32" s="23" customFormat="1" ht="14.35" customHeight="1">
      <c r="B58" s="24">
        <v>45016</v>
      </c>
      <c r="C58" s="49" cm="1">
        <f t="array" ref="C58:C77">TRANSPOSE(H47:AA47)</f>
        <v>610.04595963149995</v>
      </c>
      <c r="D58" s="148">
        <v>5</v>
      </c>
      <c r="E58" s="149">
        <f t="shared" ref="E58:E77" si="17">+D58*4</f>
        <v>20</v>
      </c>
      <c r="F58" s="150">
        <f t="shared" ref="F58:F77" si="18">EOMONTH(B58, 12*D58)</f>
        <v>46843</v>
      </c>
      <c r="G58" s="210"/>
      <c r="H58" s="211"/>
      <c r="I58" s="151">
        <f>$C58/$E58</f>
        <v>30.502297981574998</v>
      </c>
      <c r="J58" s="151">
        <f t="shared" si="16"/>
        <v>30.502297981574998</v>
      </c>
      <c r="K58" s="151">
        <f t="shared" si="16"/>
        <v>30.502297981574998</v>
      </c>
      <c r="L58" s="151">
        <f t="shared" si="16"/>
        <v>30.502297981574998</v>
      </c>
      <c r="M58" s="151">
        <f t="shared" si="16"/>
        <v>30.502297981574998</v>
      </c>
      <c r="N58" s="151">
        <f t="shared" si="16"/>
        <v>30.502297981574998</v>
      </c>
      <c r="O58" s="151">
        <f t="shared" si="16"/>
        <v>30.502297981574998</v>
      </c>
      <c r="P58" s="151">
        <f t="shared" si="16"/>
        <v>30.502297981574998</v>
      </c>
      <c r="Q58" s="151">
        <f t="shared" si="16"/>
        <v>30.502297981574998</v>
      </c>
      <c r="R58" s="151">
        <f t="shared" si="16"/>
        <v>30.502297981574998</v>
      </c>
      <c r="S58" s="151">
        <f t="shared" si="16"/>
        <v>30.502297981574998</v>
      </c>
      <c r="T58" s="151">
        <f t="shared" si="16"/>
        <v>30.502297981574998</v>
      </c>
      <c r="U58" s="151">
        <f t="shared" si="16"/>
        <v>30.502297981574998</v>
      </c>
      <c r="V58" s="151">
        <f t="shared" si="16"/>
        <v>30.502297981574998</v>
      </c>
      <c r="W58" s="151">
        <f t="shared" si="16"/>
        <v>30.502297981574998</v>
      </c>
      <c r="X58" s="151">
        <f t="shared" si="16"/>
        <v>30.502297981574998</v>
      </c>
      <c r="Y58" s="151">
        <f t="shared" si="16"/>
        <v>30.502297981574998</v>
      </c>
      <c r="Z58" s="151">
        <f t="shared" si="16"/>
        <v>30.502297981574998</v>
      </c>
      <c r="AA58" s="151">
        <f t="shared" si="16"/>
        <v>30.502297981574998</v>
      </c>
      <c r="AB58" s="151"/>
    </row>
    <row r="59" spans="2:32" s="23" customFormat="1" ht="14.35" customHeight="1">
      <c r="B59" s="24">
        <v>45107</v>
      </c>
      <c r="C59" s="49">
        <v>707.65331317253981</v>
      </c>
      <c r="D59" s="148">
        <v>5</v>
      </c>
      <c r="E59" s="149">
        <f t="shared" si="17"/>
        <v>20</v>
      </c>
      <c r="F59" s="150">
        <f t="shared" si="18"/>
        <v>46934</v>
      </c>
      <c r="G59" s="210"/>
      <c r="H59" s="211"/>
      <c r="I59" s="151"/>
      <c r="J59" s="151">
        <f>$C59/$E59</f>
        <v>35.382665658626991</v>
      </c>
      <c r="K59" s="151">
        <f t="shared" si="16"/>
        <v>35.382665658626991</v>
      </c>
      <c r="L59" s="151">
        <f t="shared" si="16"/>
        <v>35.382665658626991</v>
      </c>
      <c r="M59" s="151">
        <f t="shared" si="16"/>
        <v>35.382665658626991</v>
      </c>
      <c r="N59" s="151">
        <f t="shared" si="16"/>
        <v>35.382665658626991</v>
      </c>
      <c r="O59" s="151">
        <f t="shared" si="16"/>
        <v>35.382665658626991</v>
      </c>
      <c r="P59" s="151">
        <f t="shared" si="16"/>
        <v>35.382665658626991</v>
      </c>
      <c r="Q59" s="151">
        <f t="shared" si="16"/>
        <v>35.382665658626991</v>
      </c>
      <c r="R59" s="151">
        <f t="shared" si="16"/>
        <v>35.382665658626991</v>
      </c>
      <c r="S59" s="151">
        <f t="shared" si="16"/>
        <v>35.382665658626991</v>
      </c>
      <c r="T59" s="151">
        <f t="shared" si="16"/>
        <v>35.382665658626991</v>
      </c>
      <c r="U59" s="151">
        <f t="shared" si="16"/>
        <v>35.382665658626991</v>
      </c>
      <c r="V59" s="151">
        <f t="shared" si="16"/>
        <v>35.382665658626991</v>
      </c>
      <c r="W59" s="151">
        <f t="shared" si="16"/>
        <v>35.382665658626991</v>
      </c>
      <c r="X59" s="151">
        <f t="shared" si="16"/>
        <v>35.382665658626991</v>
      </c>
      <c r="Y59" s="151">
        <f t="shared" ref="Y59:AA74" si="19">$C59/$E59</f>
        <v>35.382665658626991</v>
      </c>
      <c r="Z59" s="151">
        <f t="shared" si="16"/>
        <v>35.382665658626991</v>
      </c>
      <c r="AA59" s="151">
        <f t="shared" si="16"/>
        <v>35.382665658626991</v>
      </c>
      <c r="AB59" s="151"/>
      <c r="AC59" s="151"/>
    </row>
    <row r="60" spans="2:32" s="23" customFormat="1" ht="14.35" customHeight="1">
      <c r="B60" s="24">
        <v>45199</v>
      </c>
      <c r="C60" s="49">
        <v>820.87784328014629</v>
      </c>
      <c r="D60" s="148">
        <v>5</v>
      </c>
      <c r="E60" s="149">
        <f t="shared" si="17"/>
        <v>20</v>
      </c>
      <c r="F60" s="150">
        <f t="shared" si="18"/>
        <v>47026</v>
      </c>
      <c r="G60" s="85"/>
      <c r="H60" s="211"/>
      <c r="I60" s="151"/>
      <c r="J60" s="151"/>
      <c r="K60" s="151">
        <f>$C60/$E60</f>
        <v>41.043892164007318</v>
      </c>
      <c r="L60" s="151">
        <f t="shared" si="16"/>
        <v>41.043892164007318</v>
      </c>
      <c r="M60" s="151">
        <f t="shared" si="16"/>
        <v>41.043892164007318</v>
      </c>
      <c r="N60" s="151">
        <f t="shared" si="16"/>
        <v>41.043892164007318</v>
      </c>
      <c r="O60" s="151">
        <f t="shared" si="16"/>
        <v>41.043892164007318</v>
      </c>
      <c r="P60" s="151">
        <f t="shared" si="16"/>
        <v>41.043892164007318</v>
      </c>
      <c r="Q60" s="151">
        <f t="shared" si="16"/>
        <v>41.043892164007318</v>
      </c>
      <c r="R60" s="151">
        <f t="shared" si="16"/>
        <v>41.043892164007318</v>
      </c>
      <c r="S60" s="151">
        <f t="shared" si="16"/>
        <v>41.043892164007318</v>
      </c>
      <c r="T60" s="151">
        <f t="shared" si="16"/>
        <v>41.043892164007318</v>
      </c>
      <c r="U60" s="151">
        <f t="shared" si="16"/>
        <v>41.043892164007318</v>
      </c>
      <c r="V60" s="151">
        <f t="shared" si="16"/>
        <v>41.043892164007318</v>
      </c>
      <c r="W60" s="151">
        <f t="shared" si="16"/>
        <v>41.043892164007318</v>
      </c>
      <c r="X60" s="151">
        <f t="shared" si="16"/>
        <v>41.043892164007318</v>
      </c>
      <c r="Y60" s="151">
        <f t="shared" si="19"/>
        <v>41.043892164007318</v>
      </c>
      <c r="Z60" s="151">
        <f t="shared" si="19"/>
        <v>41.043892164007318</v>
      </c>
      <c r="AA60" s="151">
        <f t="shared" si="16"/>
        <v>41.043892164007318</v>
      </c>
      <c r="AB60" s="151"/>
      <c r="AC60" s="151"/>
      <c r="AD60" s="151"/>
    </row>
    <row r="61" spans="2:32" s="23" customFormat="1" ht="14.35" customHeight="1">
      <c r="B61" s="24">
        <v>45291</v>
      </c>
      <c r="C61" s="49">
        <v>952.21829820496953</v>
      </c>
      <c r="D61" s="148">
        <v>5</v>
      </c>
      <c r="E61" s="149">
        <f t="shared" si="17"/>
        <v>20</v>
      </c>
      <c r="F61" s="150">
        <f t="shared" si="18"/>
        <v>47118</v>
      </c>
      <c r="G61" s="210"/>
      <c r="H61" s="211"/>
      <c r="I61" s="151"/>
      <c r="J61" s="151"/>
      <c r="K61" s="151"/>
      <c r="L61" s="151">
        <f>$C61/$E61</f>
        <v>47.610914910248475</v>
      </c>
      <c r="M61" s="151">
        <f t="shared" si="16"/>
        <v>47.610914910248475</v>
      </c>
      <c r="N61" s="151">
        <f t="shared" si="16"/>
        <v>47.610914910248475</v>
      </c>
      <c r="O61" s="151">
        <f t="shared" si="16"/>
        <v>47.610914910248475</v>
      </c>
      <c r="P61" s="151">
        <f t="shared" si="16"/>
        <v>47.610914910248475</v>
      </c>
      <c r="Q61" s="151">
        <f t="shared" si="16"/>
        <v>47.610914910248475</v>
      </c>
      <c r="R61" s="151">
        <f t="shared" si="16"/>
        <v>47.610914910248475</v>
      </c>
      <c r="S61" s="151">
        <f t="shared" si="16"/>
        <v>47.610914910248475</v>
      </c>
      <c r="T61" s="151">
        <f t="shared" si="16"/>
        <v>47.610914910248475</v>
      </c>
      <c r="U61" s="151">
        <f t="shared" si="16"/>
        <v>47.610914910248475</v>
      </c>
      <c r="V61" s="151">
        <f t="shared" si="16"/>
        <v>47.610914910248475</v>
      </c>
      <c r="W61" s="151">
        <f t="shared" si="16"/>
        <v>47.610914910248475</v>
      </c>
      <c r="X61" s="151">
        <f t="shared" si="16"/>
        <v>47.610914910248475</v>
      </c>
      <c r="Y61" s="151">
        <f t="shared" si="19"/>
        <v>47.610914910248475</v>
      </c>
      <c r="Z61" s="151">
        <f t="shared" si="19"/>
        <v>47.610914910248475</v>
      </c>
      <c r="AA61" s="151">
        <f t="shared" si="19"/>
        <v>47.610914910248475</v>
      </c>
      <c r="AB61" s="46"/>
      <c r="AC61" s="46"/>
    </row>
    <row r="62" spans="2:32" s="23" customFormat="1" ht="14.35" customHeight="1">
      <c r="B62" s="24">
        <v>45382</v>
      </c>
      <c r="C62" s="49">
        <v>1024.7682637824912</v>
      </c>
      <c r="D62" s="148">
        <v>5</v>
      </c>
      <c r="E62" s="149">
        <f t="shared" si="17"/>
        <v>20</v>
      </c>
      <c r="F62" s="150">
        <f t="shared" si="18"/>
        <v>47208</v>
      </c>
      <c r="G62" s="210"/>
      <c r="H62" s="211"/>
      <c r="I62" s="151"/>
      <c r="J62" s="151"/>
      <c r="K62" s="151"/>
      <c r="L62" s="151"/>
      <c r="M62" s="151">
        <f>$C62/$E62</f>
        <v>51.238413189124557</v>
      </c>
      <c r="N62" s="151">
        <f t="shared" si="16"/>
        <v>51.238413189124557</v>
      </c>
      <c r="O62" s="151">
        <f t="shared" si="16"/>
        <v>51.238413189124557</v>
      </c>
      <c r="P62" s="151">
        <f t="shared" si="16"/>
        <v>51.238413189124557</v>
      </c>
      <c r="Q62" s="151">
        <f t="shared" si="16"/>
        <v>51.238413189124557</v>
      </c>
      <c r="R62" s="151">
        <f t="shared" si="16"/>
        <v>51.238413189124557</v>
      </c>
      <c r="S62" s="151">
        <f t="shared" si="16"/>
        <v>51.238413189124557</v>
      </c>
      <c r="T62" s="151">
        <f t="shared" si="16"/>
        <v>51.238413189124557</v>
      </c>
      <c r="U62" s="151">
        <f t="shared" si="16"/>
        <v>51.238413189124557</v>
      </c>
      <c r="V62" s="151">
        <f t="shared" si="16"/>
        <v>51.238413189124557</v>
      </c>
      <c r="W62" s="151">
        <f t="shared" si="16"/>
        <v>51.238413189124557</v>
      </c>
      <c r="X62" s="151">
        <f t="shared" si="16"/>
        <v>51.238413189124557</v>
      </c>
      <c r="Y62" s="151">
        <f t="shared" si="19"/>
        <v>51.238413189124557</v>
      </c>
      <c r="Z62" s="151">
        <f t="shared" si="19"/>
        <v>51.238413189124557</v>
      </c>
      <c r="AA62" s="151">
        <f t="shared" si="19"/>
        <v>51.238413189124557</v>
      </c>
      <c r="AB62" s="151"/>
      <c r="AC62" s="46"/>
      <c r="AD62" s="46"/>
    </row>
    <row r="63" spans="2:32" s="23" customFormat="1" ht="14.35" customHeight="1">
      <c r="B63" s="24">
        <v>45473</v>
      </c>
      <c r="C63" s="49">
        <v>1157.9881380742152</v>
      </c>
      <c r="D63" s="148">
        <v>5</v>
      </c>
      <c r="E63" s="149">
        <f t="shared" si="17"/>
        <v>20</v>
      </c>
      <c r="F63" s="150">
        <f t="shared" si="18"/>
        <v>47299</v>
      </c>
      <c r="G63" s="210"/>
      <c r="H63" s="211"/>
      <c r="I63" s="151"/>
      <c r="J63" s="151"/>
      <c r="K63" s="151"/>
      <c r="L63" s="151"/>
      <c r="M63" s="151"/>
      <c r="N63" s="151">
        <f>$C63/$E63</f>
        <v>57.899406903710755</v>
      </c>
      <c r="O63" s="151">
        <f t="shared" si="16"/>
        <v>57.899406903710755</v>
      </c>
      <c r="P63" s="151">
        <f t="shared" si="16"/>
        <v>57.899406903710755</v>
      </c>
      <c r="Q63" s="151">
        <f t="shared" si="16"/>
        <v>57.899406903710755</v>
      </c>
      <c r="R63" s="151">
        <f t="shared" si="16"/>
        <v>57.899406903710755</v>
      </c>
      <c r="S63" s="151">
        <f t="shared" si="16"/>
        <v>57.899406903710755</v>
      </c>
      <c r="T63" s="151">
        <f t="shared" si="16"/>
        <v>57.899406903710755</v>
      </c>
      <c r="U63" s="151">
        <f t="shared" si="16"/>
        <v>57.899406903710755</v>
      </c>
      <c r="V63" s="151">
        <f t="shared" si="16"/>
        <v>57.899406903710755</v>
      </c>
      <c r="W63" s="151">
        <f t="shared" si="16"/>
        <v>57.899406903710755</v>
      </c>
      <c r="X63" s="151">
        <f t="shared" si="16"/>
        <v>57.899406903710755</v>
      </c>
      <c r="Y63" s="151">
        <f t="shared" si="19"/>
        <v>57.899406903710755</v>
      </c>
      <c r="Z63" s="151">
        <f t="shared" si="19"/>
        <v>57.899406903710755</v>
      </c>
      <c r="AA63" s="151">
        <f t="shared" si="19"/>
        <v>57.899406903710755</v>
      </c>
      <c r="AB63" s="151"/>
      <c r="AC63" s="151"/>
      <c r="AD63" s="46"/>
      <c r="AE63" s="46"/>
    </row>
    <row r="64" spans="2:32" s="23" customFormat="1" ht="14.35" customHeight="1">
      <c r="B64" s="24">
        <v>45565</v>
      </c>
      <c r="C64" s="49">
        <v>1308.5265960238635</v>
      </c>
      <c r="D64" s="148">
        <v>5</v>
      </c>
      <c r="E64" s="149">
        <f t="shared" si="17"/>
        <v>20</v>
      </c>
      <c r="F64" s="150">
        <f t="shared" si="18"/>
        <v>47391</v>
      </c>
      <c r="G64" s="210"/>
      <c r="H64" s="211"/>
      <c r="I64" s="151"/>
      <c r="J64" s="151"/>
      <c r="K64" s="151"/>
      <c r="L64" s="151"/>
      <c r="M64" s="151"/>
      <c r="N64" s="151"/>
      <c r="O64" s="151">
        <f>$C64/$E64</f>
        <v>65.426329801193177</v>
      </c>
      <c r="P64" s="151">
        <f t="shared" si="16"/>
        <v>65.426329801193177</v>
      </c>
      <c r="Q64" s="151">
        <f t="shared" si="16"/>
        <v>65.426329801193177</v>
      </c>
      <c r="R64" s="151">
        <f t="shared" si="16"/>
        <v>65.426329801193177</v>
      </c>
      <c r="S64" s="151">
        <f t="shared" si="16"/>
        <v>65.426329801193177</v>
      </c>
      <c r="T64" s="151">
        <f t="shared" si="16"/>
        <v>65.426329801193177</v>
      </c>
      <c r="U64" s="151">
        <f t="shared" si="16"/>
        <v>65.426329801193177</v>
      </c>
      <c r="V64" s="151">
        <f t="shared" si="16"/>
        <v>65.426329801193177</v>
      </c>
      <c r="W64" s="151">
        <f t="shared" si="16"/>
        <v>65.426329801193177</v>
      </c>
      <c r="X64" s="151">
        <f t="shared" si="16"/>
        <v>65.426329801193177</v>
      </c>
      <c r="Y64" s="151">
        <f t="shared" si="19"/>
        <v>65.426329801193177</v>
      </c>
      <c r="Z64" s="151">
        <f t="shared" si="19"/>
        <v>65.426329801193177</v>
      </c>
      <c r="AA64" s="151">
        <f t="shared" si="19"/>
        <v>65.426329801193177</v>
      </c>
      <c r="AB64" s="151"/>
      <c r="AC64" s="151"/>
      <c r="AD64" s="151"/>
      <c r="AE64" s="46"/>
      <c r="AF64" s="46"/>
    </row>
    <row r="65" spans="2:43" s="23" customFormat="1" ht="14.35" customHeight="1">
      <c r="B65" s="24">
        <v>45657</v>
      </c>
      <c r="C65" s="49">
        <v>1478.6350535069657</v>
      </c>
      <c r="D65" s="148">
        <v>5</v>
      </c>
      <c r="E65" s="149">
        <f t="shared" si="17"/>
        <v>20</v>
      </c>
      <c r="F65" s="150">
        <f t="shared" si="18"/>
        <v>47483</v>
      </c>
      <c r="G65" s="210"/>
      <c r="H65" s="211"/>
      <c r="I65" s="151"/>
      <c r="J65" s="151"/>
      <c r="K65" s="151"/>
      <c r="L65" s="151"/>
      <c r="M65" s="151"/>
      <c r="N65" s="151"/>
      <c r="O65" s="151"/>
      <c r="P65" s="151">
        <f>$C65/$E65</f>
        <v>73.931752675348292</v>
      </c>
      <c r="Q65" s="151">
        <f t="shared" si="16"/>
        <v>73.931752675348292</v>
      </c>
      <c r="R65" s="151">
        <f t="shared" si="16"/>
        <v>73.931752675348292</v>
      </c>
      <c r="S65" s="151">
        <f t="shared" si="16"/>
        <v>73.931752675348292</v>
      </c>
      <c r="T65" s="151">
        <f t="shared" si="16"/>
        <v>73.931752675348292</v>
      </c>
      <c r="U65" s="151">
        <f t="shared" si="16"/>
        <v>73.931752675348292</v>
      </c>
      <c r="V65" s="151">
        <f t="shared" si="16"/>
        <v>73.931752675348292</v>
      </c>
      <c r="W65" s="151">
        <f t="shared" si="16"/>
        <v>73.931752675348292</v>
      </c>
      <c r="X65" s="151">
        <f t="shared" si="16"/>
        <v>73.931752675348292</v>
      </c>
      <c r="Y65" s="151">
        <f t="shared" si="19"/>
        <v>73.931752675348292</v>
      </c>
      <c r="Z65" s="151">
        <f t="shared" si="19"/>
        <v>73.931752675348292</v>
      </c>
      <c r="AA65" s="151">
        <f t="shared" si="19"/>
        <v>73.931752675348292</v>
      </c>
      <c r="AB65" s="151"/>
      <c r="AC65" s="151"/>
      <c r="AD65" s="151"/>
      <c r="AE65" s="151"/>
      <c r="AF65" s="46"/>
      <c r="AG65" s="46"/>
    </row>
    <row r="66" spans="2:43" s="23" customFormat="1" ht="14.35" customHeight="1">
      <c r="B66" s="24">
        <v>45747</v>
      </c>
      <c r="C66" s="49">
        <v>1531.1265979064631</v>
      </c>
      <c r="D66" s="148">
        <v>5</v>
      </c>
      <c r="E66" s="149">
        <f t="shared" si="17"/>
        <v>20</v>
      </c>
      <c r="F66" s="150">
        <f t="shared" si="18"/>
        <v>47573</v>
      </c>
      <c r="G66" s="210"/>
      <c r="H66" s="211"/>
      <c r="I66" s="151"/>
      <c r="J66" s="151"/>
      <c r="K66" s="151"/>
      <c r="L66" s="151"/>
      <c r="M66" s="151"/>
      <c r="N66" s="151"/>
      <c r="O66" s="151"/>
      <c r="P66" s="151"/>
      <c r="Q66" s="151">
        <f>$C66/$E66</f>
        <v>76.556329895323159</v>
      </c>
      <c r="R66" s="151">
        <f t="shared" si="16"/>
        <v>76.556329895323159</v>
      </c>
      <c r="S66" s="151">
        <f t="shared" si="16"/>
        <v>76.556329895323159</v>
      </c>
      <c r="T66" s="151">
        <f t="shared" si="16"/>
        <v>76.556329895323159</v>
      </c>
      <c r="U66" s="151">
        <f t="shared" si="16"/>
        <v>76.556329895323159</v>
      </c>
      <c r="V66" s="151">
        <f t="shared" si="16"/>
        <v>76.556329895323159</v>
      </c>
      <c r="W66" s="151">
        <f t="shared" si="16"/>
        <v>76.556329895323159</v>
      </c>
      <c r="X66" s="151">
        <f t="shared" si="16"/>
        <v>76.556329895323159</v>
      </c>
      <c r="Y66" s="151">
        <f t="shared" si="19"/>
        <v>76.556329895323159</v>
      </c>
      <c r="Z66" s="151">
        <f t="shared" si="19"/>
        <v>76.556329895323159</v>
      </c>
      <c r="AA66" s="151">
        <f t="shared" si="19"/>
        <v>76.556329895323159</v>
      </c>
      <c r="AB66" s="151"/>
      <c r="AC66" s="151"/>
      <c r="AD66" s="151"/>
      <c r="AE66" s="151"/>
      <c r="AF66" s="151"/>
    </row>
    <row r="67" spans="2:43" s="23" customFormat="1" ht="14.35" customHeight="1">
      <c r="B67" s="24">
        <v>45838</v>
      </c>
      <c r="C67" s="49">
        <v>1668.9279917180447</v>
      </c>
      <c r="D67" s="148">
        <v>5</v>
      </c>
      <c r="E67" s="149">
        <f t="shared" si="17"/>
        <v>20</v>
      </c>
      <c r="F67" s="150">
        <f t="shared" si="18"/>
        <v>47664</v>
      </c>
      <c r="G67" s="210"/>
      <c r="H67" s="211"/>
      <c r="I67" s="151"/>
      <c r="J67" s="151"/>
      <c r="K67" s="151"/>
      <c r="L67" s="151"/>
      <c r="M67" s="151"/>
      <c r="N67" s="151"/>
      <c r="O67" s="151"/>
      <c r="P67" s="151"/>
      <c r="Q67" s="151"/>
      <c r="R67" s="151">
        <f>$C67/$E67</f>
        <v>83.446399585902242</v>
      </c>
      <c r="S67" s="151">
        <f t="shared" si="16"/>
        <v>83.446399585902242</v>
      </c>
      <c r="T67" s="151">
        <f t="shared" si="16"/>
        <v>83.446399585902242</v>
      </c>
      <c r="U67" s="151">
        <f t="shared" si="16"/>
        <v>83.446399585902242</v>
      </c>
      <c r="V67" s="151">
        <f t="shared" si="16"/>
        <v>83.446399585902242</v>
      </c>
      <c r="W67" s="151">
        <f t="shared" si="16"/>
        <v>83.446399585902242</v>
      </c>
      <c r="X67" s="151">
        <f t="shared" si="16"/>
        <v>83.446399585902242</v>
      </c>
      <c r="Y67" s="151">
        <f t="shared" si="19"/>
        <v>83.446399585902242</v>
      </c>
      <c r="Z67" s="151">
        <f t="shared" si="19"/>
        <v>83.446399585902242</v>
      </c>
      <c r="AA67" s="151">
        <f t="shared" si="19"/>
        <v>83.446399585902242</v>
      </c>
      <c r="AB67" s="151"/>
      <c r="AC67" s="151"/>
      <c r="AD67" s="151"/>
      <c r="AE67" s="151"/>
      <c r="AF67" s="151"/>
      <c r="AG67" s="151"/>
    </row>
    <row r="68" spans="2:43" s="23" customFormat="1" ht="14.35" customHeight="1">
      <c r="B68" s="24">
        <v>45930</v>
      </c>
      <c r="C68" s="49">
        <v>1819.131510972669</v>
      </c>
      <c r="D68" s="148">
        <v>5</v>
      </c>
      <c r="E68" s="149">
        <f t="shared" si="17"/>
        <v>20</v>
      </c>
      <c r="F68" s="150">
        <f t="shared" si="18"/>
        <v>47756</v>
      </c>
      <c r="G68" s="210"/>
      <c r="H68" s="21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>
        <f>$C68/$E68</f>
        <v>90.956575548633452</v>
      </c>
      <c r="T68" s="151">
        <f t="shared" si="16"/>
        <v>90.956575548633452</v>
      </c>
      <c r="U68" s="151">
        <f t="shared" si="16"/>
        <v>90.956575548633452</v>
      </c>
      <c r="V68" s="151">
        <f t="shared" si="16"/>
        <v>90.956575548633452</v>
      </c>
      <c r="W68" s="151">
        <f t="shared" si="16"/>
        <v>90.956575548633452</v>
      </c>
      <c r="X68" s="151">
        <f t="shared" si="16"/>
        <v>90.956575548633452</v>
      </c>
      <c r="Y68" s="151">
        <f t="shared" si="19"/>
        <v>90.956575548633452</v>
      </c>
      <c r="Z68" s="151">
        <f t="shared" si="19"/>
        <v>90.956575548633452</v>
      </c>
      <c r="AA68" s="151">
        <f t="shared" si="19"/>
        <v>90.956575548633452</v>
      </c>
      <c r="AB68" s="151"/>
      <c r="AC68" s="151"/>
      <c r="AD68" s="151"/>
      <c r="AE68" s="151"/>
      <c r="AF68" s="151"/>
      <c r="AG68" s="151"/>
      <c r="AH68" s="151"/>
    </row>
    <row r="69" spans="2:43" s="23" customFormat="1" ht="14.35" customHeight="1">
      <c r="B69" s="24">
        <v>46022</v>
      </c>
      <c r="C69" s="49">
        <v>1982.8533469602096</v>
      </c>
      <c r="D69" s="148">
        <v>5</v>
      </c>
      <c r="E69" s="149">
        <f t="shared" si="17"/>
        <v>20</v>
      </c>
      <c r="F69" s="150">
        <f t="shared" si="18"/>
        <v>47848</v>
      </c>
      <c r="G69" s="210"/>
      <c r="H69" s="21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>
        <f>$C69/$E69</f>
        <v>99.142667348010477</v>
      </c>
      <c r="U69" s="151">
        <f t="shared" si="16"/>
        <v>99.142667348010477</v>
      </c>
      <c r="V69" s="151">
        <f t="shared" si="16"/>
        <v>99.142667348010477</v>
      </c>
      <c r="W69" s="151">
        <f t="shared" si="16"/>
        <v>99.142667348010477</v>
      </c>
      <c r="X69" s="151">
        <f t="shared" si="16"/>
        <v>99.142667348010477</v>
      </c>
      <c r="Y69" s="151">
        <f t="shared" si="19"/>
        <v>99.142667348010477</v>
      </c>
      <c r="Z69" s="151">
        <f t="shared" si="19"/>
        <v>99.142667348010477</v>
      </c>
      <c r="AA69" s="151">
        <f t="shared" si="19"/>
        <v>99.142667348010477</v>
      </c>
      <c r="AB69" s="151"/>
      <c r="AC69" s="151"/>
      <c r="AD69" s="151"/>
      <c r="AE69" s="151"/>
      <c r="AF69" s="151"/>
      <c r="AG69" s="151"/>
      <c r="AH69" s="151"/>
      <c r="AI69" s="151"/>
    </row>
    <row r="70" spans="2:43" s="23" customFormat="1" ht="14.35" customHeight="1">
      <c r="B70" s="24">
        <v>46112</v>
      </c>
      <c r="C70" s="49">
        <v>1991.2022031579368</v>
      </c>
      <c r="D70" s="148">
        <v>5</v>
      </c>
      <c r="E70" s="149">
        <f t="shared" si="17"/>
        <v>20</v>
      </c>
      <c r="F70" s="150">
        <f t="shared" si="18"/>
        <v>47938</v>
      </c>
      <c r="G70" s="210"/>
      <c r="H70" s="21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>
        <f>$C70/$E70</f>
        <v>99.560110157896844</v>
      </c>
      <c r="V70" s="151">
        <f t="shared" si="16"/>
        <v>99.560110157896844</v>
      </c>
      <c r="W70" s="151">
        <f t="shared" si="16"/>
        <v>99.560110157896844</v>
      </c>
      <c r="X70" s="151">
        <f t="shared" si="16"/>
        <v>99.560110157896844</v>
      </c>
      <c r="Y70" s="151">
        <f t="shared" si="19"/>
        <v>99.560110157896844</v>
      </c>
      <c r="Z70" s="151">
        <f t="shared" si="19"/>
        <v>99.560110157896844</v>
      </c>
      <c r="AA70" s="151">
        <f t="shared" si="19"/>
        <v>99.560110157896844</v>
      </c>
      <c r="AB70" s="151"/>
      <c r="AC70" s="151"/>
      <c r="AD70" s="151"/>
      <c r="AE70" s="151"/>
      <c r="AF70" s="151"/>
      <c r="AG70" s="151"/>
      <c r="AH70" s="151"/>
      <c r="AI70" s="151"/>
      <c r="AJ70" s="151"/>
    </row>
    <row r="71" spans="2:43" s="23" customFormat="1" ht="14.35" customHeight="1">
      <c r="B71" s="24">
        <v>46203</v>
      </c>
      <c r="C71" s="49">
        <v>2110.6743353474126</v>
      </c>
      <c r="D71" s="148">
        <v>5</v>
      </c>
      <c r="E71" s="149">
        <f t="shared" si="17"/>
        <v>20</v>
      </c>
      <c r="F71" s="150">
        <f t="shared" si="18"/>
        <v>48029</v>
      </c>
      <c r="G71" s="210"/>
      <c r="H71" s="21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>
        <f>$C71/$E71</f>
        <v>105.53371676737063</v>
      </c>
      <c r="W71" s="151">
        <f t="shared" si="16"/>
        <v>105.53371676737063</v>
      </c>
      <c r="X71" s="151">
        <f t="shared" si="16"/>
        <v>105.53371676737063</v>
      </c>
      <c r="Y71" s="151">
        <f t="shared" si="19"/>
        <v>105.53371676737063</v>
      </c>
      <c r="Z71" s="151">
        <f t="shared" si="19"/>
        <v>105.53371676737063</v>
      </c>
      <c r="AA71" s="151">
        <f t="shared" si="19"/>
        <v>105.53371676737063</v>
      </c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</row>
    <row r="72" spans="2:43" s="23" customFormat="1" ht="14.35" customHeight="1">
      <c r="B72" s="24">
        <v>46295</v>
      </c>
      <c r="C72" s="49">
        <v>2237.3147954682572</v>
      </c>
      <c r="D72" s="148">
        <v>5</v>
      </c>
      <c r="E72" s="149">
        <f t="shared" si="17"/>
        <v>20</v>
      </c>
      <c r="F72" s="150">
        <f t="shared" si="18"/>
        <v>48121</v>
      </c>
      <c r="G72" s="210"/>
      <c r="H72" s="21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>
        <f>$C72/$E72</f>
        <v>111.86573977341286</v>
      </c>
      <c r="X72" s="151">
        <f t="shared" si="16"/>
        <v>111.86573977341286</v>
      </c>
      <c r="Y72" s="151">
        <f t="shared" si="19"/>
        <v>111.86573977341286</v>
      </c>
      <c r="Z72" s="151">
        <f t="shared" si="19"/>
        <v>111.86573977341286</v>
      </c>
      <c r="AA72" s="151">
        <f t="shared" si="19"/>
        <v>111.86573977341286</v>
      </c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</row>
    <row r="73" spans="2:43" s="23" customFormat="1" ht="14.35" customHeight="1">
      <c r="B73" s="24">
        <v>46387</v>
      </c>
      <c r="C73" s="49">
        <v>2371.5536831963527</v>
      </c>
      <c r="D73" s="148">
        <v>5</v>
      </c>
      <c r="E73" s="149">
        <f t="shared" si="17"/>
        <v>20</v>
      </c>
      <c r="F73" s="150">
        <f t="shared" si="18"/>
        <v>48213</v>
      </c>
      <c r="G73" s="210"/>
      <c r="H73" s="21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>
        <f>$C73/$E73</f>
        <v>118.57768415981764</v>
      </c>
      <c r="Y73" s="151">
        <f t="shared" si="16"/>
        <v>118.57768415981764</v>
      </c>
      <c r="Z73" s="151">
        <f t="shared" si="19"/>
        <v>118.57768415981764</v>
      </c>
      <c r="AA73" s="151">
        <f t="shared" si="19"/>
        <v>118.57768415981764</v>
      </c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</row>
    <row r="74" spans="2:43" s="23" customFormat="1" ht="14.35" customHeight="1">
      <c r="B74" s="24">
        <v>46477</v>
      </c>
      <c r="C74" s="49">
        <v>2374.1887428443492</v>
      </c>
      <c r="D74" s="148">
        <v>5</v>
      </c>
      <c r="E74" s="149">
        <f t="shared" si="17"/>
        <v>20</v>
      </c>
      <c r="F74" s="150">
        <f t="shared" si="18"/>
        <v>48304</v>
      </c>
      <c r="G74" s="210"/>
      <c r="H74" s="21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>
        <f>$C74/$E74</f>
        <v>118.70943714221747</v>
      </c>
      <c r="Z74" s="151">
        <f t="shared" si="16"/>
        <v>118.70943714221747</v>
      </c>
      <c r="AA74" s="151">
        <f t="shared" si="19"/>
        <v>118.70943714221747</v>
      </c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</row>
    <row r="75" spans="2:43" s="23" customFormat="1" ht="14.35" customHeight="1">
      <c r="B75" s="24">
        <v>46568</v>
      </c>
      <c r="C75" s="49">
        <v>2516.6400674150104</v>
      </c>
      <c r="D75" s="148">
        <v>5</v>
      </c>
      <c r="E75" s="149">
        <f t="shared" si="17"/>
        <v>20</v>
      </c>
      <c r="F75" s="150">
        <f t="shared" si="18"/>
        <v>48395</v>
      </c>
      <c r="G75" s="210"/>
      <c r="H75" s="21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>
        <f>$C75/$E75</f>
        <v>125.83200337075053</v>
      </c>
      <c r="AA75" s="151">
        <f t="shared" si="16"/>
        <v>125.83200337075053</v>
      </c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</row>
    <row r="76" spans="2:43" s="23" customFormat="1" ht="14.35" customHeight="1">
      <c r="B76" s="24">
        <v>46660</v>
      </c>
      <c r="C76" s="49">
        <v>2667.6384714599108</v>
      </c>
      <c r="D76" s="148">
        <v>5</v>
      </c>
      <c r="E76" s="149">
        <f t="shared" si="17"/>
        <v>20</v>
      </c>
      <c r="F76" s="150">
        <f t="shared" si="18"/>
        <v>48487</v>
      </c>
      <c r="G76" s="210"/>
      <c r="H76" s="21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>
        <f>$C76/$E76</f>
        <v>133.38192357299553</v>
      </c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</row>
    <row r="77" spans="2:43" s="23" customFormat="1" ht="14.35" customHeight="1">
      <c r="B77" s="24">
        <v>46752</v>
      </c>
      <c r="C77" s="49">
        <v>2827.6967797475049</v>
      </c>
      <c r="D77" s="148">
        <v>5</v>
      </c>
      <c r="E77" s="149">
        <f t="shared" si="17"/>
        <v>20</v>
      </c>
      <c r="F77" s="150">
        <f t="shared" si="18"/>
        <v>48579</v>
      </c>
      <c r="G77" s="210"/>
      <c r="H77" s="21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</row>
    <row r="78" spans="2:43" s="23" customFormat="1" ht="14.35" customHeight="1">
      <c r="B78" s="62" t="s">
        <v>114</v>
      </c>
      <c r="C78" s="152"/>
      <c r="D78" s="152"/>
      <c r="E78" s="152"/>
      <c r="F78" s="152"/>
      <c r="G78" s="212"/>
      <c r="H78" s="213">
        <f>SUM(H57:H77)</f>
        <v>147.772933896193</v>
      </c>
      <c r="I78" s="153">
        <f t="shared" ref="I78:AA78" si="20">SUM(I57:I77)</f>
        <v>178.27523187776799</v>
      </c>
      <c r="J78" s="153">
        <f t="shared" si="20"/>
        <v>213.65789753639498</v>
      </c>
      <c r="K78" s="153">
        <f t="shared" si="20"/>
        <v>254.70178970040229</v>
      </c>
      <c r="L78" s="153">
        <f t="shared" si="20"/>
        <v>302.31270461065077</v>
      </c>
      <c r="M78" s="153">
        <f t="shared" si="20"/>
        <v>353.55111779977534</v>
      </c>
      <c r="N78" s="153">
        <f t="shared" si="20"/>
        <v>411.45052470348611</v>
      </c>
      <c r="O78" s="153">
        <f t="shared" si="20"/>
        <v>476.87685450467927</v>
      </c>
      <c r="P78" s="153">
        <f t="shared" si="20"/>
        <v>550.80860718002759</v>
      </c>
      <c r="Q78" s="153">
        <f t="shared" si="20"/>
        <v>627.36493707535078</v>
      </c>
      <c r="R78" s="153">
        <f t="shared" si="20"/>
        <v>710.81133666125299</v>
      </c>
      <c r="S78" s="153">
        <f t="shared" si="20"/>
        <v>801.76791220988639</v>
      </c>
      <c r="T78" s="153">
        <f t="shared" si="20"/>
        <v>900.91057955789688</v>
      </c>
      <c r="U78" s="153">
        <f t="shared" si="20"/>
        <v>1000.4706897157937</v>
      </c>
      <c r="V78" s="153">
        <f t="shared" si="20"/>
        <v>1106.0044064831643</v>
      </c>
      <c r="W78" s="153">
        <f t="shared" si="20"/>
        <v>1217.8701462565771</v>
      </c>
      <c r="X78" s="153">
        <f t="shared" si="20"/>
        <v>1336.4478304163947</v>
      </c>
      <c r="Y78" s="153">
        <f t="shared" si="20"/>
        <v>1455.1572675586121</v>
      </c>
      <c r="Z78" s="153">
        <f t="shared" si="20"/>
        <v>1580.9892709293626</v>
      </c>
      <c r="AA78" s="153">
        <f t="shared" si="20"/>
        <v>1714.3711945023581</v>
      </c>
    </row>
    <row r="79" spans="2:43" s="23" customFormat="1" ht="14.35" customHeight="1">
      <c r="B79" s="24"/>
      <c r="C79" s="49"/>
      <c r="D79" s="49"/>
      <c r="E79" s="49"/>
      <c r="F79" s="49"/>
      <c r="G79" s="210"/>
      <c r="H79" s="214"/>
      <c r="L79" s="46"/>
      <c r="M79" s="46"/>
      <c r="N79" s="46"/>
      <c r="O79" s="46"/>
      <c r="Q79" s="44"/>
      <c r="R79" s="44"/>
      <c r="S79" s="44"/>
      <c r="T79" s="44"/>
      <c r="U79" s="44"/>
      <c r="V79" s="44"/>
      <c r="W79" s="44"/>
      <c r="X79" s="44"/>
      <c r="Y79" s="44"/>
      <c r="Z79" s="46"/>
      <c r="AA79" s="46"/>
    </row>
    <row r="80" spans="2:43" s="23" customFormat="1" ht="14.35" customHeight="1">
      <c r="B80" s="24"/>
      <c r="C80" s="49"/>
      <c r="D80" s="49"/>
      <c r="E80" s="49"/>
      <c r="F80" s="49"/>
      <c r="G80" s="210"/>
      <c r="H80" s="214"/>
      <c r="L80" s="46"/>
      <c r="M80" s="46"/>
      <c r="N80" s="46"/>
      <c r="O80" s="46"/>
      <c r="Q80" s="44"/>
      <c r="R80" s="44"/>
      <c r="S80" s="44"/>
      <c r="T80" s="44"/>
      <c r="U80" s="44"/>
      <c r="V80" s="44"/>
      <c r="W80" s="44"/>
      <c r="X80" s="44"/>
      <c r="Y80" s="44"/>
      <c r="Z80" s="46"/>
      <c r="AA80" s="46"/>
    </row>
    <row r="81" spans="2:27" s="23" customFormat="1" ht="14.35" customHeight="1">
      <c r="B81" s="24"/>
      <c r="C81" s="49"/>
      <c r="D81" s="49"/>
      <c r="E81" s="49"/>
      <c r="F81" s="49"/>
      <c r="G81" s="210"/>
      <c r="H81" s="214"/>
      <c r="L81" s="46"/>
      <c r="M81" s="46"/>
      <c r="N81" s="46"/>
      <c r="O81" s="46"/>
      <c r="Q81" s="44"/>
      <c r="R81" s="44"/>
      <c r="S81" s="44"/>
      <c r="T81" s="44"/>
      <c r="U81" s="44"/>
      <c r="V81" s="44"/>
      <c r="W81" s="44"/>
      <c r="X81" s="44"/>
      <c r="Y81" s="44"/>
      <c r="Z81" s="46"/>
      <c r="AA81" s="46"/>
    </row>
    <row r="82" spans="2:27" s="23" customFormat="1" ht="14.35" customHeight="1">
      <c r="B82" s="24"/>
      <c r="C82" s="49"/>
      <c r="D82" s="49"/>
      <c r="E82" s="49"/>
      <c r="F82" s="49"/>
      <c r="G82" s="210"/>
      <c r="H82" s="214"/>
      <c r="L82" s="46"/>
      <c r="M82" s="46"/>
      <c r="N82" s="46"/>
      <c r="O82" s="46"/>
      <c r="Q82" s="44"/>
      <c r="R82" s="44"/>
      <c r="S82" s="44"/>
      <c r="T82" s="44"/>
      <c r="U82" s="44"/>
      <c r="V82" s="44"/>
      <c r="W82" s="44"/>
      <c r="X82" s="44"/>
      <c r="Y82" s="44"/>
      <c r="Z82" s="46"/>
      <c r="AA82" s="46"/>
    </row>
    <row r="83" spans="2:27" s="23" customFormat="1" ht="14.35" customHeight="1">
      <c r="B83" s="24"/>
      <c r="C83" s="49"/>
      <c r="D83" s="49"/>
      <c r="E83" s="49"/>
      <c r="F83" s="49"/>
      <c r="G83" s="210"/>
      <c r="H83" s="214"/>
      <c r="L83" s="46"/>
      <c r="M83" s="46"/>
      <c r="N83" s="46"/>
      <c r="O83" s="46"/>
      <c r="Q83" s="44"/>
      <c r="R83" s="44"/>
      <c r="S83" s="44"/>
      <c r="T83" s="44"/>
      <c r="U83" s="44"/>
      <c r="V83" s="44"/>
      <c r="W83" s="44"/>
      <c r="X83" s="44"/>
      <c r="Y83" s="44"/>
      <c r="Z83" s="46"/>
      <c r="AA83" s="46"/>
    </row>
    <row r="84" spans="2:27" s="23" customFormat="1" ht="14.35" customHeight="1">
      <c r="B84" s="24"/>
      <c r="C84" s="49"/>
      <c r="D84" s="49"/>
      <c r="E84" s="49"/>
      <c r="F84" s="49"/>
      <c r="G84" s="210"/>
      <c r="H84" s="214"/>
      <c r="L84" s="46"/>
      <c r="M84" s="46"/>
      <c r="N84" s="46"/>
      <c r="O84" s="46"/>
      <c r="Q84" s="44"/>
      <c r="R84" s="44"/>
      <c r="S84" s="44"/>
      <c r="T84" s="44"/>
      <c r="U84" s="44"/>
      <c r="V84" s="44"/>
      <c r="W84" s="44"/>
      <c r="X84" s="44"/>
      <c r="Y84" s="44"/>
      <c r="Z84" s="46"/>
      <c r="AA84" s="46"/>
    </row>
    <row r="85" spans="2:27" s="23" customFormat="1" ht="14.35" customHeight="1">
      <c r="B85" s="24"/>
      <c r="C85" s="49"/>
      <c r="D85" s="49"/>
      <c r="E85" s="49"/>
      <c r="F85" s="49"/>
      <c r="G85" s="210"/>
      <c r="H85" s="214"/>
      <c r="L85" s="46"/>
      <c r="M85" s="46"/>
      <c r="N85" s="46"/>
      <c r="O85" s="46"/>
      <c r="Q85" s="44"/>
      <c r="R85" s="44"/>
      <c r="S85" s="44"/>
      <c r="T85" s="44"/>
      <c r="U85" s="44"/>
      <c r="V85" s="44"/>
      <c r="W85" s="44"/>
      <c r="X85" s="44"/>
      <c r="Y85" s="44"/>
      <c r="Z85" s="46"/>
      <c r="AA85" s="46"/>
    </row>
  </sheetData>
  <pageMargins left="0.7" right="0.7" top="0.75" bottom="0.75" header="0.3" footer="0.3"/>
  <pageSetup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D025-F029-41BF-B3A5-B966309D175D}">
  <dimension ref="B1:AH112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4.1328125" style="1" customWidth="1"/>
    <col min="2" max="2" width="28.796875" style="2" customWidth="1"/>
    <col min="3" max="13" width="7.796875" style="2" customWidth="1"/>
    <col min="14" max="14" width="7.796875" style="69" customWidth="1"/>
    <col min="15" max="15" width="8.86328125" style="83" customWidth="1"/>
    <col min="16" max="34" width="8.86328125" style="1" customWidth="1"/>
    <col min="35" max="16384" width="9.1328125" style="1"/>
  </cols>
  <sheetData>
    <row r="1" spans="2:34" s="2" customFormat="1">
      <c r="B1" s="7"/>
      <c r="N1" s="69"/>
      <c r="O1" s="83"/>
    </row>
    <row r="2" spans="2:34" s="178" customFormat="1">
      <c r="B2" s="3" t="s">
        <v>136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71"/>
      <c r="O2" s="72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367" t="s">
        <v>248</v>
      </c>
    </row>
    <row r="3" spans="2:34" s="2" customFormat="1">
      <c r="B3" s="4"/>
      <c r="C3" s="156">
        <f t="shared" ref="C3:N3" si="0">YEAR(C4)</f>
        <v>2020</v>
      </c>
      <c r="D3" s="156">
        <f t="shared" si="0"/>
        <v>2020</v>
      </c>
      <c r="E3" s="156">
        <f t="shared" si="0"/>
        <v>2020</v>
      </c>
      <c r="F3" s="156">
        <f t="shared" si="0"/>
        <v>2020</v>
      </c>
      <c r="G3" s="156">
        <f t="shared" si="0"/>
        <v>2021</v>
      </c>
      <c r="H3" s="156">
        <f t="shared" si="0"/>
        <v>2021</v>
      </c>
      <c r="I3" s="156">
        <f t="shared" si="0"/>
        <v>2021</v>
      </c>
      <c r="J3" s="156">
        <f t="shared" si="0"/>
        <v>2021</v>
      </c>
      <c r="K3" s="156">
        <f t="shared" si="0"/>
        <v>2022</v>
      </c>
      <c r="L3" s="156">
        <f t="shared" si="0"/>
        <v>2022</v>
      </c>
      <c r="M3" s="156">
        <f t="shared" si="0"/>
        <v>2022</v>
      </c>
      <c r="N3" s="340">
        <f t="shared" si="0"/>
        <v>2022</v>
      </c>
      <c r="O3" s="242">
        <f t="shared" ref="O3" si="1">YEAR(O4)</f>
        <v>2023</v>
      </c>
      <c r="P3" s="240">
        <f t="shared" ref="P3" si="2">YEAR(P4)</f>
        <v>2023</v>
      </c>
      <c r="Q3" s="240">
        <f t="shared" ref="Q3" si="3">YEAR(Q4)</f>
        <v>2023</v>
      </c>
      <c r="R3" s="240">
        <f t="shared" ref="R3" si="4">YEAR(R4)</f>
        <v>2023</v>
      </c>
      <c r="S3" s="240">
        <f t="shared" ref="S3" si="5">YEAR(S4)</f>
        <v>2024</v>
      </c>
      <c r="T3" s="240">
        <f t="shared" ref="T3" si="6">YEAR(T4)</f>
        <v>2024</v>
      </c>
      <c r="U3" s="240">
        <f t="shared" ref="U3" si="7">YEAR(U4)</f>
        <v>2024</v>
      </c>
      <c r="V3" s="240">
        <f t="shared" ref="V3" si="8">YEAR(V4)</f>
        <v>2024</v>
      </c>
      <c r="W3" s="240">
        <f t="shared" ref="W3" si="9">YEAR(W4)</f>
        <v>2025</v>
      </c>
      <c r="X3" s="240">
        <f t="shared" ref="X3" si="10">YEAR(X4)</f>
        <v>2025</v>
      </c>
      <c r="Y3" s="240">
        <f t="shared" ref="Y3" si="11">YEAR(Y4)</f>
        <v>2025</v>
      </c>
      <c r="Z3" s="240">
        <f t="shared" ref="Z3" si="12">YEAR(Z4)</f>
        <v>2025</v>
      </c>
      <c r="AA3" s="240">
        <f t="shared" ref="AA3" si="13">YEAR(AA4)</f>
        <v>2026</v>
      </c>
      <c r="AB3" s="240">
        <f t="shared" ref="AB3" si="14">YEAR(AB4)</f>
        <v>2026</v>
      </c>
      <c r="AC3" s="240">
        <f t="shared" ref="AC3" si="15">YEAR(AC4)</f>
        <v>2026</v>
      </c>
      <c r="AD3" s="240">
        <f t="shared" ref="AD3" si="16">YEAR(AD4)</f>
        <v>2026</v>
      </c>
      <c r="AE3" s="240">
        <f t="shared" ref="AE3" si="17">YEAR(AE4)</f>
        <v>2027</v>
      </c>
      <c r="AF3" s="240">
        <f t="shared" ref="AF3" si="18">YEAR(AF4)</f>
        <v>2027</v>
      </c>
      <c r="AG3" s="240">
        <f t="shared" ref="AG3" si="19">YEAR(AG4)</f>
        <v>2027</v>
      </c>
      <c r="AH3" s="240">
        <f t="shared" ref="AH3" si="20">YEAR(AH4)</f>
        <v>2027</v>
      </c>
    </row>
    <row r="4" spans="2:34" s="178" customFormat="1">
      <c r="B4" s="366"/>
      <c r="C4" s="60">
        <f>'ARR Waterfall'!C4</f>
        <v>43921</v>
      </c>
      <c r="D4" s="21">
        <f t="shared" ref="D4:N4" si="21">EOMONTH(C4, 3)</f>
        <v>44012</v>
      </c>
      <c r="E4" s="21">
        <f t="shared" si="21"/>
        <v>44104</v>
      </c>
      <c r="F4" s="21">
        <f t="shared" si="21"/>
        <v>44196</v>
      </c>
      <c r="G4" s="21">
        <f t="shared" si="21"/>
        <v>44286</v>
      </c>
      <c r="H4" s="21">
        <f t="shared" si="21"/>
        <v>44377</v>
      </c>
      <c r="I4" s="21">
        <f t="shared" si="21"/>
        <v>44469</v>
      </c>
      <c r="J4" s="21">
        <f t="shared" si="21"/>
        <v>44561</v>
      </c>
      <c r="K4" s="21">
        <f t="shared" si="21"/>
        <v>44651</v>
      </c>
      <c r="L4" s="21">
        <f t="shared" si="21"/>
        <v>44742</v>
      </c>
      <c r="M4" s="21">
        <f t="shared" si="21"/>
        <v>44834</v>
      </c>
      <c r="N4" s="73">
        <f t="shared" si="21"/>
        <v>44926</v>
      </c>
      <c r="O4" s="243">
        <f>EOMONTH(N4, 3)</f>
        <v>45016</v>
      </c>
      <c r="P4" s="241">
        <f t="shared" ref="P4" si="22">EOMONTH(O4, 3)</f>
        <v>45107</v>
      </c>
      <c r="Q4" s="241">
        <f t="shared" ref="Q4" si="23">EOMONTH(P4, 3)</f>
        <v>45199</v>
      </c>
      <c r="R4" s="241">
        <f t="shared" ref="R4" si="24">EOMONTH(Q4, 3)</f>
        <v>45291</v>
      </c>
      <c r="S4" s="241">
        <f t="shared" ref="S4" si="25">EOMONTH(R4, 3)</f>
        <v>45382</v>
      </c>
      <c r="T4" s="241">
        <f t="shared" ref="T4" si="26">EOMONTH(S4, 3)</f>
        <v>45473</v>
      </c>
      <c r="U4" s="241">
        <f t="shared" ref="U4" si="27">EOMONTH(T4, 3)</f>
        <v>45565</v>
      </c>
      <c r="V4" s="241">
        <f t="shared" ref="V4" si="28">EOMONTH(U4, 3)</f>
        <v>45657</v>
      </c>
      <c r="W4" s="241">
        <f t="shared" ref="W4" si="29">EOMONTH(V4, 3)</f>
        <v>45747</v>
      </c>
      <c r="X4" s="241">
        <f t="shared" ref="X4" si="30">EOMONTH(W4, 3)</f>
        <v>45838</v>
      </c>
      <c r="Y4" s="241">
        <f t="shared" ref="Y4" si="31">EOMONTH(X4, 3)</f>
        <v>45930</v>
      </c>
      <c r="Z4" s="241">
        <f t="shared" ref="Z4" si="32">EOMONTH(Y4, 3)</f>
        <v>46022</v>
      </c>
      <c r="AA4" s="241">
        <f t="shared" ref="AA4" si="33">EOMONTH(Z4, 3)</f>
        <v>46112</v>
      </c>
      <c r="AB4" s="241">
        <f t="shared" ref="AB4" si="34">EOMONTH(AA4, 3)</f>
        <v>46203</v>
      </c>
      <c r="AC4" s="241">
        <f t="shared" ref="AC4" si="35">EOMONTH(AB4, 3)</f>
        <v>46295</v>
      </c>
      <c r="AD4" s="241">
        <f t="shared" ref="AD4" si="36">EOMONTH(AC4, 3)</f>
        <v>46387</v>
      </c>
      <c r="AE4" s="241">
        <f t="shared" ref="AE4" si="37">EOMONTH(AD4, 3)</f>
        <v>46477</v>
      </c>
      <c r="AF4" s="241">
        <f t="shared" ref="AF4" si="38">EOMONTH(AE4, 3)</f>
        <v>46568</v>
      </c>
      <c r="AG4" s="241">
        <f t="shared" ref="AG4" si="39">EOMONTH(AF4, 3)</f>
        <v>46660</v>
      </c>
      <c r="AH4" s="241">
        <f t="shared" ref="AH4" si="40">EOMONTH(AG4, 3)</f>
        <v>46752</v>
      </c>
    </row>
    <row r="5" spans="2:34">
      <c r="B5" s="170" t="str">
        <f>+'ARR Waterfall'!B5</f>
        <v>ARR Build</v>
      </c>
      <c r="C5" s="15"/>
      <c r="D5" s="15"/>
      <c r="E5" s="15"/>
      <c r="F5" s="15"/>
      <c r="G5" s="15"/>
      <c r="H5" s="5"/>
      <c r="I5" s="5"/>
      <c r="J5" s="5"/>
      <c r="K5" s="5"/>
      <c r="L5" s="5"/>
      <c r="M5" s="5"/>
      <c r="N5" s="247"/>
      <c r="O5" s="37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>
      <c r="B6" s="168" t="str">
        <f>+'ARR Waterfall'!B6</f>
        <v>Beginning ARR</v>
      </c>
      <c r="C6" s="39">
        <f>+'ARR Waterfall'!C6</f>
        <v>6783.5742499999997</v>
      </c>
      <c r="D6" s="39">
        <f>+'ARR Waterfall'!D6</f>
        <v>8563.9987499999988</v>
      </c>
      <c r="E6" s="39">
        <f>+'ARR Waterfall'!E6</f>
        <v>10870.4805</v>
      </c>
      <c r="F6" s="39">
        <f>+'ARR Waterfall'!F6</f>
        <v>12868.785999999998</v>
      </c>
      <c r="G6" s="39">
        <f>+'ARR Waterfall'!G6</f>
        <v>17227.513749999998</v>
      </c>
      <c r="H6" s="39">
        <f>+'ARR Waterfall'!H6</f>
        <v>20583.552749999995</v>
      </c>
      <c r="I6" s="39">
        <f>+'ARR Waterfall'!I6</f>
        <v>24832.389999999992</v>
      </c>
      <c r="J6" s="39">
        <f>+'ARR Waterfall'!J6</f>
        <v>30936.947999999993</v>
      </c>
      <c r="K6" s="39">
        <f>+'ARR Waterfall'!K6</f>
        <v>37345.928749999999</v>
      </c>
      <c r="L6" s="39">
        <f>+'ARR Waterfall'!L6</f>
        <v>43417.531750000002</v>
      </c>
      <c r="M6" s="39">
        <f>+'ARR Waterfall'!M6</f>
        <v>51674.50475</v>
      </c>
      <c r="N6" s="74">
        <f>+'ARR Waterfall'!N6</f>
        <v>59276.025499999996</v>
      </c>
      <c r="O6" s="75">
        <f>+'ARR Waterfall'!O6</f>
        <v>71551.250249999997</v>
      </c>
      <c r="P6" s="39">
        <f>+'ARR Waterfall'!P6</f>
        <v>82999.450289999993</v>
      </c>
      <c r="Q6" s="39">
        <f>+'ARR Waterfall'!Q6</f>
        <v>96279.36233639998</v>
      </c>
      <c r="R6" s="39">
        <f>+'ARR Waterfall'!R6</f>
        <v>111684.06031022397</v>
      </c>
      <c r="S6" s="39">
        <f>+'ARR Waterfall'!S6</f>
        <v>129553.50995985979</v>
      </c>
      <c r="T6" s="39">
        <f>+'ARR Waterfall'!T6</f>
        <v>146395.46625464159</v>
      </c>
      <c r="U6" s="39">
        <f>+'ARR Waterfall'!U6</f>
        <v>165426.87686774501</v>
      </c>
      <c r="V6" s="39">
        <f>+'ARR Waterfall'!V6</f>
        <v>186932.37086055189</v>
      </c>
      <c r="W6" s="39">
        <f>+'ARR Waterfall'!W6</f>
        <v>211233.57907242366</v>
      </c>
      <c r="X6" s="39">
        <f>+'ARR Waterfall'!X6</f>
        <v>230244.6011889418</v>
      </c>
      <c r="Y6" s="39">
        <f>+'ARR Waterfall'!Y6</f>
        <v>250966.61529594654</v>
      </c>
      <c r="Z6" s="39">
        <f>+'ARR Waterfall'!Z6</f>
        <v>273553.61067258177</v>
      </c>
      <c r="AA6" s="39">
        <f>+'ARR Waterfall'!AA6</f>
        <v>298173.43563311419</v>
      </c>
      <c r="AB6" s="39">
        <f>+'ARR Waterfall'!AB6</f>
        <v>316063.84177110106</v>
      </c>
      <c r="AC6" s="39">
        <f>+'ARR Waterfall'!AC6</f>
        <v>335027.67227736709</v>
      </c>
      <c r="AD6" s="39">
        <f>+'ARR Waterfall'!AD6</f>
        <v>355129.33261400909</v>
      </c>
      <c r="AE6" s="39">
        <f>+'ARR Waterfall'!AE6</f>
        <v>376437.09257084964</v>
      </c>
      <c r="AF6" s="39">
        <f>+'ARR Waterfall'!AF6</f>
        <v>399023.31812510063</v>
      </c>
      <c r="AG6" s="39">
        <f>+'ARR Waterfall'!AG6</f>
        <v>422964.71721260669</v>
      </c>
      <c r="AH6" s="39">
        <f>+'ARR Waterfall'!AH6</f>
        <v>448342.60024536302</v>
      </c>
    </row>
    <row r="7" spans="2:34">
      <c r="B7" s="168" t="str">
        <f>+'ARR Waterfall'!B7</f>
        <v>New Logo ARR</v>
      </c>
      <c r="C7" s="39">
        <f>+'ARR Waterfall'!C7</f>
        <v>1389.75</v>
      </c>
      <c r="D7" s="39">
        <f>+'ARR Waterfall'!D7</f>
        <v>1457.7</v>
      </c>
      <c r="E7" s="39">
        <f>+'ARR Waterfall'!E7</f>
        <v>1443.9</v>
      </c>
      <c r="F7" s="39">
        <f>+'ARR Waterfall'!F7</f>
        <v>2939.85</v>
      </c>
      <c r="G7" s="39">
        <f>+'ARR Waterfall'!G7</f>
        <v>1869.3</v>
      </c>
      <c r="H7" s="39">
        <f>+'ARR Waterfall'!H7</f>
        <v>2653.5</v>
      </c>
      <c r="I7" s="39">
        <f>+'ARR Waterfall'!I7</f>
        <v>3860.4</v>
      </c>
      <c r="J7" s="39">
        <f>+'ARR Waterfall'!J7</f>
        <v>4150.7250000000004</v>
      </c>
      <c r="K7" s="39">
        <f>+'ARR Waterfall'!K7</f>
        <v>2938.65</v>
      </c>
      <c r="L7" s="39">
        <f>+'ARR Waterfall'!L7</f>
        <v>4775.55</v>
      </c>
      <c r="M7" s="39">
        <f>+'ARR Waterfall'!M7</f>
        <v>4969.3500000000004</v>
      </c>
      <c r="N7" s="74">
        <f>+'ARR Waterfall'!N7</f>
        <v>6157.89</v>
      </c>
      <c r="O7" s="75">
        <f>+'ARR Waterfall'!O7</f>
        <v>8586.1500299999989</v>
      </c>
      <c r="P7" s="39">
        <f>+'ARR Waterfall'!P7</f>
        <v>9959.9340347999987</v>
      </c>
      <c r="Q7" s="39">
        <f>+'ARR Waterfall'!Q7</f>
        <v>11553.523480367998</v>
      </c>
      <c r="R7" s="39">
        <f>+'ARR Waterfall'!R7</f>
        <v>13402.087237226875</v>
      </c>
      <c r="S7" s="39">
        <f>+'ARR Waterfall'!S7</f>
        <v>12955.35099598598</v>
      </c>
      <c r="T7" s="39">
        <f>+'ARR Waterfall'!T7</f>
        <v>14639.54662546416</v>
      </c>
      <c r="U7" s="39">
        <f>+'ARR Waterfall'!U7</f>
        <v>16542.687686774501</v>
      </c>
      <c r="V7" s="39">
        <f>+'ARR Waterfall'!V7</f>
        <v>18693.237086055189</v>
      </c>
      <c r="W7" s="39">
        <f>+'ARR Waterfall'!W7</f>
        <v>16898.686325793893</v>
      </c>
      <c r="X7" s="39">
        <f>+'ARR Waterfall'!X7</f>
        <v>18419.568095115344</v>
      </c>
      <c r="Y7" s="39">
        <f>+'ARR Waterfall'!Y7</f>
        <v>20077.329223675722</v>
      </c>
      <c r="Z7" s="39">
        <f>+'ARR Waterfall'!Z7</f>
        <v>21884.288853806542</v>
      </c>
      <c r="AA7" s="39">
        <f>+'ARR Waterfall'!AA7</f>
        <v>17890.406137986851</v>
      </c>
      <c r="AB7" s="39">
        <f>+'ARR Waterfall'!AB7</f>
        <v>18963.830506266062</v>
      </c>
      <c r="AC7" s="39">
        <f>+'ARR Waterfall'!AC7</f>
        <v>20101.660336642024</v>
      </c>
      <c r="AD7" s="39">
        <f>+'ARR Waterfall'!AD7</f>
        <v>21307.759956840546</v>
      </c>
      <c r="AE7" s="39">
        <f>+'ARR Waterfall'!AE7</f>
        <v>22586.225554250977</v>
      </c>
      <c r="AF7" s="39">
        <f>+'ARR Waterfall'!AF7</f>
        <v>23941.399087506037</v>
      </c>
      <c r="AG7" s="39">
        <f>+'ARR Waterfall'!AG7</f>
        <v>25377.883032756399</v>
      </c>
      <c r="AH7" s="39">
        <f>+'ARR Waterfall'!AH7</f>
        <v>26900.55601472178</v>
      </c>
    </row>
    <row r="8" spans="2:34">
      <c r="B8" s="168" t="str">
        <f>+'ARR Waterfall'!B8</f>
        <v>Upsell ARR</v>
      </c>
      <c r="C8" s="39">
        <f>+'ARR Waterfall'!C8</f>
        <v>575.678</v>
      </c>
      <c r="D8" s="39">
        <f>+'ARR Waterfall'!D8</f>
        <v>994.19100000000003</v>
      </c>
      <c r="E8" s="39">
        <f>+'ARR Waterfall'!E8</f>
        <v>955.39324999999997</v>
      </c>
      <c r="F8" s="39">
        <f>+'ARR Waterfall'!F8</f>
        <v>1583.759</v>
      </c>
      <c r="G8" s="39">
        <f>+'ARR Waterfall'!G8</f>
        <v>1911.3585</v>
      </c>
      <c r="H8" s="39">
        <f>+'ARR Waterfall'!H8</f>
        <v>2160.4279999999999</v>
      </c>
      <c r="I8" s="39">
        <f>+'ARR Waterfall'!I8</f>
        <v>2432.29025</v>
      </c>
      <c r="J8" s="39">
        <f>+'ARR Waterfall'!J8</f>
        <v>2840.8577500000001</v>
      </c>
      <c r="K8" s="39">
        <f>+'ARR Waterfall'!K8</f>
        <v>4008.8319999999999</v>
      </c>
      <c r="L8" s="39">
        <f>+'ARR Waterfall'!L8</f>
        <v>4671.8969999999999</v>
      </c>
      <c r="M8" s="39">
        <f>+'ARR Waterfall'!M8</f>
        <v>4734.5702499999998</v>
      </c>
      <c r="N8" s="74">
        <f>+'ARR Waterfall'!N8</f>
        <v>7403.5810000000001</v>
      </c>
      <c r="O8" s="75">
        <f>+'ARR Waterfall'!O8</f>
        <v>5724.1000199999999</v>
      </c>
      <c r="P8" s="39">
        <f>+'ARR Waterfall'!P8</f>
        <v>6639.9560231999994</v>
      </c>
      <c r="Q8" s="39">
        <f>+'ARR Waterfall'!Q8</f>
        <v>7702.3489869119985</v>
      </c>
      <c r="R8" s="39">
        <f>+'ARR Waterfall'!R8</f>
        <v>8934.7248248179185</v>
      </c>
      <c r="S8" s="39">
        <f>+'ARR Waterfall'!S8</f>
        <v>9068.7456971901865</v>
      </c>
      <c r="T8" s="39">
        <f>+'ARR Waterfall'!T8</f>
        <v>10247.682637824912</v>
      </c>
      <c r="U8" s="39">
        <f>+'ARR Waterfall'!U8</f>
        <v>11579.881380742152</v>
      </c>
      <c r="V8" s="39">
        <f>+'ARR Waterfall'!V8</f>
        <v>13085.265960238634</v>
      </c>
      <c r="W8" s="39">
        <f>+'ARR Waterfall'!W8</f>
        <v>10561.678953621184</v>
      </c>
      <c r="X8" s="39">
        <f>+'ARR Waterfall'!X8</f>
        <v>11512.230059447091</v>
      </c>
      <c r="Y8" s="39">
        <f>+'ARR Waterfall'!Y8</f>
        <v>12548.330764797327</v>
      </c>
      <c r="Z8" s="39">
        <f>+'ARR Waterfall'!Z8</f>
        <v>13677.680533629089</v>
      </c>
      <c r="AA8" s="39">
        <f>+'ARR Waterfall'!AA8</f>
        <v>11926.937425324568</v>
      </c>
      <c r="AB8" s="39">
        <f>+'ARR Waterfall'!AB8</f>
        <v>12642.553670844043</v>
      </c>
      <c r="AC8" s="39">
        <f>+'ARR Waterfall'!AC8</f>
        <v>13401.106891094683</v>
      </c>
      <c r="AD8" s="39">
        <f>+'ARR Waterfall'!AD8</f>
        <v>14205.173304560363</v>
      </c>
      <c r="AE8" s="39">
        <f>+'ARR Waterfall'!AE8</f>
        <v>15057.483702833986</v>
      </c>
      <c r="AF8" s="39">
        <f>+'ARR Waterfall'!AF8</f>
        <v>15960.932725004026</v>
      </c>
      <c r="AG8" s="39">
        <f>+'ARR Waterfall'!AG8</f>
        <v>16918.588688504267</v>
      </c>
      <c r="AH8" s="39">
        <f>+'ARR Waterfall'!AH8</f>
        <v>17933.704009814523</v>
      </c>
    </row>
    <row r="9" spans="2:34">
      <c r="B9" s="168" t="str">
        <f>+'ARR Waterfall'!B9</f>
        <v>Downsell ARR</v>
      </c>
      <c r="C9" s="39">
        <f>+'ARR Waterfall'!C9</f>
        <v>-116.0035</v>
      </c>
      <c r="D9" s="39">
        <f>+'ARR Waterfall'!D9</f>
        <v>-145.40924999999999</v>
      </c>
      <c r="E9" s="39">
        <f>+'ARR Waterfall'!E9</f>
        <v>-189.91524999999999</v>
      </c>
      <c r="F9" s="39">
        <f>+'ARR Waterfall'!F9</f>
        <v>-164.88124999999999</v>
      </c>
      <c r="G9" s="39">
        <f>+'ARR Waterfall'!G9</f>
        <v>-208.328</v>
      </c>
      <c r="H9" s="39">
        <f>+'ARR Waterfall'!H9</f>
        <v>-403.57425000000001</v>
      </c>
      <c r="I9" s="39">
        <f>+'ARR Waterfall'!I9</f>
        <v>-188.13225</v>
      </c>
      <c r="J9" s="39">
        <f>+'ARR Waterfall'!J9</f>
        <v>-271.31824999999998</v>
      </c>
      <c r="K9" s="39">
        <f>+'ARR Waterfall'!K9</f>
        <v>-379.44450000000001</v>
      </c>
      <c r="L9" s="39">
        <f>+'ARR Waterfall'!L9</f>
        <v>-407.09750000000003</v>
      </c>
      <c r="M9" s="39">
        <f>+'ARR Waterfall'!M9</f>
        <v>-880.04100000000005</v>
      </c>
      <c r="N9" s="74">
        <f>+'ARR Waterfall'!N9</f>
        <v>-556.12474999999995</v>
      </c>
      <c r="O9" s="75">
        <f>+'ARR Waterfall'!O9</f>
        <v>-1431.025005</v>
      </c>
      <c r="P9" s="39">
        <f>+'ARR Waterfall'!P9</f>
        <v>-1659.9890057999999</v>
      </c>
      <c r="Q9" s="39">
        <f>+'ARR Waterfall'!Q9</f>
        <v>-1925.5872467279996</v>
      </c>
      <c r="R9" s="39">
        <f>+'ARR Waterfall'!R9</f>
        <v>-2233.6812062044796</v>
      </c>
      <c r="S9" s="39">
        <f>+'ARR Waterfall'!S9</f>
        <v>-2591.070199197196</v>
      </c>
      <c r="T9" s="39">
        <f>+'ARR Waterfall'!T9</f>
        <v>-2927.9093250928318</v>
      </c>
      <c r="U9" s="39">
        <f>+'ARR Waterfall'!U9</f>
        <v>-3308.5375373549005</v>
      </c>
      <c r="V9" s="39">
        <f>+'ARR Waterfall'!V9</f>
        <v>-3738.6474172110379</v>
      </c>
      <c r="W9" s="39">
        <f>+'ARR Waterfall'!W9</f>
        <v>-4224.6715814484733</v>
      </c>
      <c r="X9" s="39">
        <f>+'ARR Waterfall'!X9</f>
        <v>-4604.8920237788361</v>
      </c>
      <c r="Y9" s="39">
        <f>+'ARR Waterfall'!Y9</f>
        <v>-5019.3323059189306</v>
      </c>
      <c r="Z9" s="39">
        <f>+'ARR Waterfall'!Z9</f>
        <v>-5471.0722134516354</v>
      </c>
      <c r="AA9" s="39">
        <f>+'ARR Waterfall'!AA9</f>
        <v>-5963.4687126622839</v>
      </c>
      <c r="AB9" s="39">
        <f>+'ARR Waterfall'!AB9</f>
        <v>-6321.2768354220216</v>
      </c>
      <c r="AC9" s="39">
        <f>+'ARR Waterfall'!AC9</f>
        <v>-6700.5534455473417</v>
      </c>
      <c r="AD9" s="39">
        <f>+'ARR Waterfall'!AD9</f>
        <v>-7102.5866522801816</v>
      </c>
      <c r="AE9" s="39">
        <f>+'ARR Waterfall'!AE9</f>
        <v>-7528.7418514169931</v>
      </c>
      <c r="AF9" s="39">
        <f>+'ARR Waterfall'!AF9</f>
        <v>-7980.466362502013</v>
      </c>
      <c r="AG9" s="39">
        <f>+'ARR Waterfall'!AG9</f>
        <v>-8459.2943442521337</v>
      </c>
      <c r="AH9" s="39">
        <f>+'ARR Waterfall'!AH9</f>
        <v>-8966.8520049072613</v>
      </c>
    </row>
    <row r="10" spans="2:34">
      <c r="B10" s="168" t="str">
        <f>+'ARR Waterfall'!B10</f>
        <v>Churn ARR</v>
      </c>
      <c r="C10" s="39">
        <f>+'ARR Waterfall'!C10</f>
        <v>-69</v>
      </c>
      <c r="D10" s="39">
        <f>+'ARR Waterfall'!D10</f>
        <v>0</v>
      </c>
      <c r="E10" s="39">
        <f>+'ARR Waterfall'!E10</f>
        <v>-211.07249999999999</v>
      </c>
      <c r="F10" s="39">
        <f>+'ARR Waterfall'!F10</f>
        <v>0</v>
      </c>
      <c r="G10" s="39">
        <f>+'ARR Waterfall'!G10</f>
        <v>-216.29150000000001</v>
      </c>
      <c r="H10" s="39">
        <f>+'ARR Waterfall'!H10</f>
        <v>-161.51650000000001</v>
      </c>
      <c r="I10" s="39">
        <f>+'ARR Waterfall'!I10</f>
        <v>0</v>
      </c>
      <c r="J10" s="39">
        <f>+'ARR Waterfall'!J10</f>
        <v>-311.28375</v>
      </c>
      <c r="K10" s="39">
        <f>+'ARR Waterfall'!K10</f>
        <v>-496.43450000000001</v>
      </c>
      <c r="L10" s="39">
        <f>+'ARR Waterfall'!L10</f>
        <v>-783.37649999999996</v>
      </c>
      <c r="M10" s="39">
        <f>+'ARR Waterfall'!M10</f>
        <v>-1222.3585</v>
      </c>
      <c r="N10" s="74">
        <f>+'ARR Waterfall'!N10</f>
        <v>-730.12149999999997</v>
      </c>
      <c r="O10" s="75">
        <f>+'ARR Waterfall'!O10</f>
        <v>-1431.025005</v>
      </c>
      <c r="P10" s="39">
        <f>+'ARR Waterfall'!P10</f>
        <v>-1659.9890057999999</v>
      </c>
      <c r="Q10" s="39">
        <f>+'ARR Waterfall'!Q10</f>
        <v>-1925.5872467279996</v>
      </c>
      <c r="R10" s="39">
        <f>+'ARR Waterfall'!R10</f>
        <v>-2233.6812062044796</v>
      </c>
      <c r="S10" s="39">
        <f>+'ARR Waterfall'!S10</f>
        <v>-2591.070199197196</v>
      </c>
      <c r="T10" s="39">
        <f>+'ARR Waterfall'!T10</f>
        <v>-2927.9093250928318</v>
      </c>
      <c r="U10" s="39">
        <f>+'ARR Waterfall'!U10</f>
        <v>-3308.5375373549005</v>
      </c>
      <c r="V10" s="39">
        <f>+'ARR Waterfall'!V10</f>
        <v>-3738.6474172110379</v>
      </c>
      <c r="W10" s="39">
        <f>+'ARR Waterfall'!W10</f>
        <v>-4224.6715814484733</v>
      </c>
      <c r="X10" s="39">
        <f>+'ARR Waterfall'!X10</f>
        <v>-4604.8920237788361</v>
      </c>
      <c r="Y10" s="39">
        <f>+'ARR Waterfall'!Y10</f>
        <v>-5019.3323059189306</v>
      </c>
      <c r="Z10" s="39">
        <f>+'ARR Waterfall'!Z10</f>
        <v>-5471.0722134516354</v>
      </c>
      <c r="AA10" s="39">
        <f>+'ARR Waterfall'!AA10</f>
        <v>-5963.4687126622839</v>
      </c>
      <c r="AB10" s="39">
        <f>+'ARR Waterfall'!AB10</f>
        <v>-6321.2768354220216</v>
      </c>
      <c r="AC10" s="39">
        <f>+'ARR Waterfall'!AC10</f>
        <v>-6700.5534455473417</v>
      </c>
      <c r="AD10" s="39">
        <f>+'ARR Waterfall'!AD10</f>
        <v>-7102.5866522801816</v>
      </c>
      <c r="AE10" s="39">
        <f>+'ARR Waterfall'!AE10</f>
        <v>-7528.7418514169931</v>
      </c>
      <c r="AF10" s="39">
        <f>+'ARR Waterfall'!AF10</f>
        <v>-7980.466362502013</v>
      </c>
      <c r="AG10" s="39">
        <f>+'ARR Waterfall'!AG10</f>
        <v>-8459.2943442521337</v>
      </c>
      <c r="AH10" s="39">
        <f>+'ARR Waterfall'!AH10</f>
        <v>-8966.8520049072613</v>
      </c>
    </row>
    <row r="11" spans="2:34">
      <c r="B11" s="169" t="str">
        <f>+'ARR Waterfall'!B11</f>
        <v>Ending ARR</v>
      </c>
      <c r="C11" s="35">
        <f>+'ARR Waterfall'!C11</f>
        <v>8563.9987499999988</v>
      </c>
      <c r="D11" s="35">
        <f>+'ARR Waterfall'!D11</f>
        <v>10870.4805</v>
      </c>
      <c r="E11" s="35">
        <f>+'ARR Waterfall'!E11</f>
        <v>12868.785999999998</v>
      </c>
      <c r="F11" s="35">
        <f>+'ARR Waterfall'!F11</f>
        <v>17227.513749999998</v>
      </c>
      <c r="G11" s="35">
        <f>+'ARR Waterfall'!G11</f>
        <v>20583.552749999995</v>
      </c>
      <c r="H11" s="35">
        <f>+'ARR Waterfall'!H11</f>
        <v>24832.389999999992</v>
      </c>
      <c r="I11" s="35">
        <f>+'ARR Waterfall'!I11</f>
        <v>30936.947999999993</v>
      </c>
      <c r="J11" s="35">
        <f>+'ARR Waterfall'!J11</f>
        <v>37345.928749999999</v>
      </c>
      <c r="K11" s="35">
        <f>+'ARR Waterfall'!K11</f>
        <v>43417.531750000002</v>
      </c>
      <c r="L11" s="35">
        <f>+'ARR Waterfall'!L11</f>
        <v>51674.50475</v>
      </c>
      <c r="M11" s="35">
        <f>+'ARR Waterfall'!M11</f>
        <v>59276.025499999996</v>
      </c>
      <c r="N11" s="341">
        <f>+'ARR Waterfall'!N11</f>
        <v>71551.250249999997</v>
      </c>
      <c r="O11" s="196">
        <f>+'ARR Waterfall'!O11</f>
        <v>82999.450289999993</v>
      </c>
      <c r="P11" s="35">
        <f>+'ARR Waterfall'!P11</f>
        <v>96279.36233639998</v>
      </c>
      <c r="Q11" s="35">
        <f>+'ARR Waterfall'!Q11</f>
        <v>111684.06031022397</v>
      </c>
      <c r="R11" s="35">
        <f>+'ARR Waterfall'!R11</f>
        <v>129553.50995985979</v>
      </c>
      <c r="S11" s="35">
        <f>+'ARR Waterfall'!S11</f>
        <v>146395.46625464159</v>
      </c>
      <c r="T11" s="35">
        <f>+'ARR Waterfall'!T11</f>
        <v>165426.87686774501</v>
      </c>
      <c r="U11" s="35">
        <f>+'ARR Waterfall'!U11</f>
        <v>186932.37086055189</v>
      </c>
      <c r="V11" s="35">
        <f>+'ARR Waterfall'!V11</f>
        <v>211233.57907242366</v>
      </c>
      <c r="W11" s="35">
        <f>+'ARR Waterfall'!W11</f>
        <v>230244.6011889418</v>
      </c>
      <c r="X11" s="35">
        <f>+'ARR Waterfall'!X11</f>
        <v>250966.61529594654</v>
      </c>
      <c r="Y11" s="35">
        <f>+'ARR Waterfall'!Y11</f>
        <v>273553.61067258177</v>
      </c>
      <c r="Z11" s="35">
        <f>+'ARR Waterfall'!Z11</f>
        <v>298173.43563311419</v>
      </c>
      <c r="AA11" s="35">
        <f>+'ARR Waterfall'!AA11</f>
        <v>316063.84177110106</v>
      </c>
      <c r="AB11" s="35">
        <f>+'ARR Waterfall'!AB11</f>
        <v>335027.67227736709</v>
      </c>
      <c r="AC11" s="35">
        <f>+'ARR Waterfall'!AC11</f>
        <v>355129.33261400909</v>
      </c>
      <c r="AD11" s="35">
        <f>+'ARR Waterfall'!AD11</f>
        <v>376437.09257084964</v>
      </c>
      <c r="AE11" s="35">
        <f>+'ARR Waterfall'!AE11</f>
        <v>399023.31812510063</v>
      </c>
      <c r="AF11" s="35">
        <f>+'ARR Waterfall'!AF11</f>
        <v>422964.71721260669</v>
      </c>
      <c r="AG11" s="35">
        <f>+'ARR Waterfall'!AG11</f>
        <v>448342.60024536302</v>
      </c>
      <c r="AH11" s="35">
        <f>+'ARR Waterfall'!AH11</f>
        <v>475243.15626008483</v>
      </c>
    </row>
    <row r="12" spans="2:34">
      <c r="B12" s="170"/>
      <c r="C12" s="172"/>
      <c r="D12" s="172"/>
      <c r="E12" s="172"/>
      <c r="F12" s="172"/>
      <c r="G12" s="172"/>
      <c r="H12" s="171"/>
      <c r="I12" s="171"/>
      <c r="J12" s="171"/>
      <c r="K12" s="171"/>
      <c r="L12" s="171"/>
      <c r="M12" s="338"/>
      <c r="N12" s="375"/>
      <c r="O12" s="376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</row>
    <row r="13" spans="2:34">
      <c r="B13" s="228" t="str">
        <f>+'ARR Waterfall'!B20</f>
        <v>Customer Bridge</v>
      </c>
      <c r="C13" s="172"/>
      <c r="D13" s="172"/>
      <c r="E13" s="172"/>
      <c r="F13" s="172"/>
      <c r="G13" s="172"/>
      <c r="H13" s="171"/>
      <c r="I13" s="171"/>
      <c r="J13" s="171"/>
      <c r="K13" s="171"/>
      <c r="L13" s="171"/>
      <c r="M13" s="171"/>
      <c r="N13" s="375"/>
      <c r="O13" s="376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</row>
    <row r="14" spans="2:34">
      <c r="B14" s="168" t="str">
        <f>+'ARR Waterfall'!B21</f>
        <v>Beginning Customers</v>
      </c>
      <c r="C14" s="173">
        <f>+'ARR Waterfall'!C21</f>
        <v>51</v>
      </c>
      <c r="D14" s="173">
        <f>+'ARR Waterfall'!D21</f>
        <v>63</v>
      </c>
      <c r="E14" s="173">
        <f>+'ARR Waterfall'!E21</f>
        <v>77</v>
      </c>
      <c r="F14" s="173">
        <f>+'ARR Waterfall'!F21</f>
        <v>89</v>
      </c>
      <c r="G14" s="173">
        <f>+'ARR Waterfall'!G21</f>
        <v>118</v>
      </c>
      <c r="H14" s="173">
        <f>+'ARR Waterfall'!H21</f>
        <v>135</v>
      </c>
      <c r="I14" s="173">
        <f>+'ARR Waterfall'!I21</f>
        <v>159</v>
      </c>
      <c r="J14" s="173">
        <f>+'ARR Waterfall'!J21</f>
        <v>196</v>
      </c>
      <c r="K14" s="173">
        <f>+'ARR Waterfall'!K21</f>
        <v>232</v>
      </c>
      <c r="L14" s="173">
        <f>+'ARR Waterfall'!L21</f>
        <v>258</v>
      </c>
      <c r="M14" s="173">
        <f>+'ARR Waterfall'!M21</f>
        <v>298</v>
      </c>
      <c r="N14" s="197">
        <f>+'ARR Waterfall'!N21</f>
        <v>338</v>
      </c>
      <c r="O14" s="198">
        <f>+'ARR Waterfall'!O21</f>
        <v>394</v>
      </c>
      <c r="P14" s="173">
        <f>+'ARR Waterfall'!P21</f>
        <v>472.1262300027027</v>
      </c>
      <c r="Q14" s="173">
        <f>+'ARR Waterfall'!Q21</f>
        <v>562.75265680583789</v>
      </c>
      <c r="R14" s="173">
        <f>+'ARR Waterfall'!R21</f>
        <v>667.87931189747462</v>
      </c>
      <c r="S14" s="173">
        <f>+'ARR Waterfall'!S21</f>
        <v>789.82623180377323</v>
      </c>
      <c r="T14" s="173">
        <f>+'ARR Waterfall'!T21</f>
        <v>905.37395690310768</v>
      </c>
      <c r="U14" s="173">
        <f>+'ARR Waterfall'!U21</f>
        <v>1035.9428862653556</v>
      </c>
      <c r="V14" s="173">
        <f>+'ARR Waterfall'!V21</f>
        <v>1183.4857764446958</v>
      </c>
      <c r="W14" s="173">
        <f>+'ARR Waterfall'!W21</f>
        <v>1350.2092423473503</v>
      </c>
      <c r="X14" s="173">
        <f>+'ARR Waterfall'!X21</f>
        <v>1496.360043002865</v>
      </c>
      <c r="Y14" s="173">
        <f>+'ARR Waterfall'!Y21</f>
        <v>1655.6644157173762</v>
      </c>
      <c r="Z14" s="173">
        <f>+'ARR Waterfall'!Z21</f>
        <v>1829.3061819761933</v>
      </c>
      <c r="AA14" s="173">
        <f>+'ARR Waterfall'!AA21</f>
        <v>2018.5757071983039</v>
      </c>
      <c r="AB14" s="173">
        <f>+'ARR Waterfall'!AB21</f>
        <v>2165.2448025637814</v>
      </c>
      <c r="AC14" s="173">
        <f>+'ARR Waterfall'!AC21</f>
        <v>2320.7140436511877</v>
      </c>
      <c r="AD14" s="173">
        <f>+'ARR Waterfall'!AD21</f>
        <v>2485.5114392038386</v>
      </c>
      <c r="AE14" s="173">
        <f>+'ARR Waterfall'!AE21</f>
        <v>2660.1966784896481</v>
      </c>
      <c r="AF14" s="173">
        <f>+'ARR Waterfall'!AF21</f>
        <v>2845.3630321326068</v>
      </c>
      <c r="AG14" s="173">
        <f>+'ARR Waterfall'!AG21</f>
        <v>3041.6393669941426</v>
      </c>
      <c r="AH14" s="173">
        <f>+'ARR Waterfall'!AH21</f>
        <v>3249.6922819473707</v>
      </c>
    </row>
    <row r="15" spans="2:34">
      <c r="B15" s="168" t="str">
        <f>+'ARR Waterfall'!B22</f>
        <v>New Customers</v>
      </c>
      <c r="C15" s="173">
        <f>+'ARR Waterfall'!C22</f>
        <v>13</v>
      </c>
      <c r="D15" s="173">
        <f>+'ARR Waterfall'!D22</f>
        <v>14</v>
      </c>
      <c r="E15" s="173">
        <f>+'ARR Waterfall'!E22</f>
        <v>13</v>
      </c>
      <c r="F15" s="173">
        <f>+'ARR Waterfall'!F22</f>
        <v>29</v>
      </c>
      <c r="G15" s="173">
        <f>+'ARR Waterfall'!G22</f>
        <v>18</v>
      </c>
      <c r="H15" s="173">
        <f>+'ARR Waterfall'!H22</f>
        <v>25</v>
      </c>
      <c r="I15" s="173">
        <f>+'ARR Waterfall'!I22</f>
        <v>37</v>
      </c>
      <c r="J15" s="173">
        <f>+'ARR Waterfall'!J22</f>
        <v>38</v>
      </c>
      <c r="K15" s="173">
        <f>+'ARR Waterfall'!K22</f>
        <v>29</v>
      </c>
      <c r="L15" s="173">
        <f>+'ARR Waterfall'!L22</f>
        <v>45</v>
      </c>
      <c r="M15" s="173">
        <f>+'ARR Waterfall'!M22</f>
        <v>47</v>
      </c>
      <c r="N15" s="197">
        <f>+'ARR Waterfall'!N22</f>
        <v>59</v>
      </c>
      <c r="O15" s="198">
        <f>+'ARR Waterfall'!O22</f>
        <v>85.861500299999989</v>
      </c>
      <c r="P15" s="173">
        <f>+'ARR Waterfall'!P22</f>
        <v>99.599340347999984</v>
      </c>
      <c r="Q15" s="173">
        <f>+'ARR Waterfall'!Q22</f>
        <v>115.53523480367998</v>
      </c>
      <c r="R15" s="173">
        <f>+'ARR Waterfall'!R22</f>
        <v>134.02087237226874</v>
      </c>
      <c r="S15" s="173">
        <f>+'ARR Waterfall'!S22</f>
        <v>129.55350995985981</v>
      </c>
      <c r="T15" s="173">
        <f>+'ARR Waterfall'!T22</f>
        <v>146.3954662546416</v>
      </c>
      <c r="U15" s="173">
        <f>+'ARR Waterfall'!U22</f>
        <v>165.42687686774502</v>
      </c>
      <c r="V15" s="173">
        <f>+'ARR Waterfall'!V22</f>
        <v>186.93237086055188</v>
      </c>
      <c r="W15" s="173">
        <f>+'ARR Waterfall'!W22</f>
        <v>168.98686325793892</v>
      </c>
      <c r="X15" s="173">
        <f>+'ARR Waterfall'!X22</f>
        <v>184.19568095115343</v>
      </c>
      <c r="Y15" s="173">
        <f>+'ARR Waterfall'!Y22</f>
        <v>200.77329223675721</v>
      </c>
      <c r="Z15" s="173">
        <f>+'ARR Waterfall'!Z22</f>
        <v>218.84288853806541</v>
      </c>
      <c r="AA15" s="173">
        <f>+'ARR Waterfall'!AA22</f>
        <v>178.90406137986849</v>
      </c>
      <c r="AB15" s="173">
        <f>+'ARR Waterfall'!AB22</f>
        <v>189.63830506266061</v>
      </c>
      <c r="AC15" s="173">
        <f>+'ARR Waterfall'!AC22</f>
        <v>201.01660336642024</v>
      </c>
      <c r="AD15" s="173">
        <f>+'ARR Waterfall'!AD22</f>
        <v>213.07759956840545</v>
      </c>
      <c r="AE15" s="173">
        <f>+'ARR Waterfall'!AE22</f>
        <v>225.86225554250979</v>
      </c>
      <c r="AF15" s="173">
        <f>+'ARR Waterfall'!AF22</f>
        <v>239.41399087506036</v>
      </c>
      <c r="AG15" s="173">
        <f>+'ARR Waterfall'!AG22</f>
        <v>253.77883032756398</v>
      </c>
      <c r="AH15" s="173">
        <f>+'ARR Waterfall'!AH22</f>
        <v>269.00556014721781</v>
      </c>
    </row>
    <row r="16" spans="2:34">
      <c r="B16" s="168" t="str">
        <f>+'ARR Waterfall'!B23</f>
        <v>Churn Customers</v>
      </c>
      <c r="C16" s="173">
        <f>+'ARR Waterfall'!C23</f>
        <v>-1</v>
      </c>
      <c r="D16" s="173">
        <f>+'ARR Waterfall'!D23</f>
        <v>0</v>
      </c>
      <c r="E16" s="173">
        <f>+'ARR Waterfall'!E23</f>
        <v>-1</v>
      </c>
      <c r="F16" s="173">
        <f>+'ARR Waterfall'!F23</f>
        <v>0</v>
      </c>
      <c r="G16" s="173">
        <f>+'ARR Waterfall'!G23</f>
        <v>-1</v>
      </c>
      <c r="H16" s="173">
        <f>+'ARR Waterfall'!H23</f>
        <v>-1</v>
      </c>
      <c r="I16" s="173">
        <f>+'ARR Waterfall'!I23</f>
        <v>0</v>
      </c>
      <c r="J16" s="173">
        <f>+'ARR Waterfall'!J23</f>
        <v>-2</v>
      </c>
      <c r="K16" s="173">
        <f>+'ARR Waterfall'!K23</f>
        <v>-3</v>
      </c>
      <c r="L16" s="173">
        <f>+'ARR Waterfall'!L23</f>
        <v>-5</v>
      </c>
      <c r="M16" s="173">
        <f>+'ARR Waterfall'!M23</f>
        <v>-7</v>
      </c>
      <c r="N16" s="197">
        <f>+'ARR Waterfall'!N23</f>
        <v>-3</v>
      </c>
      <c r="O16" s="198">
        <f>+'ARR Waterfall'!O23</f>
        <v>-7.7352702972972969</v>
      </c>
      <c r="P16" s="173">
        <f>+'ARR Waterfall'!P23</f>
        <v>-8.9729135448648645</v>
      </c>
      <c r="Q16" s="173">
        <f>+'ARR Waterfall'!Q23</f>
        <v>-10.408579712043242</v>
      </c>
      <c r="R16" s="173">
        <f>+'ARR Waterfall'!R23</f>
        <v>-12.07395246597016</v>
      </c>
      <c r="S16" s="173">
        <f>+'ARR Waterfall'!S23</f>
        <v>-14.005784860525383</v>
      </c>
      <c r="T16" s="173">
        <f>+'ARR Waterfall'!T23</f>
        <v>-15.826536892393685</v>
      </c>
      <c r="U16" s="173">
        <f>+'ARR Waterfall'!U23</f>
        <v>-17.883986688404867</v>
      </c>
      <c r="V16" s="173">
        <f>+'ARR Waterfall'!V23</f>
        <v>-20.208904957897502</v>
      </c>
      <c r="W16" s="173">
        <f>+'ARR Waterfall'!W23</f>
        <v>-22.836062602424178</v>
      </c>
      <c r="X16" s="173">
        <f>+'ARR Waterfall'!X23</f>
        <v>-24.891308236642356</v>
      </c>
      <c r="Y16" s="173">
        <f>+'ARR Waterfall'!Y23</f>
        <v>-27.131525977940164</v>
      </c>
      <c r="Z16" s="173">
        <f>+'ARR Waterfall'!Z23</f>
        <v>-29.573363315954786</v>
      </c>
      <c r="AA16" s="173">
        <f>+'ARR Waterfall'!AA23</f>
        <v>-32.234966014390722</v>
      </c>
      <c r="AB16" s="173">
        <f>+'ARR Waterfall'!AB23</f>
        <v>-34.169063975254168</v>
      </c>
      <c r="AC16" s="173">
        <f>+'ARR Waterfall'!AC23</f>
        <v>-36.219207813769415</v>
      </c>
      <c r="AD16" s="173">
        <f>+'ARR Waterfall'!AD23</f>
        <v>-38.392360282595575</v>
      </c>
      <c r="AE16" s="173">
        <f>+'ARR Waterfall'!AE23</f>
        <v>-40.695901899551316</v>
      </c>
      <c r="AF16" s="173">
        <f>+'ARR Waterfall'!AF23</f>
        <v>-43.137656013524392</v>
      </c>
      <c r="AG16" s="173">
        <f>+'ARR Waterfall'!AG23</f>
        <v>-45.725915374335855</v>
      </c>
      <c r="AH16" s="173">
        <f>+'ARR Waterfall'!AH23</f>
        <v>-48.469470296796004</v>
      </c>
    </row>
    <row r="17" spans="2:34">
      <c r="B17" s="169" t="str">
        <f>+'ARR Waterfall'!B24</f>
        <v>Ending Customers</v>
      </c>
      <c r="C17" s="174">
        <f>+'ARR Waterfall'!C24</f>
        <v>63</v>
      </c>
      <c r="D17" s="174">
        <f>+'ARR Waterfall'!D24</f>
        <v>77</v>
      </c>
      <c r="E17" s="174">
        <f>+'ARR Waterfall'!E24</f>
        <v>89</v>
      </c>
      <c r="F17" s="174">
        <f>+'ARR Waterfall'!F24</f>
        <v>118</v>
      </c>
      <c r="G17" s="174">
        <f>+'ARR Waterfall'!G24</f>
        <v>135</v>
      </c>
      <c r="H17" s="174">
        <f>+'ARR Waterfall'!H24</f>
        <v>159</v>
      </c>
      <c r="I17" s="174">
        <f>+'ARR Waterfall'!I24</f>
        <v>196</v>
      </c>
      <c r="J17" s="174">
        <f>+'ARR Waterfall'!J24</f>
        <v>232</v>
      </c>
      <c r="K17" s="174">
        <f>+'ARR Waterfall'!K24</f>
        <v>258</v>
      </c>
      <c r="L17" s="174">
        <f>+'ARR Waterfall'!L24</f>
        <v>298</v>
      </c>
      <c r="M17" s="174">
        <f>+'ARR Waterfall'!M24</f>
        <v>338</v>
      </c>
      <c r="N17" s="135">
        <f>+'ARR Waterfall'!N24</f>
        <v>394</v>
      </c>
      <c r="O17" s="377">
        <f>+'ARR Waterfall'!O24</f>
        <v>472.1262300027027</v>
      </c>
      <c r="P17" s="174">
        <f>+'ARR Waterfall'!P24</f>
        <v>562.75265680583789</v>
      </c>
      <c r="Q17" s="174">
        <f>+'ARR Waterfall'!Q24</f>
        <v>667.87931189747462</v>
      </c>
      <c r="R17" s="174">
        <f>+'ARR Waterfall'!R24</f>
        <v>789.82623180377323</v>
      </c>
      <c r="S17" s="174">
        <f>+'ARR Waterfall'!S24</f>
        <v>905.37395690310768</v>
      </c>
      <c r="T17" s="174">
        <f>+'ARR Waterfall'!T24</f>
        <v>1035.9428862653556</v>
      </c>
      <c r="U17" s="174">
        <f>+'ARR Waterfall'!U24</f>
        <v>1183.4857764446958</v>
      </c>
      <c r="V17" s="174">
        <f>+'ARR Waterfall'!V24</f>
        <v>1350.2092423473503</v>
      </c>
      <c r="W17" s="174">
        <f>+'ARR Waterfall'!W24</f>
        <v>1496.360043002865</v>
      </c>
      <c r="X17" s="174">
        <f>+'ARR Waterfall'!X24</f>
        <v>1655.6644157173762</v>
      </c>
      <c r="Y17" s="174">
        <f>+'ARR Waterfall'!Y24</f>
        <v>1829.3061819761933</v>
      </c>
      <c r="Z17" s="174">
        <f>+'ARR Waterfall'!Z24</f>
        <v>2018.5757071983039</v>
      </c>
      <c r="AA17" s="174">
        <f>+'ARR Waterfall'!AA24</f>
        <v>2165.2448025637814</v>
      </c>
      <c r="AB17" s="174">
        <f>+'ARR Waterfall'!AB24</f>
        <v>2320.7140436511877</v>
      </c>
      <c r="AC17" s="174">
        <f>+'ARR Waterfall'!AC24</f>
        <v>2485.5114392038386</v>
      </c>
      <c r="AD17" s="174">
        <f>+'ARR Waterfall'!AD24</f>
        <v>2660.1966784896481</v>
      </c>
      <c r="AE17" s="174">
        <f>+'ARR Waterfall'!AE24</f>
        <v>2845.3630321326068</v>
      </c>
      <c r="AF17" s="174">
        <f>+'ARR Waterfall'!AF24</f>
        <v>3041.6393669941426</v>
      </c>
      <c r="AG17" s="174">
        <f>+'ARR Waterfall'!AG24</f>
        <v>3249.6922819473707</v>
      </c>
      <c r="AH17" s="174">
        <f>+'ARR Waterfall'!AH24</f>
        <v>3470.2283717977925</v>
      </c>
    </row>
    <row r="18" spans="2:34">
      <c r="B18" s="171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78"/>
      <c r="O18" s="37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 spans="2:34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2:34" s="178" customFormat="1" ht="16.5" customHeight="1">
      <c r="B20" s="52" t="s">
        <v>174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380"/>
      <c r="O20" s="381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</row>
    <row r="21" spans="2:34" s="178" customFormat="1" ht="15.4" customHeight="1">
      <c r="B21" s="234" t="s">
        <v>137</v>
      </c>
      <c r="C21" s="15"/>
      <c r="D21" s="15"/>
      <c r="E21" s="15"/>
      <c r="F21" s="15"/>
      <c r="G21" s="15"/>
      <c r="H21" s="5"/>
      <c r="I21" s="5"/>
      <c r="J21" s="5"/>
      <c r="K21" s="5"/>
      <c r="L21" s="5"/>
      <c r="M21" s="5"/>
      <c r="N21" s="247"/>
      <c r="O21" s="37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2:34" ht="15.4" customHeight="1">
      <c r="B22" s="233" t="s">
        <v>10</v>
      </c>
      <c r="C22" s="39">
        <f>+'ARR Waterfall'!C11</f>
        <v>8563.9987499999988</v>
      </c>
      <c r="D22" s="39">
        <f>+'ARR Waterfall'!D11</f>
        <v>10870.4805</v>
      </c>
      <c r="E22" s="39">
        <f>+'ARR Waterfall'!E11</f>
        <v>12868.785999999998</v>
      </c>
      <c r="F22" s="39">
        <f>+'ARR Waterfall'!F11</f>
        <v>17227.513749999998</v>
      </c>
      <c r="G22" s="39">
        <f>+'ARR Waterfall'!G11</f>
        <v>20583.552749999995</v>
      </c>
      <c r="H22" s="39">
        <f>+'ARR Waterfall'!H11</f>
        <v>24832.389999999992</v>
      </c>
      <c r="I22" s="39">
        <f>+'ARR Waterfall'!I11</f>
        <v>30936.947999999993</v>
      </c>
      <c r="J22" s="39">
        <f>+'ARR Waterfall'!J11</f>
        <v>37345.928749999999</v>
      </c>
      <c r="K22" s="39">
        <f>+'ARR Waterfall'!K11</f>
        <v>43417.531750000002</v>
      </c>
      <c r="L22" s="39">
        <f>+'ARR Waterfall'!L11</f>
        <v>51674.50475</v>
      </c>
      <c r="M22" s="39">
        <f>+'ARR Waterfall'!M11</f>
        <v>59276.025499999996</v>
      </c>
      <c r="N22" s="74">
        <f>+'ARR Waterfall'!N11</f>
        <v>71551.250249999997</v>
      </c>
      <c r="O22" s="75">
        <f>+'ARR Waterfall'!O11</f>
        <v>82999.450289999993</v>
      </c>
      <c r="P22" s="39">
        <f>+'ARR Waterfall'!P11</f>
        <v>96279.36233639998</v>
      </c>
      <c r="Q22" s="39">
        <f>+'ARR Waterfall'!Q11</f>
        <v>111684.06031022397</v>
      </c>
      <c r="R22" s="39">
        <f>+'ARR Waterfall'!R11</f>
        <v>129553.50995985979</v>
      </c>
      <c r="S22" s="39">
        <f>+'ARR Waterfall'!S11</f>
        <v>146395.46625464159</v>
      </c>
      <c r="T22" s="39">
        <f>+'ARR Waterfall'!T11</f>
        <v>165426.87686774501</v>
      </c>
      <c r="U22" s="39">
        <f>+'ARR Waterfall'!U11</f>
        <v>186932.37086055189</v>
      </c>
      <c r="V22" s="39">
        <f>+'ARR Waterfall'!V11</f>
        <v>211233.57907242366</v>
      </c>
      <c r="W22" s="39">
        <f>+'ARR Waterfall'!W11</f>
        <v>230244.6011889418</v>
      </c>
      <c r="X22" s="39">
        <f>+'ARR Waterfall'!X11</f>
        <v>250966.61529594654</v>
      </c>
      <c r="Y22" s="39">
        <f>+'ARR Waterfall'!Y11</f>
        <v>273553.61067258177</v>
      </c>
      <c r="Z22" s="39">
        <f>+'ARR Waterfall'!Z11</f>
        <v>298173.43563311419</v>
      </c>
      <c r="AA22" s="39">
        <f>+'ARR Waterfall'!AA11</f>
        <v>316063.84177110106</v>
      </c>
      <c r="AB22" s="39">
        <f>+'ARR Waterfall'!AB11</f>
        <v>335027.67227736709</v>
      </c>
      <c r="AC22" s="39">
        <f>+'ARR Waterfall'!AC11</f>
        <v>355129.33261400909</v>
      </c>
      <c r="AD22" s="39">
        <f>+'ARR Waterfall'!AD11</f>
        <v>376437.09257084964</v>
      </c>
      <c r="AE22" s="39">
        <f>+'ARR Waterfall'!AE11</f>
        <v>399023.31812510063</v>
      </c>
      <c r="AF22" s="39">
        <f>+'ARR Waterfall'!AF11</f>
        <v>422964.71721260669</v>
      </c>
      <c r="AG22" s="39">
        <f>+'ARR Waterfall'!AG11</f>
        <v>448342.60024536302</v>
      </c>
      <c r="AH22" s="39">
        <f>+'ARR Waterfall'!AH11</f>
        <v>475243.15626008483</v>
      </c>
    </row>
    <row r="23" spans="2:34" ht="15.4" customHeight="1">
      <c r="B23" s="235" t="s">
        <v>137</v>
      </c>
      <c r="C23" s="301"/>
      <c r="D23" s="301"/>
      <c r="E23" s="301"/>
      <c r="F23" s="301"/>
      <c r="G23" s="165">
        <f t="shared" ref="G23:N23" si="41">+G22/C22-1</f>
        <v>1.4034978694970031</v>
      </c>
      <c r="H23" s="165">
        <f t="shared" si="41"/>
        <v>1.2843875208644175</v>
      </c>
      <c r="I23" s="165">
        <f t="shared" si="41"/>
        <v>1.4040300304939408</v>
      </c>
      <c r="J23" s="165">
        <f t="shared" si="41"/>
        <v>1.1678072234886478</v>
      </c>
      <c r="K23" s="165">
        <f t="shared" si="41"/>
        <v>1.1093312839300791</v>
      </c>
      <c r="L23" s="165">
        <f t="shared" si="41"/>
        <v>1.0809315877368233</v>
      </c>
      <c r="M23" s="165">
        <f t="shared" si="41"/>
        <v>0.9160269299996886</v>
      </c>
      <c r="N23" s="382">
        <f t="shared" si="41"/>
        <v>0.9159049632685865</v>
      </c>
      <c r="O23" s="383">
        <f t="shared" ref="O23" si="42">+O22/K22-1</f>
        <v>0.91165750204121143</v>
      </c>
      <c r="P23" s="165">
        <f t="shared" ref="P23" si="43">+P22/L22-1</f>
        <v>0.86318887432394753</v>
      </c>
      <c r="Q23" s="165">
        <f t="shared" ref="Q23" si="44">+Q22/M22-1</f>
        <v>0.88413543870656408</v>
      </c>
      <c r="R23" s="165">
        <f t="shared" ref="R23" si="45">+R22/N22-1</f>
        <v>0.81063935999999925</v>
      </c>
      <c r="S23" s="165">
        <f t="shared" ref="S23" si="46">+S22/O22-1</f>
        <v>0.7638124799999999</v>
      </c>
      <c r="T23" s="165">
        <f t="shared" ref="T23" si="47">+T22/P22-1</f>
        <v>0.71819664000000016</v>
      </c>
      <c r="U23" s="165">
        <f t="shared" ref="U23" si="48">+U22/Q22-1</f>
        <v>0.67376052000000053</v>
      </c>
      <c r="V23" s="165">
        <f t="shared" ref="V23" si="49">+V22/R22-1</f>
        <v>0.63047361000000079</v>
      </c>
      <c r="W23" s="165">
        <f t="shared" ref="W23" si="50">+W22/S22-1</f>
        <v>0.57275773000000063</v>
      </c>
      <c r="X23" s="165">
        <f t="shared" ref="X23" si="51">+X22/T22-1</f>
        <v>0.51708489000000024</v>
      </c>
      <c r="Y23" s="165">
        <f t="shared" ref="Y23" si="52">+Y22/U22-1</f>
        <v>0.46338277000000039</v>
      </c>
      <c r="Z23" s="165">
        <f t="shared" ref="Z23" si="53">+Z22/V22-1</f>
        <v>0.41158161000000049</v>
      </c>
      <c r="AA23" s="165">
        <f t="shared" ref="AA23" si="54">+AA22/W22-1</f>
        <v>0.37273074000000039</v>
      </c>
      <c r="AB23" s="165">
        <f t="shared" ref="AB23" si="55">+AB22/X22-1</f>
        <v>0.33494916000000052</v>
      </c>
      <c r="AC23" s="165">
        <f t="shared" ref="AC23" si="56">+AC22/Y22-1</f>
        <v>0.2982074400000001</v>
      </c>
      <c r="AD23" s="165">
        <f t="shared" ref="AD23" si="57">+AD22/Z22-1</f>
        <v>0.26247695999999987</v>
      </c>
      <c r="AE23" s="165">
        <f t="shared" ref="AE23" si="58">+AE22/AA22-1</f>
        <v>0.26247695999999987</v>
      </c>
      <c r="AF23" s="165">
        <f t="shared" ref="AF23" si="59">+AF22/AB22-1</f>
        <v>0.26247696000000009</v>
      </c>
      <c r="AG23" s="165">
        <f t="shared" ref="AG23" si="60">+AG22/AC22-1</f>
        <v>0.26247695999999987</v>
      </c>
      <c r="AH23" s="165">
        <f t="shared" ref="AH23" si="61">+AH22/AD22-1</f>
        <v>0.26247696000000009</v>
      </c>
    </row>
    <row r="24" spans="2:34" ht="15.4" customHeight="1">
      <c r="B24" s="232"/>
      <c r="C24" s="25"/>
      <c r="D24" s="25"/>
      <c r="E24" s="25"/>
      <c r="F24" s="176"/>
      <c r="G24" s="176"/>
      <c r="H24" s="176"/>
      <c r="I24" s="176"/>
      <c r="J24" s="176"/>
      <c r="K24" s="176"/>
      <c r="L24" s="176"/>
      <c r="M24" s="176"/>
      <c r="N24" s="384"/>
      <c r="O24" s="385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</row>
    <row r="25" spans="2:34" ht="15.4" customHeight="1">
      <c r="B25" s="234" t="s">
        <v>138</v>
      </c>
      <c r="C25" s="15"/>
      <c r="D25" s="15"/>
      <c r="E25" s="15"/>
      <c r="F25" s="15"/>
      <c r="G25" s="15"/>
      <c r="H25" s="5"/>
      <c r="I25" s="5"/>
      <c r="J25" s="5"/>
      <c r="K25" s="5"/>
      <c r="L25" s="5"/>
      <c r="M25" s="5"/>
      <c r="N25" s="247"/>
      <c r="O25" s="37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2:34" ht="15.4" customHeight="1">
      <c r="B26" s="231" t="s">
        <v>130</v>
      </c>
      <c r="C26" s="36" cm="1">
        <f t="array" ref="C26">1+((SUM(C8:C10/C6)*4))</f>
        <v>1.2303649878970515</v>
      </c>
      <c r="D26" s="36" cm="1">
        <f t="array" ref="D26">1+((SUM(D8:D10/D6)*4))</f>
        <v>1.3964417906997011</v>
      </c>
      <c r="E26" s="36" cm="1">
        <f t="array" ref="E26">1+((SUM(E8:E10/E6)*4))</f>
        <v>1.2040040456353331</v>
      </c>
      <c r="F26" s="36" cm="1">
        <f t="array" ref="F26">1+((SUM(F8:F10/F6)*4))</f>
        <v>1.4410292470478567</v>
      </c>
      <c r="G26" s="36" cm="1">
        <f t="array" ref="G26">1+((SUM(G8:G10/G6)*4))</f>
        <v>1.3452010595550969</v>
      </c>
      <c r="H26" s="36" cm="1">
        <f t="array" ref="H26">1+((SUM(H8:H10/H6)*4))</f>
        <v>1.3100217478248501</v>
      </c>
      <c r="I26" s="36" cm="1">
        <f t="array" ref="I26">1+((SUM(I8:I10/I6)*4))</f>
        <v>1.3614888458179015</v>
      </c>
      <c r="J26" s="36" cm="1">
        <f t="array" ref="J26">1+((SUM(J8:J10/J6)*4))</f>
        <v>1.2919817106716538</v>
      </c>
      <c r="K26" s="36" cm="1">
        <f t="array" ref="K26">1+((SUM(K8:K10/K6)*4))</f>
        <v>1.3355603253005188</v>
      </c>
      <c r="L26" s="36" cm="1">
        <f t="array" ref="L26">1+((SUM(L8:L10/L6)*4))</f>
        <v>1.3207389144133004</v>
      </c>
      <c r="M26" s="36" cm="1">
        <f t="array" ref="M26">1+((SUM(M8:M10/M6)*4))</f>
        <v>1.2037500514216346</v>
      </c>
      <c r="N26" s="195" cm="1">
        <f t="array" ref="N26">1+((SUM(N8:N10/N6)*4))</f>
        <v>1.4128033010580308</v>
      </c>
      <c r="O26" s="386" cm="1">
        <f t="array" ref="O26">1+((SUM(O8:O10/O6)*4))</f>
        <v>1.1599999999999999</v>
      </c>
      <c r="P26" s="36" cm="1">
        <f t="array" ref="P26">1+((SUM(P8:P10/P6)*4))</f>
        <v>1.1599999999999999</v>
      </c>
      <c r="Q26" s="36" cm="1">
        <f t="array" ref="Q26">1+((SUM(Q8:Q10/Q6)*4))</f>
        <v>1.1599999999999999</v>
      </c>
      <c r="R26" s="36" cm="1">
        <f t="array" ref="R26">1+((SUM(R8:R10/R6)*4))</f>
        <v>1.1599999999999999</v>
      </c>
      <c r="S26" s="36" cm="1">
        <f t="array" ref="S26">1+((SUM(S8:S10/S6)*4))</f>
        <v>1.1200000000000001</v>
      </c>
      <c r="T26" s="36" cm="1">
        <f t="array" ref="T26">1+((SUM(T8:T10/T6)*4))</f>
        <v>1.1200000000000001</v>
      </c>
      <c r="U26" s="36" cm="1">
        <f t="array" ref="U26">1+((SUM(U8:U10/U6)*4))</f>
        <v>1.1200000000000001</v>
      </c>
      <c r="V26" s="36" cm="1">
        <f t="array" ref="V26">1+((SUM(V8:V10/V6)*4))</f>
        <v>1.1200000000000001</v>
      </c>
      <c r="W26" s="36" cm="1">
        <f t="array" ref="W26">1+((SUM(W8:W10/W6)*4))</f>
        <v>1.04</v>
      </c>
      <c r="X26" s="36" cm="1">
        <f t="array" ref="X26">1+((SUM(X8:X10/X6)*4))</f>
        <v>1.04</v>
      </c>
      <c r="Y26" s="36" cm="1">
        <f t="array" ref="Y26">1+((SUM(Y8:Y10/Y6)*4))</f>
        <v>1.04</v>
      </c>
      <c r="Z26" s="36" cm="1">
        <f t="array" ref="Z26">1+((SUM(Z8:Z10/Z6)*4))</f>
        <v>1.04</v>
      </c>
      <c r="AA26" s="36" cm="1">
        <f t="array" ref="AA26">1+((SUM(AA8:AA10/AA6)*4))</f>
        <v>1</v>
      </c>
      <c r="AB26" s="36" cm="1">
        <f t="array" ref="AB26">1+((SUM(AB8:AB10/AB6)*4))</f>
        <v>1</v>
      </c>
      <c r="AC26" s="36" cm="1">
        <f t="array" ref="AC26">1+((SUM(AC8:AC10/AC6)*4))</f>
        <v>1</v>
      </c>
      <c r="AD26" s="36" cm="1">
        <f t="array" ref="AD26">1+((SUM(AD8:AD10/AD6)*4))</f>
        <v>1</v>
      </c>
      <c r="AE26" s="36" cm="1">
        <f t="array" ref="AE26">1+((SUM(AE8:AE10/AE6)*4))</f>
        <v>1</v>
      </c>
      <c r="AF26" s="36" cm="1">
        <f t="array" ref="AF26">1+((SUM(AF8:AF10/AF6)*4))</f>
        <v>1</v>
      </c>
      <c r="AG26" s="36" cm="1">
        <f t="array" ref="AG26">1+((SUM(AG8:AG10/AG6)*4))</f>
        <v>1</v>
      </c>
      <c r="AH26" s="36" cm="1">
        <f t="array" ref="AH26">1+((SUM(AH8:AH10/AH6)*4))</f>
        <v>1</v>
      </c>
    </row>
    <row r="27" spans="2:34" ht="15.4" customHeight="1">
      <c r="B27" s="231" t="s">
        <v>139</v>
      </c>
      <c r="C27" s="36">
        <f t="shared" ref="C27:N27" si="62">1+((SUM(C9:C10)/C6)*4)</f>
        <v>0.89091090143223539</v>
      </c>
      <c r="D27" s="36">
        <f t="shared" si="62"/>
        <v>0.93208347911073663</v>
      </c>
      <c r="E27" s="36">
        <f t="shared" si="62"/>
        <v>0.8524489326851743</v>
      </c>
      <c r="F27" s="36">
        <f t="shared" si="62"/>
        <v>0.9487500219523427</v>
      </c>
      <c r="G27" s="36">
        <f t="shared" si="62"/>
        <v>0.90140898886236553</v>
      </c>
      <c r="H27" s="36">
        <f t="shared" si="62"/>
        <v>0.89018596413099771</v>
      </c>
      <c r="I27" s="36">
        <f t="shared" si="62"/>
        <v>0.96969566763408599</v>
      </c>
      <c r="J27" s="36">
        <f t="shared" si="62"/>
        <v>0.92467233677995642</v>
      </c>
      <c r="K27" s="36">
        <f t="shared" si="62"/>
        <v>0.9061874716397299</v>
      </c>
      <c r="L27" s="36">
        <f t="shared" si="62"/>
        <v>0.8903231987617537</v>
      </c>
      <c r="M27" s="36">
        <f t="shared" si="62"/>
        <v>0.83725827580379475</v>
      </c>
      <c r="N27" s="195">
        <f t="shared" si="62"/>
        <v>0.91320293564554189</v>
      </c>
      <c r="O27" s="386">
        <f t="shared" ref="O27:AH27" si="63">1+((SUM(O9:O10)/O6)*4)</f>
        <v>0.84</v>
      </c>
      <c r="P27" s="36">
        <f t="shared" si="63"/>
        <v>0.84</v>
      </c>
      <c r="Q27" s="36">
        <f t="shared" si="63"/>
        <v>0.84</v>
      </c>
      <c r="R27" s="36">
        <f t="shared" si="63"/>
        <v>0.84</v>
      </c>
      <c r="S27" s="36">
        <f t="shared" si="63"/>
        <v>0.84</v>
      </c>
      <c r="T27" s="36">
        <f t="shared" si="63"/>
        <v>0.84</v>
      </c>
      <c r="U27" s="36">
        <f t="shared" si="63"/>
        <v>0.84</v>
      </c>
      <c r="V27" s="36">
        <f t="shared" si="63"/>
        <v>0.84</v>
      </c>
      <c r="W27" s="36">
        <f t="shared" si="63"/>
        <v>0.84</v>
      </c>
      <c r="X27" s="36">
        <f t="shared" si="63"/>
        <v>0.84</v>
      </c>
      <c r="Y27" s="36">
        <f t="shared" si="63"/>
        <v>0.84</v>
      </c>
      <c r="Z27" s="36">
        <f t="shared" si="63"/>
        <v>0.84</v>
      </c>
      <c r="AA27" s="36">
        <f t="shared" si="63"/>
        <v>0.84</v>
      </c>
      <c r="AB27" s="36">
        <f t="shared" si="63"/>
        <v>0.84</v>
      </c>
      <c r="AC27" s="36">
        <f t="shared" si="63"/>
        <v>0.84</v>
      </c>
      <c r="AD27" s="36">
        <f t="shared" si="63"/>
        <v>0.84</v>
      </c>
      <c r="AE27" s="36">
        <f t="shared" si="63"/>
        <v>0.84</v>
      </c>
      <c r="AF27" s="36">
        <f t="shared" si="63"/>
        <v>0.84</v>
      </c>
      <c r="AG27" s="36">
        <f t="shared" si="63"/>
        <v>0.84</v>
      </c>
      <c r="AH27" s="36">
        <f t="shared" si="63"/>
        <v>0.84</v>
      </c>
    </row>
    <row r="28" spans="2:34" ht="15.4" customHeight="1">
      <c r="B28" s="231" t="s">
        <v>129</v>
      </c>
      <c r="C28" s="36">
        <f t="shared" ref="C28:N28" si="64">1+((C16/C14)*4)</f>
        <v>0.92156862745098045</v>
      </c>
      <c r="D28" s="36">
        <f t="shared" si="64"/>
        <v>1</v>
      </c>
      <c r="E28" s="36">
        <f t="shared" si="64"/>
        <v>0.94805194805194803</v>
      </c>
      <c r="F28" s="36">
        <f t="shared" si="64"/>
        <v>1</v>
      </c>
      <c r="G28" s="36">
        <f t="shared" si="64"/>
        <v>0.96610169491525422</v>
      </c>
      <c r="H28" s="36">
        <f t="shared" si="64"/>
        <v>0.97037037037037033</v>
      </c>
      <c r="I28" s="36">
        <f t="shared" si="64"/>
        <v>1</v>
      </c>
      <c r="J28" s="36">
        <f t="shared" si="64"/>
        <v>0.95918367346938771</v>
      </c>
      <c r="K28" s="36">
        <f t="shared" si="64"/>
        <v>0.94827586206896552</v>
      </c>
      <c r="L28" s="36">
        <f t="shared" si="64"/>
        <v>0.92248062015503873</v>
      </c>
      <c r="M28" s="36">
        <f t="shared" si="64"/>
        <v>0.90604026845637586</v>
      </c>
      <c r="N28" s="195">
        <f t="shared" si="64"/>
        <v>0.96449704142011838</v>
      </c>
      <c r="O28" s="386">
        <f t="shared" ref="O28:AH28" si="65">1+((O16/O14)*4)</f>
        <v>0.92146933708327616</v>
      </c>
      <c r="P28" s="36">
        <f t="shared" si="65"/>
        <v>0.92397869065810223</v>
      </c>
      <c r="Q28" s="36">
        <f t="shared" si="65"/>
        <v>0.9260166640802947</v>
      </c>
      <c r="R28" s="36">
        <f t="shared" si="65"/>
        <v>0.9276878187367863</v>
      </c>
      <c r="S28" s="36">
        <f t="shared" si="65"/>
        <v>0.92906903166009291</v>
      </c>
      <c r="T28" s="36">
        <f t="shared" si="65"/>
        <v>0.93007734860618518</v>
      </c>
      <c r="U28" s="36">
        <f t="shared" si="65"/>
        <v>0.93094605146475651</v>
      </c>
      <c r="V28" s="36">
        <f t="shared" si="65"/>
        <v>0.93169700773723885</v>
      </c>
      <c r="W28" s="36">
        <f t="shared" si="65"/>
        <v>0.93234807795353702</v>
      </c>
      <c r="X28" s="36">
        <f t="shared" si="65"/>
        <v>0.93346171370176134</v>
      </c>
      <c r="Y28" s="36">
        <f t="shared" si="65"/>
        <v>0.93445162988253405</v>
      </c>
      <c r="Z28" s="36">
        <f t="shared" si="65"/>
        <v>0.93533425162537465</v>
      </c>
      <c r="AA28" s="36">
        <f t="shared" si="65"/>
        <v>0.93612334499134253</v>
      </c>
      <c r="AB28" s="36">
        <f t="shared" si="65"/>
        <v>0.93687722712037746</v>
      </c>
      <c r="AC28" s="36">
        <f t="shared" si="65"/>
        <v>0.93757230381251866</v>
      </c>
      <c r="AD28" s="36">
        <f t="shared" si="65"/>
        <v>0.93821414832048655</v>
      </c>
      <c r="AE28" s="36">
        <f t="shared" si="65"/>
        <v>0.93880767955449551</v>
      </c>
      <c r="AF28" s="36">
        <f t="shared" si="65"/>
        <v>0.93935725525864777</v>
      </c>
      <c r="AG28" s="36">
        <f t="shared" si="65"/>
        <v>0.93986674966069517</v>
      </c>
      <c r="AH28" s="36">
        <f t="shared" si="65"/>
        <v>0.94033961853428072</v>
      </c>
    </row>
    <row r="29" spans="2:34" ht="15.4" customHeight="1">
      <c r="B29" s="232"/>
      <c r="C29" s="25"/>
      <c r="D29" s="25"/>
      <c r="E29" s="25"/>
      <c r="F29" s="176"/>
      <c r="G29" s="176"/>
      <c r="H29" s="176"/>
      <c r="I29" s="176"/>
      <c r="J29" s="176"/>
      <c r="K29" s="176"/>
      <c r="L29" s="176"/>
      <c r="M29" s="176"/>
      <c r="N29" s="384"/>
      <c r="O29" s="385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</row>
    <row r="30" spans="2:34" s="178" customFormat="1" ht="15.4" customHeight="1">
      <c r="B30" s="234" t="s">
        <v>175</v>
      </c>
      <c r="C30" s="15"/>
      <c r="D30" s="15"/>
      <c r="E30" s="15"/>
      <c r="F30" s="15"/>
      <c r="G30" s="15"/>
      <c r="H30" s="5"/>
      <c r="I30" s="5"/>
      <c r="J30" s="5"/>
      <c r="K30" s="5"/>
      <c r="L30" s="5"/>
      <c r="M30" s="5"/>
      <c r="N30" s="247"/>
      <c r="O30" s="37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2:34" ht="15.4" customHeight="1">
      <c r="B31" s="233" t="s">
        <v>5</v>
      </c>
      <c r="C31" s="39">
        <f t="shared" ref="C31:N31" si="66">+C7</f>
        <v>1389.75</v>
      </c>
      <c r="D31" s="39">
        <f t="shared" si="66"/>
        <v>1457.7</v>
      </c>
      <c r="E31" s="39">
        <f t="shared" si="66"/>
        <v>1443.9</v>
      </c>
      <c r="F31" s="39">
        <f t="shared" si="66"/>
        <v>2939.85</v>
      </c>
      <c r="G31" s="39">
        <f t="shared" si="66"/>
        <v>1869.3</v>
      </c>
      <c r="H31" s="39">
        <f t="shared" si="66"/>
        <v>2653.5</v>
      </c>
      <c r="I31" s="39">
        <f t="shared" si="66"/>
        <v>3860.4</v>
      </c>
      <c r="J31" s="39">
        <f t="shared" si="66"/>
        <v>4150.7250000000004</v>
      </c>
      <c r="K31" s="39">
        <f t="shared" si="66"/>
        <v>2938.65</v>
      </c>
      <c r="L31" s="39">
        <f t="shared" si="66"/>
        <v>4775.55</v>
      </c>
      <c r="M31" s="39">
        <f t="shared" si="66"/>
        <v>4969.3500000000004</v>
      </c>
      <c r="N31" s="74">
        <f t="shared" si="66"/>
        <v>6157.89</v>
      </c>
      <c r="O31" s="75">
        <f t="shared" ref="O31:AH31" si="67">+O7</f>
        <v>8586.1500299999989</v>
      </c>
      <c r="P31" s="39">
        <f t="shared" si="67"/>
        <v>9959.9340347999987</v>
      </c>
      <c r="Q31" s="39">
        <f t="shared" si="67"/>
        <v>11553.523480367998</v>
      </c>
      <c r="R31" s="39">
        <f t="shared" si="67"/>
        <v>13402.087237226875</v>
      </c>
      <c r="S31" s="39">
        <f t="shared" si="67"/>
        <v>12955.35099598598</v>
      </c>
      <c r="T31" s="39">
        <f t="shared" si="67"/>
        <v>14639.54662546416</v>
      </c>
      <c r="U31" s="39">
        <f t="shared" si="67"/>
        <v>16542.687686774501</v>
      </c>
      <c r="V31" s="39">
        <f t="shared" si="67"/>
        <v>18693.237086055189</v>
      </c>
      <c r="W31" s="39">
        <f t="shared" si="67"/>
        <v>16898.686325793893</v>
      </c>
      <c r="X31" s="39">
        <f t="shared" si="67"/>
        <v>18419.568095115344</v>
      </c>
      <c r="Y31" s="39">
        <f t="shared" si="67"/>
        <v>20077.329223675722</v>
      </c>
      <c r="Z31" s="39">
        <f t="shared" si="67"/>
        <v>21884.288853806542</v>
      </c>
      <c r="AA31" s="39">
        <f t="shared" si="67"/>
        <v>17890.406137986851</v>
      </c>
      <c r="AB31" s="39">
        <f t="shared" si="67"/>
        <v>18963.830506266062</v>
      </c>
      <c r="AC31" s="39">
        <f t="shared" si="67"/>
        <v>20101.660336642024</v>
      </c>
      <c r="AD31" s="39">
        <f t="shared" si="67"/>
        <v>21307.759956840546</v>
      </c>
      <c r="AE31" s="39">
        <f t="shared" si="67"/>
        <v>22586.225554250977</v>
      </c>
      <c r="AF31" s="39">
        <f t="shared" si="67"/>
        <v>23941.399087506037</v>
      </c>
      <c r="AG31" s="39">
        <f t="shared" si="67"/>
        <v>25377.883032756399</v>
      </c>
      <c r="AH31" s="39">
        <f t="shared" si="67"/>
        <v>26900.55601472178</v>
      </c>
    </row>
    <row r="32" spans="2:34" ht="15.4" customHeight="1">
      <c r="B32" s="233" t="s">
        <v>6</v>
      </c>
      <c r="C32" s="39">
        <f t="shared" ref="C32:N34" si="68">+C8</f>
        <v>575.678</v>
      </c>
      <c r="D32" s="39">
        <f t="shared" si="68"/>
        <v>994.19100000000003</v>
      </c>
      <c r="E32" s="39">
        <f t="shared" si="68"/>
        <v>955.39324999999997</v>
      </c>
      <c r="F32" s="39">
        <f t="shared" si="68"/>
        <v>1583.759</v>
      </c>
      <c r="G32" s="39">
        <f t="shared" si="68"/>
        <v>1911.3585</v>
      </c>
      <c r="H32" s="39">
        <f t="shared" si="68"/>
        <v>2160.4279999999999</v>
      </c>
      <c r="I32" s="39">
        <f t="shared" si="68"/>
        <v>2432.29025</v>
      </c>
      <c r="J32" s="39">
        <f t="shared" si="68"/>
        <v>2840.8577500000001</v>
      </c>
      <c r="K32" s="39">
        <f t="shared" si="68"/>
        <v>4008.8319999999999</v>
      </c>
      <c r="L32" s="39">
        <f t="shared" si="68"/>
        <v>4671.8969999999999</v>
      </c>
      <c r="M32" s="39">
        <f t="shared" si="68"/>
        <v>4734.5702499999998</v>
      </c>
      <c r="N32" s="74">
        <f t="shared" si="68"/>
        <v>7403.5810000000001</v>
      </c>
      <c r="O32" s="75">
        <f t="shared" ref="O32:AH32" si="69">+O8</f>
        <v>5724.1000199999999</v>
      </c>
      <c r="P32" s="39">
        <f t="shared" si="69"/>
        <v>6639.9560231999994</v>
      </c>
      <c r="Q32" s="39">
        <f t="shared" si="69"/>
        <v>7702.3489869119985</v>
      </c>
      <c r="R32" s="39">
        <f t="shared" si="69"/>
        <v>8934.7248248179185</v>
      </c>
      <c r="S32" s="39">
        <f t="shared" si="69"/>
        <v>9068.7456971901865</v>
      </c>
      <c r="T32" s="39">
        <f t="shared" si="69"/>
        <v>10247.682637824912</v>
      </c>
      <c r="U32" s="39">
        <f t="shared" si="69"/>
        <v>11579.881380742152</v>
      </c>
      <c r="V32" s="39">
        <f t="shared" si="69"/>
        <v>13085.265960238634</v>
      </c>
      <c r="W32" s="39">
        <f t="shared" si="69"/>
        <v>10561.678953621184</v>
      </c>
      <c r="X32" s="39">
        <f t="shared" si="69"/>
        <v>11512.230059447091</v>
      </c>
      <c r="Y32" s="39">
        <f t="shared" si="69"/>
        <v>12548.330764797327</v>
      </c>
      <c r="Z32" s="39">
        <f t="shared" si="69"/>
        <v>13677.680533629089</v>
      </c>
      <c r="AA32" s="39">
        <f t="shared" si="69"/>
        <v>11926.937425324568</v>
      </c>
      <c r="AB32" s="39">
        <f t="shared" si="69"/>
        <v>12642.553670844043</v>
      </c>
      <c r="AC32" s="39">
        <f t="shared" si="69"/>
        <v>13401.106891094683</v>
      </c>
      <c r="AD32" s="39">
        <f t="shared" si="69"/>
        <v>14205.173304560363</v>
      </c>
      <c r="AE32" s="39">
        <f t="shared" si="69"/>
        <v>15057.483702833986</v>
      </c>
      <c r="AF32" s="39">
        <f t="shared" si="69"/>
        <v>15960.932725004026</v>
      </c>
      <c r="AG32" s="39">
        <f t="shared" si="69"/>
        <v>16918.588688504267</v>
      </c>
      <c r="AH32" s="39">
        <f t="shared" si="69"/>
        <v>17933.704009814523</v>
      </c>
    </row>
    <row r="33" spans="2:34" ht="15.4" customHeight="1">
      <c r="B33" s="233" t="s">
        <v>7</v>
      </c>
      <c r="C33" s="39">
        <f t="shared" si="68"/>
        <v>-116.0035</v>
      </c>
      <c r="D33" s="39">
        <f t="shared" si="68"/>
        <v>-145.40924999999999</v>
      </c>
      <c r="E33" s="39">
        <f t="shared" si="68"/>
        <v>-189.91524999999999</v>
      </c>
      <c r="F33" s="39">
        <f t="shared" si="68"/>
        <v>-164.88124999999999</v>
      </c>
      <c r="G33" s="39">
        <f t="shared" si="68"/>
        <v>-208.328</v>
      </c>
      <c r="H33" s="39">
        <f t="shared" si="68"/>
        <v>-403.57425000000001</v>
      </c>
      <c r="I33" s="39">
        <f t="shared" si="68"/>
        <v>-188.13225</v>
      </c>
      <c r="J33" s="39">
        <f t="shared" si="68"/>
        <v>-271.31824999999998</v>
      </c>
      <c r="K33" s="39">
        <f t="shared" si="68"/>
        <v>-379.44450000000001</v>
      </c>
      <c r="L33" s="39">
        <f t="shared" si="68"/>
        <v>-407.09750000000003</v>
      </c>
      <c r="M33" s="39">
        <f t="shared" si="68"/>
        <v>-880.04100000000005</v>
      </c>
      <c r="N33" s="74">
        <f t="shared" si="68"/>
        <v>-556.12474999999995</v>
      </c>
      <c r="O33" s="75">
        <f t="shared" ref="O33:AH33" si="70">+O9</f>
        <v>-1431.025005</v>
      </c>
      <c r="P33" s="39">
        <f t="shared" si="70"/>
        <v>-1659.9890057999999</v>
      </c>
      <c r="Q33" s="39">
        <f t="shared" si="70"/>
        <v>-1925.5872467279996</v>
      </c>
      <c r="R33" s="39">
        <f t="shared" si="70"/>
        <v>-2233.6812062044796</v>
      </c>
      <c r="S33" s="39">
        <f t="shared" si="70"/>
        <v>-2591.070199197196</v>
      </c>
      <c r="T33" s="39">
        <f t="shared" si="70"/>
        <v>-2927.9093250928318</v>
      </c>
      <c r="U33" s="39">
        <f t="shared" si="70"/>
        <v>-3308.5375373549005</v>
      </c>
      <c r="V33" s="39">
        <f t="shared" si="70"/>
        <v>-3738.6474172110379</v>
      </c>
      <c r="W33" s="39">
        <f t="shared" si="70"/>
        <v>-4224.6715814484733</v>
      </c>
      <c r="X33" s="39">
        <f t="shared" si="70"/>
        <v>-4604.8920237788361</v>
      </c>
      <c r="Y33" s="39">
        <f t="shared" si="70"/>
        <v>-5019.3323059189306</v>
      </c>
      <c r="Z33" s="39">
        <f t="shared" si="70"/>
        <v>-5471.0722134516354</v>
      </c>
      <c r="AA33" s="39">
        <f t="shared" si="70"/>
        <v>-5963.4687126622839</v>
      </c>
      <c r="AB33" s="39">
        <f t="shared" si="70"/>
        <v>-6321.2768354220216</v>
      </c>
      <c r="AC33" s="39">
        <f t="shared" si="70"/>
        <v>-6700.5534455473417</v>
      </c>
      <c r="AD33" s="39">
        <f t="shared" si="70"/>
        <v>-7102.5866522801816</v>
      </c>
      <c r="AE33" s="39">
        <f t="shared" si="70"/>
        <v>-7528.7418514169931</v>
      </c>
      <c r="AF33" s="39">
        <f t="shared" si="70"/>
        <v>-7980.466362502013</v>
      </c>
      <c r="AG33" s="39">
        <f t="shared" si="70"/>
        <v>-8459.2943442521337</v>
      </c>
      <c r="AH33" s="39">
        <f t="shared" si="70"/>
        <v>-8966.8520049072613</v>
      </c>
    </row>
    <row r="34" spans="2:34" ht="15.4" customHeight="1">
      <c r="B34" s="233" t="s">
        <v>8</v>
      </c>
      <c r="C34" s="39">
        <f t="shared" si="68"/>
        <v>-69</v>
      </c>
      <c r="D34" s="39">
        <f t="shared" si="68"/>
        <v>0</v>
      </c>
      <c r="E34" s="39">
        <f t="shared" si="68"/>
        <v>-211.07249999999999</v>
      </c>
      <c r="F34" s="39">
        <f t="shared" si="68"/>
        <v>0</v>
      </c>
      <c r="G34" s="39">
        <f t="shared" si="68"/>
        <v>-216.29150000000001</v>
      </c>
      <c r="H34" s="39">
        <f t="shared" si="68"/>
        <v>-161.51650000000001</v>
      </c>
      <c r="I34" s="39">
        <f t="shared" si="68"/>
        <v>0</v>
      </c>
      <c r="J34" s="39">
        <f t="shared" si="68"/>
        <v>-311.28375</v>
      </c>
      <c r="K34" s="39">
        <f t="shared" si="68"/>
        <v>-496.43450000000001</v>
      </c>
      <c r="L34" s="39">
        <f t="shared" si="68"/>
        <v>-783.37649999999996</v>
      </c>
      <c r="M34" s="39">
        <f t="shared" si="68"/>
        <v>-1222.3585</v>
      </c>
      <c r="N34" s="74">
        <f t="shared" si="68"/>
        <v>-730.12149999999997</v>
      </c>
      <c r="O34" s="75">
        <f t="shared" ref="O34:AH34" si="71">+O10</f>
        <v>-1431.025005</v>
      </c>
      <c r="P34" s="39">
        <f t="shared" si="71"/>
        <v>-1659.9890057999999</v>
      </c>
      <c r="Q34" s="39">
        <f t="shared" si="71"/>
        <v>-1925.5872467279996</v>
      </c>
      <c r="R34" s="39">
        <f t="shared" si="71"/>
        <v>-2233.6812062044796</v>
      </c>
      <c r="S34" s="39">
        <f t="shared" si="71"/>
        <v>-2591.070199197196</v>
      </c>
      <c r="T34" s="39">
        <f t="shared" si="71"/>
        <v>-2927.9093250928318</v>
      </c>
      <c r="U34" s="39">
        <f t="shared" si="71"/>
        <v>-3308.5375373549005</v>
      </c>
      <c r="V34" s="39">
        <f t="shared" si="71"/>
        <v>-3738.6474172110379</v>
      </c>
      <c r="W34" s="39">
        <f t="shared" si="71"/>
        <v>-4224.6715814484733</v>
      </c>
      <c r="X34" s="39">
        <f t="shared" si="71"/>
        <v>-4604.8920237788361</v>
      </c>
      <c r="Y34" s="39">
        <f t="shared" si="71"/>
        <v>-5019.3323059189306</v>
      </c>
      <c r="Z34" s="39">
        <f t="shared" si="71"/>
        <v>-5471.0722134516354</v>
      </c>
      <c r="AA34" s="39">
        <f t="shared" si="71"/>
        <v>-5963.4687126622839</v>
      </c>
      <c r="AB34" s="39">
        <f t="shared" si="71"/>
        <v>-6321.2768354220216</v>
      </c>
      <c r="AC34" s="39">
        <f t="shared" si="71"/>
        <v>-6700.5534455473417</v>
      </c>
      <c r="AD34" s="39">
        <f t="shared" si="71"/>
        <v>-7102.5866522801816</v>
      </c>
      <c r="AE34" s="39">
        <f t="shared" si="71"/>
        <v>-7528.7418514169931</v>
      </c>
      <c r="AF34" s="39">
        <f t="shared" si="71"/>
        <v>-7980.466362502013</v>
      </c>
      <c r="AG34" s="39">
        <f t="shared" si="71"/>
        <v>-8459.2943442521337</v>
      </c>
      <c r="AH34" s="39">
        <f t="shared" si="71"/>
        <v>-8966.8520049072613</v>
      </c>
    </row>
    <row r="35" spans="2:34" ht="15.4" customHeight="1">
      <c r="B35" s="235" t="s">
        <v>175</v>
      </c>
      <c r="C35" s="158">
        <f t="shared" ref="C35:N35" si="72">-SUM(C31:C32)/SUM(C33:C34)</f>
        <v>10.623734145570218</v>
      </c>
      <c r="D35" s="158">
        <f t="shared" si="72"/>
        <v>16.862001557672571</v>
      </c>
      <c r="E35" s="158">
        <f t="shared" si="72"/>
        <v>5.9834577240825935</v>
      </c>
      <c r="F35" s="158">
        <f t="shared" si="72"/>
        <v>27.435557408741143</v>
      </c>
      <c r="G35" s="158">
        <f t="shared" si="72"/>
        <v>8.9036384339390917</v>
      </c>
      <c r="H35" s="158">
        <f t="shared" si="72"/>
        <v>8.5188582541830655</v>
      </c>
      <c r="I35" s="158">
        <f t="shared" si="72"/>
        <v>33.448227244398552</v>
      </c>
      <c r="J35" s="158">
        <f t="shared" si="72"/>
        <v>12.000615772002158</v>
      </c>
      <c r="K35" s="158">
        <f t="shared" si="72"/>
        <v>7.9320111567922051</v>
      </c>
      <c r="L35" s="158">
        <f t="shared" si="72"/>
        <v>7.9358700820009513</v>
      </c>
      <c r="M35" s="158">
        <f t="shared" si="72"/>
        <v>4.6156404860256099</v>
      </c>
      <c r="N35" s="387">
        <f t="shared" si="72"/>
        <v>10.543448425991526</v>
      </c>
      <c r="O35" s="388">
        <f t="shared" ref="O35:AH35" si="73">-SUM(O31:O32)/SUM(O33:O34)</f>
        <v>5</v>
      </c>
      <c r="P35" s="158">
        <f t="shared" si="73"/>
        <v>5</v>
      </c>
      <c r="Q35" s="158">
        <f t="shared" si="73"/>
        <v>4.9999999999999991</v>
      </c>
      <c r="R35" s="158">
        <f t="shared" si="73"/>
        <v>5</v>
      </c>
      <c r="S35" s="158">
        <f t="shared" si="73"/>
        <v>4.25</v>
      </c>
      <c r="T35" s="158">
        <f t="shared" si="73"/>
        <v>4.25</v>
      </c>
      <c r="U35" s="158">
        <f t="shared" si="73"/>
        <v>4.25</v>
      </c>
      <c r="V35" s="158">
        <f t="shared" si="73"/>
        <v>4.25</v>
      </c>
      <c r="W35" s="158">
        <f t="shared" si="73"/>
        <v>3.25</v>
      </c>
      <c r="X35" s="158">
        <f t="shared" si="73"/>
        <v>3.25</v>
      </c>
      <c r="Y35" s="158">
        <f t="shared" si="73"/>
        <v>3.25</v>
      </c>
      <c r="Z35" s="158">
        <f t="shared" si="73"/>
        <v>3.25</v>
      </c>
      <c r="AA35" s="158">
        <f t="shared" si="73"/>
        <v>2.5</v>
      </c>
      <c r="AB35" s="158">
        <f t="shared" si="73"/>
        <v>2.5</v>
      </c>
      <c r="AC35" s="158">
        <f t="shared" si="73"/>
        <v>2.5</v>
      </c>
      <c r="AD35" s="158">
        <f t="shared" si="73"/>
        <v>2.5</v>
      </c>
      <c r="AE35" s="158">
        <f t="shared" si="73"/>
        <v>2.5</v>
      </c>
      <c r="AF35" s="158">
        <f t="shared" si="73"/>
        <v>2.5</v>
      </c>
      <c r="AG35" s="158">
        <f t="shared" si="73"/>
        <v>2.4999999999999996</v>
      </c>
      <c r="AH35" s="158">
        <f t="shared" si="73"/>
        <v>2.4999999999999996</v>
      </c>
    </row>
    <row r="36" spans="2:34" ht="15.4" customHeight="1">
      <c r="B36" s="232"/>
      <c r="C36" s="157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389"/>
      <c r="O36" s="390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</row>
    <row r="37" spans="2:34" s="2" customFormat="1" ht="16.5" customHeight="1">
      <c r="B37" s="52" t="s">
        <v>140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380"/>
      <c r="O37" s="381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</row>
    <row r="38" spans="2:34" ht="15.4" customHeight="1">
      <c r="B38" s="234" t="s">
        <v>0</v>
      </c>
      <c r="C38" s="15"/>
      <c r="D38" s="15"/>
      <c r="E38" s="15"/>
      <c r="F38" s="15"/>
      <c r="G38" s="15"/>
      <c r="H38" s="5"/>
      <c r="I38" s="5"/>
      <c r="J38" s="5"/>
      <c r="K38" s="5"/>
      <c r="L38" s="5"/>
      <c r="M38" s="5"/>
      <c r="N38" s="247"/>
      <c r="O38" s="37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2:34" ht="15.4" customHeight="1">
      <c r="B39" s="233" t="s">
        <v>124</v>
      </c>
      <c r="C39" s="39">
        <f>SUM(Model!C8:C8)</f>
        <v>2198.9787169971642</v>
      </c>
      <c r="D39" s="39">
        <f>SUM(Model!C8:D8)</f>
        <v>4983.2274493074201</v>
      </c>
      <c r="E39" s="39">
        <f>SUM(Model!C8:E8)</f>
        <v>8269.9117994854278</v>
      </c>
      <c r="F39" s="39">
        <f>SUM(Model!C8:F8)</f>
        <v>12657.564702337131</v>
      </c>
      <c r="G39" s="39">
        <f>SUM(Model!D8:G8)</f>
        <v>15695.074790956271</v>
      </c>
      <c r="H39" s="39">
        <f>SUM(Model!E8:H8)</f>
        <v>19211.928727994426</v>
      </c>
      <c r="I39" s="39">
        <f>SUM(Model!F8:I8)</f>
        <v>23758.791142174407</v>
      </c>
      <c r="J39" s="39">
        <f>SUM(Model!G8:J8)</f>
        <v>28798.993848364727</v>
      </c>
      <c r="K39" s="39">
        <f>SUM(Model!H8:K8)</f>
        <v>34494.681993228136</v>
      </c>
      <c r="L39" s="39">
        <f>SUM(Model!I8:L8)</f>
        <v>41160.248377576783</v>
      </c>
      <c r="M39" s="39">
        <f>SUM(Model!J8:M8)</f>
        <v>48151.127321930748</v>
      </c>
      <c r="N39" s="74">
        <f>SUM(Model!K8:N8)</f>
        <v>56611.084275388726</v>
      </c>
      <c r="O39" s="75">
        <f>SUM(Model!L8:O8)</f>
        <v>66428.769897409016</v>
      </c>
      <c r="P39" s="39">
        <f>SUM(Model!M8:P8)</f>
        <v>77531.941427811937</v>
      </c>
      <c r="Q39" s="39">
        <f>SUM(Model!N8:Q8)</f>
        <v>90628.530796655978</v>
      </c>
      <c r="R39" s="39">
        <f>SUM(Model!O8:R8)</f>
        <v>105129.09572412093</v>
      </c>
      <c r="S39" s="39">
        <f>SUM(Model!P8:S8)</f>
        <v>120978.09971528134</v>
      </c>
      <c r="T39" s="39">
        <f>SUM(Model!Q8:T8)</f>
        <v>138264.97834811761</v>
      </c>
      <c r="U39" s="39">
        <f>SUM(Model!R8:U8)</f>
        <v>157077.05598569958</v>
      </c>
      <c r="V39" s="39">
        <f>SUM(Model!S8:V8)</f>
        <v>177497.07326384055</v>
      </c>
      <c r="W39" s="39">
        <f>SUM(Model!T8:W8)</f>
        <v>198459.3569974156</v>
      </c>
      <c r="X39" s="39">
        <f>SUM(Model!U8:X8)</f>
        <v>219844.29160446598</v>
      </c>
      <c r="Y39" s="39">
        <f>SUM(Model!V8:Y8)</f>
        <v>241499.60155747342</v>
      </c>
      <c r="Z39" s="39">
        <f>SUM(Model!W8:Z8)</f>
        <v>263234.56569764612</v>
      </c>
      <c r="AA39" s="39">
        <f>SUM(Model!X8:AA8)</f>
        <v>284689.37584318587</v>
      </c>
      <c r="AB39" s="39">
        <f>SUM(Model!Y8:AB8)</f>
        <v>305704.64008854108</v>
      </c>
      <c r="AC39" s="39">
        <f>SUM(Model!Z8:AC8)</f>
        <v>326098.57057389786</v>
      </c>
      <c r="AD39" s="39">
        <f>SUM(Model!AA8:AD8)</f>
        <v>345664.4848083317</v>
      </c>
      <c r="AE39" s="39">
        <f>SUM(Model!AB8:AE8)</f>
        <v>366404.35389683163</v>
      </c>
      <c r="AF39" s="39">
        <f>SUM(Model!AC8:AF8)</f>
        <v>388388.6151306415</v>
      </c>
      <c r="AG39" s="39">
        <f>SUM(Model!AD8:AG8)</f>
        <v>411691.93203848001</v>
      </c>
      <c r="AH39" s="39">
        <f>SUM(Model!AE8:AH8)</f>
        <v>436393.44796078879</v>
      </c>
    </row>
    <row r="40" spans="2:34" ht="15.4" customHeight="1">
      <c r="B40" s="233" t="s">
        <v>125</v>
      </c>
      <c r="C40" s="39">
        <f>SUM(Model!C33:C33)</f>
        <v>0</v>
      </c>
      <c r="D40" s="39">
        <f>SUM(Model!C33:D33)</f>
        <v>0</v>
      </c>
      <c r="E40" s="39">
        <f>SUM(Model!C33:E33)</f>
        <v>0</v>
      </c>
      <c r="F40" s="39">
        <f>SUM(Model!C33:F33)</f>
        <v>-2673.5241933162656</v>
      </c>
      <c r="G40" s="39">
        <f>SUM(Model!D33:G33)</f>
        <v>-4657.9888122892899</v>
      </c>
      <c r="H40" s="39">
        <f>SUM(Model!E33:H33)</f>
        <v>-7216.9038996059517</v>
      </c>
      <c r="I40" s="39">
        <f>SUM(Model!F33:I33)</f>
        <v>-10399.313292448129</v>
      </c>
      <c r="J40" s="39">
        <f>SUM(Model!G33:J33)</f>
        <v>-11136.520539064066</v>
      </c>
      <c r="K40" s="39">
        <f>SUM(Model!H33:K33)</f>
        <v>-12526.68082854412</v>
      </c>
      <c r="L40" s="39">
        <f>SUM(Model!I33:L33)</f>
        <v>-14696.281766517935</v>
      </c>
      <c r="M40" s="39">
        <f>SUM(Model!J33:M33)</f>
        <v>-15010.052773877749</v>
      </c>
      <c r="N40" s="74">
        <f>SUM(Model!K33:N33)</f>
        <v>-16261.758438987301</v>
      </c>
      <c r="O40" s="75">
        <f>SUM(Model!L33:O33)</f>
        <v>-20545.987274431518</v>
      </c>
      <c r="P40" s="39">
        <f>SUM(Model!M33:P33)</f>
        <v>-24645.816512750698</v>
      </c>
      <c r="Q40" s="39">
        <f>SUM(Model!N33:Q33)</f>
        <v>-31330.253331153181</v>
      </c>
      <c r="R40" s="39">
        <f>SUM(Model!O33:R33)</f>
        <v>-38430.898487317754</v>
      </c>
      <c r="S40" s="39">
        <f>SUM(Model!P33:S33)</f>
        <v>-41737.611364110795</v>
      </c>
      <c r="T40" s="39">
        <f>SUM(Model!Q33:T33)</f>
        <v>-45196.783501618891</v>
      </c>
      <c r="U40" s="39">
        <f>SUM(Model!R33:U33)</f>
        <v>-48811.929970365592</v>
      </c>
      <c r="V40" s="39">
        <f>SUM(Model!S33:V33)</f>
        <v>-52565.682309000753</v>
      </c>
      <c r="W40" s="39">
        <f>SUM(Model!T33:W33)</f>
        <v>-54784.280443049356</v>
      </c>
      <c r="X40" s="39">
        <f>SUM(Model!U33:X33)</f>
        <v>-56644.482107213698</v>
      </c>
      <c r="Y40" s="39">
        <f>SUM(Model!V33:Y33)</f>
        <v>-58079.797059010249</v>
      </c>
      <c r="Z40" s="39">
        <f>SUM(Model!W33:Z33)</f>
        <v>-59012.289508002112</v>
      </c>
      <c r="AA40" s="39">
        <f>SUM(Model!X33:AA33)</f>
        <v>-58743.639022228715</v>
      </c>
      <c r="AB40" s="39">
        <f>SUM(Model!Y33:AB33)</f>
        <v>-58057.021850525693</v>
      </c>
      <c r="AC40" s="39">
        <f>SUM(Model!Z33:AC33)</f>
        <v>-56916.84622105684</v>
      </c>
      <c r="AD40" s="39">
        <f>SUM(Model!AA33:AD33)</f>
        <v>-55283.090966958393</v>
      </c>
      <c r="AE40" s="39">
        <f>SUM(Model!AB33:AE33)</f>
        <v>-51984.561643062363</v>
      </c>
      <c r="AF40" s="39">
        <f>SUM(Model!AC33:AF33)</f>
        <v>-48658.442211002373</v>
      </c>
      <c r="AG40" s="39">
        <f>SUM(Model!AD33:AG33)</f>
        <v>-45267.824527789009</v>
      </c>
      <c r="AH40" s="39">
        <f>SUM(Model!AE33:AH33)</f>
        <v>-41770.093908548974</v>
      </c>
    </row>
    <row r="41" spans="2:34" ht="15.4" customHeight="1">
      <c r="B41" s="233" t="s">
        <v>127</v>
      </c>
      <c r="C41" s="159"/>
      <c r="D41" s="159"/>
      <c r="E41" s="159"/>
      <c r="F41" s="159"/>
      <c r="G41" s="36">
        <f t="shared" ref="G41:N41" si="74">G39/C39-1</f>
        <v>6.1374382433263506</v>
      </c>
      <c r="H41" s="36">
        <f t="shared" si="74"/>
        <v>2.8553184504280535</v>
      </c>
      <c r="I41" s="36">
        <f t="shared" si="74"/>
        <v>1.8729195326669301</v>
      </c>
      <c r="J41" s="36">
        <f t="shared" si="74"/>
        <v>1.2752397104513471</v>
      </c>
      <c r="K41" s="36">
        <f t="shared" si="74"/>
        <v>1.1978029702097674</v>
      </c>
      <c r="L41" s="36">
        <f t="shared" si="74"/>
        <v>1.1424318693000686</v>
      </c>
      <c r="M41" s="36">
        <f t="shared" si="74"/>
        <v>1.0266657101277059</v>
      </c>
      <c r="N41" s="195">
        <f t="shared" si="74"/>
        <v>0.96573132288797758</v>
      </c>
      <c r="O41" s="386">
        <f t="shared" ref="O41" si="75">O39/K39-1</f>
        <v>0.92576843904373596</v>
      </c>
      <c r="P41" s="36">
        <f t="shared" ref="P41" si="76">P39/L39-1</f>
        <v>0.88366067951255767</v>
      </c>
      <c r="Q41" s="36">
        <f t="shared" ref="Q41" si="77">Q39/M39-1</f>
        <v>0.88216841094348819</v>
      </c>
      <c r="R41" s="36">
        <f t="shared" ref="R41" si="78">R39/N39-1</f>
        <v>0.85704084402822622</v>
      </c>
      <c r="S41" s="36">
        <f t="shared" ref="S41" si="79">S39/O39-1</f>
        <v>0.8211702535229386</v>
      </c>
      <c r="T41" s="36">
        <f t="shared" ref="T41" si="80">T39/P39-1</f>
        <v>0.78332924214019206</v>
      </c>
      <c r="U41" s="36">
        <f t="shared" ref="U41" si="81">U39/Q39-1</f>
        <v>0.73319653981961519</v>
      </c>
      <c r="V41" s="36">
        <f t="shared" ref="V41" si="82">V39/R39-1</f>
        <v>0.68837249137600476</v>
      </c>
      <c r="W41" s="36">
        <f t="shared" ref="W41" si="83">W39/S39-1</f>
        <v>0.64045688818459112</v>
      </c>
      <c r="X41" s="36">
        <f t="shared" ref="X41" si="84">X39/T39-1</f>
        <v>0.59002152411257369</v>
      </c>
      <c r="Y41" s="36">
        <f t="shared" ref="Y41" si="85">Y39/U39-1</f>
        <v>0.53745943379190741</v>
      </c>
      <c r="Z41" s="36">
        <f t="shared" ref="Z41" si="86">Z39/V39-1</f>
        <v>0.48303609100281375</v>
      </c>
      <c r="AA41" s="36">
        <f t="shared" ref="AA41" si="87">AA39/W39-1</f>
        <v>0.43449711895868526</v>
      </c>
      <c r="AB41" s="36">
        <f t="shared" ref="AB41" si="88">AB39/X39-1</f>
        <v>0.39055072959797932</v>
      </c>
      <c r="AC41" s="36">
        <f t="shared" ref="AC41" si="89">AC39/Y39-1</f>
        <v>0.35030686788231047</v>
      </c>
      <c r="AD41" s="36">
        <f t="shared" ref="AD41" si="90">AD39/Z39-1</f>
        <v>0.31314245867453971</v>
      </c>
      <c r="AE41" s="36">
        <f t="shared" ref="AE41" si="91">AE39/AA39-1</f>
        <v>0.28703206015898686</v>
      </c>
      <c r="AF41" s="36">
        <f t="shared" ref="AF41" si="92">AF39/AB39-1</f>
        <v>0.2704701342385667</v>
      </c>
      <c r="AG41" s="36">
        <f t="shared" ref="AG41" si="93">AG39/AC39-1</f>
        <v>0.26247695999999987</v>
      </c>
      <c r="AH41" s="36">
        <f t="shared" ref="AH41" si="94">AH39/AD39-1</f>
        <v>0.26247696000000009</v>
      </c>
    </row>
    <row r="42" spans="2:34" ht="15.4" customHeight="1">
      <c r="B42" s="233" t="s">
        <v>123</v>
      </c>
      <c r="C42" s="159"/>
      <c r="D42" s="159"/>
      <c r="E42" s="159"/>
      <c r="F42" s="159"/>
      <c r="G42" s="36">
        <f t="shared" ref="G42:N42" si="95">G40/G39</f>
        <v>-0.29678028772269949</v>
      </c>
      <c r="H42" s="36">
        <f t="shared" si="95"/>
        <v>-0.3756470264794356</v>
      </c>
      <c r="I42" s="36">
        <f t="shared" si="95"/>
        <v>-0.43770380530801628</v>
      </c>
      <c r="J42" s="36">
        <f t="shared" si="95"/>
        <v>-0.3866982505604592</v>
      </c>
      <c r="K42" s="36">
        <f t="shared" si="95"/>
        <v>-0.36314817544928552</v>
      </c>
      <c r="L42" s="36">
        <f t="shared" si="95"/>
        <v>-0.35705036645318577</v>
      </c>
      <c r="M42" s="36">
        <f t="shared" si="95"/>
        <v>-0.31172796170529787</v>
      </c>
      <c r="N42" s="195">
        <f t="shared" si="95"/>
        <v>-0.28725396531677078</v>
      </c>
      <c r="O42" s="386">
        <f t="shared" ref="O42:AH42" si="96">O40/O39</f>
        <v>-0.30929350801109584</v>
      </c>
      <c r="P42" s="36">
        <f t="shared" si="96"/>
        <v>-0.3178795224120346</v>
      </c>
      <c r="Q42" s="36">
        <f t="shared" si="96"/>
        <v>-0.34569967156864917</v>
      </c>
      <c r="R42" s="36">
        <f t="shared" si="96"/>
        <v>-0.36555910828119231</v>
      </c>
      <c r="S42" s="36">
        <f t="shared" si="96"/>
        <v>-0.34500138010382975</v>
      </c>
      <c r="T42" s="36">
        <f t="shared" si="96"/>
        <v>-0.32688526076230506</v>
      </c>
      <c r="U42" s="36">
        <f t="shared" si="96"/>
        <v>-0.31075149495295779</v>
      </c>
      <c r="V42" s="36">
        <f t="shared" si="96"/>
        <v>-0.29614957217274501</v>
      </c>
      <c r="W42" s="36">
        <f t="shared" si="96"/>
        <v>-0.2760478582209796</v>
      </c>
      <c r="X42" s="36">
        <f t="shared" si="96"/>
        <v>-0.25765727958552553</v>
      </c>
      <c r="Y42" s="36">
        <f t="shared" si="96"/>
        <v>-0.24049645086138205</v>
      </c>
      <c r="Z42" s="36">
        <f t="shared" si="96"/>
        <v>-0.22418138496212622</v>
      </c>
      <c r="AA42" s="36">
        <f t="shared" si="96"/>
        <v>-0.20634292673635352</v>
      </c>
      <c r="AB42" s="36">
        <f t="shared" si="96"/>
        <v>-0.18991213817922642</v>
      </c>
      <c r="AC42" s="36">
        <f t="shared" si="96"/>
        <v>-0.1745387786303062</v>
      </c>
      <c r="AD42" s="36">
        <f t="shared" si="96"/>
        <v>-0.1599328059335122</v>
      </c>
      <c r="AE42" s="36">
        <f t="shared" si="96"/>
        <v>-0.14187757620833197</v>
      </c>
      <c r="AF42" s="36">
        <f t="shared" si="96"/>
        <v>-0.12528287471720878</v>
      </c>
      <c r="AG42" s="36">
        <f t="shared" si="96"/>
        <v>-0.10995557844344134</v>
      </c>
      <c r="AH42" s="36">
        <f t="shared" si="96"/>
        <v>-9.5716592684274529E-2</v>
      </c>
    </row>
    <row r="43" spans="2:34" ht="15.4" customHeight="1">
      <c r="B43" s="235" t="s">
        <v>0</v>
      </c>
      <c r="C43" s="339"/>
      <c r="D43" s="339"/>
      <c r="E43" s="339"/>
      <c r="F43" s="339"/>
      <c r="G43" s="252">
        <f t="shared" ref="G43:N43" si="97">G41+G42</f>
        <v>5.8406579556036515</v>
      </c>
      <c r="H43" s="252">
        <f t="shared" si="97"/>
        <v>2.4796714239486182</v>
      </c>
      <c r="I43" s="252">
        <f t="shared" si="97"/>
        <v>1.4352157273589139</v>
      </c>
      <c r="J43" s="252">
        <f t="shared" si="97"/>
        <v>0.88854145989088784</v>
      </c>
      <c r="K43" s="252">
        <f t="shared" si="97"/>
        <v>0.83465479476048188</v>
      </c>
      <c r="L43" s="252">
        <f t="shared" si="97"/>
        <v>0.7853815028468828</v>
      </c>
      <c r="M43" s="252">
        <f t="shared" si="97"/>
        <v>0.71493774842240798</v>
      </c>
      <c r="N43" s="391">
        <f t="shared" si="97"/>
        <v>0.67847735757120686</v>
      </c>
      <c r="O43" s="254">
        <f t="shared" ref="O43:AH43" si="98">O41+O42</f>
        <v>0.61647493103264006</v>
      </c>
      <c r="P43" s="252">
        <f t="shared" si="98"/>
        <v>0.56578115710052312</v>
      </c>
      <c r="Q43" s="252">
        <f t="shared" si="98"/>
        <v>0.53646873937483908</v>
      </c>
      <c r="R43" s="252">
        <f t="shared" si="98"/>
        <v>0.49148173574703391</v>
      </c>
      <c r="S43" s="252">
        <f t="shared" si="98"/>
        <v>0.47616887341910885</v>
      </c>
      <c r="T43" s="252">
        <f t="shared" si="98"/>
        <v>0.456443981377887</v>
      </c>
      <c r="U43" s="252">
        <f t="shared" si="98"/>
        <v>0.4224450448666574</v>
      </c>
      <c r="V43" s="252">
        <f t="shared" si="98"/>
        <v>0.39222291920325975</v>
      </c>
      <c r="W43" s="252">
        <f t="shared" si="98"/>
        <v>0.36440902996361152</v>
      </c>
      <c r="X43" s="252">
        <f t="shared" si="98"/>
        <v>0.33236424452704816</v>
      </c>
      <c r="Y43" s="252">
        <f t="shared" si="98"/>
        <v>0.29696298293052537</v>
      </c>
      <c r="Z43" s="252">
        <f t="shared" si="98"/>
        <v>0.2588547060406875</v>
      </c>
      <c r="AA43" s="252">
        <f t="shared" si="98"/>
        <v>0.22815419222233174</v>
      </c>
      <c r="AB43" s="252">
        <f t="shared" si="98"/>
        <v>0.2006385914187529</v>
      </c>
      <c r="AC43" s="252">
        <f t="shared" si="98"/>
        <v>0.17576808925200427</v>
      </c>
      <c r="AD43" s="252">
        <f t="shared" si="98"/>
        <v>0.15320965274102752</v>
      </c>
      <c r="AE43" s="252">
        <f t="shared" si="98"/>
        <v>0.14515448395065489</v>
      </c>
      <c r="AF43" s="252">
        <f t="shared" si="98"/>
        <v>0.14518725952135791</v>
      </c>
      <c r="AG43" s="252">
        <f t="shared" si="98"/>
        <v>0.15252138155655853</v>
      </c>
      <c r="AH43" s="252">
        <f t="shared" si="98"/>
        <v>0.16676036731572558</v>
      </c>
    </row>
    <row r="44" spans="2:34" ht="15.4" customHeight="1">
      <c r="B44" s="232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392"/>
      <c r="O44" s="393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</row>
    <row r="45" spans="2:34" ht="15.4" customHeight="1">
      <c r="B45" s="234" t="s">
        <v>117</v>
      </c>
      <c r="C45" s="15"/>
      <c r="D45" s="15"/>
      <c r="E45" s="15"/>
      <c r="F45" s="15"/>
      <c r="G45" s="15"/>
      <c r="H45" s="5"/>
      <c r="I45" s="5"/>
      <c r="J45" s="5"/>
      <c r="K45" s="5"/>
      <c r="L45" s="5"/>
      <c r="M45" s="5"/>
      <c r="N45" s="247"/>
      <c r="O45" s="37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2:34" ht="15.4" customHeight="1">
      <c r="B46" s="233" t="s">
        <v>5</v>
      </c>
      <c r="C46" s="159"/>
      <c r="D46" s="25">
        <f t="shared" ref="D46:N46" si="99">+D7</f>
        <v>1457.7</v>
      </c>
      <c r="E46" s="25">
        <f t="shared" si="99"/>
        <v>1443.9</v>
      </c>
      <c r="F46" s="25">
        <f t="shared" si="99"/>
        <v>2939.85</v>
      </c>
      <c r="G46" s="25">
        <f t="shared" si="99"/>
        <v>1869.3</v>
      </c>
      <c r="H46" s="25">
        <f t="shared" si="99"/>
        <v>2653.5</v>
      </c>
      <c r="I46" s="25">
        <f t="shared" si="99"/>
        <v>3860.4</v>
      </c>
      <c r="J46" s="25">
        <f t="shared" si="99"/>
        <v>4150.7250000000004</v>
      </c>
      <c r="K46" s="25">
        <f t="shared" si="99"/>
        <v>2938.65</v>
      </c>
      <c r="L46" s="25">
        <f t="shared" si="99"/>
        <v>4775.55</v>
      </c>
      <c r="M46" s="25">
        <f t="shared" si="99"/>
        <v>4969.3500000000004</v>
      </c>
      <c r="N46" s="394">
        <f t="shared" si="99"/>
        <v>6157.89</v>
      </c>
      <c r="O46" s="395">
        <f t="shared" ref="O46:AH46" si="100">+O7</f>
        <v>8586.1500299999989</v>
      </c>
      <c r="P46" s="25">
        <f t="shared" si="100"/>
        <v>9959.9340347999987</v>
      </c>
      <c r="Q46" s="25">
        <f t="shared" si="100"/>
        <v>11553.523480367998</v>
      </c>
      <c r="R46" s="25">
        <f t="shared" si="100"/>
        <v>13402.087237226875</v>
      </c>
      <c r="S46" s="25">
        <f t="shared" si="100"/>
        <v>12955.35099598598</v>
      </c>
      <c r="T46" s="25">
        <f t="shared" si="100"/>
        <v>14639.54662546416</v>
      </c>
      <c r="U46" s="25">
        <f t="shared" si="100"/>
        <v>16542.687686774501</v>
      </c>
      <c r="V46" s="25">
        <f t="shared" si="100"/>
        <v>18693.237086055189</v>
      </c>
      <c r="W46" s="25">
        <f t="shared" si="100"/>
        <v>16898.686325793893</v>
      </c>
      <c r="X46" s="25">
        <f t="shared" si="100"/>
        <v>18419.568095115344</v>
      </c>
      <c r="Y46" s="25">
        <f t="shared" si="100"/>
        <v>20077.329223675722</v>
      </c>
      <c r="Z46" s="25">
        <f t="shared" si="100"/>
        <v>21884.288853806542</v>
      </c>
      <c r="AA46" s="25">
        <f t="shared" si="100"/>
        <v>17890.406137986851</v>
      </c>
      <c r="AB46" s="25">
        <f t="shared" si="100"/>
        <v>18963.830506266062</v>
      </c>
      <c r="AC46" s="25">
        <f t="shared" si="100"/>
        <v>20101.660336642024</v>
      </c>
      <c r="AD46" s="25">
        <f t="shared" si="100"/>
        <v>21307.759956840546</v>
      </c>
      <c r="AE46" s="25">
        <f t="shared" si="100"/>
        <v>22586.225554250977</v>
      </c>
      <c r="AF46" s="25">
        <f t="shared" si="100"/>
        <v>23941.399087506037</v>
      </c>
      <c r="AG46" s="25">
        <f t="shared" si="100"/>
        <v>25377.883032756399</v>
      </c>
      <c r="AH46" s="25">
        <f t="shared" si="100"/>
        <v>26900.55601472178</v>
      </c>
    </row>
    <row r="47" spans="2:34" ht="15.4" customHeight="1">
      <c r="B47" s="233" t="s">
        <v>6</v>
      </c>
      <c r="C47" s="159"/>
      <c r="D47" s="25">
        <f t="shared" ref="D47:N47" si="101">+D8</f>
        <v>994.19100000000003</v>
      </c>
      <c r="E47" s="25">
        <f t="shared" si="101"/>
        <v>955.39324999999997</v>
      </c>
      <c r="F47" s="25">
        <f t="shared" si="101"/>
        <v>1583.759</v>
      </c>
      <c r="G47" s="25">
        <f t="shared" si="101"/>
        <v>1911.3585</v>
      </c>
      <c r="H47" s="25">
        <f t="shared" si="101"/>
        <v>2160.4279999999999</v>
      </c>
      <c r="I47" s="25">
        <f t="shared" si="101"/>
        <v>2432.29025</v>
      </c>
      <c r="J47" s="25">
        <f t="shared" si="101"/>
        <v>2840.8577500000001</v>
      </c>
      <c r="K47" s="25">
        <f t="shared" si="101"/>
        <v>4008.8319999999999</v>
      </c>
      <c r="L47" s="25">
        <f t="shared" si="101"/>
        <v>4671.8969999999999</v>
      </c>
      <c r="M47" s="25">
        <f t="shared" si="101"/>
        <v>4734.5702499999998</v>
      </c>
      <c r="N47" s="394">
        <f t="shared" si="101"/>
        <v>7403.5810000000001</v>
      </c>
      <c r="O47" s="395">
        <f t="shared" ref="O47:AH47" si="102">+O8</f>
        <v>5724.1000199999999</v>
      </c>
      <c r="P47" s="25">
        <f t="shared" si="102"/>
        <v>6639.9560231999994</v>
      </c>
      <c r="Q47" s="25">
        <f t="shared" si="102"/>
        <v>7702.3489869119985</v>
      </c>
      <c r="R47" s="25">
        <f t="shared" si="102"/>
        <v>8934.7248248179185</v>
      </c>
      <c r="S47" s="25">
        <f t="shared" si="102"/>
        <v>9068.7456971901865</v>
      </c>
      <c r="T47" s="25">
        <f t="shared" si="102"/>
        <v>10247.682637824912</v>
      </c>
      <c r="U47" s="25">
        <f t="shared" si="102"/>
        <v>11579.881380742152</v>
      </c>
      <c r="V47" s="25">
        <f t="shared" si="102"/>
        <v>13085.265960238634</v>
      </c>
      <c r="W47" s="25">
        <f t="shared" si="102"/>
        <v>10561.678953621184</v>
      </c>
      <c r="X47" s="25">
        <f t="shared" si="102"/>
        <v>11512.230059447091</v>
      </c>
      <c r="Y47" s="25">
        <f t="shared" si="102"/>
        <v>12548.330764797327</v>
      </c>
      <c r="Z47" s="25">
        <f t="shared" si="102"/>
        <v>13677.680533629089</v>
      </c>
      <c r="AA47" s="25">
        <f t="shared" si="102"/>
        <v>11926.937425324568</v>
      </c>
      <c r="AB47" s="25">
        <f t="shared" si="102"/>
        <v>12642.553670844043</v>
      </c>
      <c r="AC47" s="25">
        <f t="shared" si="102"/>
        <v>13401.106891094683</v>
      </c>
      <c r="AD47" s="25">
        <f t="shared" si="102"/>
        <v>14205.173304560363</v>
      </c>
      <c r="AE47" s="25">
        <f t="shared" si="102"/>
        <v>15057.483702833986</v>
      </c>
      <c r="AF47" s="25">
        <f t="shared" si="102"/>
        <v>15960.932725004026</v>
      </c>
      <c r="AG47" s="25">
        <f t="shared" si="102"/>
        <v>16918.588688504267</v>
      </c>
      <c r="AH47" s="25">
        <f t="shared" si="102"/>
        <v>17933.704009814523</v>
      </c>
    </row>
    <row r="48" spans="2:34" ht="15.4" customHeight="1">
      <c r="B48" s="233" t="s">
        <v>160</v>
      </c>
      <c r="C48" s="159"/>
      <c r="D48" s="39">
        <f>+Model!C20</f>
        <v>1200.0105704689199</v>
      </c>
      <c r="E48" s="39">
        <f>+Model!D20</f>
        <v>1349.9439499435048</v>
      </c>
      <c r="F48" s="39">
        <f>+Model!E20</f>
        <v>1491.0471257342761</v>
      </c>
      <c r="G48" s="39">
        <f>+Model!F20</f>
        <v>1617.0779601869442</v>
      </c>
      <c r="H48" s="39">
        <f>+Model!G20</f>
        <v>1758.387862041845</v>
      </c>
      <c r="I48" s="39">
        <f>+Model!H20</f>
        <v>1902.2560830999869</v>
      </c>
      <c r="J48" s="39">
        <f>+Model!I20</f>
        <v>2438.4820432835822</v>
      </c>
      <c r="K48" s="39">
        <f>+Model!J20</f>
        <v>2927.6112537313434</v>
      </c>
      <c r="L48" s="39">
        <f>+Model!K20</f>
        <v>3411.8055469435094</v>
      </c>
      <c r="M48" s="39">
        <f>+Model!L20</f>
        <v>4597.6604899734848</v>
      </c>
      <c r="N48" s="74">
        <f>+Model!M20</f>
        <v>4968.3288814763155</v>
      </c>
      <c r="O48" s="75">
        <f>+Model!N20</f>
        <v>6584.1337443371531</v>
      </c>
      <c r="P48" s="39">
        <f>+Model!O20</f>
        <v>8299.9450290000004</v>
      </c>
      <c r="Q48" s="39">
        <f>+Model!P20</f>
        <v>9627.936233639999</v>
      </c>
      <c r="R48" s="39">
        <f>+Model!Q20</f>
        <v>11168.406031022398</v>
      </c>
      <c r="S48" s="39">
        <f>+Model!R20</f>
        <v>12955.35099598598</v>
      </c>
      <c r="T48" s="39">
        <f>+Model!S20</f>
        <v>13907.569294190951</v>
      </c>
      <c r="U48" s="39">
        <f>+Model!T20</f>
        <v>15715.553302435777</v>
      </c>
      <c r="V48" s="39">
        <f>+Model!U20</f>
        <v>17758.575231752431</v>
      </c>
      <c r="W48" s="39">
        <f>+Model!V20</f>
        <v>20067.190011880248</v>
      </c>
      <c r="X48" s="39">
        <f>+Model!W20</f>
        <v>20722.014107004761</v>
      </c>
      <c r="Y48" s="39">
        <f>+Model!X20</f>
        <v>22586.995376635186</v>
      </c>
      <c r="Z48" s="39">
        <f>+Model!Y20</f>
        <v>24619.824960532358</v>
      </c>
      <c r="AA48" s="39">
        <f>+Model!Z20</f>
        <v>26835.609206980276</v>
      </c>
      <c r="AB48" s="39">
        <f>+Model!AA20</f>
        <v>26865.426550543591</v>
      </c>
      <c r="AC48" s="39">
        <f>+Model!AB20</f>
        <v>28477.352143576205</v>
      </c>
      <c r="AD48" s="39">
        <f>+Model!AC20</f>
        <v>30185.993272190775</v>
      </c>
      <c r="AE48" s="39">
        <f>+Model!AD20</f>
        <v>31997.152868522222</v>
      </c>
      <c r="AF48" s="39">
        <f>+Model!AE20</f>
        <v>31921.865450008052</v>
      </c>
      <c r="AG48" s="39">
        <f>+Model!AF20</f>
        <v>33837.177377008535</v>
      </c>
      <c r="AH48" s="39">
        <f>+Model!AG20</f>
        <v>35867.408019629045</v>
      </c>
    </row>
    <row r="49" spans="2:34" ht="15.4" customHeight="1">
      <c r="B49" s="235" t="s">
        <v>117</v>
      </c>
      <c r="C49" s="339"/>
      <c r="D49" s="158">
        <f t="shared" ref="D49:N49" si="103">+D46/D48</f>
        <v>1.2147392996966557</v>
      </c>
      <c r="E49" s="158">
        <f t="shared" si="103"/>
        <v>1.0695999638062212</v>
      </c>
      <c r="F49" s="158">
        <f t="shared" si="103"/>
        <v>1.9716680641815738</v>
      </c>
      <c r="G49" s="158">
        <f t="shared" si="103"/>
        <v>1.1559739517962988</v>
      </c>
      <c r="H49" s="158">
        <f t="shared" si="103"/>
        <v>1.5090527279452146</v>
      </c>
      <c r="I49" s="158">
        <f t="shared" si="103"/>
        <v>2.0293797634800828</v>
      </c>
      <c r="J49" s="158">
        <f t="shared" si="103"/>
        <v>1.702175749635936</v>
      </c>
      <c r="K49" s="158">
        <f t="shared" si="103"/>
        <v>1.003770564228631</v>
      </c>
      <c r="L49" s="158">
        <f t="shared" si="103"/>
        <v>1.3997134169261818</v>
      </c>
      <c r="M49" s="158">
        <f t="shared" si="103"/>
        <v>1.0808431833618621</v>
      </c>
      <c r="N49" s="387">
        <f t="shared" si="103"/>
        <v>1.2394288194082297</v>
      </c>
      <c r="O49" s="388">
        <f t="shared" ref="O49:AH49" si="104">+O46/O48</f>
        <v>1.3040667707251132</v>
      </c>
      <c r="P49" s="158">
        <f t="shared" si="104"/>
        <v>1.1999999999999997</v>
      </c>
      <c r="Q49" s="158">
        <f t="shared" si="104"/>
        <v>1.2</v>
      </c>
      <c r="R49" s="158">
        <f t="shared" si="104"/>
        <v>1.1999999999999997</v>
      </c>
      <c r="S49" s="158">
        <f t="shared" si="104"/>
        <v>1</v>
      </c>
      <c r="T49" s="158">
        <f t="shared" si="104"/>
        <v>1.0526315789473684</v>
      </c>
      <c r="U49" s="158">
        <f t="shared" si="104"/>
        <v>1.0526315789473684</v>
      </c>
      <c r="V49" s="158">
        <f t="shared" si="104"/>
        <v>1.0526315789473684</v>
      </c>
      <c r="W49" s="158">
        <f t="shared" si="104"/>
        <v>0.8421052631578948</v>
      </c>
      <c r="X49" s="158">
        <f t="shared" si="104"/>
        <v>0.88888888888888895</v>
      </c>
      <c r="Y49" s="158">
        <f t="shared" si="104"/>
        <v>0.88888888888888895</v>
      </c>
      <c r="Z49" s="158">
        <f t="shared" si="104"/>
        <v>0.88888888888888895</v>
      </c>
      <c r="AA49" s="158">
        <f t="shared" si="104"/>
        <v>0.66666666666666663</v>
      </c>
      <c r="AB49" s="158">
        <f t="shared" si="104"/>
        <v>0.70588235294117641</v>
      </c>
      <c r="AC49" s="158">
        <f t="shared" si="104"/>
        <v>0.70588235294117641</v>
      </c>
      <c r="AD49" s="158">
        <f t="shared" si="104"/>
        <v>0.70588235294117641</v>
      </c>
      <c r="AE49" s="158">
        <f t="shared" si="104"/>
        <v>0.70588235294117641</v>
      </c>
      <c r="AF49" s="158">
        <f t="shared" si="104"/>
        <v>0.74999999999999989</v>
      </c>
      <c r="AG49" s="158">
        <f t="shared" si="104"/>
        <v>0.75</v>
      </c>
      <c r="AH49" s="158">
        <f t="shared" si="104"/>
        <v>0.74999999999999989</v>
      </c>
    </row>
    <row r="50" spans="2:34" ht="15.4" customHeight="1">
      <c r="B50" s="233"/>
      <c r="C50" s="15"/>
      <c r="D50" s="15"/>
      <c r="E50" s="15"/>
      <c r="F50" s="15"/>
      <c r="G50" s="15"/>
      <c r="H50" s="5"/>
      <c r="I50" s="5"/>
      <c r="J50" s="5"/>
      <c r="K50" s="5"/>
      <c r="L50" s="5"/>
      <c r="M50" s="5"/>
      <c r="N50" s="247"/>
      <c r="O50" s="37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2:34" ht="15.4" customHeight="1">
      <c r="B51" s="234" t="s">
        <v>141</v>
      </c>
      <c r="C51" s="15"/>
      <c r="D51" s="15"/>
      <c r="E51" s="15"/>
      <c r="F51" s="15"/>
      <c r="G51" s="15"/>
      <c r="H51" s="5"/>
      <c r="I51" s="5"/>
      <c r="J51" s="5"/>
      <c r="K51" s="5"/>
      <c r="L51" s="5"/>
      <c r="M51" s="5"/>
      <c r="N51" s="247"/>
      <c r="O51" s="37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2:34" ht="15.4" customHeight="1">
      <c r="B52" s="233" t="s">
        <v>252</v>
      </c>
      <c r="C52" s="15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396"/>
      <c r="O52" s="397"/>
      <c r="P52" s="39">
        <f>-Model!O113</f>
        <v>7900.8539533688454</v>
      </c>
      <c r="Q52" s="39">
        <f>-Model!P113</f>
        <v>8929.5123039927803</v>
      </c>
      <c r="R52" s="39">
        <f>-Model!Q113</f>
        <v>10128.817165589144</v>
      </c>
      <c r="S52" s="39">
        <f>-Model!R113</f>
        <v>11208.403724873213</v>
      </c>
      <c r="T52" s="39">
        <f>-Model!S113</f>
        <v>10298.715331436797</v>
      </c>
      <c r="U52" s="39">
        <f>-Model!T113</f>
        <v>11714.430539938174</v>
      </c>
      <c r="V52" s="39">
        <f>-Model!U113</f>
        <v>12792.206378399209</v>
      </c>
      <c r="W52" s="39">
        <f>-Model!V113</f>
        <v>13733.804189235943</v>
      </c>
      <c r="X52" s="39">
        <f>-Model!W113</f>
        <v>11501.01633137231</v>
      </c>
      <c r="Y52" s="39">
        <f>-Model!X113</f>
        <v>12952.458069156206</v>
      </c>
      <c r="Z52" s="39">
        <f>-Model!Y113</f>
        <v>13225.242235617361</v>
      </c>
      <c r="AA52" s="39">
        <f>-Model!Z113</f>
        <v>13181.478058557452</v>
      </c>
      <c r="AB52" s="39">
        <f>-Model!AA113</f>
        <v>10236.201123335872</v>
      </c>
      <c r="AC52" s="39">
        <f>-Model!AB113</f>
        <v>11736.30226473867</v>
      </c>
      <c r="AD52" s="39">
        <f>-Model!AC113</f>
        <v>11201.632263398416</v>
      </c>
      <c r="AE52" s="39">
        <f>-Model!AD113</f>
        <v>10262.713971544708</v>
      </c>
      <c r="AF52" s="39">
        <f>-Model!AE113</f>
        <v>6234.3227471465816</v>
      </c>
      <c r="AG52" s="39">
        <f>-Model!AF113</f>
        <v>7699.2515520653051</v>
      </c>
      <c r="AH52" s="39">
        <f>-Model!AG113</f>
        <v>7151.069341067182</v>
      </c>
    </row>
    <row r="53" spans="2:34" ht="15.4" customHeight="1">
      <c r="B53" s="233" t="s">
        <v>143</v>
      </c>
      <c r="C53" s="15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396"/>
      <c r="O53" s="397"/>
      <c r="P53" s="39">
        <f>P11-O11</f>
        <v>13279.912046399986</v>
      </c>
      <c r="Q53" s="39">
        <f t="shared" ref="Q53:AH53" si="105">Q11-P11</f>
        <v>15404.69797382399</v>
      </c>
      <c r="R53" s="39">
        <f t="shared" si="105"/>
        <v>17869.449649635819</v>
      </c>
      <c r="S53" s="39">
        <f t="shared" si="105"/>
        <v>16841.956294781805</v>
      </c>
      <c r="T53" s="39">
        <f t="shared" si="105"/>
        <v>19031.41061310342</v>
      </c>
      <c r="U53" s="39">
        <f t="shared" si="105"/>
        <v>21505.493992806878</v>
      </c>
      <c r="V53" s="39">
        <f t="shared" si="105"/>
        <v>24301.208211871766</v>
      </c>
      <c r="W53" s="39">
        <f t="shared" si="105"/>
        <v>19011.022116518143</v>
      </c>
      <c r="X53" s="39">
        <f t="shared" si="105"/>
        <v>20722.014107004739</v>
      </c>
      <c r="Y53" s="39">
        <f t="shared" si="105"/>
        <v>22586.995376635226</v>
      </c>
      <c r="Z53" s="39">
        <f t="shared" si="105"/>
        <v>24619.824960532424</v>
      </c>
      <c r="AA53" s="39">
        <f t="shared" si="105"/>
        <v>17890.406137986865</v>
      </c>
      <c r="AB53" s="39">
        <f t="shared" si="105"/>
        <v>18963.830506266037</v>
      </c>
      <c r="AC53" s="39">
        <f t="shared" si="105"/>
        <v>20101.660336642002</v>
      </c>
      <c r="AD53" s="39">
        <f t="shared" si="105"/>
        <v>21307.759956840542</v>
      </c>
      <c r="AE53" s="39">
        <f t="shared" si="105"/>
        <v>22586.225554250996</v>
      </c>
      <c r="AF53" s="39">
        <f t="shared" si="105"/>
        <v>23941.399087506055</v>
      </c>
      <c r="AG53" s="39">
        <f t="shared" si="105"/>
        <v>25377.883032756334</v>
      </c>
      <c r="AH53" s="39">
        <f t="shared" si="105"/>
        <v>26900.556014721806</v>
      </c>
    </row>
    <row r="54" spans="2:34" ht="15.4" customHeight="1">
      <c r="B54" s="235" t="s">
        <v>141</v>
      </c>
      <c r="C54" s="164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98"/>
      <c r="O54" s="399"/>
      <c r="P54" s="158">
        <f t="shared" ref="P54:AH54" si="106">+P52/P53</f>
        <v>0.59494776213601996</v>
      </c>
      <c r="Q54" s="158">
        <f t="shared" si="106"/>
        <v>0.57966162784664843</v>
      </c>
      <c r="R54" s="158">
        <f t="shared" si="106"/>
        <v>0.56682311790142736</v>
      </c>
      <c r="S54" s="158">
        <f t="shared" si="106"/>
        <v>0.66550485755303534</v>
      </c>
      <c r="T54" s="158">
        <f t="shared" si="106"/>
        <v>0.54114303667779473</v>
      </c>
      <c r="U54" s="158">
        <f t="shared" si="106"/>
        <v>0.54471804013692493</v>
      </c>
      <c r="V54" s="158">
        <f t="shared" si="106"/>
        <v>0.52640207296976649</v>
      </c>
      <c r="W54" s="158">
        <f t="shared" si="106"/>
        <v>0.72241271958244824</v>
      </c>
      <c r="X54" s="158">
        <f t="shared" si="106"/>
        <v>0.55501440506618416</v>
      </c>
      <c r="Y54" s="158">
        <f t="shared" si="106"/>
        <v>0.57344759022506731</v>
      </c>
      <c r="Z54" s="158">
        <f t="shared" si="106"/>
        <v>0.53717856470622749</v>
      </c>
      <c r="AA54" s="158">
        <f t="shared" si="106"/>
        <v>0.73679031973282583</v>
      </c>
      <c r="AB54" s="158">
        <f t="shared" si="106"/>
        <v>0.53977497425710597</v>
      </c>
      <c r="AC54" s="158">
        <f t="shared" si="106"/>
        <v>0.58384740703957327</v>
      </c>
      <c r="AD54" s="158">
        <f t="shared" si="106"/>
        <v>0.52570670432216393</v>
      </c>
      <c r="AE54" s="158">
        <f t="shared" si="106"/>
        <v>0.45437932720959406</v>
      </c>
      <c r="AF54" s="158">
        <f t="shared" si="106"/>
        <v>0.26039926590589252</v>
      </c>
      <c r="AG54" s="158">
        <f t="shared" si="106"/>
        <v>0.30338431074520861</v>
      </c>
      <c r="AH54" s="158">
        <f t="shared" si="106"/>
        <v>0.26583351426467294</v>
      </c>
    </row>
    <row r="55" spans="2:34" ht="15.4" customHeight="1">
      <c r="B55" s="233"/>
      <c r="C55" s="15"/>
      <c r="D55" s="15"/>
      <c r="E55" s="15"/>
      <c r="F55" s="15"/>
      <c r="G55" s="15"/>
      <c r="H55" s="5"/>
      <c r="I55" s="5"/>
      <c r="J55" s="5"/>
      <c r="K55" s="5"/>
      <c r="L55" s="5"/>
      <c r="M55" s="5"/>
      <c r="N55" s="247"/>
      <c r="O55" s="37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2:34" ht="15.4" customHeight="1">
      <c r="B56" s="233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400"/>
      <c r="O56" s="401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</row>
    <row r="57" spans="2:34" s="2" customFormat="1" ht="16.5" customHeight="1">
      <c r="B57" s="52" t="s">
        <v>142</v>
      </c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380"/>
      <c r="O57" s="381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</row>
    <row r="58" spans="2:34" ht="15.4" customHeight="1">
      <c r="B58" s="236" t="s">
        <v>118</v>
      </c>
      <c r="C58" s="15"/>
      <c r="D58" s="15"/>
      <c r="E58" s="15"/>
      <c r="F58" s="15"/>
      <c r="G58" s="15"/>
      <c r="H58" s="5"/>
      <c r="I58" s="5"/>
      <c r="J58" s="5"/>
      <c r="K58" s="5"/>
      <c r="L58" s="5"/>
      <c r="M58" s="5"/>
      <c r="N58" s="247"/>
      <c r="O58" s="37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2:34" ht="15.4" customHeight="1">
      <c r="B59" s="231" t="s">
        <v>177</v>
      </c>
      <c r="C59" s="39">
        <f>Model!C16</f>
        <v>1476.7253184171643</v>
      </c>
      <c r="D59" s="39">
        <f>Model!D16</f>
        <v>1865.8739200014647</v>
      </c>
      <c r="E59" s="39">
        <f>Model!E16</f>
        <v>2200.9315029358468</v>
      </c>
      <c r="F59" s="39">
        <f>Model!F16</f>
        <v>2934.2545457864035</v>
      </c>
      <c r="G59" s="39">
        <f>Model!G16</f>
        <v>3495.9368939297246</v>
      </c>
      <c r="H59" s="39">
        <f>Model!H16</f>
        <v>4192.5532474413649</v>
      </c>
      <c r="I59" s="39">
        <f>Model!I16</f>
        <v>5205.2092349194609</v>
      </c>
      <c r="J59" s="39">
        <f>Model!J16</f>
        <v>6255.019798625859</v>
      </c>
      <c r="K59" s="39">
        <f>Model!K16</f>
        <v>7234.5972758575972</v>
      </c>
      <c r="L59" s="39">
        <f>Model!L16</f>
        <v>8565.5979417365525</v>
      </c>
      <c r="M59" s="39">
        <f>Model!M16</f>
        <v>9767.9664090429069</v>
      </c>
      <c r="N59" s="74">
        <f>Model!N16</f>
        <v>11788.302881045705</v>
      </c>
      <c r="O59" s="75">
        <f>Model!O16</f>
        <v>13487.410672124999</v>
      </c>
      <c r="P59" s="39">
        <f>Model!P16</f>
        <v>15645.396379664997</v>
      </c>
      <c r="Q59" s="39">
        <f>Model!Q16</f>
        <v>18148.659800411395</v>
      </c>
      <c r="R59" s="39">
        <f>Model!R16</f>
        <v>21052.445368477216</v>
      </c>
      <c r="S59" s="39">
        <f>Model!S16</f>
        <v>23789.263266379261</v>
      </c>
      <c r="T59" s="39">
        <f>Model!T16</f>
        <v>26881.867491008568</v>
      </c>
      <c r="U59" s="39">
        <f>Model!U16</f>
        <v>30376.510264839686</v>
      </c>
      <c r="V59" s="39">
        <f>Model!V16</f>
        <v>34325.456599268844</v>
      </c>
      <c r="W59" s="39">
        <f>Model!W16</f>
        <v>37414.74769320304</v>
      </c>
      <c r="X59" s="39">
        <f>Model!X16</f>
        <v>40782.074985591316</v>
      </c>
      <c r="Y59" s="39">
        <f>Model!Y16</f>
        <v>44452.461734294542</v>
      </c>
      <c r="Z59" s="39">
        <f>Model!Z16</f>
        <v>48453.183290381057</v>
      </c>
      <c r="AA59" s="39">
        <f>Model!AA16</f>
        <v>51360.374287803919</v>
      </c>
      <c r="AB59" s="39">
        <f>Model!AB16</f>
        <v>54441.99674507216</v>
      </c>
      <c r="AC59" s="39">
        <f>Model!AC16</f>
        <v>57708.516549776483</v>
      </c>
      <c r="AD59" s="39">
        <f>Model!AD16</f>
        <v>61171.02754276307</v>
      </c>
      <c r="AE59" s="39">
        <f>Model!AE16</f>
        <v>64841.289195328856</v>
      </c>
      <c r="AF59" s="39">
        <f>Model!AF16</f>
        <v>68731.766547048581</v>
      </c>
      <c r="AG59" s="39">
        <f>Model!AG16</f>
        <v>72855.672539871492</v>
      </c>
      <c r="AH59" s="39">
        <f>Model!AH16</f>
        <v>77227.012892263796</v>
      </c>
    </row>
    <row r="60" spans="2:34" ht="15.4" customHeight="1">
      <c r="B60" s="231" t="s">
        <v>182</v>
      </c>
      <c r="C60" s="39">
        <f>+Model!C8</f>
        <v>2198.9787169971642</v>
      </c>
      <c r="D60" s="39">
        <f>+Model!D8</f>
        <v>2784.2487323102555</v>
      </c>
      <c r="E60" s="39">
        <f>+Model!E8</f>
        <v>3286.6843501780072</v>
      </c>
      <c r="F60" s="39">
        <f>+Model!F8</f>
        <v>4387.6529028517034</v>
      </c>
      <c r="G60" s="39">
        <f>+Model!G8</f>
        <v>5236.4888056163036</v>
      </c>
      <c r="H60" s="39">
        <f>+Model!H8</f>
        <v>6301.1026693484109</v>
      </c>
      <c r="I60" s="39">
        <f>+Model!I8</f>
        <v>7833.5467643579886</v>
      </c>
      <c r="J60" s="39">
        <f>+Model!J8</f>
        <v>9427.8556090420225</v>
      </c>
      <c r="K60" s="39">
        <f>+Model!K8</f>
        <v>10932.176950479708</v>
      </c>
      <c r="L60" s="39">
        <f>+Model!L8</f>
        <v>12966.669053697065</v>
      </c>
      <c r="M60" s="39">
        <f>+Model!M8</f>
        <v>14824.425708711953</v>
      </c>
      <c r="N60" s="74">
        <f>+Model!N8</f>
        <v>17887.812562499999</v>
      </c>
      <c r="O60" s="75">
        <f>+Model!O8</f>
        <v>20749.862572499998</v>
      </c>
      <c r="P60" s="39">
        <f>+Model!P8</f>
        <v>24069.840584099995</v>
      </c>
      <c r="Q60" s="39">
        <f>+Model!Q8</f>
        <v>27921.015077555992</v>
      </c>
      <c r="R60" s="39">
        <f>+Model!R8</f>
        <v>32388.377489964947</v>
      </c>
      <c r="S60" s="39">
        <f>+Model!S8</f>
        <v>36598.866563660398</v>
      </c>
      <c r="T60" s="39">
        <f>+Model!T8</f>
        <v>41356.719216936253</v>
      </c>
      <c r="U60" s="39">
        <f>+Model!U8</f>
        <v>46733.092715137973</v>
      </c>
      <c r="V60" s="39">
        <f>+Model!V8</f>
        <v>52808.394768105914</v>
      </c>
      <c r="W60" s="39">
        <f>+Model!W8</f>
        <v>57561.15029723545</v>
      </c>
      <c r="X60" s="39">
        <f>+Model!X8</f>
        <v>62741.653823986635</v>
      </c>
      <c r="Y60" s="39">
        <f>+Model!Y8</f>
        <v>68388.402668145442</v>
      </c>
      <c r="Z60" s="39">
        <f>+Model!Z8</f>
        <v>74543.358908278547</v>
      </c>
      <c r="AA60" s="39">
        <f>+Model!AA8</f>
        <v>79015.960442775264</v>
      </c>
      <c r="AB60" s="39">
        <f>+Model!AB8</f>
        <v>83756.918069341773</v>
      </c>
      <c r="AC60" s="39">
        <f>+Model!AC8</f>
        <v>88782.333153502273</v>
      </c>
      <c r="AD60" s="39">
        <f>+Model!AD8</f>
        <v>94109.273142712409</v>
      </c>
      <c r="AE60" s="39">
        <f>+Model!AE8</f>
        <v>99755.829531275158</v>
      </c>
      <c r="AF60" s="39">
        <f>+Model!AF8</f>
        <v>105741.17930315167</v>
      </c>
      <c r="AG60" s="39">
        <f>+Model!AG8</f>
        <v>112085.65006134076</v>
      </c>
      <c r="AH60" s="39">
        <f>+Model!AH8</f>
        <v>118810.78906502121</v>
      </c>
    </row>
    <row r="61" spans="2:34" ht="15.4" customHeight="1">
      <c r="B61" s="235" t="s">
        <v>178</v>
      </c>
      <c r="C61" s="333">
        <f>SUM(C59:C59)/SUM(C60:C60)</f>
        <v>0.67155052798042558</v>
      </c>
      <c r="D61" s="333">
        <f>SUM(C59:D59)/SUM(C60:D60)</f>
        <v>0.67076995228929215</v>
      </c>
      <c r="E61" s="333">
        <f>SUM(C59:E59)/SUM(C60:E60)</f>
        <v>0.67032525566952317</v>
      </c>
      <c r="F61" s="333">
        <f t="shared" ref="F61:N61" si="107">SUM(C59:F59)/SUM(C60:F60)</f>
        <v>0.66978012647057739</v>
      </c>
      <c r="G61" s="333">
        <f t="shared" si="107"/>
        <v>0.66880833653000249</v>
      </c>
      <c r="H61" s="333">
        <f t="shared" si="107"/>
        <v>0.66748510113966208</v>
      </c>
      <c r="I61" s="333">
        <f t="shared" si="107"/>
        <v>0.66619357135475787</v>
      </c>
      <c r="J61" s="333">
        <f t="shared" si="107"/>
        <v>0.66490931161484723</v>
      </c>
      <c r="K61" s="333">
        <f t="shared" si="107"/>
        <v>0.66350458199143403</v>
      </c>
      <c r="L61" s="333">
        <f t="shared" si="107"/>
        <v>0.66229979958017848</v>
      </c>
      <c r="M61" s="333">
        <f t="shared" si="107"/>
        <v>0.66090210541693462</v>
      </c>
      <c r="N61" s="402">
        <f t="shared" si="107"/>
        <v>0.65987897928185801</v>
      </c>
      <c r="O61" s="403">
        <f t="shared" ref="O61" si="108">SUM(L59:O59)/SUM(L60:O60)</f>
        <v>0.65648179202022372</v>
      </c>
      <c r="P61" s="333">
        <f t="shared" ref="P61" si="109">SUM(M59:P59)/SUM(M60:P60)</f>
        <v>0.6537831429008385</v>
      </c>
      <c r="Q61" s="333">
        <f t="shared" ref="Q61" si="110">SUM(N59:Q59)/SUM(N60:Q60)</f>
        <v>0.65177896203329677</v>
      </c>
      <c r="R61" s="333">
        <f t="shared" ref="R61" si="111">SUM(O59:R59)/SUM(O60:R60)</f>
        <v>0.65000000000000013</v>
      </c>
      <c r="S61" s="333">
        <f t="shared" ref="S61" si="112">SUM(P59:S59)/SUM(P60:S60)</f>
        <v>0.64999999999999991</v>
      </c>
      <c r="T61" s="333">
        <f t="shared" ref="T61" si="113">SUM(Q59:T59)/SUM(Q60:T60)</f>
        <v>0.64999999999999991</v>
      </c>
      <c r="U61" s="333">
        <f t="shared" ref="U61" si="114">SUM(R59:U59)/SUM(R60:U60)</f>
        <v>0.65</v>
      </c>
      <c r="V61" s="333">
        <f t="shared" ref="V61" si="115">SUM(S59:V59)/SUM(S60:V60)</f>
        <v>0.65</v>
      </c>
      <c r="W61" s="333">
        <f t="shared" ref="W61" si="116">SUM(T59:W59)/SUM(T60:W60)</f>
        <v>0.65</v>
      </c>
      <c r="X61" s="333">
        <f t="shared" ref="X61" si="117">SUM(U59:X59)/SUM(U60:X60)</f>
        <v>0.65</v>
      </c>
      <c r="Y61" s="333">
        <f t="shared" ref="Y61" si="118">SUM(V59:Y59)/SUM(V60:Y60)</f>
        <v>0.65000000000000013</v>
      </c>
      <c r="Z61" s="333">
        <f t="shared" ref="Z61" si="119">SUM(W59:Z59)/SUM(W60:Z60)</f>
        <v>0.65</v>
      </c>
      <c r="AA61" s="333">
        <f t="shared" ref="AA61" si="120">SUM(X59:AA59)/SUM(X60:AA60)</f>
        <v>0.65000000000000013</v>
      </c>
      <c r="AB61" s="333">
        <f t="shared" ref="AB61" si="121">SUM(Y59:AB59)/SUM(Y60:AB60)</f>
        <v>0.64999999999999991</v>
      </c>
      <c r="AC61" s="333">
        <f t="shared" ref="AC61" si="122">SUM(Z59:AC59)/SUM(Z60:AC60)</f>
        <v>0.65</v>
      </c>
      <c r="AD61" s="333">
        <f t="shared" ref="AD61" si="123">SUM(AA59:AD59)/SUM(AA60:AD60)</f>
        <v>0.65</v>
      </c>
      <c r="AE61" s="333">
        <f t="shared" ref="AE61" si="124">SUM(AB59:AE59)/SUM(AB60:AE60)</f>
        <v>0.65</v>
      </c>
      <c r="AF61" s="333">
        <f t="shared" ref="AF61" si="125">SUM(AC59:AF59)/SUM(AC60:AF60)</f>
        <v>0.65</v>
      </c>
      <c r="AG61" s="333">
        <f t="shared" ref="AG61" si="126">SUM(AD59:AG59)/SUM(AD60:AG60)</f>
        <v>0.64999999999999991</v>
      </c>
      <c r="AH61" s="333">
        <f t="shared" ref="AH61" si="127">SUM(AE59:AH59)/SUM(AE60:AH60)</f>
        <v>0.65000000000000013</v>
      </c>
    </row>
    <row r="62" spans="2:34" s="2" customFormat="1" ht="16.5" customHeight="1">
      <c r="B62" s="5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404"/>
      <c r="O62" s="405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</row>
    <row r="63" spans="2:34" ht="15.4" customHeight="1">
      <c r="B63" s="236" t="s">
        <v>116</v>
      </c>
      <c r="C63" s="15"/>
      <c r="D63" s="15"/>
      <c r="E63" s="15"/>
      <c r="F63" s="15"/>
      <c r="G63" s="15"/>
      <c r="H63" s="5"/>
      <c r="I63" s="5"/>
      <c r="J63" s="5"/>
      <c r="K63" s="5"/>
      <c r="L63" s="5"/>
      <c r="M63" s="5"/>
      <c r="N63" s="247"/>
      <c r="O63" s="37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2:34" ht="15.4" customHeight="1">
      <c r="B64" s="231" t="s">
        <v>13</v>
      </c>
      <c r="C64" s="159"/>
      <c r="D64" s="167">
        <f t="shared" ref="D64:AH64" si="128">D15</f>
        <v>14</v>
      </c>
      <c r="E64" s="167">
        <f t="shared" si="128"/>
        <v>13</v>
      </c>
      <c r="F64" s="167">
        <f t="shared" si="128"/>
        <v>29</v>
      </c>
      <c r="G64" s="167">
        <f t="shared" si="128"/>
        <v>18</v>
      </c>
      <c r="H64" s="167">
        <f t="shared" si="128"/>
        <v>25</v>
      </c>
      <c r="I64" s="167">
        <f t="shared" si="128"/>
        <v>37</v>
      </c>
      <c r="J64" s="167">
        <f t="shared" si="128"/>
        <v>38</v>
      </c>
      <c r="K64" s="167">
        <f t="shared" si="128"/>
        <v>29</v>
      </c>
      <c r="L64" s="167">
        <f t="shared" si="128"/>
        <v>45</v>
      </c>
      <c r="M64" s="167">
        <f t="shared" si="128"/>
        <v>47</v>
      </c>
      <c r="N64" s="406">
        <f t="shared" si="128"/>
        <v>59</v>
      </c>
      <c r="O64" s="407">
        <f t="shared" si="128"/>
        <v>85.861500299999989</v>
      </c>
      <c r="P64" s="167">
        <f t="shared" si="128"/>
        <v>99.599340347999984</v>
      </c>
      <c r="Q64" s="167">
        <f t="shared" si="128"/>
        <v>115.53523480367998</v>
      </c>
      <c r="R64" s="167">
        <f t="shared" si="128"/>
        <v>134.02087237226874</v>
      </c>
      <c r="S64" s="167">
        <f t="shared" si="128"/>
        <v>129.55350995985981</v>
      </c>
      <c r="T64" s="167">
        <f t="shared" si="128"/>
        <v>146.3954662546416</v>
      </c>
      <c r="U64" s="167">
        <f t="shared" si="128"/>
        <v>165.42687686774502</v>
      </c>
      <c r="V64" s="167">
        <f t="shared" si="128"/>
        <v>186.93237086055188</v>
      </c>
      <c r="W64" s="167">
        <f t="shared" si="128"/>
        <v>168.98686325793892</v>
      </c>
      <c r="X64" s="167">
        <f t="shared" si="128"/>
        <v>184.19568095115343</v>
      </c>
      <c r="Y64" s="167">
        <f t="shared" si="128"/>
        <v>200.77329223675721</v>
      </c>
      <c r="Z64" s="167">
        <f t="shared" si="128"/>
        <v>218.84288853806541</v>
      </c>
      <c r="AA64" s="167">
        <f t="shared" si="128"/>
        <v>178.90406137986849</v>
      </c>
      <c r="AB64" s="167">
        <f t="shared" si="128"/>
        <v>189.63830506266061</v>
      </c>
      <c r="AC64" s="167">
        <f t="shared" si="128"/>
        <v>201.01660336642024</v>
      </c>
      <c r="AD64" s="167">
        <f t="shared" si="128"/>
        <v>213.07759956840545</v>
      </c>
      <c r="AE64" s="167">
        <f t="shared" si="128"/>
        <v>225.86225554250979</v>
      </c>
      <c r="AF64" s="167">
        <f t="shared" si="128"/>
        <v>239.41399087506036</v>
      </c>
      <c r="AG64" s="167">
        <f t="shared" si="128"/>
        <v>253.77883032756398</v>
      </c>
      <c r="AH64" s="167">
        <f t="shared" si="128"/>
        <v>269.00556014721781</v>
      </c>
    </row>
    <row r="65" spans="2:34" ht="15.4" customHeight="1">
      <c r="B65" s="231" t="s">
        <v>184</v>
      </c>
      <c r="C65" s="159"/>
      <c r="D65" s="39">
        <f>+Model!C20</f>
        <v>1200.0105704689199</v>
      </c>
      <c r="E65" s="39">
        <f>+Model!D20</f>
        <v>1349.9439499435048</v>
      </c>
      <c r="F65" s="39">
        <f>+Model!E20</f>
        <v>1491.0471257342761</v>
      </c>
      <c r="G65" s="39">
        <f>+Model!F20</f>
        <v>1617.0779601869442</v>
      </c>
      <c r="H65" s="39">
        <f>+Model!G20</f>
        <v>1758.387862041845</v>
      </c>
      <c r="I65" s="39">
        <f>+Model!H20</f>
        <v>1902.2560830999869</v>
      </c>
      <c r="J65" s="39">
        <f>+Model!I20</f>
        <v>2438.4820432835822</v>
      </c>
      <c r="K65" s="39">
        <f>+Model!J20</f>
        <v>2927.6112537313434</v>
      </c>
      <c r="L65" s="39">
        <f>+Model!K20</f>
        <v>3411.8055469435094</v>
      </c>
      <c r="M65" s="39">
        <f>+Model!L20</f>
        <v>4597.6604899734848</v>
      </c>
      <c r="N65" s="74">
        <f>+Model!M20</f>
        <v>4968.3288814763155</v>
      </c>
      <c r="O65" s="75">
        <f>+Model!N20</f>
        <v>6584.1337443371531</v>
      </c>
      <c r="P65" s="39">
        <f>+Model!O20</f>
        <v>8299.9450290000004</v>
      </c>
      <c r="Q65" s="39">
        <f>+Model!P20</f>
        <v>9627.936233639999</v>
      </c>
      <c r="R65" s="39">
        <f>+Model!Q20</f>
        <v>11168.406031022398</v>
      </c>
      <c r="S65" s="39">
        <f>+Model!R20</f>
        <v>12955.35099598598</v>
      </c>
      <c r="T65" s="39">
        <f>+Model!S20</f>
        <v>13907.569294190951</v>
      </c>
      <c r="U65" s="39">
        <f>+Model!T20</f>
        <v>15715.553302435777</v>
      </c>
      <c r="V65" s="39">
        <f>+Model!U20</f>
        <v>17758.575231752431</v>
      </c>
      <c r="W65" s="39">
        <f>+Model!V20</f>
        <v>20067.190011880248</v>
      </c>
      <c r="X65" s="39">
        <f>+Model!W20</f>
        <v>20722.014107004761</v>
      </c>
      <c r="Y65" s="39">
        <f>+Model!X20</f>
        <v>22586.995376635186</v>
      </c>
      <c r="Z65" s="39">
        <f>+Model!Y20</f>
        <v>24619.824960532358</v>
      </c>
      <c r="AA65" s="39">
        <f>+Model!Z20</f>
        <v>26835.609206980276</v>
      </c>
      <c r="AB65" s="39">
        <f>+Model!AA20</f>
        <v>26865.426550543591</v>
      </c>
      <c r="AC65" s="39">
        <f>+Model!AB20</f>
        <v>28477.352143576205</v>
      </c>
      <c r="AD65" s="39">
        <f>+Model!AC20</f>
        <v>30185.993272190775</v>
      </c>
      <c r="AE65" s="39">
        <f>+Model!AD20</f>
        <v>31997.152868522222</v>
      </c>
      <c r="AF65" s="39">
        <f>+Model!AE20</f>
        <v>31921.865450008052</v>
      </c>
      <c r="AG65" s="39">
        <f>+Model!AF20</f>
        <v>33837.177377008535</v>
      </c>
      <c r="AH65" s="39">
        <f>+Model!AG20</f>
        <v>35867.408019629045</v>
      </c>
    </row>
    <row r="66" spans="2:34" ht="15.4" customHeight="1">
      <c r="B66" s="235" t="s">
        <v>150</v>
      </c>
      <c r="C66" s="164"/>
      <c r="D66" s="163">
        <f t="shared" ref="D66:N66" si="129">+D65/D64</f>
        <v>85.715040747779994</v>
      </c>
      <c r="E66" s="163">
        <f t="shared" si="129"/>
        <v>103.84184230334652</v>
      </c>
      <c r="F66" s="163">
        <f t="shared" si="129"/>
        <v>51.415418128768138</v>
      </c>
      <c r="G66" s="163">
        <f t="shared" si="129"/>
        <v>89.837664454830232</v>
      </c>
      <c r="H66" s="163">
        <f t="shared" si="129"/>
        <v>70.335514481673798</v>
      </c>
      <c r="I66" s="163">
        <f t="shared" si="129"/>
        <v>51.412326570269919</v>
      </c>
      <c r="J66" s="163">
        <f t="shared" si="129"/>
        <v>64.170580086410055</v>
      </c>
      <c r="K66" s="163">
        <f t="shared" si="129"/>
        <v>100.95211219763253</v>
      </c>
      <c r="L66" s="163">
        <f t="shared" si="129"/>
        <v>75.817901043189096</v>
      </c>
      <c r="M66" s="163">
        <f t="shared" si="129"/>
        <v>97.822563616457117</v>
      </c>
      <c r="N66" s="408">
        <f t="shared" si="129"/>
        <v>84.208964092818903</v>
      </c>
      <c r="O66" s="409">
        <f t="shared" ref="O66:AH66" si="130">+O65/O64</f>
        <v>76.683190036654338</v>
      </c>
      <c r="P66" s="163">
        <f t="shared" si="130"/>
        <v>83.333333333333357</v>
      </c>
      <c r="Q66" s="163">
        <f t="shared" si="130"/>
        <v>83.333333333333343</v>
      </c>
      <c r="R66" s="163">
        <f t="shared" si="130"/>
        <v>83.333333333333357</v>
      </c>
      <c r="S66" s="163">
        <f t="shared" si="130"/>
        <v>100</v>
      </c>
      <c r="T66" s="163">
        <f t="shared" si="130"/>
        <v>94.999999999999986</v>
      </c>
      <c r="U66" s="163">
        <f t="shared" si="130"/>
        <v>95</v>
      </c>
      <c r="V66" s="163">
        <f t="shared" si="130"/>
        <v>95.000000000000014</v>
      </c>
      <c r="W66" s="163">
        <f t="shared" si="130"/>
        <v>118.75</v>
      </c>
      <c r="X66" s="163">
        <f t="shared" si="130"/>
        <v>112.5</v>
      </c>
      <c r="Y66" s="163">
        <f t="shared" si="130"/>
        <v>112.5</v>
      </c>
      <c r="Z66" s="163">
        <f t="shared" si="130"/>
        <v>112.5</v>
      </c>
      <c r="AA66" s="163">
        <f t="shared" si="130"/>
        <v>150</v>
      </c>
      <c r="AB66" s="163">
        <f t="shared" si="130"/>
        <v>141.66666666666669</v>
      </c>
      <c r="AC66" s="163">
        <f t="shared" si="130"/>
        <v>141.66666666666669</v>
      </c>
      <c r="AD66" s="163">
        <f t="shared" si="130"/>
        <v>141.66666666666669</v>
      </c>
      <c r="AE66" s="163">
        <f t="shared" si="130"/>
        <v>141.66666666666669</v>
      </c>
      <c r="AF66" s="163">
        <f t="shared" si="130"/>
        <v>133.33333333333334</v>
      </c>
      <c r="AG66" s="163">
        <f t="shared" si="130"/>
        <v>133.33333333333334</v>
      </c>
      <c r="AH66" s="163">
        <f t="shared" si="130"/>
        <v>133.33333333333334</v>
      </c>
    </row>
    <row r="67" spans="2:34" ht="15.4" customHeight="1">
      <c r="B67" s="230"/>
      <c r="C67" s="15"/>
      <c r="D67" s="15"/>
      <c r="E67" s="15"/>
      <c r="F67" s="15"/>
      <c r="G67" s="15"/>
      <c r="H67" s="5"/>
      <c r="I67" s="5"/>
      <c r="J67" s="5"/>
      <c r="K67" s="5"/>
      <c r="L67" s="5"/>
      <c r="M67" s="5"/>
      <c r="N67" s="247"/>
      <c r="O67" s="37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2:34" ht="15.4" customHeight="1">
      <c r="B68" s="236" t="s">
        <v>128</v>
      </c>
      <c r="C68" s="15"/>
      <c r="D68" s="15"/>
      <c r="E68" s="15"/>
      <c r="F68" s="15"/>
      <c r="G68" s="15"/>
      <c r="H68" s="5"/>
      <c r="I68" s="5"/>
      <c r="J68" s="5"/>
      <c r="K68" s="5"/>
      <c r="L68" s="5"/>
      <c r="M68" s="5"/>
      <c r="N68" s="247"/>
      <c r="O68" s="37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2:34" ht="15.4" customHeight="1">
      <c r="B69" s="231" t="s">
        <v>5</v>
      </c>
      <c r="C69" s="25">
        <f t="shared" ref="C69:AH69" si="131">+C7</f>
        <v>1389.75</v>
      </c>
      <c r="D69" s="25">
        <f t="shared" si="131"/>
        <v>1457.7</v>
      </c>
      <c r="E69" s="25">
        <f t="shared" si="131"/>
        <v>1443.9</v>
      </c>
      <c r="F69" s="25">
        <f t="shared" si="131"/>
        <v>2939.85</v>
      </c>
      <c r="G69" s="25">
        <f t="shared" si="131"/>
        <v>1869.3</v>
      </c>
      <c r="H69" s="25">
        <f t="shared" si="131"/>
        <v>2653.5</v>
      </c>
      <c r="I69" s="25">
        <f t="shared" si="131"/>
        <v>3860.4</v>
      </c>
      <c r="J69" s="25">
        <f t="shared" si="131"/>
        <v>4150.7250000000004</v>
      </c>
      <c r="K69" s="25">
        <f t="shared" si="131"/>
        <v>2938.65</v>
      </c>
      <c r="L69" s="25">
        <f t="shared" si="131"/>
        <v>4775.55</v>
      </c>
      <c r="M69" s="25">
        <f t="shared" si="131"/>
        <v>4969.3500000000004</v>
      </c>
      <c r="N69" s="394">
        <f t="shared" si="131"/>
        <v>6157.89</v>
      </c>
      <c r="O69" s="395">
        <f t="shared" si="131"/>
        <v>8586.1500299999989</v>
      </c>
      <c r="P69" s="25">
        <f t="shared" si="131"/>
        <v>9959.9340347999987</v>
      </c>
      <c r="Q69" s="25">
        <f t="shared" si="131"/>
        <v>11553.523480367998</v>
      </c>
      <c r="R69" s="25">
        <f t="shared" si="131"/>
        <v>13402.087237226875</v>
      </c>
      <c r="S69" s="25">
        <f t="shared" si="131"/>
        <v>12955.35099598598</v>
      </c>
      <c r="T69" s="25">
        <f t="shared" si="131"/>
        <v>14639.54662546416</v>
      </c>
      <c r="U69" s="25">
        <f t="shared" si="131"/>
        <v>16542.687686774501</v>
      </c>
      <c r="V69" s="25">
        <f t="shared" si="131"/>
        <v>18693.237086055189</v>
      </c>
      <c r="W69" s="25">
        <f t="shared" si="131"/>
        <v>16898.686325793893</v>
      </c>
      <c r="X69" s="25">
        <f t="shared" si="131"/>
        <v>18419.568095115344</v>
      </c>
      <c r="Y69" s="25">
        <f t="shared" si="131"/>
        <v>20077.329223675722</v>
      </c>
      <c r="Z69" s="25">
        <f t="shared" si="131"/>
        <v>21884.288853806542</v>
      </c>
      <c r="AA69" s="25">
        <f t="shared" si="131"/>
        <v>17890.406137986851</v>
      </c>
      <c r="AB69" s="25">
        <f t="shared" si="131"/>
        <v>18963.830506266062</v>
      </c>
      <c r="AC69" s="25">
        <f t="shared" si="131"/>
        <v>20101.660336642024</v>
      </c>
      <c r="AD69" s="25">
        <f t="shared" si="131"/>
        <v>21307.759956840546</v>
      </c>
      <c r="AE69" s="25">
        <f t="shared" si="131"/>
        <v>22586.225554250977</v>
      </c>
      <c r="AF69" s="25">
        <f t="shared" si="131"/>
        <v>23941.399087506037</v>
      </c>
      <c r="AG69" s="25">
        <f t="shared" si="131"/>
        <v>25377.883032756399</v>
      </c>
      <c r="AH69" s="25">
        <f t="shared" si="131"/>
        <v>26900.55601472178</v>
      </c>
    </row>
    <row r="70" spans="2:34" ht="15.4" customHeight="1">
      <c r="B70" s="231" t="s">
        <v>172</v>
      </c>
      <c r="C70" s="190">
        <f>+Model!C17</f>
        <v>0.67155052798042558</v>
      </c>
      <c r="D70" s="190">
        <f>+Model!D17</f>
        <v>0.67015345947674687</v>
      </c>
      <c r="E70" s="190">
        <f>+Model!E17</f>
        <v>0.66965101252167525</v>
      </c>
      <c r="F70" s="190">
        <f>+Model!F17</f>
        <v>0.66875265905361825</v>
      </c>
      <c r="G70" s="190">
        <f>+Model!G17</f>
        <v>0.66761087891188065</v>
      </c>
      <c r="H70" s="190">
        <f>+Model!H17</f>
        <v>0.66536818513304929</v>
      </c>
      <c r="I70" s="190">
        <f>+Model!I17</f>
        <v>0.66447669127383613</v>
      </c>
      <c r="J70" s="190">
        <f>+Model!J17</f>
        <v>0.66346156093298936</v>
      </c>
      <c r="K70" s="190">
        <f>+Model!K17</f>
        <v>0.66177096369997379</v>
      </c>
      <c r="L70" s="190">
        <f>+Model!L17</f>
        <v>0.66058583790987735</v>
      </c>
      <c r="M70" s="190">
        <f>+Model!M17</f>
        <v>0.65891027423089388</v>
      </c>
      <c r="N70" s="410">
        <f>+Model!N17</f>
        <v>0.65901310402584923</v>
      </c>
      <c r="O70" s="411">
        <f>+Model!O17</f>
        <v>0.65</v>
      </c>
      <c r="P70" s="190">
        <f>+Model!P17</f>
        <v>0.65</v>
      </c>
      <c r="Q70" s="190">
        <f>+Model!Q17</f>
        <v>0.65</v>
      </c>
      <c r="R70" s="190">
        <f>+Model!R17</f>
        <v>0.65</v>
      </c>
      <c r="S70" s="190">
        <f>+Model!S17</f>
        <v>0.65</v>
      </c>
      <c r="T70" s="190">
        <f>+Model!T17</f>
        <v>0.65</v>
      </c>
      <c r="U70" s="190">
        <f>+Model!U17</f>
        <v>0.65</v>
      </c>
      <c r="V70" s="190">
        <f>+Model!V17</f>
        <v>0.65</v>
      </c>
      <c r="W70" s="190">
        <f>+Model!W17</f>
        <v>0.65</v>
      </c>
      <c r="X70" s="190">
        <f>+Model!X17</f>
        <v>0.65</v>
      </c>
      <c r="Y70" s="190">
        <f>+Model!Y17</f>
        <v>0.65</v>
      </c>
      <c r="Z70" s="190">
        <f>+Model!Z17</f>
        <v>0.65</v>
      </c>
      <c r="AA70" s="190">
        <f>+Model!AA17</f>
        <v>0.65</v>
      </c>
      <c r="AB70" s="190">
        <f>+Model!AB17</f>
        <v>0.65</v>
      </c>
      <c r="AC70" s="190">
        <f>+Model!AC17</f>
        <v>0.65</v>
      </c>
      <c r="AD70" s="190">
        <f>+Model!AD17</f>
        <v>0.65</v>
      </c>
      <c r="AE70" s="190">
        <f>+Model!AE17</f>
        <v>0.65</v>
      </c>
      <c r="AF70" s="190">
        <f>+Model!AF17</f>
        <v>0.65</v>
      </c>
      <c r="AG70" s="190">
        <f>+Model!AG17</f>
        <v>0.65</v>
      </c>
      <c r="AH70" s="190">
        <f>+Model!AH17</f>
        <v>0.65</v>
      </c>
    </row>
    <row r="71" spans="2:34" ht="15.4" customHeight="1">
      <c r="B71" s="231" t="s">
        <v>119</v>
      </c>
      <c r="C71" s="25">
        <f t="shared" ref="C71:N71" si="132">+C70*C69</f>
        <v>933.28734626079643</v>
      </c>
      <c r="D71" s="25">
        <f t="shared" si="132"/>
        <v>976.8826978792539</v>
      </c>
      <c r="E71" s="25">
        <f t="shared" si="132"/>
        <v>966.90909698004691</v>
      </c>
      <c r="F71" s="25">
        <f t="shared" si="132"/>
        <v>1966.0325047187796</v>
      </c>
      <c r="G71" s="25">
        <f t="shared" si="132"/>
        <v>1247.9650159499784</v>
      </c>
      <c r="H71" s="25">
        <f t="shared" si="132"/>
        <v>1765.5544792505464</v>
      </c>
      <c r="I71" s="25">
        <f t="shared" si="132"/>
        <v>2565.145818993517</v>
      </c>
      <c r="J71" s="25">
        <f t="shared" si="132"/>
        <v>2753.8464875035825</v>
      </c>
      <c r="K71" s="25">
        <f t="shared" si="132"/>
        <v>1944.7132424769281</v>
      </c>
      <c r="L71" s="25">
        <f t="shared" si="132"/>
        <v>3154.6606982305148</v>
      </c>
      <c r="M71" s="25">
        <f t="shared" si="132"/>
        <v>3274.355771249293</v>
      </c>
      <c r="N71" s="394">
        <f t="shared" si="132"/>
        <v>4058.1302031497371</v>
      </c>
      <c r="O71" s="395">
        <f t="shared" ref="O71:AH71" si="133">+O70*O69</f>
        <v>5580.9975194999997</v>
      </c>
      <c r="P71" s="25">
        <f t="shared" si="133"/>
        <v>6473.9571226199996</v>
      </c>
      <c r="Q71" s="25">
        <f t="shared" si="133"/>
        <v>7509.7902622391985</v>
      </c>
      <c r="R71" s="25">
        <f t="shared" si="133"/>
        <v>8711.3567041974693</v>
      </c>
      <c r="S71" s="25">
        <f t="shared" si="133"/>
        <v>8420.9781473908879</v>
      </c>
      <c r="T71" s="25">
        <f t="shared" si="133"/>
        <v>9515.7053065517048</v>
      </c>
      <c r="U71" s="25">
        <f t="shared" si="133"/>
        <v>10752.746996403426</v>
      </c>
      <c r="V71" s="25">
        <f t="shared" si="133"/>
        <v>12150.604105935874</v>
      </c>
      <c r="W71" s="25">
        <f t="shared" si="133"/>
        <v>10984.146111766031</v>
      </c>
      <c r="X71" s="25">
        <f t="shared" si="133"/>
        <v>11972.719261824974</v>
      </c>
      <c r="Y71" s="25">
        <f t="shared" si="133"/>
        <v>13050.263995389219</v>
      </c>
      <c r="Z71" s="25">
        <f t="shared" si="133"/>
        <v>14224.787754974253</v>
      </c>
      <c r="AA71" s="25">
        <f t="shared" si="133"/>
        <v>11628.763989691453</v>
      </c>
      <c r="AB71" s="25">
        <f t="shared" si="133"/>
        <v>12326.489829072942</v>
      </c>
      <c r="AC71" s="25">
        <f t="shared" si="133"/>
        <v>13066.079218817316</v>
      </c>
      <c r="AD71" s="25">
        <f t="shared" si="133"/>
        <v>13850.043971946356</v>
      </c>
      <c r="AE71" s="25">
        <f t="shared" si="133"/>
        <v>14681.046610263136</v>
      </c>
      <c r="AF71" s="25">
        <f t="shared" si="133"/>
        <v>15561.909406878925</v>
      </c>
      <c r="AG71" s="25">
        <f t="shared" si="133"/>
        <v>16495.623971291661</v>
      </c>
      <c r="AH71" s="25">
        <f t="shared" si="133"/>
        <v>17485.361409569159</v>
      </c>
    </row>
    <row r="72" spans="2:34" ht="15.4" customHeight="1">
      <c r="B72" s="231" t="s">
        <v>184</v>
      </c>
      <c r="C72" s="25">
        <f t="shared" ref="C72:N72" si="134">+C65</f>
        <v>0</v>
      </c>
      <c r="D72" s="25">
        <f t="shared" si="134"/>
        <v>1200.0105704689199</v>
      </c>
      <c r="E72" s="25">
        <f t="shared" si="134"/>
        <v>1349.9439499435048</v>
      </c>
      <c r="F72" s="25">
        <f t="shared" si="134"/>
        <v>1491.0471257342761</v>
      </c>
      <c r="G72" s="25">
        <f t="shared" si="134"/>
        <v>1617.0779601869442</v>
      </c>
      <c r="H72" s="25">
        <f t="shared" si="134"/>
        <v>1758.387862041845</v>
      </c>
      <c r="I72" s="25">
        <f t="shared" si="134"/>
        <v>1902.2560830999869</v>
      </c>
      <c r="J72" s="25">
        <f t="shared" si="134"/>
        <v>2438.4820432835822</v>
      </c>
      <c r="K72" s="25">
        <f t="shared" si="134"/>
        <v>2927.6112537313434</v>
      </c>
      <c r="L72" s="25">
        <f t="shared" si="134"/>
        <v>3411.8055469435094</v>
      </c>
      <c r="M72" s="25">
        <f t="shared" si="134"/>
        <v>4597.6604899734848</v>
      </c>
      <c r="N72" s="394">
        <f t="shared" si="134"/>
        <v>4968.3288814763155</v>
      </c>
      <c r="O72" s="395">
        <f t="shared" ref="O72:AH72" si="135">+O65</f>
        <v>6584.1337443371531</v>
      </c>
      <c r="P72" s="25">
        <f t="shared" si="135"/>
        <v>8299.9450290000004</v>
      </c>
      <c r="Q72" s="25">
        <f t="shared" si="135"/>
        <v>9627.936233639999</v>
      </c>
      <c r="R72" s="25">
        <f t="shared" si="135"/>
        <v>11168.406031022398</v>
      </c>
      <c r="S72" s="25">
        <f t="shared" si="135"/>
        <v>12955.35099598598</v>
      </c>
      <c r="T72" s="25">
        <f t="shared" si="135"/>
        <v>13907.569294190951</v>
      </c>
      <c r="U72" s="25">
        <f t="shared" si="135"/>
        <v>15715.553302435777</v>
      </c>
      <c r="V72" s="25">
        <f t="shared" si="135"/>
        <v>17758.575231752431</v>
      </c>
      <c r="W72" s="25">
        <f t="shared" si="135"/>
        <v>20067.190011880248</v>
      </c>
      <c r="X72" s="25">
        <f t="shared" si="135"/>
        <v>20722.014107004761</v>
      </c>
      <c r="Y72" s="25">
        <f t="shared" si="135"/>
        <v>22586.995376635186</v>
      </c>
      <c r="Z72" s="25">
        <f t="shared" si="135"/>
        <v>24619.824960532358</v>
      </c>
      <c r="AA72" s="25">
        <f t="shared" si="135"/>
        <v>26835.609206980276</v>
      </c>
      <c r="AB72" s="25">
        <f t="shared" si="135"/>
        <v>26865.426550543591</v>
      </c>
      <c r="AC72" s="25">
        <f t="shared" si="135"/>
        <v>28477.352143576205</v>
      </c>
      <c r="AD72" s="25">
        <f t="shared" si="135"/>
        <v>30185.993272190775</v>
      </c>
      <c r="AE72" s="25">
        <f t="shared" si="135"/>
        <v>31997.152868522222</v>
      </c>
      <c r="AF72" s="25">
        <f t="shared" si="135"/>
        <v>31921.865450008052</v>
      </c>
      <c r="AG72" s="25">
        <f t="shared" si="135"/>
        <v>33837.177377008535</v>
      </c>
      <c r="AH72" s="25">
        <f t="shared" si="135"/>
        <v>35867.408019629045</v>
      </c>
    </row>
    <row r="73" spans="2:34" ht="15.4" customHeight="1">
      <c r="B73" s="235" t="s">
        <v>148</v>
      </c>
      <c r="C73" s="181">
        <f t="shared" ref="C73:N73" si="136">(C72/C71)*12</f>
        <v>0</v>
      </c>
      <c r="D73" s="181">
        <f t="shared" si="136"/>
        <v>14.740896605998589</v>
      </c>
      <c r="E73" s="181">
        <f t="shared" si="136"/>
        <v>16.753723229947383</v>
      </c>
      <c r="F73" s="181">
        <f t="shared" si="136"/>
        <v>9.1008492819251003</v>
      </c>
      <c r="G73" s="181">
        <f t="shared" si="136"/>
        <v>15.549262418603833</v>
      </c>
      <c r="H73" s="181">
        <f t="shared" si="136"/>
        <v>11.951290426030399</v>
      </c>
      <c r="I73" s="181">
        <f t="shared" si="136"/>
        <v>8.8989377633730289</v>
      </c>
      <c r="J73" s="181">
        <f t="shared" si="136"/>
        <v>10.625786387217751</v>
      </c>
      <c r="K73" s="181">
        <f t="shared" si="136"/>
        <v>18.065046443572474</v>
      </c>
      <c r="L73" s="181">
        <f t="shared" si="136"/>
        <v>12.978152162699068</v>
      </c>
      <c r="M73" s="181">
        <f t="shared" si="136"/>
        <v>16.84970410488766</v>
      </c>
      <c r="N73" s="412">
        <f t="shared" si="136"/>
        <v>14.691481937036293</v>
      </c>
      <c r="O73" s="413">
        <f t="shared" ref="O73:AH73" si="137">(O72/O71)*12</f>
        <v>14.156896622151571</v>
      </c>
      <c r="P73" s="181">
        <f t="shared" si="137"/>
        <v>15.384615384615387</v>
      </c>
      <c r="Q73" s="181">
        <f t="shared" si="137"/>
        <v>15.384615384615387</v>
      </c>
      <c r="R73" s="181">
        <f t="shared" si="137"/>
        <v>15.384615384615387</v>
      </c>
      <c r="S73" s="181">
        <f t="shared" si="137"/>
        <v>18.46153846153846</v>
      </c>
      <c r="T73" s="181">
        <f t="shared" si="137"/>
        <v>17.538461538461533</v>
      </c>
      <c r="U73" s="181">
        <f t="shared" si="137"/>
        <v>17.53846153846154</v>
      </c>
      <c r="V73" s="181">
        <f t="shared" si="137"/>
        <v>17.538461538461537</v>
      </c>
      <c r="W73" s="181">
        <f t="shared" si="137"/>
        <v>21.923076923076923</v>
      </c>
      <c r="X73" s="181">
        <f t="shared" si="137"/>
        <v>20.769230769230766</v>
      </c>
      <c r="Y73" s="181">
        <f t="shared" si="137"/>
        <v>20.769230769230766</v>
      </c>
      <c r="Z73" s="181">
        <f t="shared" si="137"/>
        <v>20.769230769230766</v>
      </c>
      <c r="AA73" s="181">
        <f t="shared" si="137"/>
        <v>27.69230769230769</v>
      </c>
      <c r="AB73" s="181">
        <f t="shared" si="137"/>
        <v>26.153846153846153</v>
      </c>
      <c r="AC73" s="181">
        <f t="shared" si="137"/>
        <v>26.153846153846157</v>
      </c>
      <c r="AD73" s="181">
        <f t="shared" si="137"/>
        <v>26.153846153846153</v>
      </c>
      <c r="AE73" s="181">
        <f t="shared" si="137"/>
        <v>26.153846153846157</v>
      </c>
      <c r="AF73" s="181">
        <f t="shared" si="137"/>
        <v>24.615384615384613</v>
      </c>
      <c r="AG73" s="181">
        <f t="shared" si="137"/>
        <v>24.615384615384613</v>
      </c>
      <c r="AH73" s="181">
        <f t="shared" si="137"/>
        <v>24.61538461538462</v>
      </c>
    </row>
    <row r="74" spans="2:34" ht="15.4" customHeight="1">
      <c r="B74" s="232" t="s">
        <v>149</v>
      </c>
      <c r="C74" s="166">
        <f t="shared" ref="C74:AH74" si="138">(C72/(SUM(C7:C8)*C70))*12</f>
        <v>0</v>
      </c>
      <c r="D74" s="166">
        <f t="shared" si="138"/>
        <v>8.7637684475223985</v>
      </c>
      <c r="E74" s="166">
        <f t="shared" si="138"/>
        <v>10.082427803154543</v>
      </c>
      <c r="F74" s="166">
        <f t="shared" si="138"/>
        <v>5.9145544545223743</v>
      </c>
      <c r="G74" s="166">
        <f t="shared" si="138"/>
        <v>7.6881411635290888</v>
      </c>
      <c r="H74" s="166">
        <f t="shared" si="138"/>
        <v>6.5877074076454116</v>
      </c>
      <c r="I74" s="166">
        <f t="shared" si="138"/>
        <v>5.4592643173124937</v>
      </c>
      <c r="J74" s="166">
        <f t="shared" si="138"/>
        <v>6.3082593425765294</v>
      </c>
      <c r="K74" s="166">
        <f t="shared" si="138"/>
        <v>7.6411639110981868</v>
      </c>
      <c r="L74" s="166">
        <f t="shared" si="138"/>
        <v>6.5602712098387572</v>
      </c>
      <c r="M74" s="166">
        <f t="shared" si="138"/>
        <v>8.628685617405349</v>
      </c>
      <c r="N74" s="414">
        <f t="shared" si="138"/>
        <v>6.6709968044953545</v>
      </c>
      <c r="O74" s="415">
        <f t="shared" si="138"/>
        <v>8.4941379732909432</v>
      </c>
      <c r="P74" s="166">
        <f t="shared" si="138"/>
        <v>9.2307692307692335</v>
      </c>
      <c r="Q74" s="166">
        <f t="shared" si="138"/>
        <v>9.2307692307692335</v>
      </c>
      <c r="R74" s="166">
        <f t="shared" si="138"/>
        <v>9.2307692307692299</v>
      </c>
      <c r="S74" s="166">
        <f t="shared" si="138"/>
        <v>10.859728506787331</v>
      </c>
      <c r="T74" s="166">
        <f t="shared" si="138"/>
        <v>10.316742081447963</v>
      </c>
      <c r="U74" s="166">
        <f t="shared" si="138"/>
        <v>10.316742081447963</v>
      </c>
      <c r="V74" s="166">
        <f t="shared" si="138"/>
        <v>10.316742081447964</v>
      </c>
      <c r="W74" s="166">
        <f t="shared" si="138"/>
        <v>13.491124260355029</v>
      </c>
      <c r="X74" s="166">
        <f t="shared" si="138"/>
        <v>12.781065088757394</v>
      </c>
      <c r="Y74" s="166">
        <f t="shared" si="138"/>
        <v>12.781065088757394</v>
      </c>
      <c r="Z74" s="166">
        <f t="shared" si="138"/>
        <v>12.781065088757394</v>
      </c>
      <c r="AA74" s="166">
        <f t="shared" si="138"/>
        <v>16.615384615384613</v>
      </c>
      <c r="AB74" s="166">
        <f t="shared" si="138"/>
        <v>15.692307692307693</v>
      </c>
      <c r="AC74" s="166">
        <f t="shared" si="138"/>
        <v>15.692307692307693</v>
      </c>
      <c r="AD74" s="166">
        <f t="shared" si="138"/>
        <v>15.69230769230769</v>
      </c>
      <c r="AE74" s="166">
        <f t="shared" si="138"/>
        <v>15.692307692307693</v>
      </c>
      <c r="AF74" s="166">
        <f t="shared" si="138"/>
        <v>14.76923076923077</v>
      </c>
      <c r="AG74" s="166">
        <f t="shared" si="138"/>
        <v>14.76923076923077</v>
      </c>
      <c r="AH74" s="166">
        <f t="shared" si="138"/>
        <v>14.769230769230774</v>
      </c>
    </row>
    <row r="75" spans="2:34" ht="15.4" customHeight="1">
      <c r="B75" s="232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414"/>
      <c r="O75" s="415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</row>
    <row r="76" spans="2:34" ht="15.4" customHeight="1">
      <c r="B76" s="236" t="s">
        <v>120</v>
      </c>
      <c r="C76" s="15"/>
      <c r="D76" s="15"/>
      <c r="E76" s="15"/>
      <c r="F76" s="15"/>
      <c r="G76" s="15"/>
      <c r="H76" s="5"/>
      <c r="I76" s="5"/>
      <c r="J76" s="5"/>
      <c r="K76" s="5"/>
      <c r="L76" s="5"/>
      <c r="M76" s="5"/>
      <c r="N76" s="247"/>
      <c r="O76" s="374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2:34" ht="15.4" customHeight="1">
      <c r="B77" s="231" t="s">
        <v>131</v>
      </c>
      <c r="C77" s="337"/>
      <c r="D77" s="175">
        <f>IFERROR(1/(1-D28),0)</f>
        <v>0</v>
      </c>
      <c r="E77" s="175">
        <f t="shared" ref="E77:AH77" si="139">IFERROR(1/(1-E28),0)</f>
        <v>19.249999999999993</v>
      </c>
      <c r="F77" s="175">
        <f t="shared" si="139"/>
        <v>0</v>
      </c>
      <c r="G77" s="175">
        <f t="shared" si="139"/>
        <v>29.499999999999982</v>
      </c>
      <c r="H77" s="175">
        <f t="shared" si="139"/>
        <v>33.74999999999995</v>
      </c>
      <c r="I77" s="175">
        <f t="shared" si="139"/>
        <v>0</v>
      </c>
      <c r="J77" s="175">
        <f t="shared" si="139"/>
        <v>24.499999999999972</v>
      </c>
      <c r="K77" s="175">
        <f t="shared" si="139"/>
        <v>19.333333333333336</v>
      </c>
      <c r="L77" s="175">
        <f t="shared" si="139"/>
        <v>12.899999999999995</v>
      </c>
      <c r="M77" s="175">
        <f t="shared" si="139"/>
        <v>10.642857142857146</v>
      </c>
      <c r="N77" s="416">
        <f t="shared" si="139"/>
        <v>28.1666666666667</v>
      </c>
      <c r="O77" s="417">
        <f t="shared" si="139"/>
        <v>12.733879517360354</v>
      </c>
      <c r="P77" s="175">
        <f t="shared" si="139"/>
        <v>13.154206480483072</v>
      </c>
      <c r="Q77" s="175">
        <f t="shared" si="139"/>
        <v>13.516557310761277</v>
      </c>
      <c r="R77" s="175">
        <f t="shared" si="139"/>
        <v>13.828928716173509</v>
      </c>
      <c r="S77" s="175">
        <f t="shared" si="139"/>
        <v>14.098214410494398</v>
      </c>
      <c r="T77" s="175">
        <f t="shared" si="139"/>
        <v>14.30151717742868</v>
      </c>
      <c r="U77" s="175">
        <f t="shared" si="139"/>
        <v>14.481431130467852</v>
      </c>
      <c r="V77" s="175">
        <f t="shared" si="139"/>
        <v>14.640647018113155</v>
      </c>
      <c r="W77" s="175">
        <f t="shared" si="139"/>
        <v>14.781546033728434</v>
      </c>
      <c r="X77" s="175">
        <f t="shared" si="139"/>
        <v>15.028941315347208</v>
      </c>
      <c r="Y77" s="175">
        <f t="shared" si="139"/>
        <v>15.255909463621293</v>
      </c>
      <c r="Z77" s="175">
        <f t="shared" si="139"/>
        <v>15.464137122588332</v>
      </c>
      <c r="AA77" s="175">
        <f t="shared" si="139"/>
        <v>15.655171672099391</v>
      </c>
      <c r="AB77" s="175">
        <f t="shared" si="139"/>
        <v>15.842143086886201</v>
      </c>
      <c r="AC77" s="175">
        <f t="shared" si="139"/>
        <v>16.018531214043591</v>
      </c>
      <c r="AD77" s="175">
        <f t="shared" si="139"/>
        <v>16.184935107588288</v>
      </c>
      <c r="AE77" s="175">
        <f t="shared" si="139"/>
        <v>16.341919912819147</v>
      </c>
      <c r="AF77" s="175">
        <f t="shared" si="139"/>
        <v>16.49001878567843</v>
      </c>
      <c r="AG77" s="175">
        <f t="shared" si="139"/>
        <v>16.62973470347022</v>
      </c>
      <c r="AH77" s="175">
        <f t="shared" si="139"/>
        <v>16.761542173085129</v>
      </c>
    </row>
    <row r="78" spans="2:34" ht="15.4" customHeight="1">
      <c r="B78" s="231" t="s">
        <v>185</v>
      </c>
      <c r="C78" s="159"/>
      <c r="D78" s="25">
        <f t="shared" ref="D78:AH78" si="140">D7*D70</f>
        <v>976.8826978792539</v>
      </c>
      <c r="E78" s="25">
        <f t="shared" si="140"/>
        <v>966.90909698004691</v>
      </c>
      <c r="F78" s="25">
        <f t="shared" si="140"/>
        <v>1966.0325047187796</v>
      </c>
      <c r="G78" s="25">
        <f t="shared" si="140"/>
        <v>1247.9650159499784</v>
      </c>
      <c r="H78" s="25">
        <f t="shared" si="140"/>
        <v>1765.5544792505464</v>
      </c>
      <c r="I78" s="25">
        <f t="shared" si="140"/>
        <v>2565.145818993517</v>
      </c>
      <c r="J78" s="25">
        <f t="shared" si="140"/>
        <v>2753.8464875035825</v>
      </c>
      <c r="K78" s="25">
        <f t="shared" si="140"/>
        <v>1944.7132424769281</v>
      </c>
      <c r="L78" s="25">
        <f t="shared" si="140"/>
        <v>3154.6606982305148</v>
      </c>
      <c r="M78" s="25">
        <f t="shared" si="140"/>
        <v>3274.355771249293</v>
      </c>
      <c r="N78" s="394">
        <f t="shared" si="140"/>
        <v>4058.1302031497371</v>
      </c>
      <c r="O78" s="395">
        <f t="shared" si="140"/>
        <v>5580.9975194999997</v>
      </c>
      <c r="P78" s="25">
        <f t="shared" si="140"/>
        <v>6473.9571226199996</v>
      </c>
      <c r="Q78" s="25">
        <f t="shared" si="140"/>
        <v>7509.7902622391985</v>
      </c>
      <c r="R78" s="25">
        <f t="shared" si="140"/>
        <v>8711.3567041974693</v>
      </c>
      <c r="S78" s="25">
        <f t="shared" si="140"/>
        <v>8420.9781473908879</v>
      </c>
      <c r="T78" s="25">
        <f t="shared" si="140"/>
        <v>9515.7053065517048</v>
      </c>
      <c r="U78" s="25">
        <f t="shared" si="140"/>
        <v>10752.746996403426</v>
      </c>
      <c r="V78" s="25">
        <f t="shared" si="140"/>
        <v>12150.604105935874</v>
      </c>
      <c r="W78" s="25">
        <f t="shared" si="140"/>
        <v>10984.146111766031</v>
      </c>
      <c r="X78" s="25">
        <f t="shared" si="140"/>
        <v>11972.719261824974</v>
      </c>
      <c r="Y78" s="25">
        <f t="shared" si="140"/>
        <v>13050.263995389219</v>
      </c>
      <c r="Z78" s="25">
        <f t="shared" si="140"/>
        <v>14224.787754974253</v>
      </c>
      <c r="AA78" s="25">
        <f t="shared" si="140"/>
        <v>11628.763989691453</v>
      </c>
      <c r="AB78" s="25">
        <f t="shared" si="140"/>
        <v>12326.489829072942</v>
      </c>
      <c r="AC78" s="25">
        <f t="shared" si="140"/>
        <v>13066.079218817316</v>
      </c>
      <c r="AD78" s="25">
        <f t="shared" si="140"/>
        <v>13850.043971946356</v>
      </c>
      <c r="AE78" s="25">
        <f t="shared" si="140"/>
        <v>14681.046610263136</v>
      </c>
      <c r="AF78" s="25">
        <f t="shared" si="140"/>
        <v>15561.909406878925</v>
      </c>
      <c r="AG78" s="25">
        <f t="shared" si="140"/>
        <v>16495.623971291661</v>
      </c>
      <c r="AH78" s="25">
        <f t="shared" si="140"/>
        <v>17485.361409569159</v>
      </c>
    </row>
    <row r="79" spans="2:34" ht="15.4" customHeight="1">
      <c r="B79" s="231" t="s">
        <v>186</v>
      </c>
      <c r="C79" s="159"/>
      <c r="D79" s="25">
        <f t="shared" ref="D79:N82" si="141">+D78*D$26</f>
        <v>1364.1598239300604</v>
      </c>
      <c r="E79" s="25">
        <f t="shared" si="141"/>
        <v>1164.1624645255831</v>
      </c>
      <c r="F79" s="25">
        <f t="shared" si="141"/>
        <v>2833.1103399465146</v>
      </c>
      <c r="G79" s="25">
        <f t="shared" si="141"/>
        <v>1678.7638617436044</v>
      </c>
      <c r="H79" s="25">
        <f t="shared" si="141"/>
        <v>2312.914764787794</v>
      </c>
      <c r="I79" s="25">
        <f t="shared" si="141"/>
        <v>3492.4174204560991</v>
      </c>
      <c r="J79" s="25">
        <f t="shared" si="141"/>
        <v>3557.9192958520034</v>
      </c>
      <c r="K79" s="25">
        <f t="shared" si="141"/>
        <v>2597.2818507387128</v>
      </c>
      <c r="L79" s="25">
        <f t="shared" si="141"/>
        <v>4166.4831459232746</v>
      </c>
      <c r="M79" s="25">
        <f t="shared" si="141"/>
        <v>3941.5059280140626</v>
      </c>
      <c r="N79" s="394">
        <f t="shared" si="141"/>
        <v>5733.3397471332455</v>
      </c>
      <c r="O79" s="395">
        <f t="shared" ref="O79:AH79" si="142">+O78*O$26</f>
        <v>6473.9571226199996</v>
      </c>
      <c r="P79" s="25">
        <f t="shared" si="142"/>
        <v>7509.7902622391994</v>
      </c>
      <c r="Q79" s="25">
        <f t="shared" si="142"/>
        <v>8711.3567041974693</v>
      </c>
      <c r="R79" s="25">
        <f t="shared" si="142"/>
        <v>10105.173776869064</v>
      </c>
      <c r="S79" s="25">
        <f t="shared" si="142"/>
        <v>9431.4955250777948</v>
      </c>
      <c r="T79" s="25">
        <f t="shared" si="142"/>
        <v>10657.589943337911</v>
      </c>
      <c r="U79" s="25">
        <f t="shared" si="142"/>
        <v>12043.076635971838</v>
      </c>
      <c r="V79" s="25">
        <f t="shared" si="142"/>
        <v>13608.676598648181</v>
      </c>
      <c r="W79" s="25">
        <f t="shared" si="142"/>
        <v>11423.511956236673</v>
      </c>
      <c r="X79" s="25">
        <f t="shared" si="142"/>
        <v>12451.628032297973</v>
      </c>
      <c r="Y79" s="25">
        <f t="shared" si="142"/>
        <v>13572.274555204789</v>
      </c>
      <c r="Z79" s="25">
        <f t="shared" si="142"/>
        <v>14793.779265173223</v>
      </c>
      <c r="AA79" s="25">
        <f t="shared" si="142"/>
        <v>11628.763989691453</v>
      </c>
      <c r="AB79" s="25">
        <f t="shared" si="142"/>
        <v>12326.489829072942</v>
      </c>
      <c r="AC79" s="25">
        <f t="shared" si="142"/>
        <v>13066.079218817316</v>
      </c>
      <c r="AD79" s="25">
        <f t="shared" si="142"/>
        <v>13850.043971946356</v>
      </c>
      <c r="AE79" s="25">
        <f t="shared" si="142"/>
        <v>14681.046610263136</v>
      </c>
      <c r="AF79" s="25">
        <f t="shared" si="142"/>
        <v>15561.909406878925</v>
      </c>
      <c r="AG79" s="25">
        <f t="shared" si="142"/>
        <v>16495.623971291661</v>
      </c>
      <c r="AH79" s="25">
        <f t="shared" si="142"/>
        <v>17485.361409569159</v>
      </c>
    </row>
    <row r="80" spans="2:34" ht="15.4" customHeight="1">
      <c r="B80" s="231" t="s">
        <v>187</v>
      </c>
      <c r="C80" s="159"/>
      <c r="D80" s="25">
        <f t="shared" si="141"/>
        <v>1904.9697873294824</v>
      </c>
      <c r="E80" s="25">
        <f t="shared" si="141"/>
        <v>1401.656317065602</v>
      </c>
      <c r="F80" s="25">
        <f t="shared" si="141"/>
        <v>4082.5948599766234</v>
      </c>
      <c r="G80" s="25">
        <f t="shared" si="141"/>
        <v>2258.274925560303</v>
      </c>
      <c r="H80" s="25">
        <f t="shared" si="141"/>
        <v>3029.968642737208</v>
      </c>
      <c r="I80" s="25">
        <f t="shared" si="141"/>
        <v>4754.8873628911069</v>
      </c>
      <c r="J80" s="25">
        <f t="shared" si="141"/>
        <v>4596.7666582865577</v>
      </c>
      <c r="K80" s="25">
        <f t="shared" si="141"/>
        <v>3468.8265934697288</v>
      </c>
      <c r="L80" s="25">
        <f t="shared" si="141"/>
        <v>5502.8364270680186</v>
      </c>
      <c r="M80" s="25">
        <f t="shared" si="141"/>
        <v>4744.5879635256051</v>
      </c>
      <c r="N80" s="394">
        <f t="shared" si="141"/>
        <v>8100.0813208370646</v>
      </c>
      <c r="O80" s="395">
        <f t="shared" ref="O80:AH80" si="143">+O79*O$26</f>
        <v>7509.7902622391994</v>
      </c>
      <c r="P80" s="25">
        <f t="shared" si="143"/>
        <v>8711.3567041974711</v>
      </c>
      <c r="Q80" s="25">
        <f t="shared" si="143"/>
        <v>10105.173776869064</v>
      </c>
      <c r="R80" s="25">
        <f t="shared" si="143"/>
        <v>11722.001581168113</v>
      </c>
      <c r="S80" s="25">
        <f t="shared" si="143"/>
        <v>10563.274988087131</v>
      </c>
      <c r="T80" s="25">
        <f t="shared" si="143"/>
        <v>11936.500736538461</v>
      </c>
      <c r="U80" s="25">
        <f t="shared" si="143"/>
        <v>13488.245832288459</v>
      </c>
      <c r="V80" s="25">
        <f t="shared" si="143"/>
        <v>15241.717790485964</v>
      </c>
      <c r="W80" s="25">
        <f t="shared" si="143"/>
        <v>11880.45243448614</v>
      </c>
      <c r="X80" s="25">
        <f t="shared" si="143"/>
        <v>12949.693153589893</v>
      </c>
      <c r="Y80" s="25">
        <f t="shared" si="143"/>
        <v>14115.16553741298</v>
      </c>
      <c r="Z80" s="25">
        <f t="shared" si="143"/>
        <v>15385.530435780152</v>
      </c>
      <c r="AA80" s="25">
        <f t="shared" si="143"/>
        <v>11628.763989691453</v>
      </c>
      <c r="AB80" s="25">
        <f t="shared" si="143"/>
        <v>12326.489829072942</v>
      </c>
      <c r="AC80" s="25">
        <f t="shared" si="143"/>
        <v>13066.079218817316</v>
      </c>
      <c r="AD80" s="25">
        <f t="shared" si="143"/>
        <v>13850.043971946356</v>
      </c>
      <c r="AE80" s="25">
        <f t="shared" si="143"/>
        <v>14681.046610263136</v>
      </c>
      <c r="AF80" s="25">
        <f t="shared" si="143"/>
        <v>15561.909406878925</v>
      </c>
      <c r="AG80" s="25">
        <f t="shared" si="143"/>
        <v>16495.623971291661</v>
      </c>
      <c r="AH80" s="25">
        <f t="shared" si="143"/>
        <v>17485.361409569159</v>
      </c>
    </row>
    <row r="81" spans="2:34" ht="15.4" customHeight="1">
      <c r="B81" s="231" t="s">
        <v>188</v>
      </c>
      <c r="C81" s="159"/>
      <c r="D81" s="25">
        <f t="shared" si="141"/>
        <v>2660.1794210472112</v>
      </c>
      <c r="E81" s="25">
        <f t="shared" si="141"/>
        <v>1687.5998763373061</v>
      </c>
      <c r="F81" s="25">
        <f t="shared" si="141"/>
        <v>5883.1385970735637</v>
      </c>
      <c r="G81" s="25">
        <f t="shared" si="141"/>
        <v>3037.8338226304272</v>
      </c>
      <c r="H81" s="25">
        <f t="shared" si="141"/>
        <v>3969.3248172130861</v>
      </c>
      <c r="I81" s="25">
        <f t="shared" si="141"/>
        <v>6473.7261076967388</v>
      </c>
      <c r="J81" s="25">
        <f t="shared" si="141"/>
        <v>5938.938450731488</v>
      </c>
      <c r="K81" s="25">
        <f t="shared" si="141"/>
        <v>4632.8271735855215</v>
      </c>
      <c r="L81" s="25">
        <f t="shared" si="141"/>
        <v>7267.8102088797796</v>
      </c>
      <c r="M81" s="25">
        <f t="shared" si="141"/>
        <v>5711.2980050684155</v>
      </c>
      <c r="N81" s="394">
        <f t="shared" si="141"/>
        <v>11443.8216289171</v>
      </c>
      <c r="O81" s="395">
        <f t="shared" ref="O81:AH81" si="144">+O80*O$26</f>
        <v>8711.3567041974711</v>
      </c>
      <c r="P81" s="25">
        <f t="shared" si="144"/>
        <v>10105.173776869065</v>
      </c>
      <c r="Q81" s="25">
        <f t="shared" si="144"/>
        <v>11722.001581168113</v>
      </c>
      <c r="R81" s="25">
        <f t="shared" si="144"/>
        <v>13597.52183415501</v>
      </c>
      <c r="S81" s="25">
        <f t="shared" si="144"/>
        <v>11830.867986657588</v>
      </c>
      <c r="T81" s="25">
        <f t="shared" si="144"/>
        <v>13368.880824923077</v>
      </c>
      <c r="U81" s="25">
        <f t="shared" si="144"/>
        <v>15106.835332163077</v>
      </c>
      <c r="V81" s="25">
        <f t="shared" si="144"/>
        <v>17070.723925344282</v>
      </c>
      <c r="W81" s="25">
        <f t="shared" si="144"/>
        <v>12355.670531865586</v>
      </c>
      <c r="X81" s="25">
        <f t="shared" si="144"/>
        <v>13467.680879733489</v>
      </c>
      <c r="Y81" s="25">
        <f t="shared" si="144"/>
        <v>14679.7721589095</v>
      </c>
      <c r="Z81" s="25">
        <f t="shared" si="144"/>
        <v>16000.951653211359</v>
      </c>
      <c r="AA81" s="25">
        <f t="shared" si="144"/>
        <v>11628.763989691453</v>
      </c>
      <c r="AB81" s="25">
        <f t="shared" si="144"/>
        <v>12326.489829072942</v>
      </c>
      <c r="AC81" s="25">
        <f t="shared" si="144"/>
        <v>13066.079218817316</v>
      </c>
      <c r="AD81" s="25">
        <f t="shared" si="144"/>
        <v>13850.043971946356</v>
      </c>
      <c r="AE81" s="25">
        <f t="shared" si="144"/>
        <v>14681.046610263136</v>
      </c>
      <c r="AF81" s="25">
        <f t="shared" si="144"/>
        <v>15561.909406878925</v>
      </c>
      <c r="AG81" s="25">
        <f t="shared" si="144"/>
        <v>16495.623971291661</v>
      </c>
      <c r="AH81" s="25">
        <f t="shared" si="144"/>
        <v>17485.361409569159</v>
      </c>
    </row>
    <row r="82" spans="2:34" ht="15.4" customHeight="1">
      <c r="B82" s="231" t="s">
        <v>189</v>
      </c>
      <c r="C82" s="159"/>
      <c r="D82" s="25">
        <f t="shared" si="141"/>
        <v>3714.7857143096617</v>
      </c>
      <c r="E82" s="25">
        <f t="shared" si="141"/>
        <v>2031.8770785238046</v>
      </c>
      <c r="F82" s="25">
        <f t="shared" si="141"/>
        <v>8477.7747828191023</v>
      </c>
      <c r="G82" s="25">
        <f t="shared" si="141"/>
        <v>4086.4972769547612</v>
      </c>
      <c r="H82" s="25">
        <f t="shared" si="141"/>
        <v>5199.9018347300407</v>
      </c>
      <c r="I82" s="25">
        <f t="shared" si="141"/>
        <v>8813.9058865092484</v>
      </c>
      <c r="J82" s="25">
        <f t="shared" si="141"/>
        <v>7672.9998591497288</v>
      </c>
      <c r="K82" s="25">
        <f t="shared" si="141"/>
        <v>6187.4201670149623</v>
      </c>
      <c r="L82" s="25">
        <f t="shared" si="141"/>
        <v>9598.8797654377813</v>
      </c>
      <c r="M82" s="25">
        <f t="shared" si="141"/>
        <v>6874.9752672853847</v>
      </c>
      <c r="N82" s="394">
        <f t="shared" si="141"/>
        <v>16167.868974053368</v>
      </c>
      <c r="O82" s="395">
        <f t="shared" ref="O82:AH82" si="145">+O81*O$26</f>
        <v>10105.173776869065</v>
      </c>
      <c r="P82" s="25">
        <f t="shared" si="145"/>
        <v>11722.001581168115</v>
      </c>
      <c r="Q82" s="25">
        <f t="shared" si="145"/>
        <v>13597.52183415501</v>
      </c>
      <c r="R82" s="25">
        <f t="shared" si="145"/>
        <v>15773.125327619809</v>
      </c>
      <c r="S82" s="25">
        <f t="shared" si="145"/>
        <v>13250.5721450565</v>
      </c>
      <c r="T82" s="25">
        <f t="shared" si="145"/>
        <v>14973.146523913847</v>
      </c>
      <c r="U82" s="25">
        <f t="shared" si="145"/>
        <v>16919.655572022646</v>
      </c>
      <c r="V82" s="25">
        <f t="shared" si="145"/>
        <v>19119.2107963856</v>
      </c>
      <c r="W82" s="25">
        <f t="shared" si="145"/>
        <v>12849.89735314021</v>
      </c>
      <c r="X82" s="25">
        <f t="shared" si="145"/>
        <v>14006.388114922829</v>
      </c>
      <c r="Y82" s="25">
        <f t="shared" si="145"/>
        <v>15266.96304526588</v>
      </c>
      <c r="Z82" s="25">
        <f t="shared" si="145"/>
        <v>16640.989719339814</v>
      </c>
      <c r="AA82" s="25">
        <f t="shared" si="145"/>
        <v>11628.763989691453</v>
      </c>
      <c r="AB82" s="25">
        <f t="shared" si="145"/>
        <v>12326.489829072942</v>
      </c>
      <c r="AC82" s="25">
        <f t="shared" si="145"/>
        <v>13066.079218817316</v>
      </c>
      <c r="AD82" s="25">
        <f t="shared" si="145"/>
        <v>13850.043971946356</v>
      </c>
      <c r="AE82" s="25">
        <f t="shared" si="145"/>
        <v>14681.046610263136</v>
      </c>
      <c r="AF82" s="25">
        <f t="shared" si="145"/>
        <v>15561.909406878925</v>
      </c>
      <c r="AG82" s="25">
        <f t="shared" si="145"/>
        <v>16495.623971291661</v>
      </c>
      <c r="AH82" s="25">
        <f t="shared" si="145"/>
        <v>17485.361409569159</v>
      </c>
    </row>
    <row r="83" spans="2:34" ht="15.4" customHeight="1">
      <c r="B83" s="231" t="s">
        <v>135</v>
      </c>
      <c r="C83" s="159"/>
      <c r="D83" s="25">
        <f t="shared" ref="D83:N83" si="146">+D77*D78</f>
        <v>0</v>
      </c>
      <c r="E83" s="25">
        <f t="shared" si="146"/>
        <v>18613.000116865896</v>
      </c>
      <c r="F83" s="25">
        <f t="shared" si="146"/>
        <v>0</v>
      </c>
      <c r="G83" s="25">
        <f t="shared" si="146"/>
        <v>36814.96797052434</v>
      </c>
      <c r="H83" s="25">
        <f t="shared" si="146"/>
        <v>59587.463674705854</v>
      </c>
      <c r="I83" s="25">
        <f t="shared" si="146"/>
        <v>0</v>
      </c>
      <c r="J83" s="25">
        <f t="shared" si="146"/>
        <v>67469.238943837685</v>
      </c>
      <c r="K83" s="25">
        <f t="shared" si="146"/>
        <v>37597.789354553948</v>
      </c>
      <c r="L83" s="25">
        <f t="shared" si="146"/>
        <v>40695.123007173628</v>
      </c>
      <c r="M83" s="25">
        <f t="shared" si="146"/>
        <v>34848.500708296058</v>
      </c>
      <c r="N83" s="394">
        <f t="shared" si="146"/>
        <v>114304.00072205106</v>
      </c>
      <c r="O83" s="395">
        <f t="shared" ref="O83:AH83" si="147">+O77*O78</f>
        <v>71067.749999999985</v>
      </c>
      <c r="P83" s="25">
        <f t="shared" si="147"/>
        <v>85159.768736737547</v>
      </c>
      <c r="Q83" s="25">
        <f t="shared" si="147"/>
        <v>101506.51047135309</v>
      </c>
      <c r="R83" s="25">
        <f t="shared" si="147"/>
        <v>120468.730883507</v>
      </c>
      <c r="S83" s="25">
        <f t="shared" si="147"/>
        <v>118720.75546800463</v>
      </c>
      <c r="T83" s="25">
        <f t="shared" si="147"/>
        <v>136089.02289699845</v>
      </c>
      <c r="U83" s="25">
        <f t="shared" si="147"/>
        <v>155715.16509176127</v>
      </c>
      <c r="V83" s="25">
        <f t="shared" si="147"/>
        <v>177892.70577184352</v>
      </c>
      <c r="W83" s="25">
        <f t="shared" si="147"/>
        <v>162362.66139226878</v>
      </c>
      <c r="X83" s="25">
        <f t="shared" si="147"/>
        <v>179937.29517109468</v>
      </c>
      <c r="Y83" s="25">
        <f t="shared" si="147"/>
        <v>199093.64599001463</v>
      </c>
      <c r="Z83" s="25">
        <f t="shared" si="147"/>
        <v>219974.06838263728</v>
      </c>
      <c r="AA83" s="25">
        <f t="shared" si="147"/>
        <v>182050.29659294712</v>
      </c>
      <c r="AB83" s="25">
        <f t="shared" si="147"/>
        <v>195278.01563122097</v>
      </c>
      <c r="AC83" s="25">
        <f t="shared" si="147"/>
        <v>209299.39781179148</v>
      </c>
      <c r="AD83" s="25">
        <f t="shared" si="147"/>
        <v>224162.06292319612</v>
      </c>
      <c r="AE83" s="25">
        <f t="shared" si="147"/>
        <v>239916.48794128519</v>
      </c>
      <c r="AF83" s="25">
        <f t="shared" si="147"/>
        <v>256616.17846045934</v>
      </c>
      <c r="AG83" s="25">
        <f t="shared" si="147"/>
        <v>274317.85041078419</v>
      </c>
      <c r="AH83" s="25">
        <f t="shared" si="147"/>
        <v>293081.62267812871</v>
      </c>
    </row>
    <row r="84" spans="2:34" ht="15.4" customHeight="1">
      <c r="B84" s="231" t="s">
        <v>133</v>
      </c>
      <c r="C84" s="159"/>
      <c r="D84" s="25">
        <f t="shared" ref="D84:N84" si="148">SUM(D78:D80)</f>
        <v>4246.0123091387968</v>
      </c>
      <c r="E84" s="25">
        <f t="shared" si="148"/>
        <v>3532.7278785712324</v>
      </c>
      <c r="F84" s="25">
        <f t="shared" si="148"/>
        <v>8881.7377046419169</v>
      </c>
      <c r="G84" s="25">
        <f t="shared" si="148"/>
        <v>5185.003803253886</v>
      </c>
      <c r="H84" s="25">
        <f t="shared" si="148"/>
        <v>7108.4378867755486</v>
      </c>
      <c r="I84" s="25">
        <f t="shared" si="148"/>
        <v>10812.450602340723</v>
      </c>
      <c r="J84" s="25">
        <f t="shared" si="148"/>
        <v>10908.532441642143</v>
      </c>
      <c r="K84" s="25">
        <f t="shared" si="148"/>
        <v>8010.8216866853691</v>
      </c>
      <c r="L84" s="25">
        <f t="shared" si="148"/>
        <v>12823.980271221808</v>
      </c>
      <c r="M84" s="25">
        <f t="shared" si="148"/>
        <v>11960.44966278896</v>
      </c>
      <c r="N84" s="394">
        <f t="shared" si="148"/>
        <v>17891.551271120046</v>
      </c>
      <c r="O84" s="395">
        <f t="shared" ref="O84:AH84" si="149">SUM(O78:O80)</f>
        <v>19564.744904359199</v>
      </c>
      <c r="P84" s="25">
        <f t="shared" si="149"/>
        <v>22695.104089056669</v>
      </c>
      <c r="Q84" s="25">
        <f t="shared" si="149"/>
        <v>26326.320743305732</v>
      </c>
      <c r="R84" s="25">
        <f t="shared" si="149"/>
        <v>30538.532062234648</v>
      </c>
      <c r="S84" s="25">
        <f t="shared" si="149"/>
        <v>28415.748660555812</v>
      </c>
      <c r="T84" s="25">
        <f t="shared" si="149"/>
        <v>32109.795986428078</v>
      </c>
      <c r="U84" s="25">
        <f t="shared" si="149"/>
        <v>36284.069464663728</v>
      </c>
      <c r="V84" s="25">
        <f t="shared" si="149"/>
        <v>41000.998495070016</v>
      </c>
      <c r="W84" s="25">
        <f t="shared" si="149"/>
        <v>34288.110502488846</v>
      </c>
      <c r="X84" s="25">
        <f t="shared" si="149"/>
        <v>37374.04044771284</v>
      </c>
      <c r="Y84" s="25">
        <f t="shared" si="149"/>
        <v>40737.704088006984</v>
      </c>
      <c r="Z84" s="25">
        <f t="shared" si="149"/>
        <v>44404.097455927629</v>
      </c>
      <c r="AA84" s="25">
        <f t="shared" si="149"/>
        <v>34886.291969074358</v>
      </c>
      <c r="AB84" s="25">
        <f t="shared" si="149"/>
        <v>36979.469487218827</v>
      </c>
      <c r="AC84" s="25">
        <f t="shared" si="149"/>
        <v>39198.237656451951</v>
      </c>
      <c r="AD84" s="25">
        <f t="shared" si="149"/>
        <v>41550.131915839069</v>
      </c>
      <c r="AE84" s="25">
        <f t="shared" si="149"/>
        <v>44043.139830789412</v>
      </c>
      <c r="AF84" s="25">
        <f t="shared" si="149"/>
        <v>46685.728220636774</v>
      </c>
      <c r="AG84" s="25">
        <f t="shared" si="149"/>
        <v>49486.871913874988</v>
      </c>
      <c r="AH84" s="25">
        <f t="shared" si="149"/>
        <v>52456.084228707477</v>
      </c>
    </row>
    <row r="85" spans="2:34" ht="15.4" customHeight="1">
      <c r="B85" s="231" t="s">
        <v>134</v>
      </c>
      <c r="C85" s="159"/>
      <c r="D85" s="25">
        <f t="shared" ref="D85:N85" si="150">SUM(D78:D82)</f>
        <v>10620.977444495671</v>
      </c>
      <c r="E85" s="25">
        <f t="shared" si="150"/>
        <v>7252.2048334323435</v>
      </c>
      <c r="F85" s="25">
        <f t="shared" si="150"/>
        <v>23242.651084534584</v>
      </c>
      <c r="G85" s="25">
        <f t="shared" si="150"/>
        <v>12309.334902839073</v>
      </c>
      <c r="H85" s="25">
        <f t="shared" si="150"/>
        <v>16277.664538718676</v>
      </c>
      <c r="I85" s="25">
        <f t="shared" si="150"/>
        <v>26100.082596546712</v>
      </c>
      <c r="J85" s="25">
        <f t="shared" si="150"/>
        <v>24520.47075152336</v>
      </c>
      <c r="K85" s="25">
        <f t="shared" si="150"/>
        <v>18831.069027285852</v>
      </c>
      <c r="L85" s="25">
        <f t="shared" si="150"/>
        <v>29690.670245539368</v>
      </c>
      <c r="M85" s="25">
        <f t="shared" si="150"/>
        <v>24546.72293514276</v>
      </c>
      <c r="N85" s="394">
        <f t="shared" si="150"/>
        <v>45503.241874090512</v>
      </c>
      <c r="O85" s="395">
        <f t="shared" ref="O85:AH85" si="151">SUM(O78:O82)</f>
        <v>38381.275385425732</v>
      </c>
      <c r="P85" s="25">
        <f t="shared" si="151"/>
        <v>44522.279447093846</v>
      </c>
      <c r="Q85" s="25">
        <f t="shared" si="151"/>
        <v>51645.844158628854</v>
      </c>
      <c r="R85" s="25">
        <f t="shared" si="151"/>
        <v>59909.179224009466</v>
      </c>
      <c r="S85" s="25">
        <f t="shared" si="151"/>
        <v>53497.188792269895</v>
      </c>
      <c r="T85" s="25">
        <f t="shared" si="151"/>
        <v>60451.823335265006</v>
      </c>
      <c r="U85" s="25">
        <f t="shared" si="151"/>
        <v>68310.560368849459</v>
      </c>
      <c r="V85" s="25">
        <f t="shared" si="151"/>
        <v>77190.933216799895</v>
      </c>
      <c r="W85" s="25">
        <f t="shared" si="151"/>
        <v>59493.678387494641</v>
      </c>
      <c r="X85" s="25">
        <f t="shared" si="151"/>
        <v>64848.109442369154</v>
      </c>
      <c r="Y85" s="25">
        <f t="shared" si="151"/>
        <v>70684.43929218236</v>
      </c>
      <c r="Z85" s="25">
        <f t="shared" si="151"/>
        <v>77046.038828478806</v>
      </c>
      <c r="AA85" s="25">
        <f t="shared" si="151"/>
        <v>58143.819948457269</v>
      </c>
      <c r="AB85" s="25">
        <f t="shared" si="151"/>
        <v>61632.449145364706</v>
      </c>
      <c r="AC85" s="25">
        <f t="shared" si="151"/>
        <v>65330.39609408658</v>
      </c>
      <c r="AD85" s="25">
        <f t="shared" si="151"/>
        <v>69250.219859731777</v>
      </c>
      <c r="AE85" s="25">
        <f t="shared" si="151"/>
        <v>73405.233051315678</v>
      </c>
      <c r="AF85" s="25">
        <f t="shared" si="151"/>
        <v>77809.547034394622</v>
      </c>
      <c r="AG85" s="25">
        <f t="shared" si="151"/>
        <v>82478.119856458303</v>
      </c>
      <c r="AH85" s="25">
        <f t="shared" si="151"/>
        <v>87426.807047845796</v>
      </c>
    </row>
    <row r="86" spans="2:34" ht="15.4" customHeight="1">
      <c r="B86" s="231" t="s">
        <v>184</v>
      </c>
      <c r="C86" s="159"/>
      <c r="D86" s="25">
        <f t="shared" ref="D86:N86" si="152">D72</f>
        <v>1200.0105704689199</v>
      </c>
      <c r="E86" s="25">
        <f t="shared" si="152"/>
        <v>1349.9439499435048</v>
      </c>
      <c r="F86" s="25">
        <f t="shared" si="152"/>
        <v>1491.0471257342761</v>
      </c>
      <c r="G86" s="25">
        <f t="shared" si="152"/>
        <v>1617.0779601869442</v>
      </c>
      <c r="H86" s="25">
        <f t="shared" si="152"/>
        <v>1758.387862041845</v>
      </c>
      <c r="I86" s="25">
        <f t="shared" si="152"/>
        <v>1902.2560830999869</v>
      </c>
      <c r="J86" s="25">
        <f t="shared" si="152"/>
        <v>2438.4820432835822</v>
      </c>
      <c r="K86" s="25">
        <f t="shared" si="152"/>
        <v>2927.6112537313434</v>
      </c>
      <c r="L86" s="25">
        <f t="shared" si="152"/>
        <v>3411.8055469435094</v>
      </c>
      <c r="M86" s="25">
        <f t="shared" si="152"/>
        <v>4597.6604899734848</v>
      </c>
      <c r="N86" s="394">
        <f t="shared" si="152"/>
        <v>4968.3288814763155</v>
      </c>
      <c r="O86" s="395">
        <f t="shared" ref="O86:AH86" si="153">O72</f>
        <v>6584.1337443371531</v>
      </c>
      <c r="P86" s="25">
        <f t="shared" si="153"/>
        <v>8299.9450290000004</v>
      </c>
      <c r="Q86" s="25">
        <f t="shared" si="153"/>
        <v>9627.936233639999</v>
      </c>
      <c r="R86" s="25">
        <f t="shared" si="153"/>
        <v>11168.406031022398</v>
      </c>
      <c r="S86" s="25">
        <f t="shared" si="153"/>
        <v>12955.35099598598</v>
      </c>
      <c r="T86" s="25">
        <f t="shared" si="153"/>
        <v>13907.569294190951</v>
      </c>
      <c r="U86" s="25">
        <f t="shared" si="153"/>
        <v>15715.553302435777</v>
      </c>
      <c r="V86" s="25">
        <f t="shared" si="153"/>
        <v>17758.575231752431</v>
      </c>
      <c r="W86" s="25">
        <f t="shared" si="153"/>
        <v>20067.190011880248</v>
      </c>
      <c r="X86" s="25">
        <f t="shared" si="153"/>
        <v>20722.014107004761</v>
      </c>
      <c r="Y86" s="25">
        <f t="shared" si="153"/>
        <v>22586.995376635186</v>
      </c>
      <c r="Z86" s="25">
        <f t="shared" si="153"/>
        <v>24619.824960532358</v>
      </c>
      <c r="AA86" s="25">
        <f t="shared" si="153"/>
        <v>26835.609206980276</v>
      </c>
      <c r="AB86" s="25">
        <f t="shared" si="153"/>
        <v>26865.426550543591</v>
      </c>
      <c r="AC86" s="25">
        <f t="shared" si="153"/>
        <v>28477.352143576205</v>
      </c>
      <c r="AD86" s="25">
        <f t="shared" si="153"/>
        <v>30185.993272190775</v>
      </c>
      <c r="AE86" s="25">
        <f t="shared" si="153"/>
        <v>31997.152868522222</v>
      </c>
      <c r="AF86" s="25">
        <f t="shared" si="153"/>
        <v>31921.865450008052</v>
      </c>
      <c r="AG86" s="25">
        <f t="shared" si="153"/>
        <v>33837.177377008535</v>
      </c>
      <c r="AH86" s="25">
        <f t="shared" si="153"/>
        <v>35867.408019629045</v>
      </c>
    </row>
    <row r="87" spans="2:34" ht="15.4" customHeight="1">
      <c r="B87" s="235" t="s">
        <v>132</v>
      </c>
      <c r="C87" s="225"/>
      <c r="D87" s="158">
        <f t="shared" ref="D87:N87" si="154">D83/D86</f>
        <v>0</v>
      </c>
      <c r="E87" s="158">
        <f t="shared" si="154"/>
        <v>13.787979951052673</v>
      </c>
      <c r="F87" s="158">
        <f t="shared" si="154"/>
        <v>0</v>
      </c>
      <c r="G87" s="158">
        <f t="shared" si="154"/>
        <v>22.766353185760014</v>
      </c>
      <c r="H87" s="158">
        <f t="shared" si="154"/>
        <v>33.887554026625686</v>
      </c>
      <c r="I87" s="158">
        <f t="shared" si="154"/>
        <v>0</v>
      </c>
      <c r="J87" s="158">
        <f t="shared" si="154"/>
        <v>27.668540405975577</v>
      </c>
      <c r="K87" s="158">
        <f t="shared" si="154"/>
        <v>12.842480130049454</v>
      </c>
      <c r="L87" s="158">
        <f t="shared" si="154"/>
        <v>11.927738098565039</v>
      </c>
      <c r="M87" s="158">
        <f t="shared" si="154"/>
        <v>7.5796159338631446</v>
      </c>
      <c r="N87" s="387">
        <f t="shared" si="154"/>
        <v>23.006528643507625</v>
      </c>
      <c r="O87" s="388">
        <f t="shared" ref="O87:AH87" si="155">O83/O86</f>
        <v>10.793788941654407</v>
      </c>
      <c r="P87" s="158">
        <f t="shared" si="155"/>
        <v>10.260281054776796</v>
      </c>
      <c r="Q87" s="158">
        <f t="shared" si="155"/>
        <v>10.542914702393796</v>
      </c>
      <c r="R87" s="158">
        <f t="shared" si="155"/>
        <v>10.786564398615337</v>
      </c>
      <c r="S87" s="158">
        <f t="shared" si="155"/>
        <v>9.1638393668213585</v>
      </c>
      <c r="T87" s="158">
        <f t="shared" si="155"/>
        <v>9.7852485950827823</v>
      </c>
      <c r="U87" s="158">
        <f t="shared" si="155"/>
        <v>9.908347615583267</v>
      </c>
      <c r="V87" s="158">
        <f t="shared" si="155"/>
        <v>10.017284801866897</v>
      </c>
      <c r="W87" s="158">
        <f t="shared" si="155"/>
        <v>8.0909515131987231</v>
      </c>
      <c r="X87" s="158">
        <f t="shared" si="155"/>
        <v>8.6833883155339429</v>
      </c>
      <c r="Y87" s="158">
        <f t="shared" si="155"/>
        <v>8.814525467870082</v>
      </c>
      <c r="Z87" s="158">
        <f t="shared" si="155"/>
        <v>8.9348347819399265</v>
      </c>
      <c r="AA87" s="158">
        <f t="shared" si="155"/>
        <v>6.7839077245764026</v>
      </c>
      <c r="AB87" s="158">
        <f t="shared" si="155"/>
        <v>7.2687480045713162</v>
      </c>
      <c r="AC87" s="158">
        <f t="shared" si="155"/>
        <v>7.3496790276199997</v>
      </c>
      <c r="AD87" s="158">
        <f t="shared" si="155"/>
        <v>7.426029049364038</v>
      </c>
      <c r="AE87" s="158">
        <f t="shared" si="155"/>
        <v>7.4980573717640793</v>
      </c>
      <c r="AF87" s="158">
        <f t="shared" si="155"/>
        <v>8.0388841580182344</v>
      </c>
      <c r="AG87" s="158">
        <f t="shared" si="155"/>
        <v>8.1069956679417334</v>
      </c>
      <c r="AH87" s="158">
        <f t="shared" si="155"/>
        <v>8.171251809379001</v>
      </c>
    </row>
    <row r="88" spans="2:34" ht="15.4" customHeight="1">
      <c r="B88" s="232" t="s">
        <v>121</v>
      </c>
      <c r="C88" s="226"/>
      <c r="D88" s="157">
        <f t="shared" ref="D88:N88" si="156">+D84/D86</f>
        <v>3.5383124229310843</v>
      </c>
      <c r="E88" s="157">
        <f t="shared" si="156"/>
        <v>2.6169441173606334</v>
      </c>
      <c r="F88" s="157">
        <f t="shared" si="156"/>
        <v>5.9567115964011172</v>
      </c>
      <c r="G88" s="157">
        <f t="shared" si="156"/>
        <v>3.2064031116066087</v>
      </c>
      <c r="H88" s="157">
        <f t="shared" si="156"/>
        <v>4.0425881230328846</v>
      </c>
      <c r="I88" s="157">
        <f t="shared" si="156"/>
        <v>5.6840142073407662</v>
      </c>
      <c r="J88" s="157">
        <f t="shared" si="156"/>
        <v>4.473493037067052</v>
      </c>
      <c r="K88" s="157">
        <f t="shared" si="156"/>
        <v>2.736299662899333</v>
      </c>
      <c r="L88" s="157">
        <f t="shared" si="156"/>
        <v>3.7587078439186734</v>
      </c>
      <c r="M88" s="157">
        <f t="shared" si="156"/>
        <v>2.6014208071414027</v>
      </c>
      <c r="N88" s="392">
        <f t="shared" si="156"/>
        <v>3.6011205574224499</v>
      </c>
      <c r="O88" s="393">
        <f t="shared" ref="O88:AH88" si="157">+O84/O86</f>
        <v>2.9714987064450722</v>
      </c>
      <c r="P88" s="157">
        <f t="shared" si="157"/>
        <v>2.7343679999999995</v>
      </c>
      <c r="Q88" s="157">
        <f t="shared" si="157"/>
        <v>2.7343679999999995</v>
      </c>
      <c r="R88" s="157">
        <f t="shared" si="157"/>
        <v>2.7343679999999999</v>
      </c>
      <c r="S88" s="157">
        <f t="shared" si="157"/>
        <v>2.1933600000000002</v>
      </c>
      <c r="T88" s="157">
        <f t="shared" si="157"/>
        <v>2.3088000000000006</v>
      </c>
      <c r="U88" s="157">
        <f t="shared" si="157"/>
        <v>2.3088000000000002</v>
      </c>
      <c r="V88" s="157">
        <f t="shared" si="157"/>
        <v>2.3088000000000002</v>
      </c>
      <c r="W88" s="157">
        <f t="shared" si="157"/>
        <v>1.7086652631578949</v>
      </c>
      <c r="X88" s="157">
        <f t="shared" si="157"/>
        <v>1.8035911111111114</v>
      </c>
      <c r="Y88" s="157">
        <f t="shared" si="157"/>
        <v>1.8035911111111109</v>
      </c>
      <c r="Z88" s="157">
        <f t="shared" si="157"/>
        <v>1.8035911111111114</v>
      </c>
      <c r="AA88" s="157">
        <f t="shared" si="157"/>
        <v>1.3</v>
      </c>
      <c r="AB88" s="157">
        <f t="shared" si="157"/>
        <v>1.3764705882352941</v>
      </c>
      <c r="AC88" s="157">
        <f t="shared" si="157"/>
        <v>1.3764705882352941</v>
      </c>
      <c r="AD88" s="157">
        <f t="shared" si="157"/>
        <v>1.3764705882352941</v>
      </c>
      <c r="AE88" s="157">
        <f t="shared" si="157"/>
        <v>1.3764705882352941</v>
      </c>
      <c r="AF88" s="157">
        <f t="shared" si="157"/>
        <v>1.4624999999999999</v>
      </c>
      <c r="AG88" s="157">
        <f t="shared" si="157"/>
        <v>1.4625000000000001</v>
      </c>
      <c r="AH88" s="157">
        <f t="shared" si="157"/>
        <v>1.4624999999999999</v>
      </c>
    </row>
    <row r="89" spans="2:34" ht="15.4" customHeight="1">
      <c r="B89" s="232" t="s">
        <v>122</v>
      </c>
      <c r="C89" s="226"/>
      <c r="D89" s="157">
        <f t="shared" ref="D89:N89" si="158">+D85/D86</f>
        <v>8.8507365733831698</v>
      </c>
      <c r="E89" s="157">
        <f t="shared" si="158"/>
        <v>5.3722266274357899</v>
      </c>
      <c r="F89" s="157">
        <f t="shared" si="158"/>
        <v>15.588139826961262</v>
      </c>
      <c r="G89" s="157">
        <f t="shared" si="158"/>
        <v>7.6120850112978093</v>
      </c>
      <c r="H89" s="157">
        <f t="shared" si="158"/>
        <v>9.2571524690900713</v>
      </c>
      <c r="I89" s="157">
        <f t="shared" si="158"/>
        <v>13.720593577502484</v>
      </c>
      <c r="J89" s="157">
        <f t="shared" si="158"/>
        <v>10.055629000451804</v>
      </c>
      <c r="K89" s="157">
        <f t="shared" si="158"/>
        <v>6.4322300316631837</v>
      </c>
      <c r="L89" s="157">
        <f t="shared" si="158"/>
        <v>8.7023336579477597</v>
      </c>
      <c r="M89" s="157">
        <f t="shared" si="158"/>
        <v>5.3389594531118423</v>
      </c>
      <c r="N89" s="392">
        <f t="shared" si="158"/>
        <v>9.158661384865777</v>
      </c>
      <c r="O89" s="393">
        <f t="shared" ref="O89:AH89" si="159">+O85/O86</f>
        <v>5.829358405490547</v>
      </c>
      <c r="P89" s="157">
        <f t="shared" si="159"/>
        <v>5.3641655807999982</v>
      </c>
      <c r="Q89" s="157">
        <f t="shared" si="159"/>
        <v>5.3641655807999982</v>
      </c>
      <c r="R89" s="157">
        <f t="shared" si="159"/>
        <v>5.3641655807999982</v>
      </c>
      <c r="S89" s="157">
        <f t="shared" si="159"/>
        <v>4.1293507840000006</v>
      </c>
      <c r="T89" s="157">
        <f t="shared" si="159"/>
        <v>4.3466850357894753</v>
      </c>
      <c r="U89" s="157">
        <f t="shared" si="159"/>
        <v>4.3466850357894753</v>
      </c>
      <c r="V89" s="157">
        <f t="shared" si="159"/>
        <v>4.3466850357894744</v>
      </c>
      <c r="W89" s="157">
        <f t="shared" si="159"/>
        <v>2.9647239275789476</v>
      </c>
      <c r="X89" s="157">
        <f t="shared" si="159"/>
        <v>3.1294308124444448</v>
      </c>
      <c r="Y89" s="157">
        <f t="shared" si="159"/>
        <v>3.1294308124444443</v>
      </c>
      <c r="Z89" s="157">
        <f t="shared" si="159"/>
        <v>3.1294308124444452</v>
      </c>
      <c r="AA89" s="157">
        <f t="shared" si="159"/>
        <v>2.166666666666667</v>
      </c>
      <c r="AB89" s="157">
        <f t="shared" si="159"/>
        <v>2.2941176470588234</v>
      </c>
      <c r="AC89" s="157">
        <f t="shared" si="159"/>
        <v>2.2941176470588234</v>
      </c>
      <c r="AD89" s="157">
        <f t="shared" si="159"/>
        <v>2.2941176470588234</v>
      </c>
      <c r="AE89" s="157">
        <f t="shared" si="159"/>
        <v>2.2941176470588234</v>
      </c>
      <c r="AF89" s="157">
        <f t="shared" si="159"/>
        <v>2.4375</v>
      </c>
      <c r="AG89" s="157">
        <f t="shared" si="159"/>
        <v>2.4375</v>
      </c>
      <c r="AH89" s="157">
        <f t="shared" si="159"/>
        <v>2.4375</v>
      </c>
    </row>
    <row r="90" spans="2:34" ht="15.4" customHeight="1">
      <c r="B90" s="232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392"/>
      <c r="O90" s="393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</row>
    <row r="91" spans="2:34" ht="15.4" customHeight="1">
      <c r="B91" s="236" t="s">
        <v>176</v>
      </c>
      <c r="C91" s="15"/>
      <c r="D91" s="15"/>
      <c r="E91" s="15"/>
      <c r="F91" s="15"/>
      <c r="G91" s="15"/>
      <c r="H91" s="5"/>
      <c r="I91" s="5"/>
      <c r="J91" s="5"/>
      <c r="K91" s="5"/>
      <c r="L91" s="5"/>
      <c r="M91" s="5"/>
      <c r="N91" s="247"/>
      <c r="O91" s="37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2:34" ht="15.4" customHeight="1">
      <c r="B92" s="231" t="s">
        <v>44</v>
      </c>
      <c r="C92" s="39">
        <f>Model!C8</f>
        <v>2198.9787169971642</v>
      </c>
      <c r="D92" s="39">
        <f>Model!D8</f>
        <v>2784.2487323102555</v>
      </c>
      <c r="E92" s="39">
        <f>Model!E8</f>
        <v>3286.6843501780072</v>
      </c>
      <c r="F92" s="39">
        <f>Model!F8</f>
        <v>4387.6529028517034</v>
      </c>
      <c r="G92" s="39">
        <f>Model!G8</f>
        <v>5236.4888056163036</v>
      </c>
      <c r="H92" s="39">
        <f>Model!H8</f>
        <v>6301.1026693484109</v>
      </c>
      <c r="I92" s="39">
        <f>Model!I8</f>
        <v>7833.5467643579886</v>
      </c>
      <c r="J92" s="39">
        <f>Model!J8</f>
        <v>9427.8556090420225</v>
      </c>
      <c r="K92" s="39">
        <f>Model!K8</f>
        <v>10932.176950479708</v>
      </c>
      <c r="L92" s="39">
        <f>Model!L8</f>
        <v>12966.669053697065</v>
      </c>
      <c r="M92" s="39">
        <f>Model!M8</f>
        <v>14824.425708711953</v>
      </c>
      <c r="N92" s="74">
        <f>Model!N8</f>
        <v>17887.812562499999</v>
      </c>
      <c r="O92" s="75">
        <f>Model!O8</f>
        <v>20749.862572499998</v>
      </c>
      <c r="P92" s="39">
        <f>Model!P8</f>
        <v>24069.840584099995</v>
      </c>
      <c r="Q92" s="39">
        <f>Model!Q8</f>
        <v>27921.015077555992</v>
      </c>
      <c r="R92" s="39">
        <f>Model!R8</f>
        <v>32388.377489964947</v>
      </c>
      <c r="S92" s="39">
        <f>Model!S8</f>
        <v>36598.866563660398</v>
      </c>
      <c r="T92" s="39">
        <f>Model!T8</f>
        <v>41356.719216936253</v>
      </c>
      <c r="U92" s="39">
        <f>Model!U8</f>
        <v>46733.092715137973</v>
      </c>
      <c r="V92" s="39">
        <f>Model!V8</f>
        <v>52808.394768105914</v>
      </c>
      <c r="W92" s="39">
        <f>Model!W8</f>
        <v>57561.15029723545</v>
      </c>
      <c r="X92" s="39">
        <f>Model!X8</f>
        <v>62741.653823986635</v>
      </c>
      <c r="Y92" s="39">
        <f>Model!Y8</f>
        <v>68388.402668145442</v>
      </c>
      <c r="Z92" s="39">
        <f>Model!Z8</f>
        <v>74543.358908278547</v>
      </c>
      <c r="AA92" s="39">
        <f>Model!AA8</f>
        <v>79015.960442775264</v>
      </c>
      <c r="AB92" s="39">
        <f>Model!AB8</f>
        <v>83756.918069341773</v>
      </c>
      <c r="AC92" s="39">
        <f>Model!AC8</f>
        <v>88782.333153502273</v>
      </c>
      <c r="AD92" s="39">
        <f>Model!AD8</f>
        <v>94109.273142712409</v>
      </c>
      <c r="AE92" s="39">
        <f>Model!AE8</f>
        <v>99755.829531275158</v>
      </c>
      <c r="AF92" s="39">
        <f>Model!AF8</f>
        <v>105741.17930315167</v>
      </c>
      <c r="AG92" s="39">
        <f>Model!AG8</f>
        <v>112085.65006134076</v>
      </c>
      <c r="AH92" s="39">
        <f>Model!AH8</f>
        <v>118810.78906502121</v>
      </c>
    </row>
    <row r="93" spans="2:34" ht="15.4" customHeight="1">
      <c r="B93" s="231" t="s">
        <v>21</v>
      </c>
      <c r="C93" s="39">
        <f>Model!C20</f>
        <v>1200.0105704689199</v>
      </c>
      <c r="D93" s="39">
        <f>Model!D20</f>
        <v>1349.9439499435048</v>
      </c>
      <c r="E93" s="39">
        <f>Model!E20</f>
        <v>1491.0471257342761</v>
      </c>
      <c r="F93" s="39">
        <f>Model!F20</f>
        <v>1617.0779601869442</v>
      </c>
      <c r="G93" s="39">
        <f>Model!G20</f>
        <v>1758.387862041845</v>
      </c>
      <c r="H93" s="39">
        <f>Model!H20</f>
        <v>1902.2560830999869</v>
      </c>
      <c r="I93" s="39">
        <f>Model!I20</f>
        <v>2438.4820432835822</v>
      </c>
      <c r="J93" s="39">
        <f>Model!J20</f>
        <v>2927.6112537313434</v>
      </c>
      <c r="K93" s="39">
        <f>Model!K20</f>
        <v>3411.8055469435094</v>
      </c>
      <c r="L93" s="39">
        <f>Model!L20</f>
        <v>4597.6604899734848</v>
      </c>
      <c r="M93" s="39">
        <f>Model!M20</f>
        <v>4968.3288814763155</v>
      </c>
      <c r="N93" s="74">
        <f>Model!N20</f>
        <v>6584.1337443371531</v>
      </c>
      <c r="O93" s="75">
        <f>Model!O20</f>
        <v>8299.9450290000004</v>
      </c>
      <c r="P93" s="39">
        <f>Model!P20</f>
        <v>9627.936233639999</v>
      </c>
      <c r="Q93" s="39">
        <f>Model!Q20</f>
        <v>11168.406031022398</v>
      </c>
      <c r="R93" s="39">
        <f>Model!R20</f>
        <v>12955.35099598598</v>
      </c>
      <c r="S93" s="39">
        <f>Model!S20</f>
        <v>13907.569294190951</v>
      </c>
      <c r="T93" s="39">
        <f>Model!T20</f>
        <v>15715.553302435777</v>
      </c>
      <c r="U93" s="39">
        <f>Model!U20</f>
        <v>17758.575231752431</v>
      </c>
      <c r="V93" s="39">
        <f>Model!V20</f>
        <v>20067.190011880248</v>
      </c>
      <c r="W93" s="39">
        <f>Model!W20</f>
        <v>20722.014107004761</v>
      </c>
      <c r="X93" s="39">
        <f>Model!X20</f>
        <v>22586.995376635186</v>
      </c>
      <c r="Y93" s="39">
        <f>Model!Y20</f>
        <v>24619.824960532358</v>
      </c>
      <c r="Z93" s="39">
        <f>Model!Z20</f>
        <v>26835.609206980276</v>
      </c>
      <c r="AA93" s="39">
        <f>Model!AA20</f>
        <v>26865.426550543591</v>
      </c>
      <c r="AB93" s="39">
        <f>Model!AB20</f>
        <v>28477.352143576205</v>
      </c>
      <c r="AC93" s="39">
        <f>Model!AC20</f>
        <v>30185.993272190775</v>
      </c>
      <c r="AD93" s="39">
        <f>Model!AD20</f>
        <v>31997.152868522222</v>
      </c>
      <c r="AE93" s="39">
        <f>Model!AE20</f>
        <v>31921.865450008052</v>
      </c>
      <c r="AF93" s="39">
        <f>Model!AF20</f>
        <v>33837.177377008535</v>
      </c>
      <c r="AG93" s="39">
        <f>Model!AG20</f>
        <v>35867.408019629045</v>
      </c>
      <c r="AH93" s="39">
        <f>Model!AH20</f>
        <v>38019.452500806787</v>
      </c>
    </row>
    <row r="94" spans="2:34" ht="15.4" customHeight="1">
      <c r="B94" s="231" t="s">
        <v>45</v>
      </c>
      <c r="C94" s="39">
        <f>Model!C21</f>
        <v>2384.2613508414452</v>
      </c>
      <c r="D94" s="39">
        <f>Model!D21</f>
        <v>2500.9067467600526</v>
      </c>
      <c r="E94" s="39">
        <f>Model!E21</f>
        <v>2551.3451846569142</v>
      </c>
      <c r="F94" s="39">
        <f>Model!F21</f>
        <v>2636.7792719553327</v>
      </c>
      <c r="G94" s="39">
        <f>Model!G21</f>
        <v>2660.6690876773114</v>
      </c>
      <c r="H94" s="39">
        <f>Model!H21</f>
        <v>2698.5614105398677</v>
      </c>
      <c r="I94" s="39">
        <f>Model!I21</f>
        <v>3369.0084747654942</v>
      </c>
      <c r="J94" s="39">
        <f>Model!J21</f>
        <v>4151.8057109887332</v>
      </c>
      <c r="K94" s="39">
        <f>Model!K21</f>
        <v>4502.3103339739237</v>
      </c>
      <c r="L94" s="39">
        <f>Model!L21</f>
        <v>5732.0898126337152</v>
      </c>
      <c r="M94" s="39">
        <f>Model!M21</f>
        <v>5605.4327482381332</v>
      </c>
      <c r="N94" s="74">
        <f>Model!N21</f>
        <v>7072.7661174825662</v>
      </c>
      <c r="O94" s="75">
        <f>Model!O21</f>
        <v>8714.9422804499991</v>
      </c>
      <c r="P94" s="39">
        <f>Model!P21</f>
        <v>10109.333045321997</v>
      </c>
      <c r="Q94" s="39">
        <f>Model!Q21</f>
        <v>11726.826332573517</v>
      </c>
      <c r="R94" s="39">
        <f>Model!R21</f>
        <v>13603.118545785277</v>
      </c>
      <c r="S94" s="39">
        <f>Model!S21</f>
        <v>14639.54662546416</v>
      </c>
      <c r="T94" s="39">
        <f>Model!T21</f>
        <v>16542.687686774501</v>
      </c>
      <c r="U94" s="39">
        <f>Model!U21</f>
        <v>18693.237086055189</v>
      </c>
      <c r="V94" s="39">
        <f>Model!V21</f>
        <v>21123.357907242367</v>
      </c>
      <c r="W94" s="39">
        <f>Model!W21</f>
        <v>21873.237112949471</v>
      </c>
      <c r="X94" s="39">
        <f>Model!X21</f>
        <v>23841.828453114922</v>
      </c>
      <c r="Y94" s="39">
        <f>Model!Y21</f>
        <v>25987.593013895268</v>
      </c>
      <c r="Z94" s="39">
        <f>Model!Z21</f>
        <v>28326.476385145848</v>
      </c>
      <c r="AA94" s="39">
        <f>Model!AA21</f>
        <v>28445.745759399095</v>
      </c>
      <c r="AB94" s="39">
        <f>Model!AB21</f>
        <v>30152.490504963036</v>
      </c>
      <c r="AC94" s="39">
        <f>Model!AC21</f>
        <v>31961.639935260817</v>
      </c>
      <c r="AD94" s="39">
        <f>Model!AD21</f>
        <v>33879.338331376464</v>
      </c>
      <c r="AE94" s="39">
        <f>Model!AE21</f>
        <v>33916.982040633557</v>
      </c>
      <c r="AF94" s="39">
        <f>Model!AF21</f>
        <v>35952.000963071572</v>
      </c>
      <c r="AG94" s="39">
        <f>Model!AG21</f>
        <v>38109.121020855862</v>
      </c>
      <c r="AH94" s="39">
        <f>Model!AH21</f>
        <v>40395.66828210721</v>
      </c>
    </row>
    <row r="95" spans="2:34" ht="15.4" customHeight="1">
      <c r="B95" s="231" t="s">
        <v>46</v>
      </c>
      <c r="C95" s="39">
        <f>Model!C22</f>
        <v>1361.00066061251</v>
      </c>
      <c r="D95" s="39">
        <f>Model!D22</f>
        <v>1326.3992017120966</v>
      </c>
      <c r="E95" s="39">
        <f>Model!E22</f>
        <v>1478.9223325896753</v>
      </c>
      <c r="F95" s="39">
        <f>Model!F22</f>
        <v>1886.0624037228752</v>
      </c>
      <c r="G95" s="39">
        <f>Model!G22</f>
        <v>1697.4528916920449</v>
      </c>
      <c r="H95" s="39">
        <f>Model!H22</f>
        <v>2916.5136223740574</v>
      </c>
      <c r="I95" s="39">
        <f>Model!I22</f>
        <v>3509.8163840649363</v>
      </c>
      <c r="J95" s="39">
        <f>Model!J22</f>
        <v>3710.7397775573627</v>
      </c>
      <c r="K95" s="39">
        <f>Model!K22</f>
        <v>4047.094126180064</v>
      </c>
      <c r="L95" s="39">
        <f>Model!L22</f>
        <v>4572.46400169758</v>
      </c>
      <c r="M95" s="39">
        <f>Model!M22</f>
        <v>4505.088913530376</v>
      </c>
      <c r="N95" s="74">
        <f>Model!N22</f>
        <v>4913.5267902978676</v>
      </c>
      <c r="O95" s="75">
        <f>Model!O22</f>
        <v>6224.958771749999</v>
      </c>
      <c r="P95" s="39">
        <f>Model!P22</f>
        <v>7220.9521752299979</v>
      </c>
      <c r="Q95" s="39">
        <f>Model!Q22</f>
        <v>8376.3045232667973</v>
      </c>
      <c r="R95" s="39">
        <f>Model!R22</f>
        <v>9716.5132469894834</v>
      </c>
      <c r="S95" s="39">
        <f>Model!S22</f>
        <v>10247.682637824912</v>
      </c>
      <c r="T95" s="39">
        <f>Model!T22</f>
        <v>11579.881380742152</v>
      </c>
      <c r="U95" s="39">
        <f>Model!U22</f>
        <v>13085.265960238634</v>
      </c>
      <c r="V95" s="39">
        <f>Model!V22</f>
        <v>14786.350535069658</v>
      </c>
      <c r="W95" s="39">
        <f>Model!W22</f>
        <v>14965.899077281218</v>
      </c>
      <c r="X95" s="39">
        <f>Model!X22</f>
        <v>16312.829994236527</v>
      </c>
      <c r="Y95" s="39">
        <f>Model!Y22</f>
        <v>17780.984693717815</v>
      </c>
      <c r="Z95" s="39">
        <f>Model!Z22</f>
        <v>19381.273316152423</v>
      </c>
      <c r="AA95" s="39">
        <f>Model!AA22</f>
        <v>18963.830506266062</v>
      </c>
      <c r="AB95" s="39">
        <f>Model!AB22</f>
        <v>20101.660336642024</v>
      </c>
      <c r="AC95" s="39">
        <f>Model!AC22</f>
        <v>21307.759956840546</v>
      </c>
      <c r="AD95" s="39">
        <f>Model!AD22</f>
        <v>22586.225554250977</v>
      </c>
      <c r="AE95" s="39">
        <f>Model!AE22</f>
        <v>21946.282496880536</v>
      </c>
      <c r="AF95" s="39">
        <f>Model!AF22</f>
        <v>23263.059446693369</v>
      </c>
      <c r="AG95" s="39">
        <f>Model!AG22</f>
        <v>24658.843013494967</v>
      </c>
      <c r="AH95" s="39">
        <f>Model!AH22</f>
        <v>26138.373594304667</v>
      </c>
    </row>
    <row r="96" spans="2:34" ht="15.4" customHeight="1">
      <c r="B96" s="231" t="s">
        <v>190</v>
      </c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396"/>
      <c r="O96" s="75">
        <f>Model!O113</f>
        <v>-7900.8539533688454</v>
      </c>
      <c r="P96" s="39">
        <f>Model!P113</f>
        <v>-8929.5123039927803</v>
      </c>
      <c r="Q96" s="39">
        <f>Model!Q113</f>
        <v>-10128.817165589144</v>
      </c>
      <c r="R96" s="39">
        <f>Model!R113</f>
        <v>-11208.403724873213</v>
      </c>
      <c r="S96" s="39">
        <f>Model!S113</f>
        <v>-10298.715331436797</v>
      </c>
      <c r="T96" s="39">
        <f>Model!T113</f>
        <v>-11714.430539938174</v>
      </c>
      <c r="U96" s="39">
        <f>Model!U113</f>
        <v>-12792.206378399209</v>
      </c>
      <c r="V96" s="39">
        <f>Model!V113</f>
        <v>-13733.804189235943</v>
      </c>
      <c r="W96" s="39">
        <f>Model!W113</f>
        <v>-11501.01633137231</v>
      </c>
      <c r="X96" s="39">
        <f>Model!X113</f>
        <v>-12952.458069156206</v>
      </c>
      <c r="Y96" s="39">
        <f>Model!Y113</f>
        <v>-13225.242235617361</v>
      </c>
      <c r="Z96" s="39">
        <f>Model!Z113</f>
        <v>-13181.478058557452</v>
      </c>
      <c r="AA96" s="39">
        <f>Model!AA113</f>
        <v>-10236.201123335872</v>
      </c>
      <c r="AB96" s="39">
        <f>Model!AB113</f>
        <v>-11736.30226473867</v>
      </c>
      <c r="AC96" s="39">
        <f>Model!AC113</f>
        <v>-11201.632263398416</v>
      </c>
      <c r="AD96" s="39">
        <f>Model!AD113</f>
        <v>-10262.713971544708</v>
      </c>
      <c r="AE96" s="39">
        <f>Model!AE113</f>
        <v>-6234.3227471465816</v>
      </c>
      <c r="AF96" s="39">
        <f>Model!AF113</f>
        <v>-7699.2515520653051</v>
      </c>
      <c r="AG96" s="39">
        <f>Model!AG113</f>
        <v>-7151.069341067182</v>
      </c>
      <c r="AH96" s="39">
        <f>Model!AH113</f>
        <v>-6223.4186090031544</v>
      </c>
    </row>
    <row r="97" spans="2:34" ht="15.4" customHeight="1">
      <c r="B97" s="235" t="s">
        <v>179</v>
      </c>
      <c r="C97" s="165">
        <f>+SUM(C93:C93)/SUM(C$92:C$92)</f>
        <v>0.54571268070643519</v>
      </c>
      <c r="D97" s="165">
        <f>+SUM(C93:D93)/SUM(C$92:D$92)</f>
        <v>0.51170743185058165</v>
      </c>
      <c r="E97" s="165">
        <f>+SUM(C93:E93)/SUM(C$92:E$92)</f>
        <v>0.4886390259202209</v>
      </c>
      <c r="F97" s="165">
        <f t="shared" ref="F97:N99" si="160">+SUM(C93:F93)/SUM(C$92:F$92)</f>
        <v>0.44701170718004862</v>
      </c>
      <c r="G97" s="165">
        <f t="shared" si="160"/>
        <v>0.3960769209897988</v>
      </c>
      <c r="H97" s="165">
        <f t="shared" si="160"/>
        <v>0.35232116082129866</v>
      </c>
      <c r="I97" s="165">
        <f t="shared" si="160"/>
        <v>0.32477258217549909</v>
      </c>
      <c r="J97" s="165">
        <f t="shared" si="160"/>
        <v>0.31343932672388541</v>
      </c>
      <c r="K97" s="165">
        <f t="shared" si="160"/>
        <v>0.30961743404838776</v>
      </c>
      <c r="L97" s="165">
        <f t="shared" si="160"/>
        <v>0.32496303742468757</v>
      </c>
      <c r="M97" s="165">
        <f t="shared" si="160"/>
        <v>0.33032261250673634</v>
      </c>
      <c r="N97" s="382">
        <f t="shared" si="160"/>
        <v>0.34554944341942012</v>
      </c>
      <c r="O97" s="383">
        <f t="shared" ref="O97:O99" si="161">+SUM(L93:O93)/SUM(L$92:O$92)</f>
        <v>0.36806444229732155</v>
      </c>
      <c r="P97" s="165">
        <f t="shared" ref="P97:P99" si="162">+SUM(M93:P93)/SUM(M$92:P$92)</f>
        <v>0.38023482123044583</v>
      </c>
      <c r="Q97" s="165">
        <f t="shared" ref="Q97:Q99" si="163">+SUM(N93:Q93)/SUM(N$92:Q$92)</f>
        <v>0.39369965202300389</v>
      </c>
      <c r="R97" s="165">
        <f t="shared" ref="R97:R100" si="164">+SUM(O93:R93)/SUM(O$92:R$92)</f>
        <v>0.40000000000000008</v>
      </c>
      <c r="S97" s="165">
        <f t="shared" ref="S97:S100" si="165">+SUM(P93:S93)/SUM(P$92:S$92)</f>
        <v>0.39394950546424601</v>
      </c>
      <c r="T97" s="165">
        <f t="shared" ref="T97:T100" si="166">+SUM(Q93:T93)/SUM(Q$92:T$92)</f>
        <v>0.38872374093397338</v>
      </c>
      <c r="U97" s="165">
        <f t="shared" ref="U97:U100" si="167">+SUM(R93:U93)/SUM(R$92:U$92)</f>
        <v>0.38412388394813229</v>
      </c>
      <c r="V97" s="165">
        <f t="shared" ref="V97:V100" si="168">+SUM(S93:V93)/SUM(S$92:V$92)</f>
        <v>0.38</v>
      </c>
      <c r="W97" s="165">
        <f t="shared" ref="W97:W100" si="169">+SUM(T93:W93)/SUM(T$92:W$92)</f>
        <v>0.37419920016187647</v>
      </c>
      <c r="X97" s="165">
        <f t="shared" ref="X97:X100" si="170">+SUM(U93:X93)/SUM(U$92:X$92)</f>
        <v>0.36905563540056197</v>
      </c>
      <c r="Y97" s="165">
        <f t="shared" ref="Y97:Y100" si="171">+SUM(V93:Y93)/SUM(V$92:Y$92)</f>
        <v>0.36437337324182195</v>
      </c>
      <c r="Z97" s="165">
        <f t="shared" ref="Z97:Z100" si="172">+SUM(W93:Z93)/SUM(W$92:Z$92)</f>
        <v>0.35999999999999988</v>
      </c>
      <c r="AA97" s="165">
        <f t="shared" ref="AA97:AA100" si="173">+SUM(X93:AA93)/SUM(X$92:AA$92)</f>
        <v>0.35444897020067945</v>
      </c>
      <c r="AB97" s="165">
        <f t="shared" ref="AB97:AB100" si="174">+SUM(Y93:AB93)/SUM(Y$92:AB$92)</f>
        <v>0.3493509710245174</v>
      </c>
      <c r="AC97" s="165">
        <f t="shared" ref="AC97:AC100" si="175">+SUM(Z93:AC93)/SUM(Z$92:AC$92)</f>
        <v>0.34457182984746543</v>
      </c>
      <c r="AD97" s="165">
        <f t="shared" ref="AD97:AD100" si="176">+SUM(AA93:AD93)/SUM(AA$92:AD$92)</f>
        <v>0.34</v>
      </c>
      <c r="AE97" s="165">
        <f t="shared" ref="AE97:AE100" si="177">+SUM(AB93:AE93)/SUM(AB$92:AE$92)</f>
        <v>0.33455487750239105</v>
      </c>
      <c r="AF97" s="165">
        <f t="shared" ref="AF97:AF100" si="178">+SUM(AC93:AF93)/SUM(AC$92:AF$92)</f>
        <v>0.32941796948577895</v>
      </c>
      <c r="AG97" s="165">
        <f t="shared" ref="AG97:AG100" si="179">+SUM(AD93:AG93)/SUM(AD$92:AG$92)</f>
        <v>0.32457182984746547</v>
      </c>
      <c r="AH97" s="165">
        <f t="shared" ref="AH97:AH100" si="180">+SUM(AE93:AH93)/SUM(AE$92:AH$92)</f>
        <v>0.31999999999999995</v>
      </c>
    </row>
    <row r="98" spans="2:34" ht="15.4" customHeight="1">
      <c r="B98" s="232" t="s">
        <v>180</v>
      </c>
      <c r="C98" s="223">
        <f>+SUM(C94:C94)/SUM(C$92:C$92)</f>
        <v>1.084258493459771</v>
      </c>
      <c r="D98" s="223">
        <f>+SUM(C94:D94)/SUM(C$92:D$92)</f>
        <v>0.98032212001088759</v>
      </c>
      <c r="E98" s="223">
        <f>+SUM(C94:E94)/SUM(C$92:E$92)</f>
        <v>0.8992252230212574</v>
      </c>
      <c r="F98" s="223">
        <f t="shared" si="160"/>
        <v>0.79583180422959099</v>
      </c>
      <c r="G98" s="223">
        <f t="shared" si="160"/>
        <v>0.65942344518251406</v>
      </c>
      <c r="H98" s="223">
        <f t="shared" si="160"/>
        <v>0.54900031663455406</v>
      </c>
      <c r="I98" s="223">
        <f t="shared" si="160"/>
        <v>0.4783500211323411</v>
      </c>
      <c r="J98" s="223">
        <f t="shared" si="160"/>
        <v>0.44723939842442673</v>
      </c>
      <c r="K98" s="223">
        <f t="shared" si="160"/>
        <v>0.4267813204701561</v>
      </c>
      <c r="L98" s="223">
        <f t="shared" si="160"/>
        <v>0.4313680075369643</v>
      </c>
      <c r="M98" s="223">
        <f t="shared" si="160"/>
        <v>0.4151852660099441</v>
      </c>
      <c r="N98" s="389">
        <f t="shared" si="160"/>
        <v>0.40473697519850244</v>
      </c>
      <c r="O98" s="390">
        <f t="shared" si="161"/>
        <v>0.40833559014709991</v>
      </c>
      <c r="P98" s="223">
        <f t="shared" si="162"/>
        <v>0.40631607581791135</v>
      </c>
      <c r="Q98" s="223">
        <f t="shared" si="163"/>
        <v>0.41514374607092641</v>
      </c>
      <c r="R98" s="223">
        <f t="shared" si="164"/>
        <v>0.42000000000000004</v>
      </c>
      <c r="S98" s="223">
        <f t="shared" si="165"/>
        <v>0.41394950546424603</v>
      </c>
      <c r="T98" s="223">
        <f t="shared" si="166"/>
        <v>0.40872374093397335</v>
      </c>
      <c r="U98" s="223">
        <f t="shared" si="167"/>
        <v>0.4041238839481322</v>
      </c>
      <c r="V98" s="223">
        <f t="shared" si="168"/>
        <v>0.39999999999999997</v>
      </c>
      <c r="W98" s="223">
        <f t="shared" si="169"/>
        <v>0.39419920016187643</v>
      </c>
      <c r="X98" s="223">
        <f t="shared" si="170"/>
        <v>0.38905563540056198</v>
      </c>
      <c r="Y98" s="223">
        <f t="shared" si="171"/>
        <v>0.38437337324182197</v>
      </c>
      <c r="Z98" s="223">
        <f t="shared" si="172"/>
        <v>0.37999999999999995</v>
      </c>
      <c r="AA98" s="223">
        <f t="shared" si="173"/>
        <v>0.37444897020067947</v>
      </c>
      <c r="AB98" s="223">
        <f t="shared" si="174"/>
        <v>0.36935097102451736</v>
      </c>
      <c r="AC98" s="223">
        <f t="shared" si="175"/>
        <v>0.36457182984746545</v>
      </c>
      <c r="AD98" s="223">
        <f t="shared" si="176"/>
        <v>0.36</v>
      </c>
      <c r="AE98" s="223">
        <f t="shared" si="177"/>
        <v>0.35455487750239106</v>
      </c>
      <c r="AF98" s="223">
        <f t="shared" si="178"/>
        <v>0.34941796948577886</v>
      </c>
      <c r="AG98" s="223">
        <f t="shared" si="179"/>
        <v>0.34457182984746543</v>
      </c>
      <c r="AH98" s="223">
        <f t="shared" si="180"/>
        <v>0.34</v>
      </c>
    </row>
    <row r="99" spans="2:34" ht="15.4" customHeight="1">
      <c r="B99" s="232" t="s">
        <v>181</v>
      </c>
      <c r="C99" s="223">
        <f>+SUM(C95:C95)/SUM(C$92:C$92)</f>
        <v>0.61892398052448505</v>
      </c>
      <c r="D99" s="223">
        <f>+SUM(C95:D95)/SUM(C$92:D$92)</f>
        <v>0.53928902296003112</v>
      </c>
      <c r="E99" s="223">
        <f>+SUM(C95:E95)/SUM(C$92:E$92)</f>
        <v>0.50379282100366773</v>
      </c>
      <c r="F99" s="223">
        <f t="shared" si="160"/>
        <v>0.47816343356472246</v>
      </c>
      <c r="G99" s="223">
        <f t="shared" si="160"/>
        <v>0.40705997994976317</v>
      </c>
      <c r="H99" s="223">
        <f t="shared" si="160"/>
        <v>0.41531234907988296</v>
      </c>
      <c r="I99" s="223">
        <f t="shared" si="160"/>
        <v>0.42131122084260264</v>
      </c>
      <c r="J99" s="223">
        <f t="shared" si="160"/>
        <v>0.41093528260052015</v>
      </c>
      <c r="K99" s="223">
        <f t="shared" si="160"/>
        <v>0.41119857005671195</v>
      </c>
      <c r="L99" s="223">
        <f t="shared" si="160"/>
        <v>0.38484010456383194</v>
      </c>
      <c r="M99" s="223">
        <f t="shared" si="160"/>
        <v>0.34963640012842639</v>
      </c>
      <c r="N99" s="389">
        <f t="shared" si="160"/>
        <v>0.31863325111311919</v>
      </c>
      <c r="O99" s="390">
        <f t="shared" si="161"/>
        <v>0.30432655171090756</v>
      </c>
      <c r="P99" s="223">
        <f t="shared" si="162"/>
        <v>0.29490460614992897</v>
      </c>
      <c r="Q99" s="223">
        <f t="shared" si="163"/>
        <v>0.29500359352102795</v>
      </c>
      <c r="R99" s="223">
        <f t="shared" si="164"/>
        <v>0.3</v>
      </c>
      <c r="S99" s="223">
        <f t="shared" si="165"/>
        <v>0.29394950546424603</v>
      </c>
      <c r="T99" s="223">
        <f t="shared" si="166"/>
        <v>0.28872374093397335</v>
      </c>
      <c r="U99" s="223">
        <f t="shared" si="167"/>
        <v>0.28412388394813226</v>
      </c>
      <c r="V99" s="223">
        <f t="shared" si="168"/>
        <v>0.28000000000000003</v>
      </c>
      <c r="W99" s="223">
        <f t="shared" si="169"/>
        <v>0.27419920016187649</v>
      </c>
      <c r="X99" s="223">
        <f t="shared" si="170"/>
        <v>0.26905563540056204</v>
      </c>
      <c r="Y99" s="223">
        <f t="shared" si="171"/>
        <v>0.26437337324182197</v>
      </c>
      <c r="Z99" s="223">
        <f t="shared" si="172"/>
        <v>0.25999999999999995</v>
      </c>
      <c r="AA99" s="223">
        <f t="shared" si="173"/>
        <v>0.25444897020067941</v>
      </c>
      <c r="AB99" s="223">
        <f t="shared" si="174"/>
        <v>0.24935097102451736</v>
      </c>
      <c r="AC99" s="223">
        <f t="shared" si="175"/>
        <v>0.24457182984746548</v>
      </c>
      <c r="AD99" s="223">
        <f t="shared" si="176"/>
        <v>0.24</v>
      </c>
      <c r="AE99" s="223">
        <f t="shared" si="177"/>
        <v>0.23455487750239107</v>
      </c>
      <c r="AF99" s="223">
        <f t="shared" si="178"/>
        <v>0.22941796948577889</v>
      </c>
      <c r="AG99" s="223">
        <f t="shared" si="179"/>
        <v>0.22457182984746546</v>
      </c>
      <c r="AH99" s="223">
        <f t="shared" si="180"/>
        <v>0.22000000000000003</v>
      </c>
    </row>
    <row r="100" spans="2:34" ht="15.4" customHeight="1">
      <c r="B100" s="232" t="s">
        <v>183</v>
      </c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396"/>
      <c r="O100" s="397"/>
      <c r="P100" s="229"/>
      <c r="Q100" s="229"/>
      <c r="R100" s="223">
        <f t="shared" si="164"/>
        <v>-0.36305446066028291</v>
      </c>
      <c r="S100" s="223">
        <f t="shared" si="165"/>
        <v>-0.33531233025945695</v>
      </c>
      <c r="T100" s="223">
        <f t="shared" si="166"/>
        <v>-0.31353107113423645</v>
      </c>
      <c r="U100" s="223">
        <f t="shared" si="167"/>
        <v>-0.29293747381435842</v>
      </c>
      <c r="V100" s="223">
        <f t="shared" si="168"/>
        <v>-0.27346454533849746</v>
      </c>
      <c r="W100" s="223">
        <f t="shared" si="169"/>
        <v>-0.25063800564260308</v>
      </c>
      <c r="X100" s="223">
        <f t="shared" si="170"/>
        <v>-0.2318890547309897</v>
      </c>
      <c r="Y100" s="223">
        <f t="shared" si="171"/>
        <v>-0.21288863622885268</v>
      </c>
      <c r="Z100" s="223">
        <f t="shared" si="172"/>
        <v>-0.19321244746072544</v>
      </c>
      <c r="AA100" s="223">
        <f t="shared" si="173"/>
        <v>-0.17420874712931081</v>
      </c>
      <c r="AB100" s="223">
        <f t="shared" si="174"/>
        <v>-0.15825479020611954</v>
      </c>
      <c r="AC100" s="223">
        <f t="shared" si="175"/>
        <v>-0.14215215242572082</v>
      </c>
      <c r="AD100" s="223">
        <f t="shared" si="176"/>
        <v>-0.12566188177273424</v>
      </c>
      <c r="AE100" s="223">
        <f t="shared" si="177"/>
        <v>-0.10762691771378913</v>
      </c>
      <c r="AF100" s="223">
        <f t="shared" si="178"/>
        <v>-9.1140468991987023E-2</v>
      </c>
      <c r="AG100" s="223">
        <f t="shared" si="179"/>
        <v>-7.6142754259497611E-2</v>
      </c>
      <c r="AH100" s="223">
        <f t="shared" si="180"/>
        <v>-6.2576700857653419E-2</v>
      </c>
    </row>
    <row r="101" spans="2:34" ht="15.4" customHeight="1">
      <c r="B101" s="232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384"/>
      <c r="O101" s="385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</row>
    <row r="102" spans="2:34" ht="15.4" customHeight="1">
      <c r="B102" s="232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384"/>
      <c r="O102" s="385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</row>
    <row r="103" spans="2:34" ht="15.4" customHeight="1">
      <c r="B103" s="232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384"/>
      <c r="O103" s="385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</row>
    <row r="104" spans="2:34" ht="15.4" customHeight="1">
      <c r="B104" s="232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384"/>
      <c r="O104" s="385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</row>
    <row r="105" spans="2:34" ht="15.4" customHeight="1">
      <c r="B105" s="232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384"/>
      <c r="O105" s="385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</row>
    <row r="106" spans="2:34" ht="15.4" customHeight="1">
      <c r="B106" s="232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384"/>
      <c r="O106" s="385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</row>
    <row r="107" spans="2:34" ht="15.4" customHeight="1">
      <c r="B107" s="232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384"/>
      <c r="O107" s="385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</row>
    <row r="108" spans="2:34" ht="15.4" customHeight="1">
      <c r="B108" s="232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384"/>
      <c r="O108" s="385"/>
      <c r="P108" s="176"/>
      <c r="Q108" s="176"/>
      <c r="R108" s="176"/>
      <c r="S108" s="176"/>
      <c r="T108" s="176"/>
      <c r="U108" s="176"/>
      <c r="V108" s="176"/>
      <c r="X108" s="176"/>
      <c r="Y108" s="176"/>
      <c r="Z108" s="176"/>
      <c r="AA108" s="176"/>
    </row>
    <row r="109" spans="2:34" ht="15.4" customHeight="1">
      <c r="B109" s="232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384"/>
      <c r="O109" s="385"/>
      <c r="P109" s="176"/>
      <c r="Q109" s="176"/>
      <c r="R109" s="176"/>
      <c r="S109" s="176"/>
      <c r="T109" s="176"/>
      <c r="U109" s="176"/>
      <c r="V109" s="176"/>
      <c r="X109" s="176"/>
      <c r="Y109" s="176"/>
      <c r="Z109" s="176"/>
      <c r="AA109" s="176"/>
    </row>
    <row r="110" spans="2:34" ht="15.4" customHeight="1">
      <c r="B110" s="232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384"/>
      <c r="O110" s="385"/>
      <c r="P110" s="176"/>
      <c r="Q110" s="176"/>
      <c r="R110" s="176"/>
      <c r="S110" s="176"/>
      <c r="T110" s="176"/>
      <c r="U110" s="176"/>
      <c r="V110" s="176"/>
      <c r="X110" s="176"/>
      <c r="Y110" s="176"/>
      <c r="Z110" s="176"/>
      <c r="AA110" s="176"/>
    </row>
    <row r="111" spans="2:34" ht="15.4" customHeight="1">
      <c r="B111" s="232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384"/>
      <c r="O111" s="385"/>
      <c r="P111" s="176"/>
      <c r="Q111" s="176"/>
      <c r="R111" s="176"/>
      <c r="S111" s="176"/>
      <c r="T111" s="176"/>
      <c r="U111" s="176"/>
      <c r="V111" s="176"/>
      <c r="X111" s="176"/>
      <c r="Y111" s="176"/>
      <c r="Z111" s="176"/>
      <c r="AA111" s="176"/>
    </row>
    <row r="112" spans="2:34" ht="15.4" customHeight="1">
      <c r="B112" s="232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384"/>
      <c r="O112" s="385"/>
      <c r="P112" s="176"/>
      <c r="Q112" s="176"/>
      <c r="R112" s="176"/>
      <c r="S112" s="176"/>
      <c r="T112" s="176"/>
      <c r="U112" s="176"/>
      <c r="V112" s="176"/>
      <c r="X112" s="176"/>
      <c r="Y112" s="176"/>
      <c r="Z112" s="176"/>
      <c r="AA112" s="176"/>
    </row>
  </sheetData>
  <pageMargins left="0.7" right="0.7" top="0.75" bottom="0.75" header="0.3" footer="0.3"/>
  <pageSetup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64CB-A25E-47BC-988D-9F9392AA6EF7}">
  <dimension ref="A1:AN101"/>
  <sheetViews>
    <sheetView showGridLines="0" zoomScale="120" zoomScaleNormal="120" zoomScaleSheetLayoutView="13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9.1328125" defaultRowHeight="13.15" outlineLevelRow="1"/>
  <cols>
    <col min="1" max="1" width="5.53125" style="2" customWidth="1"/>
    <col min="2" max="2" width="22" style="2" customWidth="1"/>
    <col min="3" max="3" width="10.86328125" style="2" customWidth="1"/>
    <col min="4" max="9" width="9.1328125" style="2"/>
    <col min="10" max="15" width="9.1328125" style="1"/>
    <col min="16" max="16" width="9.86328125" style="2" customWidth="1"/>
    <col min="17" max="16384" width="9.1328125" style="1"/>
  </cols>
  <sheetData>
    <row r="1" spans="1:40" s="2" customFormat="1">
      <c r="A1" s="2">
        <v>1000</v>
      </c>
      <c r="B1" s="7"/>
      <c r="C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s="2" customFormat="1">
      <c r="B2" s="3" t="s">
        <v>23</v>
      </c>
      <c r="C2" s="3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67" t="s">
        <v>248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s="2" customFormat="1" hidden="1" outlineLevel="1">
      <c r="B3" s="30"/>
      <c r="C3" s="30"/>
      <c r="D3" s="31" t="e">
        <f>EOMONTH(#REF!, 3)</f>
        <v>#REF!</v>
      </c>
      <c r="E3" s="31" t="e">
        <f t="shared" ref="E3:O3" si="0">EOMONTH(D3, 3)</f>
        <v>#REF!</v>
      </c>
      <c r="F3" s="31" t="e">
        <f t="shared" si="0"/>
        <v>#REF!</v>
      </c>
      <c r="G3" s="31" t="e">
        <f t="shared" si="0"/>
        <v>#REF!</v>
      </c>
      <c r="H3" s="31" t="e">
        <f t="shared" si="0"/>
        <v>#REF!</v>
      </c>
      <c r="I3" s="31" t="e">
        <f t="shared" si="0"/>
        <v>#REF!</v>
      </c>
      <c r="J3" s="31" t="e">
        <f t="shared" si="0"/>
        <v>#REF!</v>
      </c>
      <c r="K3" s="31" t="e">
        <f t="shared" si="0"/>
        <v>#REF!</v>
      </c>
      <c r="L3" s="31" t="e">
        <f t="shared" si="0"/>
        <v>#REF!</v>
      </c>
      <c r="M3" s="31" t="e">
        <f t="shared" si="0"/>
        <v>#REF!</v>
      </c>
      <c r="N3" s="31" t="e">
        <f t="shared" si="0"/>
        <v>#REF!</v>
      </c>
      <c r="O3" s="31" t="e">
        <f t="shared" si="0"/>
        <v>#REF!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s="2" customFormat="1" hidden="1" outlineLevel="1">
      <c r="B4" s="30"/>
      <c r="C4" s="30"/>
      <c r="D4" s="31" t="e">
        <f>EOMONTH(#REF!, 2)+1</f>
        <v>#REF!</v>
      </c>
      <c r="E4" s="31" t="e">
        <f t="shared" ref="E4:O4" si="1">EOMONTH(D4, 2)+1</f>
        <v>#REF!</v>
      </c>
      <c r="F4" s="31" t="e">
        <f t="shared" si="1"/>
        <v>#REF!</v>
      </c>
      <c r="G4" s="31" t="e">
        <f t="shared" si="1"/>
        <v>#REF!</v>
      </c>
      <c r="H4" s="31" t="e">
        <f t="shared" si="1"/>
        <v>#REF!</v>
      </c>
      <c r="I4" s="31" t="e">
        <f t="shared" si="1"/>
        <v>#REF!</v>
      </c>
      <c r="J4" s="31" t="e">
        <f t="shared" si="1"/>
        <v>#REF!</v>
      </c>
      <c r="K4" s="31" t="e">
        <f t="shared" si="1"/>
        <v>#REF!</v>
      </c>
      <c r="L4" s="31" t="e">
        <f t="shared" si="1"/>
        <v>#REF!</v>
      </c>
      <c r="M4" s="31" t="e">
        <f t="shared" si="1"/>
        <v>#REF!</v>
      </c>
      <c r="N4" s="31" t="e">
        <f t="shared" si="1"/>
        <v>#REF!</v>
      </c>
      <c r="O4" s="31" t="e">
        <f t="shared" si="1"/>
        <v>#REF!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s="2" customFormat="1" collapsed="1">
      <c r="B5" s="4"/>
      <c r="C5" s="4"/>
      <c r="D5" s="21">
        <f>'Raw Customer ARR'!D1</f>
        <v>43921</v>
      </c>
      <c r="E5" s="21">
        <f t="shared" ref="E5:O5" si="2">EOMONTH(D5, 3)</f>
        <v>44012</v>
      </c>
      <c r="F5" s="21">
        <f t="shared" si="2"/>
        <v>44104</v>
      </c>
      <c r="G5" s="21">
        <f t="shared" si="2"/>
        <v>44196</v>
      </c>
      <c r="H5" s="21">
        <f t="shared" si="2"/>
        <v>44286</v>
      </c>
      <c r="I5" s="21">
        <f t="shared" si="2"/>
        <v>44377</v>
      </c>
      <c r="J5" s="21">
        <f t="shared" si="2"/>
        <v>44469</v>
      </c>
      <c r="K5" s="21">
        <f t="shared" si="2"/>
        <v>44561</v>
      </c>
      <c r="L5" s="21">
        <f t="shared" si="2"/>
        <v>44651</v>
      </c>
      <c r="M5" s="21">
        <f t="shared" si="2"/>
        <v>44742</v>
      </c>
      <c r="N5" s="21">
        <f t="shared" si="2"/>
        <v>44834</v>
      </c>
      <c r="O5" s="21">
        <f t="shared" si="2"/>
        <v>44926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s="10" customFormat="1">
      <c r="A6" s="5"/>
      <c r="B6" s="16" t="s">
        <v>20</v>
      </c>
      <c r="C6" s="16"/>
      <c r="D6" s="15"/>
      <c r="E6" s="15"/>
      <c r="F6" s="15"/>
      <c r="G6" s="15"/>
      <c r="H6" s="15"/>
      <c r="I6" s="5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>
      <c r="B7" s="24" cm="1">
        <f t="array" ref="B7:B18">TRANSPOSE(D5:O5)</f>
        <v>43921</v>
      </c>
      <c r="C7" s="24"/>
      <c r="D7" s="39">
        <f>SUMIFS('Raw Customer ARR'!D$2:D$422, 'Raw Customer ARR'!$B$2:$B$422, Cohorts!$B7)/unit</f>
        <v>8563.9987500000007</v>
      </c>
      <c r="E7" s="39">
        <f>SUMIFS('Raw Customer ARR'!E$2:E$422, 'Raw Customer ARR'!$B$2:$B$422, Cohorts!$B7)/unit</f>
        <v>9412.7805000000008</v>
      </c>
      <c r="F7" s="39">
        <f>SUMIFS('Raw Customer ARR'!F$2:F$422, 'Raw Customer ARR'!$B$2:$B$422, Cohorts!$B7)/unit</f>
        <v>9869.6384999999991</v>
      </c>
      <c r="G7" s="39">
        <f>SUMIFS('Raw Customer ARR'!G$2:G$422, 'Raw Customer ARR'!$B$2:$B$422, Cohorts!$B7)/unit</f>
        <v>10954.97</v>
      </c>
      <c r="H7" s="39">
        <f>SUMIFS('Raw Customer ARR'!H$2:H$422, 'Raw Customer ARR'!$B$2:$B$422, Cohorts!$B7)/unit</f>
        <v>11939.25525</v>
      </c>
      <c r="I7" s="39">
        <f>SUMIFS('Raw Customer ARR'!I$2:I$422, 'Raw Customer ARR'!$B$2:$B$422, Cohorts!$B7)/unit</f>
        <v>12477.347750000001</v>
      </c>
      <c r="J7" s="39">
        <f>SUMIFS('Raw Customer ARR'!J$2:J$422, 'Raw Customer ARR'!$B$2:$B$422, Cohorts!$B7)/unit</f>
        <v>13802.687250000001</v>
      </c>
      <c r="K7" s="39">
        <f>SUMIFS('Raw Customer ARR'!K$2:K$422, 'Raw Customer ARR'!$B$2:$B$422, Cohorts!$B7)/unit</f>
        <v>14898.417750000001</v>
      </c>
      <c r="L7" s="39">
        <f>SUMIFS('Raw Customer ARR'!L$2:L$422, 'Raw Customer ARR'!$B$2:$B$422, Cohorts!$B7)/unit</f>
        <v>16549.327499999999</v>
      </c>
      <c r="M7" s="39">
        <f>SUMIFS('Raw Customer ARR'!M$2:M$422, 'Raw Customer ARR'!$B$2:$B$422, Cohorts!$B7)/unit</f>
        <v>18461.191999999999</v>
      </c>
      <c r="N7" s="39">
        <f>SUMIFS('Raw Customer ARR'!N$2:N$422, 'Raw Customer ARR'!$B$2:$B$422, Cohorts!$B7)/unit</f>
        <v>19279.49725</v>
      </c>
      <c r="O7" s="39">
        <f>SUMIFS('Raw Customer ARR'!O$2:O$422, 'Raw Customer ARR'!$B$2:$B$422, Cohorts!$B7)/unit</f>
        <v>21666.76225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>
      <c r="B8" s="24">
        <v>44012</v>
      </c>
      <c r="C8" s="24"/>
      <c r="D8" s="39">
        <f>SUMIFS('Raw Customer ARR'!D$2:D$422, 'Raw Customer ARR'!$B$2:$B$422, Cohorts!$B8)/unit</f>
        <v>0</v>
      </c>
      <c r="E8" s="39">
        <f>SUMIFS('Raw Customer ARR'!E$2:E$422, 'Raw Customer ARR'!$B$2:$B$422, Cohorts!$B8)/unit</f>
        <v>1457.7</v>
      </c>
      <c r="F8" s="39">
        <f>SUMIFS('Raw Customer ARR'!F$2:F$422, 'Raw Customer ARR'!$B$2:$B$422, Cohorts!$B8)/unit</f>
        <v>1555.2474999999999</v>
      </c>
      <c r="G8" s="39">
        <f>SUMIFS('Raw Customer ARR'!G$2:G$422, 'Raw Customer ARR'!$B$2:$B$422, Cohorts!$B8)/unit</f>
        <v>1640.41625</v>
      </c>
      <c r="H8" s="39">
        <f>SUMIFS('Raw Customer ARR'!H$2:H$422, 'Raw Customer ARR'!$B$2:$B$422, Cohorts!$B8)/unit</f>
        <v>1767.1487500000001</v>
      </c>
      <c r="I8" s="39">
        <f>SUMIFS('Raw Customer ARR'!I$2:I$422, 'Raw Customer ARR'!$B$2:$B$422, Cohorts!$B8)/unit</f>
        <v>1929.6510000000001</v>
      </c>
      <c r="J8" s="39">
        <f>SUMIFS('Raw Customer ARR'!J$2:J$422, 'Raw Customer ARR'!$B$2:$B$422, Cohorts!$B8)/unit</f>
        <v>2118.03775</v>
      </c>
      <c r="K8" s="39">
        <f>SUMIFS('Raw Customer ARR'!K$2:K$422, 'Raw Customer ARR'!$B$2:$B$422, Cohorts!$B8)/unit</f>
        <v>2317.1224999999999</v>
      </c>
      <c r="L8" s="39">
        <f>SUMIFS('Raw Customer ARR'!L$2:L$422, 'Raw Customer ARR'!$B$2:$B$422, Cohorts!$B8)/unit</f>
        <v>2445.3535000000002</v>
      </c>
      <c r="M8" s="39">
        <f>SUMIFS('Raw Customer ARR'!M$2:M$422, 'Raw Customer ARR'!$B$2:$B$422, Cohorts!$B8)/unit</f>
        <v>2671.6097500000001</v>
      </c>
      <c r="N8" s="39">
        <f>SUMIFS('Raw Customer ARR'!N$2:N$422, 'Raw Customer ARR'!$B$2:$B$422, Cohorts!$B8)/unit</f>
        <v>2561.0835000000002</v>
      </c>
      <c r="O8" s="39">
        <f>SUMIFS('Raw Customer ARR'!O$2:O$422, 'Raw Customer ARR'!$B$2:$B$422, Cohorts!$B8)/unit</f>
        <v>2707.4702499999999</v>
      </c>
      <c r="P8" s="7"/>
    </row>
    <row r="9" spans="1:40">
      <c r="B9" s="24">
        <v>44104</v>
      </c>
      <c r="C9" s="24"/>
      <c r="D9" s="39">
        <f>SUMIFS('Raw Customer ARR'!D$2:D$422, 'Raw Customer ARR'!$B$2:$B$422, Cohorts!$B9)/unit</f>
        <v>0</v>
      </c>
      <c r="E9" s="39">
        <f>SUMIFS('Raw Customer ARR'!E$2:E$422, 'Raw Customer ARR'!$B$2:$B$422, Cohorts!$B9)/unit</f>
        <v>0</v>
      </c>
      <c r="F9" s="39">
        <f>SUMIFS('Raw Customer ARR'!F$2:F$422, 'Raw Customer ARR'!$B$2:$B$422, Cohorts!$B9)/unit</f>
        <v>1443.9</v>
      </c>
      <c r="G9" s="39">
        <f>SUMIFS('Raw Customer ARR'!G$2:G$422, 'Raw Customer ARR'!$B$2:$B$422, Cohorts!$B9)/unit</f>
        <v>1692.2774999999999</v>
      </c>
      <c r="H9" s="39">
        <f>SUMIFS('Raw Customer ARR'!H$2:H$422, 'Raw Customer ARR'!$B$2:$B$422, Cohorts!$B9)/unit</f>
        <v>1800.8264999999999</v>
      </c>
      <c r="I9" s="39">
        <f>SUMIFS('Raw Customer ARR'!I$2:I$422, 'Raw Customer ARR'!$B$2:$B$422, Cohorts!$B9)/unit</f>
        <v>2044.8969999999999</v>
      </c>
      <c r="J9" s="39">
        <f>SUMIFS('Raw Customer ARR'!J$2:J$422, 'Raw Customer ARR'!$B$2:$B$422, Cohorts!$B9)/unit</f>
        <v>2255.5147499999998</v>
      </c>
      <c r="K9" s="39">
        <f>SUMIFS('Raw Customer ARR'!K$2:K$422, 'Raw Customer ARR'!$B$2:$B$422, Cohorts!$B9)/unit</f>
        <v>2328.4814999999999</v>
      </c>
      <c r="L9" s="39">
        <f>SUMIFS('Raw Customer ARR'!L$2:L$422, 'Raw Customer ARR'!$B$2:$B$422, Cohorts!$B9)/unit</f>
        <v>2238.0594999999998</v>
      </c>
      <c r="M9" s="39">
        <f>SUMIFS('Raw Customer ARR'!M$2:M$422, 'Raw Customer ARR'!$B$2:$B$422, Cohorts!$B9)/unit</f>
        <v>2295.1210000000001</v>
      </c>
      <c r="N9" s="39">
        <f>SUMIFS('Raw Customer ARR'!N$2:N$422, 'Raw Customer ARR'!$B$2:$B$422, Cohorts!$B9)/unit</f>
        <v>2281.8085000000001</v>
      </c>
      <c r="O9" s="39">
        <f>SUMIFS('Raw Customer ARR'!O$2:O$422, 'Raw Customer ARR'!$B$2:$B$422, Cohorts!$B9)/unit</f>
        <v>2422.19625</v>
      </c>
      <c r="P9" s="7"/>
    </row>
    <row r="10" spans="1:40">
      <c r="B10" s="24">
        <v>44196</v>
      </c>
      <c r="C10" s="24"/>
      <c r="D10" s="39">
        <f>SUMIFS('Raw Customer ARR'!D$2:D$422, 'Raw Customer ARR'!$B$2:$B$422, Cohorts!$B10)/unit</f>
        <v>0</v>
      </c>
      <c r="E10" s="39">
        <f>SUMIFS('Raw Customer ARR'!E$2:E$422, 'Raw Customer ARR'!$B$2:$B$422, Cohorts!$B10)/unit</f>
        <v>0</v>
      </c>
      <c r="F10" s="39">
        <f>SUMIFS('Raw Customer ARR'!F$2:F$422, 'Raw Customer ARR'!$B$2:$B$422, Cohorts!$B10)/unit</f>
        <v>0</v>
      </c>
      <c r="G10" s="39">
        <f>SUMIFS('Raw Customer ARR'!G$2:G$422, 'Raw Customer ARR'!$B$2:$B$422, Cohorts!$B10)/unit</f>
        <v>2939.85</v>
      </c>
      <c r="H10" s="39">
        <f>SUMIFS('Raw Customer ARR'!H$2:H$422, 'Raw Customer ARR'!$B$2:$B$422, Cohorts!$B10)/unit</f>
        <v>3207.02225</v>
      </c>
      <c r="I10" s="39">
        <f>SUMIFS('Raw Customer ARR'!I$2:I$422, 'Raw Customer ARR'!$B$2:$B$422, Cohorts!$B10)/unit</f>
        <v>3558.4857499999998</v>
      </c>
      <c r="J10" s="39">
        <f>SUMIFS('Raw Customer ARR'!J$2:J$422, 'Raw Customer ARR'!$B$2:$B$422, Cohorts!$B10)/unit</f>
        <v>3760.87925</v>
      </c>
      <c r="K10" s="39">
        <f>SUMIFS('Raw Customer ARR'!K$2:K$422, 'Raw Customer ARR'!$B$2:$B$422, Cohorts!$B10)/unit</f>
        <v>3986.41975</v>
      </c>
      <c r="L10" s="39">
        <f>SUMIFS('Raw Customer ARR'!L$2:L$422, 'Raw Customer ARR'!$B$2:$B$422, Cohorts!$B10)/unit</f>
        <v>4503.4089999999997</v>
      </c>
      <c r="M10" s="39">
        <f>SUMIFS('Raw Customer ARR'!M$2:M$422, 'Raw Customer ARR'!$B$2:$B$422, Cohorts!$B10)/unit</f>
        <v>4772.5934999999999</v>
      </c>
      <c r="N10" s="39">
        <f>SUMIFS('Raw Customer ARR'!N$2:N$422, 'Raw Customer ARR'!$B$2:$B$422, Cohorts!$B10)/unit</f>
        <v>5402.7635</v>
      </c>
      <c r="O10" s="39">
        <f>SUMIFS('Raw Customer ARR'!O$2:O$422, 'Raw Customer ARR'!$B$2:$B$422, Cohorts!$B10)/unit</f>
        <v>5812.52</v>
      </c>
      <c r="P10" s="7"/>
    </row>
    <row r="11" spans="1:40">
      <c r="B11" s="24">
        <v>44286</v>
      </c>
      <c r="C11" s="24"/>
      <c r="D11" s="39">
        <f>SUMIFS('Raw Customer ARR'!D$2:D$422, 'Raw Customer ARR'!$B$2:$B$422, Cohorts!$B11)/unit</f>
        <v>0</v>
      </c>
      <c r="E11" s="39">
        <f>SUMIFS('Raw Customer ARR'!E$2:E$422, 'Raw Customer ARR'!$B$2:$B$422, Cohorts!$B11)/unit</f>
        <v>0</v>
      </c>
      <c r="F11" s="39">
        <f>SUMIFS('Raw Customer ARR'!F$2:F$422, 'Raw Customer ARR'!$B$2:$B$422, Cohorts!$B11)/unit</f>
        <v>0</v>
      </c>
      <c r="G11" s="39">
        <f>SUMIFS('Raw Customer ARR'!G$2:G$422, 'Raw Customer ARR'!$B$2:$B$422, Cohorts!$B11)/unit</f>
        <v>0</v>
      </c>
      <c r="H11" s="39">
        <f>SUMIFS('Raw Customer ARR'!H$2:H$422, 'Raw Customer ARR'!$B$2:$B$422, Cohorts!$B11)/unit</f>
        <v>1869.3</v>
      </c>
      <c r="I11" s="39">
        <f>SUMIFS('Raw Customer ARR'!I$2:I$422, 'Raw Customer ARR'!$B$2:$B$422, Cohorts!$B11)/unit</f>
        <v>2168.5084999999999</v>
      </c>
      <c r="J11" s="39">
        <f>SUMIFS('Raw Customer ARR'!J$2:J$422, 'Raw Customer ARR'!$B$2:$B$422, Cohorts!$B11)/unit</f>
        <v>2347.24575</v>
      </c>
      <c r="K11" s="39">
        <f>SUMIFS('Raw Customer ARR'!K$2:K$422, 'Raw Customer ARR'!$B$2:$B$422, Cohorts!$B11)/unit</f>
        <v>2586.9140000000002</v>
      </c>
      <c r="L11" s="39">
        <f>SUMIFS('Raw Customer ARR'!L$2:L$422, 'Raw Customer ARR'!$B$2:$B$422, Cohorts!$B11)/unit</f>
        <v>2766.7772500000001</v>
      </c>
      <c r="M11" s="39">
        <f>SUMIFS('Raw Customer ARR'!M$2:M$422, 'Raw Customer ARR'!$B$2:$B$422, Cohorts!$B11)/unit</f>
        <v>2802.0142500000002</v>
      </c>
      <c r="N11" s="39">
        <f>SUMIFS('Raw Customer ARR'!N$2:N$422, 'Raw Customer ARR'!$B$2:$B$422, Cohorts!$B11)/unit</f>
        <v>3202.3917499999998</v>
      </c>
      <c r="O11" s="39">
        <f>SUMIFS('Raw Customer ARR'!O$2:O$422, 'Raw Customer ARR'!$B$2:$B$422, Cohorts!$B11)/unit</f>
        <v>3609.1747500000001</v>
      </c>
      <c r="P11" s="7"/>
    </row>
    <row r="12" spans="1:40">
      <c r="B12" s="24">
        <v>44377</v>
      </c>
      <c r="C12" s="24"/>
      <c r="D12" s="39">
        <f>SUMIFS('Raw Customer ARR'!D$2:D$422, 'Raw Customer ARR'!$B$2:$B$422, Cohorts!$B12)/unit</f>
        <v>0</v>
      </c>
      <c r="E12" s="39">
        <f>SUMIFS('Raw Customer ARR'!E$2:E$422, 'Raw Customer ARR'!$B$2:$B$422, Cohorts!$B12)/unit</f>
        <v>0</v>
      </c>
      <c r="F12" s="39">
        <f>SUMIFS('Raw Customer ARR'!F$2:F$422, 'Raw Customer ARR'!$B$2:$B$422, Cohorts!$B12)/unit</f>
        <v>0</v>
      </c>
      <c r="G12" s="39">
        <f>SUMIFS('Raw Customer ARR'!G$2:G$422, 'Raw Customer ARR'!$B$2:$B$422, Cohorts!$B12)/unit</f>
        <v>0</v>
      </c>
      <c r="H12" s="39">
        <f>SUMIFS('Raw Customer ARR'!H$2:H$422, 'Raw Customer ARR'!$B$2:$B$422, Cohorts!$B12)/unit</f>
        <v>0</v>
      </c>
      <c r="I12" s="39">
        <f>SUMIFS('Raw Customer ARR'!I$2:I$422, 'Raw Customer ARR'!$B$2:$B$422, Cohorts!$B12)/unit</f>
        <v>2653.5</v>
      </c>
      <c r="J12" s="39">
        <f>SUMIFS('Raw Customer ARR'!J$2:J$422, 'Raw Customer ARR'!$B$2:$B$422, Cohorts!$B12)/unit</f>
        <v>2792.18325</v>
      </c>
      <c r="K12" s="39">
        <f>SUMIFS('Raw Customer ARR'!K$2:K$422, 'Raw Customer ARR'!$B$2:$B$422, Cohorts!$B12)/unit</f>
        <v>2901.4827500000001</v>
      </c>
      <c r="L12" s="39">
        <f>SUMIFS('Raw Customer ARR'!L$2:L$422, 'Raw Customer ARR'!$B$2:$B$422, Cohorts!$B12)/unit</f>
        <v>3107.72975</v>
      </c>
      <c r="M12" s="39">
        <f>SUMIFS('Raw Customer ARR'!M$2:M$422, 'Raw Customer ARR'!$B$2:$B$422, Cohorts!$B12)/unit</f>
        <v>2964.2287500000002</v>
      </c>
      <c r="N12" s="39">
        <f>SUMIFS('Raw Customer ARR'!N$2:N$422, 'Raw Customer ARR'!$B$2:$B$422, Cohorts!$B12)/unit</f>
        <v>2890.0477500000002</v>
      </c>
      <c r="O12" s="39">
        <f>SUMIFS('Raw Customer ARR'!O$2:O$422, 'Raw Customer ARR'!$B$2:$B$422, Cohorts!$B12)/unit</f>
        <v>3158.4427500000002</v>
      </c>
      <c r="P12" s="7"/>
    </row>
    <row r="13" spans="1:40">
      <c r="B13" s="24">
        <v>44469</v>
      </c>
      <c r="C13" s="24"/>
      <c r="D13" s="39">
        <f>SUMIFS('Raw Customer ARR'!D$2:D$422, 'Raw Customer ARR'!$B$2:$B$422, Cohorts!$B13)/unit</f>
        <v>0</v>
      </c>
      <c r="E13" s="39">
        <f>SUMIFS('Raw Customer ARR'!E$2:E$422, 'Raw Customer ARR'!$B$2:$B$422, Cohorts!$B13)/unit</f>
        <v>0</v>
      </c>
      <c r="F13" s="39">
        <f>SUMIFS('Raw Customer ARR'!F$2:F$422, 'Raw Customer ARR'!$B$2:$B$422, Cohorts!$B13)/unit</f>
        <v>0</v>
      </c>
      <c r="G13" s="39">
        <f>SUMIFS('Raw Customer ARR'!G$2:G$422, 'Raw Customer ARR'!$B$2:$B$422, Cohorts!$B13)/unit</f>
        <v>0</v>
      </c>
      <c r="H13" s="39">
        <f>SUMIFS('Raw Customer ARR'!H$2:H$422, 'Raw Customer ARR'!$B$2:$B$422, Cohorts!$B13)/unit</f>
        <v>0</v>
      </c>
      <c r="I13" s="39">
        <f>SUMIFS('Raw Customer ARR'!I$2:I$422, 'Raw Customer ARR'!$B$2:$B$422, Cohorts!$B13)/unit</f>
        <v>0</v>
      </c>
      <c r="J13" s="39">
        <f>SUMIFS('Raw Customer ARR'!J$2:J$422, 'Raw Customer ARR'!$B$2:$B$422, Cohorts!$B13)/unit</f>
        <v>3860.4</v>
      </c>
      <c r="K13" s="39">
        <f>SUMIFS('Raw Customer ARR'!K$2:K$422, 'Raw Customer ARR'!$B$2:$B$422, Cohorts!$B13)/unit</f>
        <v>4176.3654999999999</v>
      </c>
      <c r="L13" s="39">
        <f>SUMIFS('Raw Customer ARR'!L$2:L$422, 'Raw Customer ARR'!$B$2:$B$422, Cohorts!$B13)/unit</f>
        <v>4445.3357500000002</v>
      </c>
      <c r="M13" s="39">
        <f>SUMIFS('Raw Customer ARR'!M$2:M$422, 'Raw Customer ARR'!$B$2:$B$422, Cohorts!$B13)/unit</f>
        <v>4817.54025</v>
      </c>
      <c r="N13" s="39">
        <f>SUMIFS('Raw Customer ARR'!N$2:N$422, 'Raw Customer ARR'!$B$2:$B$422, Cohorts!$B13)/unit</f>
        <v>4934.4650000000001</v>
      </c>
      <c r="O13" s="39">
        <f>SUMIFS('Raw Customer ARR'!O$2:O$422, 'Raw Customer ARR'!$B$2:$B$422, Cohorts!$B13)/unit</f>
        <v>5568.6332499999999</v>
      </c>
      <c r="P13" s="7"/>
    </row>
    <row r="14" spans="1:40">
      <c r="B14" s="24">
        <v>44561</v>
      </c>
      <c r="C14" s="24"/>
      <c r="D14" s="39">
        <f>SUMIFS('Raw Customer ARR'!D$2:D$422, 'Raw Customer ARR'!$B$2:$B$422, Cohorts!$B14)/unit</f>
        <v>0</v>
      </c>
      <c r="E14" s="39">
        <f>SUMIFS('Raw Customer ARR'!E$2:E$422, 'Raw Customer ARR'!$B$2:$B$422, Cohorts!$B14)/unit</f>
        <v>0</v>
      </c>
      <c r="F14" s="39">
        <f>SUMIFS('Raw Customer ARR'!F$2:F$422, 'Raw Customer ARR'!$B$2:$B$422, Cohorts!$B14)/unit</f>
        <v>0</v>
      </c>
      <c r="G14" s="39">
        <f>SUMIFS('Raw Customer ARR'!G$2:G$422, 'Raw Customer ARR'!$B$2:$B$422, Cohorts!$B14)/unit</f>
        <v>0</v>
      </c>
      <c r="H14" s="39">
        <f>SUMIFS('Raw Customer ARR'!H$2:H$422, 'Raw Customer ARR'!$B$2:$B$422, Cohorts!$B14)/unit</f>
        <v>0</v>
      </c>
      <c r="I14" s="39">
        <f>SUMIFS('Raw Customer ARR'!I$2:I$422, 'Raw Customer ARR'!$B$2:$B$422, Cohorts!$B14)/unit</f>
        <v>0</v>
      </c>
      <c r="J14" s="39">
        <f>SUMIFS('Raw Customer ARR'!J$2:J$422, 'Raw Customer ARR'!$B$2:$B$422, Cohorts!$B14)/unit</f>
        <v>0</v>
      </c>
      <c r="K14" s="39">
        <f>SUMIFS('Raw Customer ARR'!K$2:K$422, 'Raw Customer ARR'!$B$2:$B$422, Cohorts!$B14)/unit</f>
        <v>4150.7250000000004</v>
      </c>
      <c r="L14" s="39">
        <f>SUMIFS('Raw Customer ARR'!L$2:L$422, 'Raw Customer ARR'!$B$2:$B$422, Cohorts!$B14)/unit</f>
        <v>4422.8895000000002</v>
      </c>
      <c r="M14" s="39">
        <f>SUMIFS('Raw Customer ARR'!M$2:M$422, 'Raw Customer ARR'!$B$2:$B$422, Cohorts!$B14)/unit</f>
        <v>4912.5617499999998</v>
      </c>
      <c r="N14" s="39">
        <f>SUMIFS('Raw Customer ARR'!N$2:N$422, 'Raw Customer ARR'!$B$2:$B$422, Cohorts!$B14)/unit</f>
        <v>5119.4477500000003</v>
      </c>
      <c r="O14" s="39">
        <f>SUMIFS('Raw Customer ARR'!O$2:O$422, 'Raw Customer ARR'!$B$2:$B$422, Cohorts!$B14)/unit</f>
        <v>5484.8869999999997</v>
      </c>
      <c r="P14" s="7"/>
    </row>
    <row r="15" spans="1:40">
      <c r="B15" s="24">
        <v>44651</v>
      </c>
      <c r="C15" s="24"/>
      <c r="D15" s="39">
        <f>SUMIFS('Raw Customer ARR'!D$2:D$422, 'Raw Customer ARR'!$B$2:$B$422, Cohorts!$B15)/unit</f>
        <v>0</v>
      </c>
      <c r="E15" s="39">
        <f>SUMIFS('Raw Customer ARR'!E$2:E$422, 'Raw Customer ARR'!$B$2:$B$422, Cohorts!$B15)/unit</f>
        <v>0</v>
      </c>
      <c r="F15" s="39">
        <f>SUMIFS('Raw Customer ARR'!F$2:F$422, 'Raw Customer ARR'!$B$2:$B$422, Cohorts!$B15)/unit</f>
        <v>0</v>
      </c>
      <c r="G15" s="39">
        <f>SUMIFS('Raw Customer ARR'!G$2:G$422, 'Raw Customer ARR'!$B$2:$B$422, Cohorts!$B15)/unit</f>
        <v>0</v>
      </c>
      <c r="H15" s="39">
        <f>SUMIFS('Raw Customer ARR'!H$2:H$422, 'Raw Customer ARR'!$B$2:$B$422, Cohorts!$B15)/unit</f>
        <v>0</v>
      </c>
      <c r="I15" s="39">
        <f>SUMIFS('Raw Customer ARR'!I$2:I$422, 'Raw Customer ARR'!$B$2:$B$422, Cohorts!$B15)/unit</f>
        <v>0</v>
      </c>
      <c r="J15" s="39">
        <f>SUMIFS('Raw Customer ARR'!J$2:J$422, 'Raw Customer ARR'!$B$2:$B$422, Cohorts!$B15)/unit</f>
        <v>0</v>
      </c>
      <c r="K15" s="39">
        <f>SUMIFS('Raw Customer ARR'!K$2:K$422, 'Raw Customer ARR'!$B$2:$B$422, Cohorts!$B15)/unit</f>
        <v>0</v>
      </c>
      <c r="L15" s="39">
        <f>SUMIFS('Raw Customer ARR'!L$2:L$422, 'Raw Customer ARR'!$B$2:$B$422, Cohorts!$B15)/unit</f>
        <v>2938.65</v>
      </c>
      <c r="M15" s="39">
        <f>SUMIFS('Raw Customer ARR'!M$2:M$422, 'Raw Customer ARR'!$B$2:$B$422, Cohorts!$B15)/unit</f>
        <v>3202.0934999999999</v>
      </c>
      <c r="N15" s="39">
        <f>SUMIFS('Raw Customer ARR'!N$2:N$422, 'Raw Customer ARR'!$B$2:$B$422, Cohorts!$B15)/unit</f>
        <v>3468.2595000000001</v>
      </c>
      <c r="O15" s="39">
        <f>SUMIFS('Raw Customer ARR'!O$2:O$422, 'Raw Customer ARR'!$B$2:$B$422, Cohorts!$B15)/unit</f>
        <v>3832.8552500000001</v>
      </c>
      <c r="P15" s="7"/>
    </row>
    <row r="16" spans="1:40">
      <c r="B16" s="24">
        <v>44742</v>
      </c>
      <c r="C16" s="24"/>
      <c r="D16" s="39">
        <f>SUMIFS('Raw Customer ARR'!D$2:D$422, 'Raw Customer ARR'!$B$2:$B$422, Cohorts!$B16)/unit</f>
        <v>0</v>
      </c>
      <c r="E16" s="39">
        <f>SUMIFS('Raw Customer ARR'!E$2:E$422, 'Raw Customer ARR'!$B$2:$B$422, Cohorts!$B16)/unit</f>
        <v>0</v>
      </c>
      <c r="F16" s="39">
        <f>SUMIFS('Raw Customer ARR'!F$2:F$422, 'Raw Customer ARR'!$B$2:$B$422, Cohorts!$B16)/unit</f>
        <v>0</v>
      </c>
      <c r="G16" s="39">
        <f>SUMIFS('Raw Customer ARR'!G$2:G$422, 'Raw Customer ARR'!$B$2:$B$422, Cohorts!$B16)/unit</f>
        <v>0</v>
      </c>
      <c r="H16" s="39">
        <f>SUMIFS('Raw Customer ARR'!H$2:H$422, 'Raw Customer ARR'!$B$2:$B$422, Cohorts!$B16)/unit</f>
        <v>0</v>
      </c>
      <c r="I16" s="39">
        <f>SUMIFS('Raw Customer ARR'!I$2:I$422, 'Raw Customer ARR'!$B$2:$B$422, Cohorts!$B16)/unit</f>
        <v>0</v>
      </c>
      <c r="J16" s="39">
        <f>SUMIFS('Raw Customer ARR'!J$2:J$422, 'Raw Customer ARR'!$B$2:$B$422, Cohorts!$B16)/unit</f>
        <v>0</v>
      </c>
      <c r="K16" s="39">
        <f>SUMIFS('Raw Customer ARR'!K$2:K$422, 'Raw Customer ARR'!$B$2:$B$422, Cohorts!$B16)/unit</f>
        <v>0</v>
      </c>
      <c r="L16" s="39">
        <f>SUMIFS('Raw Customer ARR'!L$2:L$422, 'Raw Customer ARR'!$B$2:$B$422, Cohorts!$B16)/unit</f>
        <v>0</v>
      </c>
      <c r="M16" s="39">
        <f>SUMIFS('Raw Customer ARR'!M$2:M$422, 'Raw Customer ARR'!$B$2:$B$422, Cohorts!$B16)/unit</f>
        <v>4775.55</v>
      </c>
      <c r="N16" s="39">
        <f>SUMIFS('Raw Customer ARR'!N$2:N$422, 'Raw Customer ARR'!$B$2:$B$422, Cohorts!$B16)/unit</f>
        <v>5166.9110000000001</v>
      </c>
      <c r="O16" s="39">
        <f>SUMIFS('Raw Customer ARR'!O$2:O$422, 'Raw Customer ARR'!$B$2:$B$422, Cohorts!$B16)/unit</f>
        <v>5655.7659999999996</v>
      </c>
      <c r="P16" s="7"/>
    </row>
    <row r="17" spans="1:16">
      <c r="B17" s="24">
        <v>44834</v>
      </c>
      <c r="C17" s="24"/>
      <c r="D17" s="39">
        <f>SUMIFS('Raw Customer ARR'!D$2:D$422, 'Raw Customer ARR'!$B$2:$B$422, Cohorts!$B17)/unit</f>
        <v>0</v>
      </c>
      <c r="E17" s="39">
        <f>SUMIFS('Raw Customer ARR'!E$2:E$422, 'Raw Customer ARR'!$B$2:$B$422, Cohorts!$B17)/unit</f>
        <v>0</v>
      </c>
      <c r="F17" s="39">
        <f>SUMIFS('Raw Customer ARR'!F$2:F$422, 'Raw Customer ARR'!$B$2:$B$422, Cohorts!$B17)/unit</f>
        <v>0</v>
      </c>
      <c r="G17" s="39">
        <f>SUMIFS('Raw Customer ARR'!G$2:G$422, 'Raw Customer ARR'!$B$2:$B$422, Cohorts!$B17)/unit</f>
        <v>0</v>
      </c>
      <c r="H17" s="39">
        <f>SUMIFS('Raw Customer ARR'!H$2:H$422, 'Raw Customer ARR'!$B$2:$B$422, Cohorts!$B17)/unit</f>
        <v>0</v>
      </c>
      <c r="I17" s="39">
        <f>SUMIFS('Raw Customer ARR'!I$2:I$422, 'Raw Customer ARR'!$B$2:$B$422, Cohorts!$B17)/unit</f>
        <v>0</v>
      </c>
      <c r="J17" s="39">
        <f>SUMIFS('Raw Customer ARR'!J$2:J$422, 'Raw Customer ARR'!$B$2:$B$422, Cohorts!$B17)/unit</f>
        <v>0</v>
      </c>
      <c r="K17" s="39">
        <f>SUMIFS('Raw Customer ARR'!K$2:K$422, 'Raw Customer ARR'!$B$2:$B$422, Cohorts!$B17)/unit</f>
        <v>0</v>
      </c>
      <c r="L17" s="39">
        <f>SUMIFS('Raw Customer ARR'!L$2:L$422, 'Raw Customer ARR'!$B$2:$B$422, Cohorts!$B17)/unit</f>
        <v>0</v>
      </c>
      <c r="M17" s="39">
        <f>SUMIFS('Raw Customer ARR'!M$2:M$422, 'Raw Customer ARR'!$B$2:$B$422, Cohorts!$B17)/unit</f>
        <v>0</v>
      </c>
      <c r="N17" s="39">
        <f>SUMIFS('Raw Customer ARR'!N$2:N$422, 'Raw Customer ARR'!$B$2:$B$422, Cohorts!$B17)/unit</f>
        <v>4969.3500000000004</v>
      </c>
      <c r="O17" s="39">
        <f>SUMIFS('Raw Customer ARR'!O$2:O$422, 'Raw Customer ARR'!$B$2:$B$422, Cohorts!$B17)/unit</f>
        <v>5474.6525000000001</v>
      </c>
      <c r="P17" s="7"/>
    </row>
    <row r="18" spans="1:16">
      <c r="B18" s="24">
        <v>44926</v>
      </c>
      <c r="C18" s="24"/>
      <c r="D18" s="39">
        <f>SUMIFS('Raw Customer ARR'!D$2:D$422, 'Raw Customer ARR'!$B$2:$B$422, Cohorts!$B18)/unit</f>
        <v>0</v>
      </c>
      <c r="E18" s="39">
        <f>SUMIFS('Raw Customer ARR'!E$2:E$422, 'Raw Customer ARR'!$B$2:$B$422, Cohorts!$B18)/unit</f>
        <v>0</v>
      </c>
      <c r="F18" s="39">
        <f>SUMIFS('Raw Customer ARR'!F$2:F$422, 'Raw Customer ARR'!$B$2:$B$422, Cohorts!$B18)/unit</f>
        <v>0</v>
      </c>
      <c r="G18" s="39">
        <f>SUMIFS('Raw Customer ARR'!G$2:G$422, 'Raw Customer ARR'!$B$2:$B$422, Cohorts!$B18)/unit</f>
        <v>0</v>
      </c>
      <c r="H18" s="39">
        <f>SUMIFS('Raw Customer ARR'!H$2:H$422, 'Raw Customer ARR'!$B$2:$B$422, Cohorts!$B18)/unit</f>
        <v>0</v>
      </c>
      <c r="I18" s="39">
        <f>SUMIFS('Raw Customer ARR'!I$2:I$422, 'Raw Customer ARR'!$B$2:$B$422, Cohorts!$B18)/unit</f>
        <v>0</v>
      </c>
      <c r="J18" s="39">
        <f>SUMIFS('Raw Customer ARR'!J$2:J$422, 'Raw Customer ARR'!$B$2:$B$422, Cohorts!$B18)/unit</f>
        <v>0</v>
      </c>
      <c r="K18" s="39">
        <f>SUMIFS('Raw Customer ARR'!K$2:K$422, 'Raw Customer ARR'!$B$2:$B$422, Cohorts!$B18)/unit</f>
        <v>0</v>
      </c>
      <c r="L18" s="39">
        <f>SUMIFS('Raw Customer ARR'!L$2:L$422, 'Raw Customer ARR'!$B$2:$B$422, Cohorts!$B18)/unit</f>
        <v>0</v>
      </c>
      <c r="M18" s="39">
        <f>SUMIFS('Raw Customer ARR'!M$2:M$422, 'Raw Customer ARR'!$B$2:$B$422, Cohorts!$B18)/unit</f>
        <v>0</v>
      </c>
      <c r="N18" s="39">
        <f>SUMIFS('Raw Customer ARR'!N$2:N$422, 'Raw Customer ARR'!$B$2:$B$422, Cohorts!$B18)/unit</f>
        <v>0</v>
      </c>
      <c r="O18" s="39">
        <f>SUMIFS('Raw Customer ARR'!O$2:O$422, 'Raw Customer ARR'!$B$2:$B$422, Cohorts!$B18)/unit</f>
        <v>6157.89</v>
      </c>
      <c r="P18" s="7"/>
    </row>
    <row r="19" spans="1:16">
      <c r="B19" s="9" t="s">
        <v>10</v>
      </c>
      <c r="C19" s="9"/>
      <c r="D19" s="22">
        <f t="shared" ref="D19:O19" si="3">SUM(D7:D18)</f>
        <v>8563.9987500000007</v>
      </c>
      <c r="E19" s="22">
        <f t="shared" si="3"/>
        <v>10870.480500000001</v>
      </c>
      <c r="F19" s="22">
        <f t="shared" si="3"/>
        <v>12868.785999999998</v>
      </c>
      <c r="G19" s="22">
        <f t="shared" si="3"/>
        <v>17227.513749999998</v>
      </c>
      <c r="H19" s="22">
        <f t="shared" si="3"/>
        <v>20583.552749999999</v>
      </c>
      <c r="I19" s="22">
        <f t="shared" si="3"/>
        <v>24832.39</v>
      </c>
      <c r="J19" s="22">
        <f t="shared" si="3"/>
        <v>30936.948000000004</v>
      </c>
      <c r="K19" s="22">
        <f t="shared" si="3"/>
        <v>37345.928749999999</v>
      </c>
      <c r="L19" s="22">
        <f t="shared" si="3"/>
        <v>43417.531749999995</v>
      </c>
      <c r="M19" s="22">
        <f t="shared" si="3"/>
        <v>51674.50475</v>
      </c>
      <c r="N19" s="22">
        <f t="shared" si="3"/>
        <v>59276.025499999996</v>
      </c>
      <c r="O19" s="22">
        <f t="shared" si="3"/>
        <v>71551.250249999997</v>
      </c>
      <c r="P19" s="7"/>
    </row>
    <row r="20" spans="1:16" s="20" customFormat="1">
      <c r="A20" s="7"/>
      <c r="B20" s="7" t="s">
        <v>11</v>
      </c>
      <c r="C20" s="7"/>
      <c r="D20" s="246">
        <f>'ARR Waterfall'!C11-D19</f>
        <v>0</v>
      </c>
      <c r="E20" s="246">
        <f>'ARR Waterfall'!D11-E19</f>
        <v>0</v>
      </c>
      <c r="F20" s="246">
        <f>'ARR Waterfall'!E11-F19</f>
        <v>0</v>
      </c>
      <c r="G20" s="246">
        <f>'ARR Waterfall'!F11-G19</f>
        <v>0</v>
      </c>
      <c r="H20" s="246">
        <f>'ARR Waterfall'!G11-H19</f>
        <v>0</v>
      </c>
      <c r="I20" s="246">
        <f>'ARR Waterfall'!H11-I19</f>
        <v>0</v>
      </c>
      <c r="J20" s="246">
        <f>'ARR Waterfall'!I11-J19</f>
        <v>0</v>
      </c>
      <c r="K20" s="246">
        <f>'ARR Waterfall'!J11-K19</f>
        <v>0</v>
      </c>
      <c r="L20" s="246">
        <f>'ARR Waterfall'!K11-L19</f>
        <v>0</v>
      </c>
      <c r="M20" s="246">
        <f>'ARR Waterfall'!L11-M19</f>
        <v>0</v>
      </c>
      <c r="N20" s="246">
        <f>'ARR Waterfall'!M11-N19</f>
        <v>0</v>
      </c>
      <c r="O20" s="246">
        <f>'ARR Waterfall'!N11-O19</f>
        <v>0</v>
      </c>
      <c r="P20" s="7"/>
    </row>
    <row r="21" spans="1:16" s="20" customFormat="1">
      <c r="A21" s="7"/>
      <c r="B21" s="7"/>
      <c r="C21" s="7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7"/>
    </row>
    <row r="22" spans="1:16">
      <c r="D22" s="8"/>
      <c r="E22" s="8"/>
      <c r="F22" s="8"/>
      <c r="G22" s="8"/>
      <c r="H22" s="8"/>
      <c r="P22" s="7"/>
    </row>
    <row r="23" spans="1:16" s="2" customFormat="1">
      <c r="B23" s="4"/>
      <c r="C23" s="4"/>
      <c r="D23" s="26">
        <v>1</v>
      </c>
      <c r="E23" s="26">
        <f t="shared" ref="E23:O23" si="4">+D23+1</f>
        <v>2</v>
      </c>
      <c r="F23" s="26">
        <f t="shared" si="4"/>
        <v>3</v>
      </c>
      <c r="G23" s="26">
        <f t="shared" si="4"/>
        <v>4</v>
      </c>
      <c r="H23" s="26">
        <f t="shared" si="4"/>
        <v>5</v>
      </c>
      <c r="I23" s="26">
        <f t="shared" si="4"/>
        <v>6</v>
      </c>
      <c r="J23" s="26">
        <f t="shared" si="4"/>
        <v>7</v>
      </c>
      <c r="K23" s="26">
        <f t="shared" si="4"/>
        <v>8</v>
      </c>
      <c r="L23" s="26">
        <f t="shared" si="4"/>
        <v>9</v>
      </c>
      <c r="M23" s="26">
        <f t="shared" si="4"/>
        <v>10</v>
      </c>
      <c r="N23" s="26">
        <f t="shared" si="4"/>
        <v>11</v>
      </c>
      <c r="O23" s="26">
        <f t="shared" si="4"/>
        <v>12</v>
      </c>
      <c r="P23" s="7"/>
    </row>
    <row r="24" spans="1:16" s="10" customFormat="1">
      <c r="A24" s="5"/>
      <c r="B24" s="16" t="s">
        <v>192</v>
      </c>
      <c r="C24" s="16"/>
      <c r="D24" s="15"/>
      <c r="E24" s="15"/>
      <c r="F24" s="15"/>
      <c r="G24" s="15"/>
      <c r="H24" s="15"/>
      <c r="I24" s="5"/>
      <c r="P24" s="7"/>
    </row>
    <row r="25" spans="1:16">
      <c r="B25" s="24">
        <f t="shared" ref="B25:B36" si="5">+B7</f>
        <v>43921</v>
      </c>
      <c r="C25" s="24"/>
      <c r="D25" s="25">
        <f t="shared" ref="D25:O25" si="6">D7</f>
        <v>8563.9987500000007</v>
      </c>
      <c r="E25" s="25">
        <f t="shared" si="6"/>
        <v>9412.7805000000008</v>
      </c>
      <c r="F25" s="25">
        <f t="shared" si="6"/>
        <v>9869.6384999999991</v>
      </c>
      <c r="G25" s="25">
        <f t="shared" si="6"/>
        <v>10954.97</v>
      </c>
      <c r="H25" s="25">
        <f t="shared" si="6"/>
        <v>11939.25525</v>
      </c>
      <c r="I25" s="25">
        <f t="shared" si="6"/>
        <v>12477.347750000001</v>
      </c>
      <c r="J25" s="25">
        <f t="shared" si="6"/>
        <v>13802.687250000001</v>
      </c>
      <c r="K25" s="25">
        <f t="shared" si="6"/>
        <v>14898.417750000001</v>
      </c>
      <c r="L25" s="25">
        <f t="shared" si="6"/>
        <v>16549.327499999999</v>
      </c>
      <c r="M25" s="25">
        <f t="shared" si="6"/>
        <v>18461.191999999999</v>
      </c>
      <c r="N25" s="25">
        <f t="shared" si="6"/>
        <v>19279.49725</v>
      </c>
      <c r="O25" s="25">
        <f t="shared" si="6"/>
        <v>21666.76225</v>
      </c>
      <c r="P25" s="7"/>
    </row>
    <row r="26" spans="1:16">
      <c r="B26" s="24">
        <f t="shared" si="5"/>
        <v>44012</v>
      </c>
      <c r="C26" s="24"/>
      <c r="D26" s="25">
        <f t="shared" ref="D26:O26" si="7">+E8</f>
        <v>1457.7</v>
      </c>
      <c r="E26" s="25">
        <f t="shared" si="7"/>
        <v>1555.2474999999999</v>
      </c>
      <c r="F26" s="25">
        <f t="shared" si="7"/>
        <v>1640.41625</v>
      </c>
      <c r="G26" s="25">
        <f t="shared" si="7"/>
        <v>1767.1487500000001</v>
      </c>
      <c r="H26" s="25">
        <f t="shared" si="7"/>
        <v>1929.6510000000001</v>
      </c>
      <c r="I26" s="25">
        <f t="shared" si="7"/>
        <v>2118.03775</v>
      </c>
      <c r="J26" s="25">
        <f t="shared" si="7"/>
        <v>2317.1224999999999</v>
      </c>
      <c r="K26" s="25">
        <f t="shared" si="7"/>
        <v>2445.3535000000002</v>
      </c>
      <c r="L26" s="25">
        <f t="shared" si="7"/>
        <v>2671.6097500000001</v>
      </c>
      <c r="M26" s="25">
        <f t="shared" si="7"/>
        <v>2561.0835000000002</v>
      </c>
      <c r="N26" s="25">
        <f t="shared" si="7"/>
        <v>2707.4702499999999</v>
      </c>
      <c r="O26" s="25">
        <f t="shared" si="7"/>
        <v>0</v>
      </c>
      <c r="P26" s="7"/>
    </row>
    <row r="27" spans="1:16">
      <c r="B27" s="24">
        <f t="shared" si="5"/>
        <v>44104</v>
      </c>
      <c r="C27" s="24"/>
      <c r="D27" s="25">
        <f t="shared" ref="D27:O27" si="8">+F9</f>
        <v>1443.9</v>
      </c>
      <c r="E27" s="25">
        <f t="shared" si="8"/>
        <v>1692.2774999999999</v>
      </c>
      <c r="F27" s="25">
        <f t="shared" si="8"/>
        <v>1800.8264999999999</v>
      </c>
      <c r="G27" s="25">
        <f t="shared" si="8"/>
        <v>2044.8969999999999</v>
      </c>
      <c r="H27" s="25">
        <f t="shared" si="8"/>
        <v>2255.5147499999998</v>
      </c>
      <c r="I27" s="25">
        <f t="shared" si="8"/>
        <v>2328.4814999999999</v>
      </c>
      <c r="J27" s="25">
        <f t="shared" si="8"/>
        <v>2238.0594999999998</v>
      </c>
      <c r="K27" s="25">
        <f t="shared" si="8"/>
        <v>2295.1210000000001</v>
      </c>
      <c r="L27" s="25">
        <f t="shared" si="8"/>
        <v>2281.8085000000001</v>
      </c>
      <c r="M27" s="25">
        <f t="shared" si="8"/>
        <v>2422.19625</v>
      </c>
      <c r="N27" s="25">
        <f t="shared" si="8"/>
        <v>0</v>
      </c>
      <c r="O27" s="25">
        <f t="shared" si="8"/>
        <v>0</v>
      </c>
      <c r="P27" s="7"/>
    </row>
    <row r="28" spans="1:16">
      <c r="B28" s="24">
        <f t="shared" si="5"/>
        <v>44196</v>
      </c>
      <c r="C28" s="24"/>
      <c r="D28" s="25">
        <f t="shared" ref="D28:O28" si="9">+G10</f>
        <v>2939.85</v>
      </c>
      <c r="E28" s="25">
        <f t="shared" si="9"/>
        <v>3207.02225</v>
      </c>
      <c r="F28" s="25">
        <f t="shared" si="9"/>
        <v>3558.4857499999998</v>
      </c>
      <c r="G28" s="25">
        <f t="shared" si="9"/>
        <v>3760.87925</v>
      </c>
      <c r="H28" s="25">
        <f t="shared" si="9"/>
        <v>3986.41975</v>
      </c>
      <c r="I28" s="25">
        <f t="shared" si="9"/>
        <v>4503.4089999999997</v>
      </c>
      <c r="J28" s="25">
        <f t="shared" si="9"/>
        <v>4772.5934999999999</v>
      </c>
      <c r="K28" s="25">
        <f t="shared" si="9"/>
        <v>5402.7635</v>
      </c>
      <c r="L28" s="25">
        <f t="shared" si="9"/>
        <v>5812.52</v>
      </c>
      <c r="M28" s="25">
        <f t="shared" si="9"/>
        <v>0</v>
      </c>
      <c r="N28" s="25">
        <f t="shared" si="9"/>
        <v>0</v>
      </c>
      <c r="O28" s="25">
        <f t="shared" si="9"/>
        <v>0</v>
      </c>
      <c r="P28" s="7"/>
    </row>
    <row r="29" spans="1:16">
      <c r="B29" s="24">
        <f t="shared" si="5"/>
        <v>44286</v>
      </c>
      <c r="C29" s="24"/>
      <c r="D29" s="25">
        <f t="shared" ref="D29:O29" si="10">+H11</f>
        <v>1869.3</v>
      </c>
      <c r="E29" s="25">
        <f t="shared" si="10"/>
        <v>2168.5084999999999</v>
      </c>
      <c r="F29" s="25">
        <f t="shared" si="10"/>
        <v>2347.24575</v>
      </c>
      <c r="G29" s="25">
        <f t="shared" si="10"/>
        <v>2586.9140000000002</v>
      </c>
      <c r="H29" s="25">
        <f t="shared" si="10"/>
        <v>2766.7772500000001</v>
      </c>
      <c r="I29" s="25">
        <f t="shared" si="10"/>
        <v>2802.0142500000002</v>
      </c>
      <c r="J29" s="25">
        <f t="shared" si="10"/>
        <v>3202.3917499999998</v>
      </c>
      <c r="K29" s="25">
        <f t="shared" si="10"/>
        <v>3609.1747500000001</v>
      </c>
      <c r="L29" s="25">
        <f t="shared" si="10"/>
        <v>0</v>
      </c>
      <c r="M29" s="25">
        <f t="shared" si="10"/>
        <v>0</v>
      </c>
      <c r="N29" s="25">
        <f t="shared" si="10"/>
        <v>0</v>
      </c>
      <c r="O29" s="25">
        <f t="shared" si="10"/>
        <v>0</v>
      </c>
      <c r="P29" s="24"/>
    </row>
    <row r="30" spans="1:16">
      <c r="B30" s="24">
        <f t="shared" si="5"/>
        <v>44377</v>
      </c>
      <c r="C30" s="24"/>
      <c r="D30" s="25">
        <f t="shared" ref="D30:O30" si="11">+I12</f>
        <v>2653.5</v>
      </c>
      <c r="E30" s="25">
        <f t="shared" si="11"/>
        <v>2792.18325</v>
      </c>
      <c r="F30" s="25">
        <f t="shared" si="11"/>
        <v>2901.4827500000001</v>
      </c>
      <c r="G30" s="25">
        <f t="shared" si="11"/>
        <v>3107.72975</v>
      </c>
      <c r="H30" s="25">
        <f t="shared" si="11"/>
        <v>2964.2287500000002</v>
      </c>
      <c r="I30" s="25">
        <f t="shared" si="11"/>
        <v>2890.0477500000002</v>
      </c>
      <c r="J30" s="25">
        <f t="shared" si="11"/>
        <v>3158.4427500000002</v>
      </c>
      <c r="K30" s="25">
        <f t="shared" si="11"/>
        <v>0</v>
      </c>
      <c r="L30" s="25">
        <f t="shared" si="11"/>
        <v>0</v>
      </c>
      <c r="M30" s="25">
        <f t="shared" si="11"/>
        <v>0</v>
      </c>
      <c r="N30" s="25">
        <f t="shared" si="11"/>
        <v>0</v>
      </c>
      <c r="O30" s="25">
        <f t="shared" si="11"/>
        <v>0</v>
      </c>
      <c r="P30" s="24"/>
    </row>
    <row r="31" spans="1:16">
      <c r="B31" s="24">
        <f t="shared" si="5"/>
        <v>44469</v>
      </c>
      <c r="C31" s="24"/>
      <c r="D31" s="25">
        <f t="shared" ref="D31:O31" si="12">+J13</f>
        <v>3860.4</v>
      </c>
      <c r="E31" s="25">
        <f t="shared" si="12"/>
        <v>4176.3654999999999</v>
      </c>
      <c r="F31" s="25">
        <f t="shared" si="12"/>
        <v>4445.3357500000002</v>
      </c>
      <c r="G31" s="25">
        <f t="shared" si="12"/>
        <v>4817.54025</v>
      </c>
      <c r="H31" s="25">
        <f t="shared" si="12"/>
        <v>4934.4650000000001</v>
      </c>
      <c r="I31" s="25">
        <f t="shared" si="12"/>
        <v>5568.6332499999999</v>
      </c>
      <c r="J31" s="25">
        <f t="shared" si="12"/>
        <v>0</v>
      </c>
      <c r="K31" s="25">
        <f t="shared" si="12"/>
        <v>0</v>
      </c>
      <c r="L31" s="25">
        <f t="shared" si="12"/>
        <v>0</v>
      </c>
      <c r="M31" s="25">
        <f t="shared" si="12"/>
        <v>0</v>
      </c>
      <c r="N31" s="25">
        <f t="shared" si="12"/>
        <v>0</v>
      </c>
      <c r="O31" s="25">
        <f t="shared" si="12"/>
        <v>0</v>
      </c>
      <c r="P31" s="24"/>
    </row>
    <row r="32" spans="1:16">
      <c r="B32" s="24">
        <f t="shared" si="5"/>
        <v>44561</v>
      </c>
      <c r="C32" s="24"/>
      <c r="D32" s="25">
        <f t="shared" ref="D32:O32" si="13">+K14</f>
        <v>4150.7250000000004</v>
      </c>
      <c r="E32" s="25">
        <f t="shared" si="13"/>
        <v>4422.8895000000002</v>
      </c>
      <c r="F32" s="25">
        <f t="shared" si="13"/>
        <v>4912.5617499999998</v>
      </c>
      <c r="G32" s="25">
        <f t="shared" si="13"/>
        <v>5119.4477500000003</v>
      </c>
      <c r="H32" s="25">
        <f t="shared" si="13"/>
        <v>5484.8869999999997</v>
      </c>
      <c r="I32" s="25">
        <f t="shared" si="13"/>
        <v>0</v>
      </c>
      <c r="J32" s="25">
        <f t="shared" si="13"/>
        <v>0</v>
      </c>
      <c r="K32" s="25">
        <f t="shared" si="13"/>
        <v>0</v>
      </c>
      <c r="L32" s="25">
        <f t="shared" si="13"/>
        <v>0</v>
      </c>
      <c r="M32" s="25">
        <f t="shared" si="13"/>
        <v>0</v>
      </c>
      <c r="N32" s="25">
        <f t="shared" si="13"/>
        <v>0</v>
      </c>
      <c r="O32" s="25">
        <f t="shared" si="13"/>
        <v>0</v>
      </c>
      <c r="P32" s="24"/>
    </row>
    <row r="33" spans="1:16">
      <c r="B33" s="24">
        <f t="shared" si="5"/>
        <v>44651</v>
      </c>
      <c r="C33" s="24"/>
      <c r="D33" s="25">
        <f t="shared" ref="D33:O33" si="14">+L15</f>
        <v>2938.65</v>
      </c>
      <c r="E33" s="25">
        <f t="shared" si="14"/>
        <v>3202.0934999999999</v>
      </c>
      <c r="F33" s="25">
        <f t="shared" si="14"/>
        <v>3468.2595000000001</v>
      </c>
      <c r="G33" s="25">
        <f t="shared" si="14"/>
        <v>3832.8552500000001</v>
      </c>
      <c r="H33" s="25">
        <f t="shared" si="14"/>
        <v>0</v>
      </c>
      <c r="I33" s="25">
        <f t="shared" si="14"/>
        <v>0</v>
      </c>
      <c r="J33" s="25">
        <f t="shared" si="14"/>
        <v>0</v>
      </c>
      <c r="K33" s="25">
        <f t="shared" si="14"/>
        <v>0</v>
      </c>
      <c r="L33" s="25">
        <f t="shared" si="14"/>
        <v>0</v>
      </c>
      <c r="M33" s="25">
        <f t="shared" si="14"/>
        <v>0</v>
      </c>
      <c r="N33" s="25">
        <f t="shared" si="14"/>
        <v>0</v>
      </c>
      <c r="O33" s="25">
        <f t="shared" si="14"/>
        <v>0</v>
      </c>
      <c r="P33" s="24"/>
    </row>
    <row r="34" spans="1:16">
      <c r="B34" s="24">
        <f t="shared" si="5"/>
        <v>44742</v>
      </c>
      <c r="C34" s="24"/>
      <c r="D34" s="25">
        <f t="shared" ref="D34:O34" si="15">+M16</f>
        <v>4775.55</v>
      </c>
      <c r="E34" s="25">
        <f t="shared" si="15"/>
        <v>5166.9110000000001</v>
      </c>
      <c r="F34" s="25">
        <f t="shared" si="15"/>
        <v>5655.7659999999996</v>
      </c>
      <c r="G34" s="25">
        <f t="shared" si="15"/>
        <v>0</v>
      </c>
      <c r="H34" s="25">
        <f t="shared" si="15"/>
        <v>0</v>
      </c>
      <c r="I34" s="25">
        <f t="shared" si="15"/>
        <v>0</v>
      </c>
      <c r="J34" s="25">
        <f t="shared" si="15"/>
        <v>0</v>
      </c>
      <c r="K34" s="25">
        <f t="shared" si="15"/>
        <v>0</v>
      </c>
      <c r="L34" s="25">
        <f t="shared" si="15"/>
        <v>0</v>
      </c>
      <c r="M34" s="25">
        <f t="shared" si="15"/>
        <v>0</v>
      </c>
      <c r="N34" s="25">
        <f t="shared" si="15"/>
        <v>0</v>
      </c>
      <c r="O34" s="25">
        <f t="shared" si="15"/>
        <v>0</v>
      </c>
      <c r="P34" s="24"/>
    </row>
    <row r="35" spans="1:16">
      <c r="B35" s="24">
        <f t="shared" si="5"/>
        <v>44834</v>
      </c>
      <c r="C35" s="24"/>
      <c r="D35" s="25">
        <f t="shared" ref="D35:O35" si="16">+N17</f>
        <v>4969.3500000000004</v>
      </c>
      <c r="E35" s="25">
        <f t="shared" si="16"/>
        <v>5474.6525000000001</v>
      </c>
      <c r="F35" s="25">
        <f t="shared" si="16"/>
        <v>0</v>
      </c>
      <c r="G35" s="25">
        <f t="shared" si="16"/>
        <v>0</v>
      </c>
      <c r="H35" s="25">
        <f t="shared" si="16"/>
        <v>0</v>
      </c>
      <c r="I35" s="25">
        <f t="shared" si="16"/>
        <v>0</v>
      </c>
      <c r="J35" s="25">
        <f t="shared" si="16"/>
        <v>0</v>
      </c>
      <c r="K35" s="25">
        <f t="shared" si="16"/>
        <v>0</v>
      </c>
      <c r="L35" s="25">
        <f t="shared" si="16"/>
        <v>0</v>
      </c>
      <c r="M35" s="25">
        <f t="shared" si="16"/>
        <v>0</v>
      </c>
      <c r="N35" s="25">
        <f t="shared" si="16"/>
        <v>0</v>
      </c>
      <c r="O35" s="25">
        <f t="shared" si="16"/>
        <v>0</v>
      </c>
      <c r="P35" s="24"/>
    </row>
    <row r="36" spans="1:16">
      <c r="B36" s="24">
        <f t="shared" si="5"/>
        <v>44926</v>
      </c>
      <c r="C36" s="24"/>
      <c r="D36" s="25">
        <f t="shared" ref="D36:O36" si="17">+O18</f>
        <v>6157.89</v>
      </c>
      <c r="E36" s="25">
        <f t="shared" si="17"/>
        <v>0</v>
      </c>
      <c r="F36" s="25">
        <f t="shared" si="17"/>
        <v>0</v>
      </c>
      <c r="G36" s="25">
        <f t="shared" si="17"/>
        <v>0</v>
      </c>
      <c r="H36" s="25">
        <f t="shared" si="17"/>
        <v>0</v>
      </c>
      <c r="I36" s="25">
        <f t="shared" si="17"/>
        <v>0</v>
      </c>
      <c r="J36" s="25">
        <f t="shared" si="17"/>
        <v>0</v>
      </c>
      <c r="K36" s="25">
        <f t="shared" si="17"/>
        <v>0</v>
      </c>
      <c r="L36" s="25">
        <f t="shared" si="17"/>
        <v>0</v>
      </c>
      <c r="M36" s="25">
        <f t="shared" si="17"/>
        <v>0</v>
      </c>
      <c r="N36" s="25">
        <f t="shared" si="17"/>
        <v>0</v>
      </c>
      <c r="O36" s="25">
        <f t="shared" si="17"/>
        <v>0</v>
      </c>
      <c r="P36" s="24"/>
    </row>
    <row r="37" spans="1:16">
      <c r="B37" s="24"/>
      <c r="C37" s="24"/>
      <c r="D37" s="25"/>
      <c r="E37" s="25"/>
      <c r="F37" s="25"/>
      <c r="G37" s="25"/>
      <c r="H37" s="25"/>
      <c r="I37" s="25"/>
      <c r="J37" s="25"/>
      <c r="K37" s="25"/>
      <c r="P37" s="24"/>
    </row>
    <row r="38" spans="1:16">
      <c r="B38" s="24"/>
      <c r="C38" s="24"/>
      <c r="D38" s="25"/>
      <c r="E38" s="25"/>
      <c r="F38" s="25"/>
      <c r="G38" s="25"/>
      <c r="H38" s="25"/>
      <c r="I38" s="25"/>
      <c r="J38" s="25"/>
      <c r="K38" s="25"/>
      <c r="P38" s="24"/>
    </row>
    <row r="39" spans="1:16">
      <c r="B39" s="4"/>
      <c r="C39" s="4"/>
      <c r="D39" s="26">
        <f t="shared" ref="D39:O39" si="18">+D$23</f>
        <v>1</v>
      </c>
      <c r="E39" s="26">
        <f t="shared" si="18"/>
        <v>2</v>
      </c>
      <c r="F39" s="26">
        <f t="shared" si="18"/>
        <v>3</v>
      </c>
      <c r="G39" s="26">
        <f t="shared" si="18"/>
        <v>4</v>
      </c>
      <c r="H39" s="26">
        <f t="shared" si="18"/>
        <v>5</v>
      </c>
      <c r="I39" s="26">
        <f t="shared" si="18"/>
        <v>6</v>
      </c>
      <c r="J39" s="26">
        <f t="shared" si="18"/>
        <v>7</v>
      </c>
      <c r="K39" s="26">
        <f t="shared" si="18"/>
        <v>8</v>
      </c>
      <c r="L39" s="26">
        <f t="shared" si="18"/>
        <v>9</v>
      </c>
      <c r="M39" s="26">
        <f t="shared" si="18"/>
        <v>10</v>
      </c>
      <c r="N39" s="26">
        <f t="shared" si="18"/>
        <v>11</v>
      </c>
      <c r="O39" s="26">
        <f t="shared" si="18"/>
        <v>12</v>
      </c>
      <c r="P39" s="24"/>
    </row>
    <row r="40" spans="1:16" s="10" customFormat="1">
      <c r="A40" s="5"/>
      <c r="B40" s="16" t="s">
        <v>191</v>
      </c>
      <c r="C40" s="16"/>
      <c r="D40" s="15"/>
      <c r="E40" s="15"/>
      <c r="F40" s="15"/>
      <c r="G40" s="15"/>
      <c r="H40" s="15"/>
      <c r="I40" s="5"/>
      <c r="P40" s="16"/>
    </row>
    <row r="41" spans="1:16">
      <c r="B41" s="24">
        <f t="shared" ref="B41:B52" si="19">+B25</f>
        <v>43921</v>
      </c>
      <c r="C41" s="24"/>
      <c r="D41" s="27">
        <f>D25/$D25</f>
        <v>1</v>
      </c>
      <c r="E41" s="27">
        <f t="shared" ref="E41:O41" si="20">E25/$D25</f>
        <v>1.0991104476749252</v>
      </c>
      <c r="F41" s="27">
        <f t="shared" si="20"/>
        <v>1.1524567889503718</v>
      </c>
      <c r="G41" s="27">
        <f t="shared" si="20"/>
        <v>1.2791886500450502</v>
      </c>
      <c r="H41" s="27">
        <f t="shared" si="20"/>
        <v>1.3941215544899512</v>
      </c>
      <c r="I41" s="27">
        <f t="shared" si="20"/>
        <v>1.4569534763185246</v>
      </c>
      <c r="J41" s="27">
        <f t="shared" si="20"/>
        <v>1.6117105633627049</v>
      </c>
      <c r="K41" s="27">
        <f t="shared" si="20"/>
        <v>1.7396566936677798</v>
      </c>
      <c r="L41" s="27">
        <f t="shared" si="20"/>
        <v>1.9324299294181937</v>
      </c>
      <c r="M41" s="27">
        <f t="shared" si="20"/>
        <v>2.1556742987614284</v>
      </c>
      <c r="N41" s="27">
        <f t="shared" si="20"/>
        <v>2.2512260700645244</v>
      </c>
      <c r="O41" s="27">
        <f t="shared" si="20"/>
        <v>2.5299819491449598</v>
      </c>
      <c r="P41" s="1"/>
    </row>
    <row r="42" spans="1:16">
      <c r="B42" s="24">
        <f t="shared" si="19"/>
        <v>44012</v>
      </c>
      <c r="C42" s="24"/>
      <c r="D42" s="27">
        <f t="shared" ref="D42:O42" si="21">D26/$D26</f>
        <v>1</v>
      </c>
      <c r="E42" s="27">
        <f t="shared" si="21"/>
        <v>1.0669187761542154</v>
      </c>
      <c r="F42" s="27">
        <f t="shared" si="21"/>
        <v>1.1253455786513</v>
      </c>
      <c r="G42" s="27">
        <f t="shared" si="21"/>
        <v>1.2122856211840571</v>
      </c>
      <c r="H42" s="27">
        <f t="shared" si="21"/>
        <v>1.3237641490018521</v>
      </c>
      <c r="I42" s="27">
        <f t="shared" si="21"/>
        <v>1.4529997598957261</v>
      </c>
      <c r="J42" s="27">
        <f t="shared" si="21"/>
        <v>1.5895743294230635</v>
      </c>
      <c r="K42" s="27">
        <f t="shared" si="21"/>
        <v>1.6775423612540303</v>
      </c>
      <c r="L42" s="27">
        <f t="shared" si="21"/>
        <v>1.832756911573026</v>
      </c>
      <c r="M42" s="27">
        <f t="shared" si="21"/>
        <v>1.756934554435069</v>
      </c>
      <c r="N42" s="27">
        <f t="shared" si="21"/>
        <v>1.8573576524662136</v>
      </c>
      <c r="O42" s="27">
        <f t="shared" si="21"/>
        <v>0</v>
      </c>
      <c r="P42" s="1"/>
    </row>
    <row r="43" spans="1:16">
      <c r="B43" s="24">
        <f t="shared" si="19"/>
        <v>44104</v>
      </c>
      <c r="C43" s="24"/>
      <c r="D43" s="27">
        <f t="shared" ref="D43:O43" si="22">D27/$D27</f>
        <v>1</v>
      </c>
      <c r="E43" s="27">
        <f t="shared" si="22"/>
        <v>1.1720184915852898</v>
      </c>
      <c r="F43" s="27">
        <f t="shared" si="22"/>
        <v>1.2471961354664449</v>
      </c>
      <c r="G43" s="27">
        <f t="shared" si="22"/>
        <v>1.4162317334995498</v>
      </c>
      <c r="H43" s="27">
        <f t="shared" si="22"/>
        <v>1.5620990027010178</v>
      </c>
      <c r="I43" s="27">
        <f t="shared" si="22"/>
        <v>1.6126334926241428</v>
      </c>
      <c r="J43" s="27">
        <f t="shared" si="22"/>
        <v>1.5500100422466927</v>
      </c>
      <c r="K43" s="27">
        <f t="shared" si="22"/>
        <v>1.5895290532585358</v>
      </c>
      <c r="L43" s="27">
        <f t="shared" si="22"/>
        <v>1.5803092319412702</v>
      </c>
      <c r="M43" s="27">
        <f t="shared" si="22"/>
        <v>1.6775373987118221</v>
      </c>
      <c r="N43" s="27">
        <f t="shared" si="22"/>
        <v>0</v>
      </c>
      <c r="O43" s="27">
        <f t="shared" si="22"/>
        <v>0</v>
      </c>
      <c r="P43" s="1"/>
    </row>
    <row r="44" spans="1:16">
      <c r="B44" s="24">
        <f t="shared" si="19"/>
        <v>44196</v>
      </c>
      <c r="C44" s="24"/>
      <c r="D44" s="27">
        <f t="shared" ref="D44:O44" si="23">D28/$D28</f>
        <v>1</v>
      </c>
      <c r="E44" s="27">
        <f t="shared" si="23"/>
        <v>1.0908795516778067</v>
      </c>
      <c r="F44" s="27">
        <f t="shared" si="23"/>
        <v>1.2104310594077929</v>
      </c>
      <c r="G44" s="27">
        <f t="shared" si="23"/>
        <v>1.279275898430192</v>
      </c>
      <c r="H44" s="27">
        <f t="shared" si="23"/>
        <v>1.3559942684150552</v>
      </c>
      <c r="I44" s="27">
        <f t="shared" si="23"/>
        <v>1.5318499243158663</v>
      </c>
      <c r="J44" s="27">
        <f t="shared" si="23"/>
        <v>1.6234139496913109</v>
      </c>
      <c r="K44" s="27">
        <f t="shared" si="23"/>
        <v>1.8377684235590253</v>
      </c>
      <c r="L44" s="27">
        <f t="shared" si="23"/>
        <v>1.9771484939707811</v>
      </c>
      <c r="M44" s="27">
        <f t="shared" si="23"/>
        <v>0</v>
      </c>
      <c r="N44" s="27">
        <f t="shared" si="23"/>
        <v>0</v>
      </c>
      <c r="O44" s="27">
        <f t="shared" si="23"/>
        <v>0</v>
      </c>
      <c r="P44" s="1"/>
    </row>
    <row r="45" spans="1:16">
      <c r="B45" s="24">
        <f t="shared" si="19"/>
        <v>44286</v>
      </c>
      <c r="C45" s="24"/>
      <c r="D45" s="27">
        <f t="shared" ref="D45:O45" si="24">D29/$D29</f>
        <v>1</v>
      </c>
      <c r="E45" s="27">
        <f t="shared" si="24"/>
        <v>1.1600644626330712</v>
      </c>
      <c r="F45" s="27">
        <f t="shared" si="24"/>
        <v>1.2556816722837427</v>
      </c>
      <c r="G45" s="27">
        <f t="shared" si="24"/>
        <v>1.3838945059647998</v>
      </c>
      <c r="H45" s="27">
        <f t="shared" si="24"/>
        <v>1.4801140801369497</v>
      </c>
      <c r="I45" s="27">
        <f t="shared" si="24"/>
        <v>1.4989644519338792</v>
      </c>
      <c r="J45" s="27">
        <f t="shared" si="24"/>
        <v>1.7131502434066228</v>
      </c>
      <c r="K45" s="27">
        <f t="shared" si="24"/>
        <v>1.9307627186647409</v>
      </c>
      <c r="L45" s="27">
        <f t="shared" si="24"/>
        <v>0</v>
      </c>
      <c r="M45" s="27">
        <f t="shared" si="24"/>
        <v>0</v>
      </c>
      <c r="N45" s="27">
        <f t="shared" si="24"/>
        <v>0</v>
      </c>
      <c r="O45" s="27">
        <f t="shared" si="24"/>
        <v>0</v>
      </c>
      <c r="P45" s="1"/>
    </row>
    <row r="46" spans="1:16">
      <c r="B46" s="24">
        <f t="shared" si="19"/>
        <v>44377</v>
      </c>
      <c r="C46" s="24"/>
      <c r="D46" s="27">
        <f t="shared" ref="D46:O46" si="25">D30/$D30</f>
        <v>1</v>
      </c>
      <c r="E46" s="27">
        <f t="shared" si="25"/>
        <v>1.0522642736009045</v>
      </c>
      <c r="F46" s="27">
        <f t="shared" si="25"/>
        <v>1.0934549651403807</v>
      </c>
      <c r="G46" s="27">
        <f t="shared" si="25"/>
        <v>1.1711813642359148</v>
      </c>
      <c r="H46" s="27">
        <f t="shared" si="25"/>
        <v>1.1171014697569248</v>
      </c>
      <c r="I46" s="27">
        <f t="shared" si="25"/>
        <v>1.0891455624646693</v>
      </c>
      <c r="J46" s="27">
        <f t="shared" si="25"/>
        <v>1.190293103448276</v>
      </c>
      <c r="K46" s="27">
        <f t="shared" si="25"/>
        <v>0</v>
      </c>
      <c r="L46" s="27">
        <f t="shared" si="25"/>
        <v>0</v>
      </c>
      <c r="M46" s="27">
        <f t="shared" si="25"/>
        <v>0</v>
      </c>
      <c r="N46" s="27">
        <f t="shared" si="25"/>
        <v>0</v>
      </c>
      <c r="O46" s="27">
        <f t="shared" si="25"/>
        <v>0</v>
      </c>
      <c r="P46" s="1"/>
    </row>
    <row r="47" spans="1:16">
      <c r="B47" s="24">
        <f t="shared" si="19"/>
        <v>44469</v>
      </c>
      <c r="C47" s="24"/>
      <c r="D47" s="27">
        <f t="shared" ref="D47:O47" si="26">D31/$D31</f>
        <v>1</v>
      </c>
      <c r="E47" s="27">
        <f t="shared" si="26"/>
        <v>1.0818478655061652</v>
      </c>
      <c r="F47" s="27">
        <f t="shared" si="26"/>
        <v>1.1515220572997618</v>
      </c>
      <c r="G47" s="27">
        <f t="shared" si="26"/>
        <v>1.2479381022691949</v>
      </c>
      <c r="H47" s="27">
        <f t="shared" si="26"/>
        <v>1.2782263496010777</v>
      </c>
      <c r="I47" s="27">
        <f t="shared" si="26"/>
        <v>1.4425016190032121</v>
      </c>
      <c r="J47" s="27">
        <f t="shared" si="26"/>
        <v>0</v>
      </c>
      <c r="K47" s="27">
        <f t="shared" si="26"/>
        <v>0</v>
      </c>
      <c r="L47" s="27">
        <f t="shared" si="26"/>
        <v>0</v>
      </c>
      <c r="M47" s="27">
        <f t="shared" si="26"/>
        <v>0</v>
      </c>
      <c r="N47" s="27">
        <f t="shared" si="26"/>
        <v>0</v>
      </c>
      <c r="O47" s="27">
        <f t="shared" si="26"/>
        <v>0</v>
      </c>
      <c r="P47" s="1"/>
    </row>
    <row r="48" spans="1:16">
      <c r="B48" s="24">
        <f t="shared" si="19"/>
        <v>44561</v>
      </c>
      <c r="C48" s="24"/>
      <c r="D48" s="27">
        <f t="shared" ref="D48:O48" si="27">D32/$D32</f>
        <v>1</v>
      </c>
      <c r="E48" s="27">
        <f t="shared" si="27"/>
        <v>1.0655703521673925</v>
      </c>
      <c r="F48" s="27">
        <f t="shared" si="27"/>
        <v>1.1835430557312276</v>
      </c>
      <c r="G48" s="27">
        <f t="shared" si="27"/>
        <v>1.2333863963524445</v>
      </c>
      <c r="H48" s="27">
        <f t="shared" si="27"/>
        <v>1.3214286660764081</v>
      </c>
      <c r="I48" s="27">
        <f t="shared" si="27"/>
        <v>0</v>
      </c>
      <c r="J48" s="27">
        <f t="shared" si="27"/>
        <v>0</v>
      </c>
      <c r="K48" s="27">
        <f t="shared" si="27"/>
        <v>0</v>
      </c>
      <c r="L48" s="27">
        <f t="shared" si="27"/>
        <v>0</v>
      </c>
      <c r="M48" s="27">
        <f t="shared" si="27"/>
        <v>0</v>
      </c>
      <c r="N48" s="27">
        <f t="shared" si="27"/>
        <v>0</v>
      </c>
      <c r="O48" s="27">
        <f t="shared" si="27"/>
        <v>0</v>
      </c>
      <c r="P48" s="1"/>
    </row>
    <row r="49" spans="1:16">
      <c r="B49" s="24">
        <f t="shared" si="19"/>
        <v>44651</v>
      </c>
      <c r="C49" s="24"/>
      <c r="D49" s="27">
        <f t="shared" ref="D49:O49" si="28">D33/$D33</f>
        <v>1</v>
      </c>
      <c r="E49" s="27">
        <f t="shared" si="28"/>
        <v>1.0896477974580163</v>
      </c>
      <c r="F49" s="27">
        <f t="shared" si="28"/>
        <v>1.1802220407329895</v>
      </c>
      <c r="G49" s="27">
        <f t="shared" si="28"/>
        <v>1.3042911711159886</v>
      </c>
      <c r="H49" s="27">
        <f t="shared" si="28"/>
        <v>0</v>
      </c>
      <c r="I49" s="27">
        <f t="shared" si="28"/>
        <v>0</v>
      </c>
      <c r="J49" s="27">
        <f t="shared" si="28"/>
        <v>0</v>
      </c>
      <c r="K49" s="27">
        <f t="shared" si="28"/>
        <v>0</v>
      </c>
      <c r="L49" s="27">
        <f t="shared" si="28"/>
        <v>0</v>
      </c>
      <c r="M49" s="27">
        <f t="shared" si="28"/>
        <v>0</v>
      </c>
      <c r="N49" s="27">
        <f t="shared" si="28"/>
        <v>0</v>
      </c>
      <c r="O49" s="27">
        <f t="shared" si="28"/>
        <v>0</v>
      </c>
      <c r="P49" s="1"/>
    </row>
    <row r="50" spans="1:16">
      <c r="B50" s="24">
        <f t="shared" si="19"/>
        <v>44742</v>
      </c>
      <c r="C50" s="24"/>
      <c r="D50" s="27">
        <f t="shared" ref="D50:O50" si="29">D34/$D34</f>
        <v>1</v>
      </c>
      <c r="E50" s="27">
        <f t="shared" si="29"/>
        <v>1.0819509794683335</v>
      </c>
      <c r="F50" s="27">
        <f t="shared" si="29"/>
        <v>1.1843171990660761</v>
      </c>
      <c r="G50" s="27">
        <f t="shared" si="29"/>
        <v>0</v>
      </c>
      <c r="H50" s="27">
        <f t="shared" si="29"/>
        <v>0</v>
      </c>
      <c r="I50" s="27">
        <f t="shared" si="29"/>
        <v>0</v>
      </c>
      <c r="J50" s="27">
        <f t="shared" si="29"/>
        <v>0</v>
      </c>
      <c r="K50" s="27">
        <f t="shared" si="29"/>
        <v>0</v>
      </c>
      <c r="L50" s="27">
        <f t="shared" si="29"/>
        <v>0</v>
      </c>
      <c r="M50" s="27">
        <f t="shared" si="29"/>
        <v>0</v>
      </c>
      <c r="N50" s="27">
        <f t="shared" si="29"/>
        <v>0</v>
      </c>
      <c r="O50" s="27">
        <f t="shared" si="29"/>
        <v>0</v>
      </c>
      <c r="P50" s="1"/>
    </row>
    <row r="51" spans="1:16">
      <c r="B51" s="24">
        <f t="shared" si="19"/>
        <v>44834</v>
      </c>
      <c r="C51" s="24"/>
      <c r="D51" s="27">
        <f t="shared" ref="D51:O51" si="30">D35/$D35</f>
        <v>1</v>
      </c>
      <c r="E51" s="27">
        <f t="shared" si="30"/>
        <v>1.1016838218278044</v>
      </c>
      <c r="F51" s="27">
        <f t="shared" si="30"/>
        <v>0</v>
      </c>
      <c r="G51" s="27">
        <f t="shared" si="30"/>
        <v>0</v>
      </c>
      <c r="H51" s="27">
        <f t="shared" si="30"/>
        <v>0</v>
      </c>
      <c r="I51" s="27">
        <f t="shared" si="30"/>
        <v>0</v>
      </c>
      <c r="J51" s="27">
        <f t="shared" si="30"/>
        <v>0</v>
      </c>
      <c r="K51" s="27">
        <f t="shared" si="30"/>
        <v>0</v>
      </c>
      <c r="L51" s="27">
        <f t="shared" si="30"/>
        <v>0</v>
      </c>
      <c r="M51" s="27">
        <f t="shared" si="30"/>
        <v>0</v>
      </c>
      <c r="N51" s="27">
        <f t="shared" si="30"/>
        <v>0</v>
      </c>
      <c r="O51" s="27">
        <f t="shared" si="30"/>
        <v>0</v>
      </c>
      <c r="P51" s="1"/>
    </row>
    <row r="52" spans="1:16">
      <c r="B52" s="24">
        <f t="shared" si="19"/>
        <v>44926</v>
      </c>
      <c r="C52" s="24"/>
      <c r="D52" s="27">
        <f t="shared" ref="D52:O52" si="31">D36/$D36</f>
        <v>1</v>
      </c>
      <c r="E52" s="27">
        <f t="shared" si="31"/>
        <v>0</v>
      </c>
      <c r="F52" s="27">
        <f t="shared" si="31"/>
        <v>0</v>
      </c>
      <c r="G52" s="27">
        <f t="shared" si="31"/>
        <v>0</v>
      </c>
      <c r="H52" s="27">
        <f t="shared" si="31"/>
        <v>0</v>
      </c>
      <c r="I52" s="27">
        <f t="shared" si="31"/>
        <v>0</v>
      </c>
      <c r="J52" s="27">
        <f t="shared" si="31"/>
        <v>0</v>
      </c>
      <c r="K52" s="27">
        <f t="shared" si="31"/>
        <v>0</v>
      </c>
      <c r="L52" s="27">
        <f t="shared" si="31"/>
        <v>0</v>
      </c>
      <c r="M52" s="27">
        <f t="shared" si="31"/>
        <v>0</v>
      </c>
      <c r="N52" s="27">
        <f t="shared" si="31"/>
        <v>0</v>
      </c>
      <c r="O52" s="27">
        <f t="shared" si="31"/>
        <v>0</v>
      </c>
      <c r="P52" s="1"/>
    </row>
    <row r="53" spans="1:16">
      <c r="B53" s="24"/>
      <c r="C53" s="24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4"/>
    </row>
    <row r="54" spans="1:16">
      <c r="D54" s="8"/>
      <c r="E54" s="8"/>
      <c r="F54" s="8"/>
      <c r="G54" s="8"/>
      <c r="H54" s="8"/>
    </row>
    <row r="55" spans="1:16">
      <c r="B55" s="4"/>
      <c r="C55" s="28" t="s">
        <v>21</v>
      </c>
      <c r="D55" s="26">
        <f t="shared" ref="D55:O55" si="32">+D$23</f>
        <v>1</v>
      </c>
      <c r="E55" s="26">
        <f t="shared" si="32"/>
        <v>2</v>
      </c>
      <c r="F55" s="26">
        <f t="shared" si="32"/>
        <v>3</v>
      </c>
      <c r="G55" s="26">
        <f t="shared" si="32"/>
        <v>4</v>
      </c>
      <c r="H55" s="26">
        <f t="shared" si="32"/>
        <v>5</v>
      </c>
      <c r="I55" s="26">
        <f t="shared" si="32"/>
        <v>6</v>
      </c>
      <c r="J55" s="26">
        <f t="shared" si="32"/>
        <v>7</v>
      </c>
      <c r="K55" s="26">
        <f t="shared" si="32"/>
        <v>8</v>
      </c>
      <c r="L55" s="26">
        <f t="shared" si="32"/>
        <v>9</v>
      </c>
      <c r="M55" s="26">
        <f t="shared" si="32"/>
        <v>10</v>
      </c>
      <c r="N55" s="26">
        <f t="shared" si="32"/>
        <v>11</v>
      </c>
      <c r="O55" s="26">
        <f t="shared" si="32"/>
        <v>12</v>
      </c>
      <c r="P55" s="28" t="s">
        <v>24</v>
      </c>
    </row>
    <row r="56" spans="1:16">
      <c r="B56" s="16" t="s">
        <v>22</v>
      </c>
      <c r="C56" s="16"/>
      <c r="D56" s="15"/>
      <c r="E56" s="15"/>
      <c r="F56" s="15"/>
      <c r="G56" s="15"/>
      <c r="H56" s="15"/>
      <c r="I56" s="5"/>
      <c r="J56" s="10"/>
      <c r="K56" s="10"/>
      <c r="P56" s="1"/>
    </row>
    <row r="57" spans="1:16">
      <c r="A57" s="1"/>
      <c r="B57" s="24">
        <f t="shared" ref="B57:B68" si="33">+B41</f>
        <v>43921</v>
      </c>
      <c r="C57" s="39" cm="1">
        <f t="array" ref="C57:C68">-TRANSPOSE(Model!C20:N20)</f>
        <v>-1200.0105704689199</v>
      </c>
      <c r="D57" s="25">
        <f t="shared" ref="D57:O57" si="34">C57+(D25*$P57/4)</f>
        <v>237.77890007763131</v>
      </c>
      <c r="E57" s="25">
        <f t="shared" si="34"/>
        <v>1818.068328712345</v>
      </c>
      <c r="F57" s="25">
        <f t="shared" si="34"/>
        <v>3475.0585651250785</v>
      </c>
      <c r="G57" s="25">
        <f t="shared" si="34"/>
        <v>5314.2625370025089</v>
      </c>
      <c r="H57" s="25">
        <f t="shared" si="34"/>
        <v>7318.7158287101511</v>
      </c>
      <c r="I57" s="25">
        <f t="shared" si="34"/>
        <v>9413.5081960371208</v>
      </c>
      <c r="J57" s="25">
        <f t="shared" si="34"/>
        <v>11730.808673608668</v>
      </c>
      <c r="K57" s="25">
        <f t="shared" si="34"/>
        <v>14232.068750130029</v>
      </c>
      <c r="L57" s="25">
        <f t="shared" si="34"/>
        <v>17010.496155216522</v>
      </c>
      <c r="M57" s="25">
        <f t="shared" si="34"/>
        <v>20109.901963903525</v>
      </c>
      <c r="N57" s="25">
        <f t="shared" si="34"/>
        <v>23346.69110326219</v>
      </c>
      <c r="O57" s="25">
        <f t="shared" si="34"/>
        <v>26984.272510415653</v>
      </c>
      <c r="P57" s="90" cm="1">
        <f t="array" ref="P57:P68">+TRANSPOSE(Model!C17:N17)</f>
        <v>0.67155052798042558</v>
      </c>
    </row>
    <row r="58" spans="1:16">
      <c r="A58" s="1"/>
      <c r="B58" s="24">
        <f t="shared" si="33"/>
        <v>44012</v>
      </c>
      <c r="C58" s="39">
        <v>-1349.9439499435048</v>
      </c>
      <c r="D58" s="25">
        <f t="shared" ref="D58:D68" si="35">C58+(D26*$P58/4)</f>
        <v>-1105.7232754736913</v>
      </c>
      <c r="E58" s="25">
        <f t="shared" ref="E58:N58" si="36">D58+(E26*$P58/4)</f>
        <v>-845.15965235680073</v>
      </c>
      <c r="F58" s="25">
        <f t="shared" si="36"/>
        <v>-570.32699612695774</v>
      </c>
      <c r="G58" s="25">
        <f t="shared" si="36"/>
        <v>-274.26178407133051</v>
      </c>
      <c r="H58" s="25">
        <f t="shared" si="36"/>
        <v>49.028789236860518</v>
      </c>
      <c r="I58" s="25">
        <f t="shared" si="36"/>
        <v>403.88137060307179</v>
      </c>
      <c r="J58" s="25">
        <f t="shared" si="36"/>
        <v>792.08828545467395</v>
      </c>
      <c r="K58" s="25">
        <f t="shared" si="36"/>
        <v>1201.7788123718167</v>
      </c>
      <c r="L58" s="25">
        <f t="shared" si="36"/>
        <v>1649.3759414553933</v>
      </c>
      <c r="M58" s="25">
        <f t="shared" si="36"/>
        <v>2078.4556833388469</v>
      </c>
      <c r="N58" s="25">
        <f t="shared" si="36"/>
        <v>2532.0608219558153</v>
      </c>
      <c r="O58" s="25"/>
      <c r="P58" s="90">
        <v>0.67015345947674687</v>
      </c>
    </row>
    <row r="59" spans="1:16">
      <c r="A59" s="1"/>
      <c r="B59" s="24">
        <f t="shared" si="33"/>
        <v>44104</v>
      </c>
      <c r="C59" s="39">
        <v>-1491.0471257342761</v>
      </c>
      <c r="D59" s="25">
        <f t="shared" si="35"/>
        <v>-1249.3198514892642</v>
      </c>
      <c r="E59" s="25">
        <f t="shared" ref="E59:M59" si="37">D59+(E27*$P59/4)</f>
        <v>-966.01101615360199</v>
      </c>
      <c r="F59" s="25">
        <f t="shared" si="37"/>
        <v>-664.52969387838584</v>
      </c>
      <c r="G59" s="25">
        <f t="shared" si="37"/>
        <v>-322.18785724025179</v>
      </c>
      <c r="H59" s="25">
        <f t="shared" si="37"/>
        <v>55.414076783516464</v>
      </c>
      <c r="I59" s="25">
        <f t="shared" si="37"/>
        <v>445.23157531176372</v>
      </c>
      <c r="J59" s="25">
        <f t="shared" si="37"/>
        <v>819.91127787645223</v>
      </c>
      <c r="K59" s="25">
        <f t="shared" si="37"/>
        <v>1204.1438032538922</v>
      </c>
      <c r="L59" s="25">
        <f t="shared" si="37"/>
        <v>1586.1476463552835</v>
      </c>
      <c r="M59" s="25">
        <f t="shared" si="37"/>
        <v>1991.6541891899597</v>
      </c>
      <c r="N59" s="25"/>
      <c r="O59" s="25"/>
      <c r="P59" s="90">
        <v>0.66965101252167525</v>
      </c>
    </row>
    <row r="60" spans="1:16">
      <c r="A60" s="1"/>
      <c r="B60" s="24">
        <f t="shared" si="33"/>
        <v>44196</v>
      </c>
      <c r="C60" s="39">
        <v>-1617.0779601869442</v>
      </c>
      <c r="D60" s="25">
        <f t="shared" si="35"/>
        <v>-1125.5698340072493</v>
      </c>
      <c r="E60" s="25">
        <f t="shared" ref="E60:L60" si="38">D60+(E28*$P60/4)</f>
        <v>-589.39366967434489</v>
      </c>
      <c r="F60" s="25">
        <f t="shared" si="38"/>
        <v>5.5430322048823655</v>
      </c>
      <c r="G60" s="25">
        <f t="shared" si="38"/>
        <v>634.31753190915174</v>
      </c>
      <c r="H60" s="25">
        <f t="shared" si="38"/>
        <v>1300.7997338882419</v>
      </c>
      <c r="I60" s="25">
        <f t="shared" si="38"/>
        <v>2053.7164197772408</v>
      </c>
      <c r="J60" s="25">
        <f t="shared" si="38"/>
        <v>2851.6375682039943</v>
      </c>
      <c r="K60" s="25">
        <f t="shared" si="38"/>
        <v>3754.9156824197025</v>
      </c>
      <c r="L60" s="25">
        <f t="shared" si="38"/>
        <v>4726.7002338702869</v>
      </c>
      <c r="M60" s="25"/>
      <c r="N60" s="25"/>
      <c r="O60" s="25"/>
      <c r="P60" s="90">
        <v>0.66875265905361825</v>
      </c>
    </row>
    <row r="61" spans="1:16">
      <c r="A61" s="1"/>
      <c r="B61" s="24">
        <f t="shared" si="33"/>
        <v>44286</v>
      </c>
      <c r="C61" s="39">
        <v>-1758.387862041845</v>
      </c>
      <c r="D61" s="25">
        <f t="shared" si="35"/>
        <v>-1446.3966080543505</v>
      </c>
      <c r="E61" s="25">
        <f t="shared" ref="E61:K61" si="39">D61+(E29*$P61/4)</f>
        <v>-1084.4666416511295</v>
      </c>
      <c r="F61" s="25">
        <f t="shared" si="39"/>
        <v>-692.70494210621041</v>
      </c>
      <c r="G61" s="25">
        <f t="shared" si="39"/>
        <v>-260.94195980384819</v>
      </c>
      <c r="H61" s="25">
        <f t="shared" si="39"/>
        <v>200.84068810262585</v>
      </c>
      <c r="I61" s="25">
        <f t="shared" si="39"/>
        <v>668.50448714415438</v>
      </c>
      <c r="J61" s="25">
        <f t="shared" si="39"/>
        <v>1202.9923798535683</v>
      </c>
      <c r="K61" s="25">
        <f t="shared" si="39"/>
        <v>1805.3734616020852</v>
      </c>
      <c r="L61" s="25"/>
      <c r="M61" s="25"/>
      <c r="N61" s="25"/>
      <c r="O61" s="25"/>
      <c r="P61" s="90">
        <v>0.66761087891188065</v>
      </c>
    </row>
    <row r="62" spans="1:16">
      <c r="A62" s="1"/>
      <c r="B62" s="24">
        <f t="shared" si="33"/>
        <v>44377</v>
      </c>
      <c r="C62" s="39">
        <v>-1902.2560830999869</v>
      </c>
      <c r="D62" s="25">
        <f t="shared" si="35"/>
        <v>-1460.8674632873503</v>
      </c>
      <c r="E62" s="25">
        <f t="shared" ref="E62:J62" si="40">D62+(E30*$P62/4)</f>
        <v>-996.40998788450054</v>
      </c>
      <c r="F62" s="25">
        <f t="shared" si="40"/>
        <v>-513.77140999391327</v>
      </c>
      <c r="G62" s="25">
        <f t="shared" si="40"/>
        <v>3.1747159164580125</v>
      </c>
      <c r="H62" s="25">
        <f t="shared" si="40"/>
        <v>496.25059184313488</v>
      </c>
      <c r="I62" s="25">
        <f t="shared" si="40"/>
        <v>976.98704843447308</v>
      </c>
      <c r="J62" s="25">
        <f t="shared" si="40"/>
        <v>1502.3688785380075</v>
      </c>
      <c r="K62" s="25"/>
      <c r="L62" s="25"/>
      <c r="M62" s="25"/>
      <c r="N62" s="25"/>
      <c r="O62" s="25"/>
      <c r="P62" s="90">
        <v>0.66536818513304929</v>
      </c>
    </row>
    <row r="63" spans="1:16">
      <c r="A63" s="1"/>
      <c r="B63" s="24">
        <f t="shared" si="33"/>
        <v>44469</v>
      </c>
      <c r="C63" s="39">
        <v>-2438.4820432835822</v>
      </c>
      <c r="D63" s="25">
        <f t="shared" si="35"/>
        <v>-1797.1955885352031</v>
      </c>
      <c r="E63" s="25">
        <f>D63+(E31*$P63/4)</f>
        <v>-1103.4212062876531</v>
      </c>
      <c r="F63" s="25">
        <f>E63+(F31*$P63/4)</f>
        <v>-364.9657085973289</v>
      </c>
      <c r="G63" s="25">
        <f>F63+(G31*$P63/4)</f>
        <v>435.32009275230348</v>
      </c>
      <c r="H63" s="25">
        <f>G63+(H31*$P63/4)</f>
        <v>1255.029336853941</v>
      </c>
      <c r="I63" s="25">
        <f>H63+(I31*$P63/4)</f>
        <v>2180.0860860733083</v>
      </c>
      <c r="J63" s="25"/>
      <c r="K63" s="25"/>
      <c r="L63" s="25"/>
      <c r="M63" s="25"/>
      <c r="N63" s="25"/>
      <c r="O63" s="25"/>
      <c r="P63" s="90">
        <v>0.66447669127383613</v>
      </c>
    </row>
    <row r="64" spans="1:16">
      <c r="A64" s="1"/>
      <c r="B64" s="24">
        <f t="shared" si="33"/>
        <v>44561</v>
      </c>
      <c r="C64" s="39">
        <v>-2927.6112537313434</v>
      </c>
      <c r="D64" s="25">
        <f t="shared" si="35"/>
        <v>-2239.1496318554478</v>
      </c>
      <c r="E64" s="25">
        <f>D64+(E32*$P64/4)</f>
        <v>-1505.5453389794156</v>
      </c>
      <c r="F64" s="25">
        <f>E64+(F32*$P64/4)</f>
        <v>-690.72136727074121</v>
      </c>
      <c r="G64" s="25">
        <f>F64+(G32*$P64/4)</f>
        <v>158.41783156172892</v>
      </c>
      <c r="H64" s="25">
        <f>G64+(H32*$P64/4)</f>
        <v>1068.1707542019942</v>
      </c>
      <c r="I64" s="25"/>
      <c r="J64" s="25"/>
      <c r="K64" s="25"/>
      <c r="L64" s="25"/>
      <c r="M64" s="25"/>
      <c r="N64" s="25"/>
      <c r="O64" s="25"/>
      <c r="P64" s="90">
        <v>0.66346156093298936</v>
      </c>
    </row>
    <row r="65" spans="1:16">
      <c r="A65" s="1"/>
      <c r="B65" s="24">
        <f t="shared" si="33"/>
        <v>44651</v>
      </c>
      <c r="C65" s="39">
        <v>-3411.8055469435094</v>
      </c>
      <c r="D65" s="25">
        <f t="shared" si="35"/>
        <v>-2925.6272363242774</v>
      </c>
      <c r="E65" s="25">
        <f>D65+(E33*$P65/4)</f>
        <v>-2395.8641109861719</v>
      </c>
      <c r="F65" s="25">
        <f>E65+(F33*$P65/4)</f>
        <v>-1822.0657530670246</v>
      </c>
      <c r="G65" s="25">
        <f>F65+(G33*$P65/4)</f>
        <v>-1187.9476749382736</v>
      </c>
      <c r="H65" s="25"/>
      <c r="I65" s="25"/>
      <c r="J65" s="25"/>
      <c r="K65" s="25"/>
      <c r="L65" s="25"/>
      <c r="M65" s="25"/>
      <c r="N65" s="25"/>
      <c r="O65" s="25"/>
      <c r="P65" s="90">
        <v>0.66177096369997379</v>
      </c>
    </row>
    <row r="66" spans="1:16">
      <c r="A66" s="1"/>
      <c r="B66" s="24">
        <f t="shared" si="33"/>
        <v>44742</v>
      </c>
      <c r="C66" s="39">
        <v>-4597.6604899734848</v>
      </c>
      <c r="D66" s="25">
        <f t="shared" si="35"/>
        <v>-3808.9953154158561</v>
      </c>
      <c r="E66" s="25">
        <f>D66+(E34*$P66/4)</f>
        <v>-2955.6982573306655</v>
      </c>
      <c r="F66" s="25">
        <f>E66+(F34*$P66/4)</f>
        <v>-2021.6685267976168</v>
      </c>
      <c r="G66" s="25"/>
      <c r="H66" s="25"/>
      <c r="I66" s="25"/>
      <c r="J66" s="25"/>
      <c r="K66" s="25"/>
      <c r="L66" s="25"/>
      <c r="M66" s="25"/>
      <c r="N66" s="25"/>
      <c r="O66" s="25"/>
      <c r="P66" s="90">
        <v>0.66058583790987735</v>
      </c>
    </row>
    <row r="67" spans="1:16">
      <c r="A67" s="1"/>
      <c r="B67" s="24">
        <f t="shared" si="33"/>
        <v>44834</v>
      </c>
      <c r="C67" s="39">
        <v>-4968.3288814763155</v>
      </c>
      <c r="D67" s="25">
        <f t="shared" si="35"/>
        <v>-4149.7399386639918</v>
      </c>
      <c r="E67" s="25">
        <f>D67+(E35*$P67/4)</f>
        <v>-3247.9137436405294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90">
        <v>0.65891027423089388</v>
      </c>
    </row>
    <row r="68" spans="1:16">
      <c r="A68" s="1"/>
      <c r="B68" s="24">
        <f t="shared" si="33"/>
        <v>44926</v>
      </c>
      <c r="C68" s="39">
        <v>-6584.1337443371531</v>
      </c>
      <c r="D68" s="25">
        <f t="shared" si="35"/>
        <v>-5569.601193549719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90">
        <v>0.65901310402584923</v>
      </c>
    </row>
    <row r="69" spans="1:16">
      <c r="A69" s="1"/>
      <c r="B69" s="24"/>
      <c r="C69" s="39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90"/>
    </row>
    <row r="70" spans="1:16">
      <c r="D70" s="8"/>
      <c r="E70" s="8"/>
      <c r="F70" s="8"/>
      <c r="G70" s="8"/>
      <c r="H70" s="8"/>
      <c r="P70" s="1"/>
    </row>
    <row r="71" spans="1:16">
      <c r="B71" s="4"/>
      <c r="C71" s="28"/>
      <c r="D71" s="26">
        <f t="shared" ref="D71:O71" si="41">+D$23</f>
        <v>1</v>
      </c>
      <c r="E71" s="26">
        <f t="shared" si="41"/>
        <v>2</v>
      </c>
      <c r="F71" s="26">
        <f t="shared" si="41"/>
        <v>3</v>
      </c>
      <c r="G71" s="26">
        <f t="shared" si="41"/>
        <v>4</v>
      </c>
      <c r="H71" s="26">
        <f t="shared" si="41"/>
        <v>5</v>
      </c>
      <c r="I71" s="26">
        <f t="shared" si="41"/>
        <v>6</v>
      </c>
      <c r="J71" s="26">
        <f t="shared" si="41"/>
        <v>7</v>
      </c>
      <c r="K71" s="26">
        <f t="shared" si="41"/>
        <v>8</v>
      </c>
      <c r="L71" s="26">
        <f t="shared" si="41"/>
        <v>9</v>
      </c>
      <c r="M71" s="26">
        <f t="shared" si="41"/>
        <v>10</v>
      </c>
      <c r="N71" s="26">
        <f t="shared" si="41"/>
        <v>11</v>
      </c>
      <c r="O71" s="26">
        <f t="shared" si="41"/>
        <v>12</v>
      </c>
      <c r="P71" s="28" t="s">
        <v>24</v>
      </c>
    </row>
    <row r="72" spans="1:16">
      <c r="B72" s="16" t="s">
        <v>161</v>
      </c>
      <c r="C72" s="16"/>
      <c r="D72" s="15"/>
      <c r="E72" s="15"/>
      <c r="F72" s="15"/>
      <c r="G72" s="15"/>
      <c r="H72" s="15"/>
      <c r="I72" s="5"/>
      <c r="J72" s="10"/>
      <c r="K72" s="10"/>
      <c r="P72" s="1"/>
    </row>
    <row r="73" spans="1:16">
      <c r="A73" s="1"/>
      <c r="B73" s="24">
        <f t="shared" ref="B73:B84" si="42">+B57</f>
        <v>43921</v>
      </c>
      <c r="C73" s="41"/>
      <c r="D73" s="25">
        <f>(SUM($D25:D25)/4)*$P73</f>
        <v>1437.7894705465512</v>
      </c>
      <c r="E73" s="25">
        <f>(SUM($D25:E25)/4)*$P73</f>
        <v>3018.0788991812647</v>
      </c>
      <c r="F73" s="25">
        <f>(SUM($D25:F25)/4)*$P73</f>
        <v>4675.0691355939989</v>
      </c>
      <c r="G73" s="25">
        <f>(SUM($D25:G25)/4)*$P73</f>
        <v>6514.2731074714293</v>
      </c>
      <c r="H73" s="25">
        <f>(SUM($D25:H25)/4)*$P73</f>
        <v>8518.7263991790714</v>
      </c>
      <c r="I73" s="25">
        <f>(SUM($D25:I25)/4)*$P73</f>
        <v>10613.51876650604</v>
      </c>
      <c r="J73" s="25">
        <f>(SUM($D25:J25)/4)*$P73</f>
        <v>12930.819244077587</v>
      </c>
      <c r="K73" s="25">
        <f>(SUM($D25:K25)/4)*$P73</f>
        <v>15432.07932059895</v>
      </c>
      <c r="L73" s="25">
        <f>(SUM($D25:L25)/4)*$P73</f>
        <v>18210.506725685445</v>
      </c>
      <c r="M73" s="25">
        <f>(SUM($D25:M25)/4)*$P73</f>
        <v>21309.912534372444</v>
      </c>
      <c r="N73" s="25">
        <f>(SUM($D25:N25)/4)*$P73</f>
        <v>24546.70167373111</v>
      </c>
      <c r="O73" s="25">
        <f>(SUM($D25:O25)/4)*$P73</f>
        <v>28184.283080884572</v>
      </c>
      <c r="P73" s="50">
        <f>P57</f>
        <v>0.67155052798042558</v>
      </c>
    </row>
    <row r="74" spans="1:16">
      <c r="A74" s="1"/>
      <c r="B74" s="24">
        <f t="shared" si="42"/>
        <v>44012</v>
      </c>
      <c r="C74" s="41"/>
      <c r="D74" s="25">
        <f>(SUM($D26:D26)/4)*$P74</f>
        <v>244.22067446981347</v>
      </c>
      <c r="E74" s="25">
        <f>(SUM($D26:E26)/4)*$P74</f>
        <v>504.78429758670399</v>
      </c>
      <c r="F74" s="25">
        <f>(SUM($D26:F26)/4)*$P74</f>
        <v>779.61695381654704</v>
      </c>
      <c r="G74" s="25">
        <f>(SUM($D26:G26)/4)*$P74</f>
        <v>1075.6821658721742</v>
      </c>
      <c r="H74" s="25">
        <f>(SUM($D26:H26)/4)*$P74</f>
        <v>1398.9727391803654</v>
      </c>
      <c r="I74" s="25">
        <f>(SUM($D26:I26)/4)*$P74</f>
        <v>1753.8253205465764</v>
      </c>
      <c r="J74" s="25">
        <f>(SUM($D26:J26)/4)*$P74</f>
        <v>2142.0322353981787</v>
      </c>
      <c r="K74" s="25">
        <f>(SUM($D26:K26)/4)*$P74</f>
        <v>2551.7227623153217</v>
      </c>
      <c r="L74" s="25">
        <f>(SUM($D26:L26)/4)*$P74</f>
        <v>2999.3198913988981</v>
      </c>
      <c r="M74" s="25">
        <f>(SUM($D26:M26)/4)*$P74</f>
        <v>3428.3996332823522</v>
      </c>
      <c r="N74" s="25">
        <f>(SUM($D26:N26)/4)*$P74</f>
        <v>3882.0047718993201</v>
      </c>
      <c r="O74" s="25"/>
      <c r="P74" s="50">
        <f t="shared" ref="P74:P84" si="43">P58</f>
        <v>0.67015345947674687</v>
      </c>
    </row>
    <row r="75" spans="1:16">
      <c r="A75" s="1"/>
      <c r="B75" s="24">
        <f t="shared" si="42"/>
        <v>44104</v>
      </c>
      <c r="C75" s="41"/>
      <c r="D75" s="25">
        <f>(SUM($D27:D27)/4)*$P75</f>
        <v>241.72727424501173</v>
      </c>
      <c r="E75" s="25">
        <f>(SUM($D27:E27)/4)*$P75</f>
        <v>525.03610958067395</v>
      </c>
      <c r="F75" s="25">
        <f>(SUM($D27:F27)/4)*$P75</f>
        <v>826.51743185589021</v>
      </c>
      <c r="G75" s="25">
        <f>(SUM($D27:G27)/4)*$P75</f>
        <v>1168.8592684940243</v>
      </c>
      <c r="H75" s="25">
        <f>(SUM($D27:H27)/4)*$P75</f>
        <v>1546.4612025177926</v>
      </c>
      <c r="I75" s="25">
        <f>(SUM($D27:I27)/4)*$P75</f>
        <v>1936.2787010460399</v>
      </c>
      <c r="J75" s="25">
        <f>(SUM($D27:J27)/4)*$P75</f>
        <v>2310.9584036107285</v>
      </c>
      <c r="K75" s="25">
        <f>(SUM($D27:K27)/4)*$P75</f>
        <v>2695.1909289881683</v>
      </c>
      <c r="L75" s="25">
        <f>(SUM($D27:L27)/4)*$P75</f>
        <v>3077.1947720895596</v>
      </c>
      <c r="M75" s="25">
        <f>(SUM($D27:M27)/4)*$P75</f>
        <v>3482.7013149242357</v>
      </c>
      <c r="N75" s="25"/>
      <c r="O75" s="25"/>
      <c r="P75" s="50">
        <f t="shared" si="43"/>
        <v>0.66965101252167525</v>
      </c>
    </row>
    <row r="76" spans="1:16">
      <c r="A76" s="1"/>
      <c r="B76" s="24">
        <f t="shared" si="42"/>
        <v>44196</v>
      </c>
      <c r="C76" s="41"/>
      <c r="D76" s="25">
        <f>(SUM($D28:D28)/4)*$P76</f>
        <v>491.5081261796949</v>
      </c>
      <c r="E76" s="25">
        <f>(SUM($D28:E28)/4)*$P76</f>
        <v>1027.6842905125993</v>
      </c>
      <c r="F76" s="25">
        <f>(SUM($D28:F28)/4)*$P76</f>
        <v>1622.6209923918266</v>
      </c>
      <c r="G76" s="25">
        <f>(SUM($D28:G28)/4)*$P76</f>
        <v>2251.3954920960959</v>
      </c>
      <c r="H76" s="25">
        <f>(SUM($D28:H28)/4)*$P76</f>
        <v>2917.8776940751859</v>
      </c>
      <c r="I76" s="25">
        <f>(SUM($D28:I28)/4)*$P76</f>
        <v>3670.7943799641848</v>
      </c>
      <c r="J76" s="25">
        <f>(SUM($D28:J28)/4)*$P76</f>
        <v>4468.7155283909378</v>
      </c>
      <c r="K76" s="25">
        <f>(SUM($D28:K28)/4)*$P76</f>
        <v>5371.993642606647</v>
      </c>
      <c r="L76" s="25">
        <f>(SUM($D28:L28)/4)*$P76</f>
        <v>6343.7781940572313</v>
      </c>
      <c r="M76" s="25"/>
      <c r="N76" s="25"/>
      <c r="O76" s="25"/>
      <c r="P76" s="50">
        <f t="shared" si="43"/>
        <v>0.66875265905361825</v>
      </c>
    </row>
    <row r="77" spans="1:16">
      <c r="A77" s="1"/>
      <c r="B77" s="24">
        <f t="shared" si="42"/>
        <v>44286</v>
      </c>
      <c r="C77" s="41"/>
      <c r="D77" s="25">
        <f>(SUM($D29:D29)/4)*$P77</f>
        <v>311.99125398749459</v>
      </c>
      <c r="E77" s="25">
        <f>(SUM($D29:E29)/4)*$P77</f>
        <v>673.92122039071558</v>
      </c>
      <c r="F77" s="25">
        <f>(SUM($D29:F29)/4)*$P77</f>
        <v>1065.6829199356348</v>
      </c>
      <c r="G77" s="25">
        <f>(SUM($D29:G29)/4)*$P77</f>
        <v>1497.445902237997</v>
      </c>
      <c r="H77" s="25">
        <f>(SUM($D29:H29)/4)*$P77</f>
        <v>1959.228550144471</v>
      </c>
      <c r="I77" s="25">
        <f>(SUM($D29:I29)/4)*$P77</f>
        <v>2426.8923491859996</v>
      </c>
      <c r="J77" s="25">
        <f>(SUM($D29:J29)/4)*$P77</f>
        <v>2961.3802418954133</v>
      </c>
      <c r="K77" s="25">
        <f>(SUM($D29:K29)/4)*$P77</f>
        <v>3563.7613236439297</v>
      </c>
      <c r="L77" s="25"/>
      <c r="M77" s="25"/>
      <c r="N77" s="25"/>
      <c r="O77" s="25"/>
      <c r="P77" s="50">
        <f t="shared" si="43"/>
        <v>0.66761087891188065</v>
      </c>
    </row>
    <row r="78" spans="1:16">
      <c r="A78" s="1"/>
      <c r="B78" s="24">
        <f t="shared" si="42"/>
        <v>44377</v>
      </c>
      <c r="C78" s="41"/>
      <c r="D78" s="25">
        <f>(SUM($D30:D30)/4)*$P78</f>
        <v>441.38861981263659</v>
      </c>
      <c r="E78" s="25">
        <f>(SUM($D30:E30)/4)*$P78</f>
        <v>905.84609521548634</v>
      </c>
      <c r="F78" s="25">
        <f>(SUM($D30:F30)/4)*$P78</f>
        <v>1388.4846731060738</v>
      </c>
      <c r="G78" s="25">
        <f>(SUM($D30:G30)/4)*$P78</f>
        <v>1905.4307990164452</v>
      </c>
      <c r="H78" s="25">
        <f>(SUM($D30:H30)/4)*$P78</f>
        <v>2398.5066749431221</v>
      </c>
      <c r="I78" s="25">
        <f>(SUM($D30:I30)/4)*$P78</f>
        <v>2879.2431315344602</v>
      </c>
      <c r="J78" s="25">
        <f>(SUM($D30:J30)/4)*$P78</f>
        <v>3404.6249616379951</v>
      </c>
      <c r="K78" s="25"/>
      <c r="L78" s="25"/>
      <c r="M78" s="25"/>
      <c r="N78" s="25"/>
      <c r="O78" s="25"/>
      <c r="P78" s="50">
        <f t="shared" si="43"/>
        <v>0.66536818513304929</v>
      </c>
    </row>
    <row r="79" spans="1:16">
      <c r="A79" s="1"/>
      <c r="B79" s="24">
        <f t="shared" si="42"/>
        <v>44469</v>
      </c>
      <c r="C79" s="41"/>
      <c r="D79" s="25">
        <f>(SUM($D31:D31)/4)*$P79</f>
        <v>641.28645474837924</v>
      </c>
      <c r="E79" s="25">
        <f>(SUM($D31:E31)/4)*$P79</f>
        <v>1335.0608369959293</v>
      </c>
      <c r="F79" s="25">
        <f>(SUM($D31:F31)/4)*$P79</f>
        <v>2073.5163346862537</v>
      </c>
      <c r="G79" s="25">
        <f>(SUM($D31:G31)/4)*$P79</f>
        <v>2873.8021360358853</v>
      </c>
      <c r="H79" s="25">
        <f>(SUM($D31:H31)/4)*$P79</f>
        <v>3693.5113801375228</v>
      </c>
      <c r="I79" s="25">
        <f>(SUM($D31:I31)/4)*$P79</f>
        <v>4618.5681293568896</v>
      </c>
      <c r="J79" s="25"/>
      <c r="K79" s="25"/>
      <c r="L79" s="25"/>
      <c r="M79" s="25"/>
      <c r="N79" s="25"/>
      <c r="O79" s="25"/>
      <c r="P79" s="50">
        <f t="shared" si="43"/>
        <v>0.66447669127383613</v>
      </c>
    </row>
    <row r="80" spans="1:16">
      <c r="A80" s="1"/>
      <c r="B80" s="24">
        <f t="shared" si="42"/>
        <v>44561</v>
      </c>
      <c r="C80" s="41"/>
      <c r="D80" s="25">
        <f>(SUM($D32:D32)/4)*$P80</f>
        <v>688.46162187589562</v>
      </c>
      <c r="E80" s="25">
        <f>(SUM($D32:E32)/4)*$P80</f>
        <v>1422.0659147519277</v>
      </c>
      <c r="F80" s="25">
        <f>(SUM($D32:F32)/4)*$P80</f>
        <v>2236.8898864606022</v>
      </c>
      <c r="G80" s="25">
        <f>(SUM($D32:G32)/4)*$P80</f>
        <v>3086.0290852930721</v>
      </c>
      <c r="H80" s="25">
        <f>(SUM($D32:H32)/4)*$P80</f>
        <v>3995.7820079333374</v>
      </c>
      <c r="I80" s="25"/>
      <c r="J80" s="25"/>
      <c r="K80" s="25"/>
      <c r="L80" s="25"/>
      <c r="M80" s="25"/>
      <c r="N80" s="25"/>
      <c r="O80" s="25"/>
      <c r="P80" s="50">
        <f t="shared" si="43"/>
        <v>0.66346156093298936</v>
      </c>
    </row>
    <row r="81" spans="1:16">
      <c r="A81" s="1"/>
      <c r="B81" s="24">
        <f t="shared" si="42"/>
        <v>44651</v>
      </c>
      <c r="C81" s="41"/>
      <c r="D81" s="25">
        <f>(SUM($D33:D33)/4)*$P81</f>
        <v>486.17831061923204</v>
      </c>
      <c r="E81" s="25">
        <f>(SUM($D33:E33)/4)*$P81</f>
        <v>1015.9414359573376</v>
      </c>
      <c r="F81" s="25">
        <f>(SUM($D33:F33)/4)*$P81</f>
        <v>1589.739793876485</v>
      </c>
      <c r="G81" s="25">
        <f>(SUM($D33:G33)/4)*$P81</f>
        <v>2223.857872005236</v>
      </c>
      <c r="H81" s="25"/>
      <c r="I81" s="25"/>
      <c r="J81" s="25"/>
      <c r="K81" s="25"/>
      <c r="L81" s="25"/>
      <c r="M81" s="25"/>
      <c r="N81" s="25"/>
      <c r="O81" s="25"/>
      <c r="P81" s="50">
        <f t="shared" si="43"/>
        <v>0.66177096369997379</v>
      </c>
    </row>
    <row r="82" spans="1:16">
      <c r="A82" s="1"/>
      <c r="B82" s="24">
        <f t="shared" si="42"/>
        <v>44742</v>
      </c>
      <c r="C82" s="41"/>
      <c r="D82" s="25">
        <f>(SUM($D34:D34)/4)*$P82</f>
        <v>788.66517455762869</v>
      </c>
      <c r="E82" s="25">
        <f>(SUM($D34:E34)/4)*$P82</f>
        <v>1641.9622326428191</v>
      </c>
      <c r="F82" s="25">
        <f>(SUM($D34:F34)/4)*$P82</f>
        <v>2575.991963175868</v>
      </c>
      <c r="G82" s="25"/>
      <c r="H82" s="25"/>
      <c r="I82" s="25"/>
      <c r="J82" s="25"/>
      <c r="K82" s="25"/>
      <c r="L82" s="25"/>
      <c r="M82" s="25"/>
      <c r="N82" s="25"/>
      <c r="O82" s="25"/>
      <c r="P82" s="50">
        <f t="shared" si="43"/>
        <v>0.66058583790987735</v>
      </c>
    </row>
    <row r="83" spans="1:16">
      <c r="A83" s="1"/>
      <c r="B83" s="24">
        <f t="shared" si="42"/>
        <v>44834</v>
      </c>
      <c r="C83" s="41"/>
      <c r="D83" s="25">
        <f>(SUM($D35:D35)/4)*$P83</f>
        <v>818.58894281232324</v>
      </c>
      <c r="E83" s="25">
        <f>(SUM($D35:E35)/4)*$P83</f>
        <v>1720.4151378357853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50">
        <f t="shared" si="43"/>
        <v>0.65891027423089388</v>
      </c>
    </row>
    <row r="84" spans="1:16">
      <c r="A84" s="1"/>
      <c r="B84" s="24">
        <f t="shared" si="42"/>
        <v>44926</v>
      </c>
      <c r="C84" s="41"/>
      <c r="D84" s="25">
        <f>(SUM($D36:D36)/4)*$P84</f>
        <v>1014.5325507874343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50">
        <f t="shared" si="43"/>
        <v>0.65901310402584923</v>
      </c>
    </row>
    <row r="85" spans="1:16">
      <c r="A85" s="1"/>
      <c r="B85" s="24"/>
      <c r="C85" s="39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50"/>
    </row>
    <row r="86" spans="1:16">
      <c r="D86" s="8"/>
      <c r="E86" s="8"/>
      <c r="F86" s="8"/>
      <c r="G86" s="8"/>
      <c r="H86" s="8"/>
      <c r="P86" s="1"/>
    </row>
    <row r="87" spans="1:16">
      <c r="B87" s="4"/>
      <c r="C87" s="28" t="s">
        <v>21</v>
      </c>
      <c r="D87" s="26">
        <f t="shared" ref="D87:O87" si="44">+D$23</f>
        <v>1</v>
      </c>
      <c r="E87" s="26">
        <f t="shared" si="44"/>
        <v>2</v>
      </c>
      <c r="F87" s="26">
        <f t="shared" si="44"/>
        <v>3</v>
      </c>
      <c r="G87" s="26">
        <f t="shared" si="44"/>
        <v>4</v>
      </c>
      <c r="H87" s="26">
        <f t="shared" si="44"/>
        <v>5</v>
      </c>
      <c r="I87" s="26">
        <f t="shared" si="44"/>
        <v>6</v>
      </c>
      <c r="J87" s="26">
        <f t="shared" si="44"/>
        <v>7</v>
      </c>
      <c r="K87" s="26">
        <f t="shared" si="44"/>
        <v>8</v>
      </c>
      <c r="L87" s="26">
        <f t="shared" si="44"/>
        <v>9</v>
      </c>
      <c r="M87" s="26">
        <f t="shared" si="44"/>
        <v>10</v>
      </c>
      <c r="N87" s="26">
        <f t="shared" si="44"/>
        <v>11</v>
      </c>
      <c r="O87" s="26">
        <f t="shared" si="44"/>
        <v>12</v>
      </c>
      <c r="P87" s="28" t="s">
        <v>162</v>
      </c>
    </row>
    <row r="88" spans="1:16">
      <c r="B88" s="16" t="s">
        <v>120</v>
      </c>
      <c r="C88" s="16"/>
      <c r="D88" s="15"/>
      <c r="E88" s="15"/>
      <c r="F88" s="15"/>
      <c r="G88" s="15"/>
      <c r="H88" s="15"/>
      <c r="I88" s="5"/>
      <c r="J88" s="10"/>
      <c r="K88" s="10"/>
      <c r="P88" s="1"/>
    </row>
    <row r="89" spans="1:16">
      <c r="A89" s="1"/>
      <c r="B89" s="24">
        <f t="shared" ref="B89:B100" si="45">+B73</f>
        <v>43921</v>
      </c>
      <c r="C89" s="41">
        <f t="shared" ref="C89:C100" si="46">+C57</f>
        <v>-1200.0105704689199</v>
      </c>
      <c r="D89" s="191">
        <f t="shared" ref="D89:O89" si="47">D73/-$C89</f>
        <v>1.1981473379727947</v>
      </c>
      <c r="E89" s="191">
        <f t="shared" si="47"/>
        <v>2.5150435949925929</v>
      </c>
      <c r="F89" s="191">
        <f t="shared" si="47"/>
        <v>3.8958566288021563</v>
      </c>
      <c r="G89" s="191">
        <f t="shared" si="47"/>
        <v>5.4285131046186459</v>
      </c>
      <c r="H89" s="191">
        <f t="shared" si="47"/>
        <v>7.0988761339412765</v>
      </c>
      <c r="I89" s="191">
        <f t="shared" si="47"/>
        <v>8.8445210631425262</v>
      </c>
      <c r="J89" s="191">
        <f t="shared" si="47"/>
        <v>10.775587784218184</v>
      </c>
      <c r="K89" s="191">
        <f t="shared" si="47"/>
        <v>12.859952820722789</v>
      </c>
      <c r="L89" s="191">
        <f t="shared" si="47"/>
        <v>15.175288596474154</v>
      </c>
      <c r="M89" s="191">
        <f t="shared" si="47"/>
        <v>17.758104019071528</v>
      </c>
      <c r="N89" s="191">
        <f t="shared" si="47"/>
        <v>20.455404542094293</v>
      </c>
      <c r="O89" s="191">
        <f t="shared" si="47"/>
        <v>23.486695679581551</v>
      </c>
      <c r="P89" s="191">
        <f t="shared" ref="P89:P100" si="48">MAX(D89:O89)</f>
        <v>23.486695679581551</v>
      </c>
    </row>
    <row r="90" spans="1:16">
      <c r="A90" s="1"/>
      <c r="B90" s="24">
        <f t="shared" si="45"/>
        <v>44012</v>
      </c>
      <c r="C90" s="41">
        <f t="shared" si="46"/>
        <v>-1349.9439499435048</v>
      </c>
      <c r="D90" s="191">
        <f t="shared" ref="D90:O90" si="49">D74/-$C90</f>
        <v>0.1809117145049127</v>
      </c>
      <c r="E90" s="191">
        <f t="shared" si="49"/>
        <v>0.37392981953645499</v>
      </c>
      <c r="F90" s="191">
        <f t="shared" si="49"/>
        <v>0.5775180175807848</v>
      </c>
      <c r="G90" s="191">
        <f t="shared" si="49"/>
        <v>0.79683468777884559</v>
      </c>
      <c r="H90" s="191">
        <f t="shared" si="49"/>
        <v>1.0363191295749075</v>
      </c>
      <c r="I90" s="191">
        <f t="shared" si="49"/>
        <v>1.2991838073128696</v>
      </c>
      <c r="J90" s="191">
        <f t="shared" si="49"/>
        <v>1.5867564245817931</v>
      </c>
      <c r="K90" s="191">
        <f t="shared" si="49"/>
        <v>1.8902434893108795</v>
      </c>
      <c r="L90" s="191">
        <f t="shared" si="49"/>
        <v>2.221810684454284</v>
      </c>
      <c r="M90" s="191">
        <f t="shared" si="49"/>
        <v>2.5396607269700575</v>
      </c>
      <c r="N90" s="191">
        <f t="shared" si="49"/>
        <v>2.8756784843265399</v>
      </c>
      <c r="O90" s="191">
        <f t="shared" si="49"/>
        <v>0</v>
      </c>
      <c r="P90" s="191">
        <f t="shared" si="48"/>
        <v>2.8756784843265399</v>
      </c>
    </row>
    <row r="91" spans="1:16">
      <c r="A91" s="1"/>
      <c r="B91" s="24">
        <f t="shared" si="45"/>
        <v>44104</v>
      </c>
      <c r="C91" s="41">
        <f t="shared" si="46"/>
        <v>-1491.0471257342761</v>
      </c>
      <c r="D91" s="191">
        <f t="shared" ref="D91:O91" si="50">D75/-$C91</f>
        <v>0.16211913766707509</v>
      </c>
      <c r="E91" s="191">
        <f t="shared" si="50"/>
        <v>0.35212576485274832</v>
      </c>
      <c r="F91" s="191">
        <f t="shared" si="50"/>
        <v>0.55432012683627707</v>
      </c>
      <c r="G91" s="191">
        <f t="shared" si="50"/>
        <v>0.78391839420797094</v>
      </c>
      <c r="H91" s="191">
        <f t="shared" si="50"/>
        <v>1.037164537476458</v>
      </c>
      <c r="I91" s="191">
        <f t="shared" si="50"/>
        <v>1.2986032886737275</v>
      </c>
      <c r="J91" s="191">
        <f t="shared" si="50"/>
        <v>1.5498895800980681</v>
      </c>
      <c r="K91" s="191">
        <f t="shared" si="50"/>
        <v>1.807582659509104</v>
      </c>
      <c r="L91" s="191">
        <f t="shared" si="50"/>
        <v>2.0637810294387409</v>
      </c>
      <c r="M91" s="191">
        <f t="shared" si="50"/>
        <v>2.3357419459221695</v>
      </c>
      <c r="N91" s="191">
        <f t="shared" si="50"/>
        <v>0</v>
      </c>
      <c r="O91" s="191">
        <f t="shared" si="50"/>
        <v>0</v>
      </c>
      <c r="P91" s="191">
        <f t="shared" si="48"/>
        <v>2.3357419459221695</v>
      </c>
    </row>
    <row r="92" spans="1:16">
      <c r="A92" s="1"/>
      <c r="B92" s="24">
        <f t="shared" si="45"/>
        <v>44196</v>
      </c>
      <c r="C92" s="41">
        <f t="shared" si="46"/>
        <v>-1617.0779601869442</v>
      </c>
      <c r="D92" s="191">
        <f t="shared" ref="D92:O92" si="51">D76/-$C92</f>
        <v>0.30394831806555173</v>
      </c>
      <c r="E92" s="191">
        <f t="shared" si="51"/>
        <v>0.63551932301012415</v>
      </c>
      <c r="F92" s="191">
        <f t="shared" si="51"/>
        <v>1.0034278076514267</v>
      </c>
      <c r="G92" s="191">
        <f t="shared" si="51"/>
        <v>1.3922615653210813</v>
      </c>
      <c r="H92" s="191">
        <f t="shared" si="51"/>
        <v>1.8044137425123654</v>
      </c>
      <c r="I92" s="191">
        <f t="shared" si="51"/>
        <v>2.2700169505370158</v>
      </c>
      <c r="J92" s="191">
        <f t="shared" si="51"/>
        <v>2.7634508900698433</v>
      </c>
      <c r="K92" s="191">
        <f t="shared" si="51"/>
        <v>3.3220375114045901</v>
      </c>
      <c r="L92" s="191">
        <f t="shared" si="51"/>
        <v>3.9229884707128475</v>
      </c>
      <c r="M92" s="191">
        <f t="shared" si="51"/>
        <v>0</v>
      </c>
      <c r="N92" s="191">
        <f t="shared" si="51"/>
        <v>0</v>
      </c>
      <c r="O92" s="191">
        <f t="shared" si="51"/>
        <v>0</v>
      </c>
      <c r="P92" s="191">
        <f t="shared" si="48"/>
        <v>3.9229884707128475</v>
      </c>
    </row>
    <row r="93" spans="1:16">
      <c r="A93" s="1"/>
      <c r="B93" s="24">
        <f t="shared" si="45"/>
        <v>44286</v>
      </c>
      <c r="C93" s="41">
        <f t="shared" si="46"/>
        <v>-1758.387862041845</v>
      </c>
      <c r="D93" s="191">
        <f t="shared" ref="D93:O93" si="52">D77/-$C93</f>
        <v>0.17743028186353008</v>
      </c>
      <c r="E93" s="191">
        <f t="shared" si="52"/>
        <v>0.38326084644838049</v>
      </c>
      <c r="F93" s="191">
        <f t="shared" si="52"/>
        <v>0.60605679949255375</v>
      </c>
      <c r="G93" s="191">
        <f t="shared" si="52"/>
        <v>0.85160159175527894</v>
      </c>
      <c r="H93" s="191">
        <f t="shared" si="52"/>
        <v>1.1142186501841576</v>
      </c>
      <c r="I93" s="191">
        <f t="shared" si="52"/>
        <v>1.3801803353941975</v>
      </c>
      <c r="J93" s="191">
        <f t="shared" si="52"/>
        <v>1.6841450659564097</v>
      </c>
      <c r="K93" s="191">
        <f t="shared" si="52"/>
        <v>2.0267208393406899</v>
      </c>
      <c r="L93" s="191">
        <f t="shared" si="52"/>
        <v>0</v>
      </c>
      <c r="M93" s="191">
        <f t="shared" si="52"/>
        <v>0</v>
      </c>
      <c r="N93" s="191">
        <f t="shared" si="52"/>
        <v>0</v>
      </c>
      <c r="O93" s="191">
        <f t="shared" si="52"/>
        <v>0</v>
      </c>
      <c r="P93" s="191">
        <f t="shared" si="48"/>
        <v>2.0267208393406899</v>
      </c>
    </row>
    <row r="94" spans="1:16">
      <c r="A94" s="1"/>
      <c r="B94" s="24">
        <f t="shared" si="45"/>
        <v>44377</v>
      </c>
      <c r="C94" s="41">
        <f t="shared" si="46"/>
        <v>-1902.2560830999869</v>
      </c>
      <c r="D94" s="191">
        <f t="shared" ref="D94:O94" si="53">D78/-$C94</f>
        <v>0.23203427957677147</v>
      </c>
      <c r="E94" s="191">
        <f t="shared" si="53"/>
        <v>0.47619566222613208</v>
      </c>
      <c r="F94" s="191">
        <f t="shared" si="53"/>
        <v>0.72991469731212422</v>
      </c>
      <c r="G94" s="191">
        <f t="shared" si="53"/>
        <v>1.0016689214163452</v>
      </c>
      <c r="H94" s="191">
        <f t="shared" si="53"/>
        <v>1.2608747561655458</v>
      </c>
      <c r="I94" s="191">
        <f t="shared" si="53"/>
        <v>1.5135938621062728</v>
      </c>
      <c r="J94" s="191">
        <f t="shared" si="53"/>
        <v>1.7897826648500934</v>
      </c>
      <c r="K94" s="191">
        <f t="shared" si="53"/>
        <v>0</v>
      </c>
      <c r="L94" s="191">
        <f t="shared" si="53"/>
        <v>0</v>
      </c>
      <c r="M94" s="191">
        <f t="shared" si="53"/>
        <v>0</v>
      </c>
      <c r="N94" s="191">
        <f t="shared" si="53"/>
        <v>0</v>
      </c>
      <c r="O94" s="191">
        <f t="shared" si="53"/>
        <v>0</v>
      </c>
      <c r="P94" s="191">
        <f t="shared" si="48"/>
        <v>1.7897826648500934</v>
      </c>
    </row>
    <row r="95" spans="1:16">
      <c r="A95" s="1"/>
      <c r="B95" s="24">
        <f t="shared" si="45"/>
        <v>44469</v>
      </c>
      <c r="C95" s="41">
        <f t="shared" si="46"/>
        <v>-2438.4820432835822</v>
      </c>
      <c r="D95" s="191">
        <f t="shared" ref="D95:O95" si="54">D79/-$C95</f>
        <v>0.26298592458972686</v>
      </c>
      <c r="E95" s="191">
        <f t="shared" si="54"/>
        <v>0.5474966857652882</v>
      </c>
      <c r="F95" s="191">
        <f t="shared" si="54"/>
        <v>0.8503307786897305</v>
      </c>
      <c r="G95" s="191">
        <f t="shared" si="54"/>
        <v>1.1785209343457437</v>
      </c>
      <c r="H95" s="191">
        <f t="shared" si="54"/>
        <v>1.5146764727305344</v>
      </c>
      <c r="I95" s="191">
        <f t="shared" si="54"/>
        <v>1.8940340947262719</v>
      </c>
      <c r="J95" s="191">
        <f t="shared" si="54"/>
        <v>0</v>
      </c>
      <c r="K95" s="191">
        <f t="shared" si="54"/>
        <v>0</v>
      </c>
      <c r="L95" s="191">
        <f t="shared" si="54"/>
        <v>0</v>
      </c>
      <c r="M95" s="191">
        <f t="shared" si="54"/>
        <v>0</v>
      </c>
      <c r="N95" s="191">
        <f t="shared" si="54"/>
        <v>0</v>
      </c>
      <c r="O95" s="191">
        <f t="shared" si="54"/>
        <v>0</v>
      </c>
      <c r="P95" s="191">
        <f t="shared" si="48"/>
        <v>1.8940340947262719</v>
      </c>
    </row>
    <row r="96" spans="1:16">
      <c r="A96" s="1"/>
      <c r="B96" s="24">
        <f t="shared" si="45"/>
        <v>44561</v>
      </c>
      <c r="C96" s="41">
        <f t="shared" si="46"/>
        <v>-2927.6112537313434</v>
      </c>
      <c r="D96" s="191">
        <f t="shared" ref="D96:O96" si="55">D80/-$C96</f>
        <v>0.23516155739544556</v>
      </c>
      <c r="E96" s="191">
        <f t="shared" si="55"/>
        <v>0.48574274092554287</v>
      </c>
      <c r="F96" s="191">
        <f t="shared" si="55"/>
        <v>0.76406656915586302</v>
      </c>
      <c r="G96" s="191">
        <f t="shared" si="55"/>
        <v>1.05411163499246</v>
      </c>
      <c r="H96" s="191">
        <f t="shared" si="55"/>
        <v>1.3648608580939743</v>
      </c>
      <c r="I96" s="191">
        <f t="shared" si="55"/>
        <v>0</v>
      </c>
      <c r="J96" s="191">
        <f t="shared" si="55"/>
        <v>0</v>
      </c>
      <c r="K96" s="191">
        <f t="shared" si="55"/>
        <v>0</v>
      </c>
      <c r="L96" s="191">
        <f t="shared" si="55"/>
        <v>0</v>
      </c>
      <c r="M96" s="191">
        <f t="shared" si="55"/>
        <v>0</v>
      </c>
      <c r="N96" s="191">
        <f t="shared" si="55"/>
        <v>0</v>
      </c>
      <c r="O96" s="191">
        <f t="shared" si="55"/>
        <v>0</v>
      </c>
      <c r="P96" s="191">
        <f t="shared" si="48"/>
        <v>1.3648608580939743</v>
      </c>
    </row>
    <row r="97" spans="1:16">
      <c r="A97" s="1"/>
      <c r="B97" s="24">
        <f t="shared" si="45"/>
        <v>44651</v>
      </c>
      <c r="C97" s="41">
        <f t="shared" si="46"/>
        <v>-3411.8055469435094</v>
      </c>
      <c r="D97" s="191">
        <f t="shared" ref="D97:O97" si="56">D81/-$C97</f>
        <v>0.14249883351493417</v>
      </c>
      <c r="E97" s="191">
        <f t="shared" si="56"/>
        <v>0.29777237359481873</v>
      </c>
      <c r="F97" s="191">
        <f t="shared" si="56"/>
        <v>0.46595263768788492</v>
      </c>
      <c r="G97" s="191">
        <f t="shared" si="56"/>
        <v>0.6518126081357406</v>
      </c>
      <c r="H97" s="191">
        <f t="shared" si="56"/>
        <v>0</v>
      </c>
      <c r="I97" s="191">
        <f t="shared" si="56"/>
        <v>0</v>
      </c>
      <c r="J97" s="191">
        <f t="shared" si="56"/>
        <v>0</v>
      </c>
      <c r="K97" s="191">
        <f t="shared" si="56"/>
        <v>0</v>
      </c>
      <c r="L97" s="191">
        <f t="shared" si="56"/>
        <v>0</v>
      </c>
      <c r="M97" s="191">
        <f t="shared" si="56"/>
        <v>0</v>
      </c>
      <c r="N97" s="191">
        <f t="shared" si="56"/>
        <v>0</v>
      </c>
      <c r="O97" s="191">
        <f t="shared" si="56"/>
        <v>0</v>
      </c>
      <c r="P97" s="191">
        <f t="shared" si="48"/>
        <v>0.6518126081357406</v>
      </c>
    </row>
    <row r="98" spans="1:16">
      <c r="A98" s="1"/>
      <c r="B98" s="24">
        <f t="shared" si="45"/>
        <v>44742</v>
      </c>
      <c r="C98" s="41">
        <f t="shared" si="46"/>
        <v>-4597.6604899734848</v>
      </c>
      <c r="D98" s="191">
        <f t="shared" ref="D98:O98" si="57">D82/-$C98</f>
        <v>0.17153619243472609</v>
      </c>
      <c r="E98" s="191">
        <f t="shared" si="57"/>
        <v>0.35712994385374647</v>
      </c>
      <c r="F98" s="191">
        <f t="shared" si="57"/>
        <v>0.56028320681650068</v>
      </c>
      <c r="G98" s="191">
        <f t="shared" si="57"/>
        <v>0</v>
      </c>
      <c r="H98" s="191">
        <f t="shared" si="57"/>
        <v>0</v>
      </c>
      <c r="I98" s="191">
        <f t="shared" si="57"/>
        <v>0</v>
      </c>
      <c r="J98" s="191">
        <f t="shared" si="57"/>
        <v>0</v>
      </c>
      <c r="K98" s="191">
        <f t="shared" si="57"/>
        <v>0</v>
      </c>
      <c r="L98" s="191">
        <f t="shared" si="57"/>
        <v>0</v>
      </c>
      <c r="M98" s="191">
        <f t="shared" si="57"/>
        <v>0</v>
      </c>
      <c r="N98" s="191">
        <f t="shared" si="57"/>
        <v>0</v>
      </c>
      <c r="O98" s="191">
        <f t="shared" si="57"/>
        <v>0</v>
      </c>
      <c r="P98" s="191">
        <f t="shared" si="48"/>
        <v>0.56028320681650068</v>
      </c>
    </row>
    <row r="99" spans="1:16">
      <c r="A99" s="1"/>
      <c r="B99" s="24">
        <f t="shared" si="45"/>
        <v>44834</v>
      </c>
      <c r="C99" s="41">
        <f t="shared" si="46"/>
        <v>-4968.3288814763155</v>
      </c>
      <c r="D99" s="191">
        <f t="shared" ref="D99:O99" si="58">D83/-$C99</f>
        <v>0.16476142428177648</v>
      </c>
      <c r="E99" s="191">
        <f t="shared" si="58"/>
        <v>0.3462764198743164</v>
      </c>
      <c r="F99" s="191">
        <f t="shared" si="58"/>
        <v>0</v>
      </c>
      <c r="G99" s="191">
        <f t="shared" si="58"/>
        <v>0</v>
      </c>
      <c r="H99" s="191">
        <f t="shared" si="58"/>
        <v>0</v>
      </c>
      <c r="I99" s="191">
        <f t="shared" si="58"/>
        <v>0</v>
      </c>
      <c r="J99" s="191">
        <f t="shared" si="58"/>
        <v>0</v>
      </c>
      <c r="K99" s="191">
        <f t="shared" si="58"/>
        <v>0</v>
      </c>
      <c r="L99" s="191">
        <f t="shared" si="58"/>
        <v>0</v>
      </c>
      <c r="M99" s="191">
        <f t="shared" si="58"/>
        <v>0</v>
      </c>
      <c r="N99" s="191">
        <f t="shared" si="58"/>
        <v>0</v>
      </c>
      <c r="O99" s="191">
        <f t="shared" si="58"/>
        <v>0</v>
      </c>
      <c r="P99" s="191">
        <f t="shared" si="48"/>
        <v>0.3462764198743164</v>
      </c>
    </row>
    <row r="100" spans="1:16">
      <c r="A100" s="1"/>
      <c r="B100" s="24">
        <f t="shared" si="45"/>
        <v>44926</v>
      </c>
      <c r="C100" s="41">
        <f t="shared" si="46"/>
        <v>-6584.1337443371531</v>
      </c>
      <c r="D100" s="191">
        <f t="shared" ref="D100:O100" si="59">D84/-$C100</f>
        <v>0.15408747607230913</v>
      </c>
      <c r="E100" s="191">
        <f t="shared" si="59"/>
        <v>0</v>
      </c>
      <c r="F100" s="191">
        <f t="shared" si="59"/>
        <v>0</v>
      </c>
      <c r="G100" s="191">
        <f t="shared" si="59"/>
        <v>0</v>
      </c>
      <c r="H100" s="191">
        <f t="shared" si="59"/>
        <v>0</v>
      </c>
      <c r="I100" s="191">
        <f t="shared" si="59"/>
        <v>0</v>
      </c>
      <c r="J100" s="191">
        <f t="shared" si="59"/>
        <v>0</v>
      </c>
      <c r="K100" s="191">
        <f t="shared" si="59"/>
        <v>0</v>
      </c>
      <c r="L100" s="191">
        <f t="shared" si="59"/>
        <v>0</v>
      </c>
      <c r="M100" s="191">
        <f t="shared" si="59"/>
        <v>0</v>
      </c>
      <c r="N100" s="191">
        <f t="shared" si="59"/>
        <v>0</v>
      </c>
      <c r="O100" s="191">
        <f t="shared" si="59"/>
        <v>0</v>
      </c>
      <c r="P100" s="191">
        <f t="shared" si="48"/>
        <v>0.15408747607230913</v>
      </c>
    </row>
    <row r="101" spans="1:16">
      <c r="B101" s="9" t="s">
        <v>167</v>
      </c>
      <c r="C101" s="9"/>
      <c r="D101" s="158">
        <f t="shared" ref="D101:O101" si="60">AVERAGEIFS(D89:D100, D89:D100, "&lt;&gt;"&amp;0)</f>
        <v>0.28213520649496288</v>
      </c>
      <c r="E101" s="158">
        <f t="shared" si="60"/>
        <v>0.61549937955274059</v>
      </c>
      <c r="F101" s="158">
        <f t="shared" si="60"/>
        <v>1.0007727270025302</v>
      </c>
      <c r="G101" s="158">
        <f t="shared" si="60"/>
        <v>1.4599159380635678</v>
      </c>
      <c r="H101" s="158">
        <f t="shared" si="60"/>
        <v>2.0289255350849023</v>
      </c>
      <c r="I101" s="158">
        <f t="shared" si="60"/>
        <v>2.6428762002704116</v>
      </c>
      <c r="J101" s="158">
        <f t="shared" si="60"/>
        <v>3.3582687349623987</v>
      </c>
      <c r="K101" s="158">
        <f t="shared" si="60"/>
        <v>4.3813074640576115</v>
      </c>
      <c r="L101" s="158">
        <f t="shared" si="60"/>
        <v>5.8459671952700063</v>
      </c>
      <c r="M101" s="158">
        <f t="shared" si="60"/>
        <v>7.5445022306545857</v>
      </c>
      <c r="N101" s="158">
        <f t="shared" si="60"/>
        <v>11.665541513210416</v>
      </c>
      <c r="O101" s="158">
        <f t="shared" si="60"/>
        <v>23.486695679581551</v>
      </c>
      <c r="P101" s="98"/>
    </row>
  </sheetData>
  <pageMargins left="0.7" right="0.7" top="0.75" bottom="0.75" header="0.3" footer="0.3"/>
  <pageSetup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596B-243A-43A4-9888-30D15758AB68}">
  <dimension ref="A1:AH30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3.1328125" style="2" customWidth="1"/>
    <col min="2" max="2" width="23.1328125" style="2" customWidth="1"/>
    <col min="3" max="14" width="8.3984375" style="2" customWidth="1"/>
    <col min="15" max="16384" width="9.1328125" style="1"/>
  </cols>
  <sheetData>
    <row r="1" spans="1:34" s="2" customFormat="1">
      <c r="A1" s="2">
        <v>1000</v>
      </c>
      <c r="B1" s="7"/>
    </row>
    <row r="2" spans="1:34" s="2" customFormat="1">
      <c r="B2" s="3" t="s">
        <v>169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71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367" t="s">
        <v>248</v>
      </c>
    </row>
    <row r="3" spans="1:34" s="2" customFormat="1">
      <c r="B3" s="294"/>
      <c r="C3" s="294"/>
      <c r="D3" s="21"/>
      <c r="E3" s="21"/>
      <c r="F3" s="21"/>
      <c r="G3" s="21"/>
      <c r="H3" s="21"/>
      <c r="I3" s="21"/>
      <c r="J3" s="21"/>
      <c r="K3" s="21"/>
      <c r="L3" s="21"/>
      <c r="M3" s="21"/>
      <c r="N3" s="73"/>
      <c r="O3" s="358">
        <f t="shared" ref="O3:AH3" si="0">YEAR(O4)</f>
        <v>2023</v>
      </c>
      <c r="P3" s="359">
        <f t="shared" si="0"/>
        <v>2023</v>
      </c>
      <c r="Q3" s="359">
        <f t="shared" si="0"/>
        <v>2023</v>
      </c>
      <c r="R3" s="359">
        <f t="shared" si="0"/>
        <v>2023</v>
      </c>
      <c r="S3" s="359">
        <f t="shared" si="0"/>
        <v>2024</v>
      </c>
      <c r="T3" s="359">
        <f t="shared" si="0"/>
        <v>2024</v>
      </c>
      <c r="U3" s="359">
        <f t="shared" si="0"/>
        <v>2024</v>
      </c>
      <c r="V3" s="359">
        <f t="shared" si="0"/>
        <v>2024</v>
      </c>
      <c r="W3" s="359">
        <f t="shared" si="0"/>
        <v>2025</v>
      </c>
      <c r="X3" s="359">
        <f t="shared" si="0"/>
        <v>2025</v>
      </c>
      <c r="Y3" s="359">
        <f t="shared" si="0"/>
        <v>2025</v>
      </c>
      <c r="Z3" s="359">
        <f t="shared" si="0"/>
        <v>2025</v>
      </c>
      <c r="AA3" s="359">
        <f t="shared" si="0"/>
        <v>2026</v>
      </c>
      <c r="AB3" s="359">
        <f t="shared" si="0"/>
        <v>2026</v>
      </c>
      <c r="AC3" s="359">
        <f t="shared" si="0"/>
        <v>2026</v>
      </c>
      <c r="AD3" s="359">
        <f t="shared" si="0"/>
        <v>2026</v>
      </c>
      <c r="AE3" s="359">
        <f t="shared" si="0"/>
        <v>2027</v>
      </c>
      <c r="AF3" s="359">
        <f t="shared" si="0"/>
        <v>2027</v>
      </c>
      <c r="AG3" s="359">
        <f t="shared" si="0"/>
        <v>2027</v>
      </c>
      <c r="AH3" s="359">
        <f t="shared" si="0"/>
        <v>2027</v>
      </c>
    </row>
    <row r="4" spans="1:34" s="2" customFormat="1">
      <c r="B4" s="4"/>
      <c r="C4" s="294">
        <v>43921</v>
      </c>
      <c r="D4" s="21">
        <f t="shared" ref="D4:AH4" si="1">EOMONTH(C4, 3)</f>
        <v>44012</v>
      </c>
      <c r="E4" s="21">
        <f t="shared" si="1"/>
        <v>44104</v>
      </c>
      <c r="F4" s="21">
        <f t="shared" si="1"/>
        <v>44196</v>
      </c>
      <c r="G4" s="21">
        <f t="shared" si="1"/>
        <v>44286</v>
      </c>
      <c r="H4" s="21">
        <f t="shared" si="1"/>
        <v>44377</v>
      </c>
      <c r="I4" s="21">
        <f t="shared" si="1"/>
        <v>44469</v>
      </c>
      <c r="J4" s="21">
        <f t="shared" si="1"/>
        <v>44561</v>
      </c>
      <c r="K4" s="21">
        <f t="shared" si="1"/>
        <v>44651</v>
      </c>
      <c r="L4" s="21">
        <f t="shared" si="1"/>
        <v>44742</v>
      </c>
      <c r="M4" s="21">
        <f t="shared" si="1"/>
        <v>44834</v>
      </c>
      <c r="N4" s="73">
        <f t="shared" si="1"/>
        <v>44926</v>
      </c>
      <c r="O4" s="243">
        <f t="shared" si="1"/>
        <v>45016</v>
      </c>
      <c r="P4" s="241">
        <f t="shared" si="1"/>
        <v>45107</v>
      </c>
      <c r="Q4" s="241">
        <f t="shared" si="1"/>
        <v>45199</v>
      </c>
      <c r="R4" s="241">
        <f t="shared" si="1"/>
        <v>45291</v>
      </c>
      <c r="S4" s="241">
        <f t="shared" si="1"/>
        <v>45382</v>
      </c>
      <c r="T4" s="241">
        <f t="shared" si="1"/>
        <v>45473</v>
      </c>
      <c r="U4" s="241">
        <f t="shared" si="1"/>
        <v>45565</v>
      </c>
      <c r="V4" s="241">
        <f t="shared" si="1"/>
        <v>45657</v>
      </c>
      <c r="W4" s="241">
        <f t="shared" si="1"/>
        <v>45747</v>
      </c>
      <c r="X4" s="241">
        <f t="shared" si="1"/>
        <v>45838</v>
      </c>
      <c r="Y4" s="241">
        <f t="shared" si="1"/>
        <v>45930</v>
      </c>
      <c r="Z4" s="241">
        <f t="shared" si="1"/>
        <v>46022</v>
      </c>
      <c r="AA4" s="241">
        <f t="shared" si="1"/>
        <v>46112</v>
      </c>
      <c r="AB4" s="241">
        <f t="shared" si="1"/>
        <v>46203</v>
      </c>
      <c r="AC4" s="241">
        <f t="shared" si="1"/>
        <v>46295</v>
      </c>
      <c r="AD4" s="241">
        <f t="shared" si="1"/>
        <v>46387</v>
      </c>
      <c r="AE4" s="241">
        <f t="shared" si="1"/>
        <v>46477</v>
      </c>
      <c r="AF4" s="241">
        <f t="shared" si="1"/>
        <v>46568</v>
      </c>
      <c r="AG4" s="241">
        <f t="shared" si="1"/>
        <v>46660</v>
      </c>
      <c r="AH4" s="241">
        <f t="shared" si="1"/>
        <v>46752</v>
      </c>
    </row>
    <row r="5" spans="1:34" s="10" customFormat="1">
      <c r="A5" s="5"/>
      <c r="B5" s="16" t="s">
        <v>1</v>
      </c>
      <c r="C5" s="15"/>
      <c r="D5" s="15"/>
      <c r="E5" s="15"/>
      <c r="F5" s="15"/>
      <c r="G5" s="15"/>
      <c r="H5" s="5"/>
      <c r="I5" s="5"/>
      <c r="J5" s="5"/>
      <c r="K5" s="5"/>
      <c r="L5" s="5"/>
      <c r="M5" s="5"/>
      <c r="N5" s="247"/>
      <c r="O5" s="194"/>
    </row>
    <row r="6" spans="1:34">
      <c r="B6" s="24" t="s">
        <v>9</v>
      </c>
      <c r="C6" s="292">
        <f>SUM('Raw Customer ARR'!C2:C422)/1000</f>
        <v>6783.5742499999997</v>
      </c>
      <c r="D6" s="41">
        <f t="shared" ref="D6:N6" si="2">+C11</f>
        <v>8563.9987499999988</v>
      </c>
      <c r="E6" s="41">
        <f t="shared" si="2"/>
        <v>10870.4805</v>
      </c>
      <c r="F6" s="41">
        <f t="shared" si="2"/>
        <v>12868.785999999998</v>
      </c>
      <c r="G6" s="41">
        <f t="shared" si="2"/>
        <v>17227.513749999998</v>
      </c>
      <c r="H6" s="41">
        <f t="shared" si="2"/>
        <v>20583.552749999995</v>
      </c>
      <c r="I6" s="41">
        <f t="shared" si="2"/>
        <v>24832.389999999992</v>
      </c>
      <c r="J6" s="41">
        <f t="shared" si="2"/>
        <v>30936.947999999993</v>
      </c>
      <c r="K6" s="41">
        <f t="shared" si="2"/>
        <v>37345.928749999999</v>
      </c>
      <c r="L6" s="41">
        <f t="shared" si="2"/>
        <v>43417.531750000002</v>
      </c>
      <c r="M6" s="41">
        <f t="shared" si="2"/>
        <v>51674.50475</v>
      </c>
      <c r="N6" s="80">
        <f t="shared" si="2"/>
        <v>59276.025499999996</v>
      </c>
      <c r="O6" s="41">
        <f>+N11</f>
        <v>71551.250249999997</v>
      </c>
      <c r="P6" s="41">
        <f t="shared" ref="P6:AH6" si="3">+O11</f>
        <v>82999.450289999993</v>
      </c>
      <c r="Q6" s="41">
        <f t="shared" si="3"/>
        <v>96279.36233639998</v>
      </c>
      <c r="R6" s="41">
        <f t="shared" si="3"/>
        <v>111684.06031022397</v>
      </c>
      <c r="S6" s="41">
        <f t="shared" si="3"/>
        <v>129553.50995985979</v>
      </c>
      <c r="T6" s="41">
        <f t="shared" si="3"/>
        <v>146395.46625464159</v>
      </c>
      <c r="U6" s="41">
        <f t="shared" si="3"/>
        <v>165426.87686774501</v>
      </c>
      <c r="V6" s="41">
        <f t="shared" si="3"/>
        <v>186932.37086055189</v>
      </c>
      <c r="W6" s="41">
        <f t="shared" si="3"/>
        <v>211233.57907242366</v>
      </c>
      <c r="X6" s="41">
        <f t="shared" si="3"/>
        <v>230244.6011889418</v>
      </c>
      <c r="Y6" s="41">
        <f t="shared" si="3"/>
        <v>250966.61529594654</v>
      </c>
      <c r="Z6" s="41">
        <f t="shared" si="3"/>
        <v>273553.61067258177</v>
      </c>
      <c r="AA6" s="41">
        <f t="shared" si="3"/>
        <v>298173.43563311419</v>
      </c>
      <c r="AB6" s="41">
        <f t="shared" si="3"/>
        <v>316063.84177110106</v>
      </c>
      <c r="AC6" s="41">
        <f t="shared" si="3"/>
        <v>335027.67227736709</v>
      </c>
      <c r="AD6" s="41">
        <f t="shared" si="3"/>
        <v>355129.33261400909</v>
      </c>
      <c r="AE6" s="41">
        <f t="shared" si="3"/>
        <v>376437.09257084964</v>
      </c>
      <c r="AF6" s="41">
        <f t="shared" si="3"/>
        <v>399023.31812510063</v>
      </c>
      <c r="AG6" s="41">
        <f t="shared" si="3"/>
        <v>422964.71721260669</v>
      </c>
      <c r="AH6" s="41">
        <f t="shared" si="3"/>
        <v>448342.60024536302</v>
      </c>
    </row>
    <row r="7" spans="1:34">
      <c r="B7" s="24" t="s">
        <v>5</v>
      </c>
      <c r="C7" s="39" cm="1">
        <f t="array" ref="C7">SUMPRODUCT('Raw Customer ARR'!D$2:D$422 - 'Raw Customer ARR'!C$2:C$422,
--('Raw Customer ARR'!C$2:C$422 = 0), --('Raw Customer ARR'!D$2:D$422 &gt; 0))/unit</f>
        <v>1389.75</v>
      </c>
      <c r="D7" s="39" cm="1">
        <f t="array" ref="D7">SUMPRODUCT('Raw Customer ARR'!E$2:E$422 - 'Raw Customer ARR'!D$2:D$422,
--('Raw Customer ARR'!D$2:D$422 = 0), --('Raw Customer ARR'!E$2:E$422 &gt; 0))/unit</f>
        <v>1457.7</v>
      </c>
      <c r="E7" s="39" cm="1">
        <f t="array" ref="E7">SUMPRODUCT('Raw Customer ARR'!F$2:F$422 - 'Raw Customer ARR'!E$2:E$422,
--('Raw Customer ARR'!E$2:E$422 = 0), --('Raw Customer ARR'!F$2:F$422 &gt; 0))/unit</f>
        <v>1443.9</v>
      </c>
      <c r="F7" s="39" cm="1">
        <f t="array" ref="F7">SUMPRODUCT('Raw Customer ARR'!G$2:G$422 - 'Raw Customer ARR'!F$2:F$422,
--('Raw Customer ARR'!F$2:F$422 = 0), --('Raw Customer ARR'!G$2:G$422 &gt; 0))/unit</f>
        <v>2939.85</v>
      </c>
      <c r="G7" s="39" cm="1">
        <f t="array" ref="G7">SUMPRODUCT('Raw Customer ARR'!H$2:H$422 - 'Raw Customer ARR'!G$2:G$422,
--('Raw Customer ARR'!G$2:G$422 = 0), --('Raw Customer ARR'!H$2:H$422 &gt; 0))/unit</f>
        <v>1869.3</v>
      </c>
      <c r="H7" s="39" cm="1">
        <f t="array" ref="H7">SUMPRODUCT('Raw Customer ARR'!I$2:I$422 - 'Raw Customer ARR'!H$2:H$422,
--('Raw Customer ARR'!H$2:H$422 = 0), --('Raw Customer ARR'!I$2:I$422 &gt; 0))/unit</f>
        <v>2653.5</v>
      </c>
      <c r="I7" s="39" cm="1">
        <f t="array" ref="I7">SUMPRODUCT('Raw Customer ARR'!J$2:J$422 - 'Raw Customer ARR'!I$2:I$422,
--('Raw Customer ARR'!I$2:I$422 = 0), --('Raw Customer ARR'!J$2:J$422 &gt; 0))/unit</f>
        <v>3860.4</v>
      </c>
      <c r="J7" s="39" cm="1">
        <f t="array" ref="J7">SUMPRODUCT('Raw Customer ARR'!K$2:K$422 - 'Raw Customer ARR'!J$2:J$422,
--('Raw Customer ARR'!J$2:J$422 = 0), --('Raw Customer ARR'!K$2:K$422 &gt; 0))/unit</f>
        <v>4150.7250000000004</v>
      </c>
      <c r="K7" s="39" cm="1">
        <f t="array" ref="K7">SUMPRODUCT('Raw Customer ARR'!L$2:L$422 - 'Raw Customer ARR'!K$2:K$422,
--('Raw Customer ARR'!K$2:K$422 = 0), --('Raw Customer ARR'!L$2:L$422 &gt; 0))/unit</f>
        <v>2938.65</v>
      </c>
      <c r="L7" s="39" cm="1">
        <f t="array" ref="L7">SUMPRODUCT('Raw Customer ARR'!M$2:M$422 - 'Raw Customer ARR'!L$2:L$422,
--('Raw Customer ARR'!L$2:L$422 = 0), --('Raw Customer ARR'!M$2:M$422 &gt; 0))/unit</f>
        <v>4775.55</v>
      </c>
      <c r="M7" s="39" cm="1">
        <f t="array" ref="M7">SUMPRODUCT('Raw Customer ARR'!N$2:N$422 - 'Raw Customer ARR'!M$2:M$422,
--('Raw Customer ARR'!M$2:M$422 = 0), --('Raw Customer ARR'!N$2:N$422 &gt; 0))/unit</f>
        <v>4969.3500000000004</v>
      </c>
      <c r="N7" s="74" cm="1">
        <f t="array" ref="N7">SUMPRODUCT('Raw Customer ARR'!O$2:O$422 - 'Raw Customer ARR'!N$2:N$422,
--('Raw Customer ARR'!N$2:N$422 = 0), --('Raw Customer ARR'!O$2:O$422 &gt; 0))/unit</f>
        <v>6157.89</v>
      </c>
      <c r="O7" s="41">
        <f>O15*O$6</f>
        <v>8586.1500299999989</v>
      </c>
      <c r="P7" s="41">
        <f t="shared" ref="P7:AH10" si="4">P15*P$6</f>
        <v>9959.9340347999987</v>
      </c>
      <c r="Q7" s="41">
        <f t="shared" si="4"/>
        <v>11553.523480367998</v>
      </c>
      <c r="R7" s="41">
        <f t="shared" si="4"/>
        <v>13402.087237226875</v>
      </c>
      <c r="S7" s="41">
        <f t="shared" si="4"/>
        <v>12955.35099598598</v>
      </c>
      <c r="T7" s="41">
        <f t="shared" si="4"/>
        <v>14639.54662546416</v>
      </c>
      <c r="U7" s="41">
        <f t="shared" si="4"/>
        <v>16542.687686774501</v>
      </c>
      <c r="V7" s="41">
        <f t="shared" si="4"/>
        <v>18693.237086055189</v>
      </c>
      <c r="W7" s="41">
        <f t="shared" si="4"/>
        <v>16898.686325793893</v>
      </c>
      <c r="X7" s="41">
        <f t="shared" si="4"/>
        <v>18419.568095115344</v>
      </c>
      <c r="Y7" s="41">
        <f t="shared" si="4"/>
        <v>20077.329223675722</v>
      </c>
      <c r="Z7" s="41">
        <f t="shared" si="4"/>
        <v>21884.288853806542</v>
      </c>
      <c r="AA7" s="41">
        <f t="shared" si="4"/>
        <v>17890.406137986851</v>
      </c>
      <c r="AB7" s="41">
        <f t="shared" si="4"/>
        <v>18963.830506266062</v>
      </c>
      <c r="AC7" s="41">
        <f t="shared" si="4"/>
        <v>20101.660336642024</v>
      </c>
      <c r="AD7" s="41">
        <f t="shared" si="4"/>
        <v>21307.759956840546</v>
      </c>
      <c r="AE7" s="41">
        <f t="shared" si="4"/>
        <v>22586.225554250977</v>
      </c>
      <c r="AF7" s="41">
        <f t="shared" si="4"/>
        <v>23941.399087506037</v>
      </c>
      <c r="AG7" s="41">
        <f t="shared" si="4"/>
        <v>25377.883032756399</v>
      </c>
      <c r="AH7" s="41">
        <f t="shared" si="4"/>
        <v>26900.55601472178</v>
      </c>
    </row>
    <row r="8" spans="1:34">
      <c r="B8" s="24" t="s">
        <v>6</v>
      </c>
      <c r="C8" s="39" cm="1">
        <f t="array" ref="C8">SUMPRODUCT('Raw Customer ARR'!D$2:D$422 - 'Raw Customer ARR'!C$2:C$422,
--('Raw Customer ARR'!C$2:C$422 &gt; 0), --('Raw Customer ARR'!D$2:D$422 &gt; 'Raw Customer ARR'!C$2:C$422))/unit</f>
        <v>575.678</v>
      </c>
      <c r="D8" s="39" cm="1">
        <f t="array" ref="D8">SUMPRODUCT('Raw Customer ARR'!E$2:E$422 - 'Raw Customer ARR'!D$2:D$422,
--('Raw Customer ARR'!D$2:D$422 &gt; 0), --('Raw Customer ARR'!E$2:E$422 &gt; 'Raw Customer ARR'!D$2:D$422))/unit</f>
        <v>994.19100000000003</v>
      </c>
      <c r="E8" s="39" cm="1">
        <f t="array" ref="E8">SUMPRODUCT('Raw Customer ARR'!F$2:F$422 - 'Raw Customer ARR'!E$2:E$422,
--('Raw Customer ARR'!E$2:E$422 &gt; 0), --('Raw Customer ARR'!F$2:F$422 &gt; 'Raw Customer ARR'!E$2:E$422))/unit</f>
        <v>955.39324999999997</v>
      </c>
      <c r="F8" s="39" cm="1">
        <f t="array" ref="F8">SUMPRODUCT('Raw Customer ARR'!G$2:G$422 - 'Raw Customer ARR'!F$2:F$422,
--('Raw Customer ARR'!F$2:F$422 &gt; 0), --('Raw Customer ARR'!G$2:G$422 &gt; 'Raw Customer ARR'!F$2:F$422))/unit</f>
        <v>1583.759</v>
      </c>
      <c r="G8" s="39" cm="1">
        <f t="array" ref="G8">SUMPRODUCT('Raw Customer ARR'!H$2:H$422 - 'Raw Customer ARR'!G$2:G$422,
--('Raw Customer ARR'!G$2:G$422 &gt; 0), --('Raw Customer ARR'!H$2:H$422 &gt; 'Raw Customer ARR'!G$2:G$422))/unit</f>
        <v>1911.3585</v>
      </c>
      <c r="H8" s="39" cm="1">
        <f t="array" ref="H8">SUMPRODUCT('Raw Customer ARR'!I$2:I$422 - 'Raw Customer ARR'!H$2:H$422,
--('Raw Customer ARR'!H$2:H$422 &gt; 0), --('Raw Customer ARR'!I$2:I$422 &gt; 'Raw Customer ARR'!H$2:H$422))/unit</f>
        <v>2160.4279999999999</v>
      </c>
      <c r="I8" s="39" cm="1">
        <f t="array" ref="I8">SUMPRODUCT('Raw Customer ARR'!J$2:J$422 - 'Raw Customer ARR'!I$2:I$422,
--('Raw Customer ARR'!I$2:I$422 &gt; 0), --('Raw Customer ARR'!J$2:J$422 &gt; 'Raw Customer ARR'!I$2:I$422))/unit</f>
        <v>2432.29025</v>
      </c>
      <c r="J8" s="39" cm="1">
        <f t="array" ref="J8">SUMPRODUCT('Raw Customer ARR'!K$2:K$422 - 'Raw Customer ARR'!J$2:J$422,
--('Raw Customer ARR'!J$2:J$422 &gt; 0), --('Raw Customer ARR'!K$2:K$422 &gt; 'Raw Customer ARR'!J$2:J$422))/unit</f>
        <v>2840.8577500000001</v>
      </c>
      <c r="K8" s="39" cm="1">
        <f t="array" ref="K8">SUMPRODUCT('Raw Customer ARR'!L$2:L$422 - 'Raw Customer ARR'!K$2:K$422,
--('Raw Customer ARR'!K$2:K$422 &gt; 0), --('Raw Customer ARR'!L$2:L$422 &gt; 'Raw Customer ARR'!K$2:K$422))/unit</f>
        <v>4008.8319999999999</v>
      </c>
      <c r="L8" s="39" cm="1">
        <f t="array" ref="L8">SUMPRODUCT('Raw Customer ARR'!M$2:M$422 - 'Raw Customer ARR'!L$2:L$422,
--('Raw Customer ARR'!L$2:L$422 &gt; 0), --('Raw Customer ARR'!M$2:M$422 &gt; 'Raw Customer ARR'!L$2:L$422))/unit</f>
        <v>4671.8969999999999</v>
      </c>
      <c r="M8" s="39" cm="1">
        <f t="array" ref="M8">SUMPRODUCT('Raw Customer ARR'!N$2:N$422 - 'Raw Customer ARR'!M$2:M$422,
--('Raw Customer ARR'!M$2:M$422 &gt; 0), --('Raw Customer ARR'!N$2:N$422 &gt; 'Raw Customer ARR'!M$2:M$422))/unit</f>
        <v>4734.5702499999998</v>
      </c>
      <c r="N8" s="74" cm="1">
        <f t="array" ref="N8">SUMPRODUCT('Raw Customer ARR'!O$2:O$422 - 'Raw Customer ARR'!N$2:N$422,
--('Raw Customer ARR'!N$2:N$422 &gt; 0), --('Raw Customer ARR'!O$2:O$422 &gt; 'Raw Customer ARR'!N$2:N$422))/unit</f>
        <v>7403.5810000000001</v>
      </c>
      <c r="O8" s="41">
        <f t="shared" ref="O8:AD10" si="5">O16*O$6</f>
        <v>5724.1000199999999</v>
      </c>
      <c r="P8" s="41">
        <f t="shared" si="5"/>
        <v>6639.9560231999994</v>
      </c>
      <c r="Q8" s="41">
        <f t="shared" si="5"/>
        <v>7702.3489869119985</v>
      </c>
      <c r="R8" s="41">
        <f t="shared" si="5"/>
        <v>8934.7248248179185</v>
      </c>
      <c r="S8" s="41">
        <f t="shared" si="5"/>
        <v>9068.7456971901865</v>
      </c>
      <c r="T8" s="41">
        <f t="shared" si="5"/>
        <v>10247.682637824912</v>
      </c>
      <c r="U8" s="41">
        <f t="shared" si="5"/>
        <v>11579.881380742152</v>
      </c>
      <c r="V8" s="41">
        <f t="shared" si="5"/>
        <v>13085.265960238634</v>
      </c>
      <c r="W8" s="41">
        <f t="shared" si="5"/>
        <v>10561.678953621184</v>
      </c>
      <c r="X8" s="41">
        <f t="shared" si="5"/>
        <v>11512.230059447091</v>
      </c>
      <c r="Y8" s="41">
        <f t="shared" si="5"/>
        <v>12548.330764797327</v>
      </c>
      <c r="Z8" s="41">
        <f t="shared" si="5"/>
        <v>13677.680533629089</v>
      </c>
      <c r="AA8" s="41">
        <f t="shared" si="5"/>
        <v>11926.937425324568</v>
      </c>
      <c r="AB8" s="41">
        <f t="shared" si="5"/>
        <v>12642.553670844043</v>
      </c>
      <c r="AC8" s="41">
        <f t="shared" si="5"/>
        <v>13401.106891094683</v>
      </c>
      <c r="AD8" s="41">
        <f t="shared" si="5"/>
        <v>14205.173304560363</v>
      </c>
      <c r="AE8" s="41">
        <f t="shared" si="4"/>
        <v>15057.483702833986</v>
      </c>
      <c r="AF8" s="41">
        <f t="shared" si="4"/>
        <v>15960.932725004026</v>
      </c>
      <c r="AG8" s="41">
        <f t="shared" si="4"/>
        <v>16918.588688504267</v>
      </c>
      <c r="AH8" s="41">
        <f t="shared" si="4"/>
        <v>17933.704009814523</v>
      </c>
    </row>
    <row r="9" spans="1:34">
      <c r="B9" s="24" t="s">
        <v>7</v>
      </c>
      <c r="C9" s="39" cm="1">
        <f t="array" ref="C9">SUMPRODUCT('Raw Customer ARR'!D$2:D$422 - 'Raw Customer ARR'!C$2:C$422,
--('Raw Customer ARR'!C$2:C$422 &gt; 0), --('Raw Customer ARR'!D$2:D$422 &lt; 'Raw Customer ARR'!C$2:C$422), --('Raw Customer ARR'!D$2:D$422 &gt; 0))/unit</f>
        <v>-116.0035</v>
      </c>
      <c r="D9" s="39" cm="1">
        <f t="array" ref="D9">SUMPRODUCT('Raw Customer ARR'!E$2:E$422 - 'Raw Customer ARR'!D$2:D$422,
--('Raw Customer ARR'!D$2:D$422 &gt; 0), --('Raw Customer ARR'!E$2:E$422 &lt; 'Raw Customer ARR'!D$2:D$422), --('Raw Customer ARR'!E$2:E$422 &gt; 0))/unit</f>
        <v>-145.40924999999999</v>
      </c>
      <c r="E9" s="39" cm="1">
        <f t="array" ref="E9">SUMPRODUCT('Raw Customer ARR'!F$2:F$422 - 'Raw Customer ARR'!E$2:E$422,
--('Raw Customer ARR'!E$2:E$422 &gt; 0), --('Raw Customer ARR'!F$2:F$422 &lt; 'Raw Customer ARR'!E$2:E$422), --('Raw Customer ARR'!F$2:F$422 &gt; 0))/unit</f>
        <v>-189.91524999999999</v>
      </c>
      <c r="F9" s="39" cm="1">
        <f t="array" ref="F9">SUMPRODUCT('Raw Customer ARR'!G$2:G$422 - 'Raw Customer ARR'!F$2:F$422,
--('Raw Customer ARR'!F$2:F$422 &gt; 0), --('Raw Customer ARR'!G$2:G$422 &lt; 'Raw Customer ARR'!F$2:F$422), --('Raw Customer ARR'!G$2:G$422 &gt; 0))/unit</f>
        <v>-164.88124999999999</v>
      </c>
      <c r="G9" s="39" cm="1">
        <f t="array" ref="G9">SUMPRODUCT('Raw Customer ARR'!H$2:H$422 - 'Raw Customer ARR'!G$2:G$422,
--('Raw Customer ARR'!G$2:G$422 &gt; 0), --('Raw Customer ARR'!H$2:H$422 &lt; 'Raw Customer ARR'!G$2:G$422), --('Raw Customer ARR'!H$2:H$422 &gt; 0))/unit</f>
        <v>-208.328</v>
      </c>
      <c r="H9" s="39" cm="1">
        <f t="array" ref="H9">SUMPRODUCT('Raw Customer ARR'!I$2:I$422 - 'Raw Customer ARR'!H$2:H$422,
--('Raw Customer ARR'!H$2:H$422 &gt; 0), --('Raw Customer ARR'!I$2:I$422 &lt; 'Raw Customer ARR'!H$2:H$422), --('Raw Customer ARR'!I$2:I$422 &gt; 0))/unit</f>
        <v>-403.57425000000001</v>
      </c>
      <c r="I9" s="39" cm="1">
        <f t="array" ref="I9">SUMPRODUCT('Raw Customer ARR'!J$2:J$422 - 'Raw Customer ARR'!I$2:I$422,
--('Raw Customer ARR'!I$2:I$422 &gt; 0), --('Raw Customer ARR'!J$2:J$422 &lt; 'Raw Customer ARR'!I$2:I$422), --('Raw Customer ARR'!J$2:J$422 &gt; 0))/unit</f>
        <v>-188.13225</v>
      </c>
      <c r="J9" s="39" cm="1">
        <f t="array" ref="J9">SUMPRODUCT('Raw Customer ARR'!K$2:K$422 - 'Raw Customer ARR'!J$2:J$422,
--('Raw Customer ARR'!J$2:J$422 &gt; 0), --('Raw Customer ARR'!K$2:K$422 &lt; 'Raw Customer ARR'!J$2:J$422), --('Raw Customer ARR'!K$2:K$422 &gt; 0))/unit</f>
        <v>-271.31824999999998</v>
      </c>
      <c r="K9" s="39" cm="1">
        <f t="array" ref="K9">SUMPRODUCT('Raw Customer ARR'!L$2:L$422 - 'Raw Customer ARR'!K$2:K$422,
--('Raw Customer ARR'!K$2:K$422 &gt; 0), --('Raw Customer ARR'!L$2:L$422 &lt; 'Raw Customer ARR'!K$2:K$422), --('Raw Customer ARR'!L$2:L$422 &gt; 0))/unit</f>
        <v>-379.44450000000001</v>
      </c>
      <c r="L9" s="39" cm="1">
        <f t="array" ref="L9">SUMPRODUCT('Raw Customer ARR'!M$2:M$422 - 'Raw Customer ARR'!L$2:L$422,
--('Raw Customer ARR'!L$2:L$422 &gt; 0), --('Raw Customer ARR'!M$2:M$422 &lt; 'Raw Customer ARR'!L$2:L$422), --('Raw Customer ARR'!M$2:M$422 &gt; 0))/unit</f>
        <v>-407.09750000000003</v>
      </c>
      <c r="M9" s="39" cm="1">
        <f t="array" ref="M9">SUMPRODUCT('Raw Customer ARR'!N$2:N$422 - 'Raw Customer ARR'!M$2:M$422,
--('Raw Customer ARR'!M$2:M$422 &gt; 0), --('Raw Customer ARR'!N$2:N$422 &lt; 'Raw Customer ARR'!M$2:M$422), --('Raw Customer ARR'!N$2:N$422 &gt; 0))/unit</f>
        <v>-880.04100000000005</v>
      </c>
      <c r="N9" s="74" cm="1">
        <f t="array" ref="N9">SUMPRODUCT('Raw Customer ARR'!O$2:O$422 - 'Raw Customer ARR'!N$2:N$422,
--('Raw Customer ARR'!N$2:N$422 &gt; 0), --('Raw Customer ARR'!O$2:O$422 &lt; 'Raw Customer ARR'!N$2:N$422), --('Raw Customer ARR'!O$2:O$422 &gt; 0))/unit</f>
        <v>-556.12474999999995</v>
      </c>
      <c r="O9" s="41">
        <f t="shared" si="5"/>
        <v>-1431.025005</v>
      </c>
      <c r="P9" s="41">
        <f t="shared" si="4"/>
        <v>-1659.9890057999999</v>
      </c>
      <c r="Q9" s="41">
        <f t="shared" si="4"/>
        <v>-1925.5872467279996</v>
      </c>
      <c r="R9" s="41">
        <f t="shared" si="4"/>
        <v>-2233.6812062044796</v>
      </c>
      <c r="S9" s="41">
        <f t="shared" si="4"/>
        <v>-2591.070199197196</v>
      </c>
      <c r="T9" s="41">
        <f t="shared" si="4"/>
        <v>-2927.9093250928318</v>
      </c>
      <c r="U9" s="41">
        <f t="shared" si="4"/>
        <v>-3308.5375373549005</v>
      </c>
      <c r="V9" s="41">
        <f t="shared" si="4"/>
        <v>-3738.6474172110379</v>
      </c>
      <c r="W9" s="41">
        <f t="shared" si="4"/>
        <v>-4224.6715814484733</v>
      </c>
      <c r="X9" s="41">
        <f t="shared" si="4"/>
        <v>-4604.8920237788361</v>
      </c>
      <c r="Y9" s="41">
        <f t="shared" si="4"/>
        <v>-5019.3323059189306</v>
      </c>
      <c r="Z9" s="41">
        <f t="shared" si="4"/>
        <v>-5471.0722134516354</v>
      </c>
      <c r="AA9" s="41">
        <f t="shared" si="4"/>
        <v>-5963.4687126622839</v>
      </c>
      <c r="AB9" s="41">
        <f t="shared" si="4"/>
        <v>-6321.2768354220216</v>
      </c>
      <c r="AC9" s="41">
        <f t="shared" si="4"/>
        <v>-6700.5534455473417</v>
      </c>
      <c r="AD9" s="41">
        <f t="shared" si="4"/>
        <v>-7102.5866522801816</v>
      </c>
      <c r="AE9" s="41">
        <f t="shared" si="4"/>
        <v>-7528.7418514169931</v>
      </c>
      <c r="AF9" s="41">
        <f t="shared" si="4"/>
        <v>-7980.466362502013</v>
      </c>
      <c r="AG9" s="41">
        <f t="shared" si="4"/>
        <v>-8459.2943442521337</v>
      </c>
      <c r="AH9" s="41">
        <f t="shared" si="4"/>
        <v>-8966.8520049072613</v>
      </c>
    </row>
    <row r="10" spans="1:34">
      <c r="B10" s="24" t="s">
        <v>8</v>
      </c>
      <c r="C10" s="39" cm="1">
        <f t="array" ref="C10">SUMPRODUCT('Raw Customer ARR'!D$2:D$422 - 'Raw Customer ARR'!C$2:C$422,
--('Raw Customer ARR'!C$2:C$422 &gt; 0), --('Raw Customer ARR'!D$2:D$422 = 0))/unit</f>
        <v>-69</v>
      </c>
      <c r="D10" s="39" cm="1">
        <f t="array" ref="D10">SUMPRODUCT('Raw Customer ARR'!E$2:E$422 - 'Raw Customer ARR'!D$2:D$422,
--('Raw Customer ARR'!D$2:D$422 &gt; 0), --('Raw Customer ARR'!E$2:E$422 = 0))/unit</f>
        <v>0</v>
      </c>
      <c r="E10" s="39" cm="1">
        <f t="array" ref="E10">SUMPRODUCT('Raw Customer ARR'!F$2:F$422 - 'Raw Customer ARR'!E$2:E$422,
--('Raw Customer ARR'!E$2:E$422 &gt; 0), --('Raw Customer ARR'!F$2:F$422 = 0))/unit</f>
        <v>-211.07249999999999</v>
      </c>
      <c r="F10" s="39" cm="1">
        <f t="array" ref="F10">SUMPRODUCT('Raw Customer ARR'!G$2:G$422 - 'Raw Customer ARR'!F$2:F$422,
--('Raw Customer ARR'!F$2:F$422 &gt; 0), --('Raw Customer ARR'!G$2:G$422 = 0))/unit</f>
        <v>0</v>
      </c>
      <c r="G10" s="39" cm="1">
        <f t="array" ref="G10">SUMPRODUCT('Raw Customer ARR'!H$2:H$422 - 'Raw Customer ARR'!G$2:G$422,
--('Raw Customer ARR'!G$2:G$422 &gt; 0), --('Raw Customer ARR'!H$2:H$422 = 0))/unit</f>
        <v>-216.29150000000001</v>
      </c>
      <c r="H10" s="39" cm="1">
        <f t="array" ref="H10">SUMPRODUCT('Raw Customer ARR'!I$2:I$422 - 'Raw Customer ARR'!H$2:H$422,
--('Raw Customer ARR'!H$2:H$422 &gt; 0), --('Raw Customer ARR'!I$2:I$422 = 0))/unit</f>
        <v>-161.51650000000001</v>
      </c>
      <c r="I10" s="39" cm="1">
        <f t="array" ref="I10">SUMPRODUCT('Raw Customer ARR'!J$2:J$422 - 'Raw Customer ARR'!I$2:I$422,
--('Raw Customer ARR'!I$2:I$422 &gt; 0), --('Raw Customer ARR'!J$2:J$422 = 0))/unit</f>
        <v>0</v>
      </c>
      <c r="J10" s="39" cm="1">
        <f t="array" ref="J10">SUMPRODUCT('Raw Customer ARR'!K$2:K$422 - 'Raw Customer ARR'!J$2:J$422,
--('Raw Customer ARR'!J$2:J$422 &gt; 0), --('Raw Customer ARR'!K$2:K$422 = 0))/unit</f>
        <v>-311.28375</v>
      </c>
      <c r="K10" s="39" cm="1">
        <f t="array" ref="K10">SUMPRODUCT('Raw Customer ARR'!L$2:L$422 - 'Raw Customer ARR'!K$2:K$422,
--('Raw Customer ARR'!K$2:K$422 &gt; 0), --('Raw Customer ARR'!L$2:L$422 = 0))/unit</f>
        <v>-496.43450000000001</v>
      </c>
      <c r="L10" s="39" cm="1">
        <f t="array" ref="L10">SUMPRODUCT('Raw Customer ARR'!M$2:M$422 - 'Raw Customer ARR'!L$2:L$422,
--('Raw Customer ARR'!L$2:L$422 &gt; 0), --('Raw Customer ARR'!M$2:M$422 = 0))/unit</f>
        <v>-783.37649999999996</v>
      </c>
      <c r="M10" s="39" cm="1">
        <f t="array" ref="M10">SUMPRODUCT('Raw Customer ARR'!N$2:N$422 - 'Raw Customer ARR'!M$2:M$422,
--('Raw Customer ARR'!M$2:M$422 &gt; 0), --('Raw Customer ARR'!N$2:N$422 = 0))/unit</f>
        <v>-1222.3585</v>
      </c>
      <c r="N10" s="74" cm="1">
        <f t="array" ref="N10">SUMPRODUCT('Raw Customer ARR'!O$2:O$422 - 'Raw Customer ARR'!N$2:N$422,
--('Raw Customer ARR'!N$2:N$422 &gt; 0), --('Raw Customer ARR'!O$2:O$422 = 0))/unit</f>
        <v>-730.12149999999997</v>
      </c>
      <c r="O10" s="41">
        <f t="shared" si="5"/>
        <v>-1431.025005</v>
      </c>
      <c r="P10" s="41">
        <f t="shared" si="4"/>
        <v>-1659.9890057999999</v>
      </c>
      <c r="Q10" s="41">
        <f t="shared" si="4"/>
        <v>-1925.5872467279996</v>
      </c>
      <c r="R10" s="41">
        <f t="shared" si="4"/>
        <v>-2233.6812062044796</v>
      </c>
      <c r="S10" s="41">
        <f t="shared" si="4"/>
        <v>-2591.070199197196</v>
      </c>
      <c r="T10" s="41">
        <f t="shared" si="4"/>
        <v>-2927.9093250928318</v>
      </c>
      <c r="U10" s="41">
        <f t="shared" si="4"/>
        <v>-3308.5375373549005</v>
      </c>
      <c r="V10" s="41">
        <f t="shared" si="4"/>
        <v>-3738.6474172110379</v>
      </c>
      <c r="W10" s="41">
        <f t="shared" si="4"/>
        <v>-4224.6715814484733</v>
      </c>
      <c r="X10" s="41">
        <f t="shared" si="4"/>
        <v>-4604.8920237788361</v>
      </c>
      <c r="Y10" s="41">
        <f t="shared" si="4"/>
        <v>-5019.3323059189306</v>
      </c>
      <c r="Z10" s="41">
        <f t="shared" si="4"/>
        <v>-5471.0722134516354</v>
      </c>
      <c r="AA10" s="41">
        <f t="shared" si="4"/>
        <v>-5963.4687126622839</v>
      </c>
      <c r="AB10" s="41">
        <f t="shared" si="4"/>
        <v>-6321.2768354220216</v>
      </c>
      <c r="AC10" s="41">
        <f t="shared" si="4"/>
        <v>-6700.5534455473417</v>
      </c>
      <c r="AD10" s="41">
        <f t="shared" si="4"/>
        <v>-7102.5866522801816</v>
      </c>
      <c r="AE10" s="41">
        <f t="shared" si="4"/>
        <v>-7528.7418514169931</v>
      </c>
      <c r="AF10" s="41">
        <f t="shared" si="4"/>
        <v>-7980.466362502013</v>
      </c>
      <c r="AG10" s="41">
        <f t="shared" si="4"/>
        <v>-8459.2943442521337</v>
      </c>
      <c r="AH10" s="41">
        <f t="shared" si="4"/>
        <v>-8966.8520049072613</v>
      </c>
    </row>
    <row r="11" spans="1:34">
      <c r="B11" s="9" t="s">
        <v>10</v>
      </c>
      <c r="C11" s="22">
        <f t="shared" ref="C11:N11" si="6">SUM(C6:C10)</f>
        <v>8563.9987499999988</v>
      </c>
      <c r="D11" s="22">
        <f t="shared" si="6"/>
        <v>10870.4805</v>
      </c>
      <c r="E11" s="22">
        <f t="shared" si="6"/>
        <v>12868.785999999998</v>
      </c>
      <c r="F11" s="22">
        <f t="shared" si="6"/>
        <v>17227.513749999998</v>
      </c>
      <c r="G11" s="22">
        <f t="shared" si="6"/>
        <v>20583.552749999995</v>
      </c>
      <c r="H11" s="22">
        <f t="shared" si="6"/>
        <v>24832.389999999992</v>
      </c>
      <c r="I11" s="22">
        <f t="shared" si="6"/>
        <v>30936.947999999993</v>
      </c>
      <c r="J11" s="22">
        <f t="shared" si="6"/>
        <v>37345.928749999999</v>
      </c>
      <c r="K11" s="22">
        <f t="shared" si="6"/>
        <v>43417.531750000002</v>
      </c>
      <c r="L11" s="22">
        <f t="shared" si="6"/>
        <v>51674.50475</v>
      </c>
      <c r="M11" s="22">
        <f t="shared" si="6"/>
        <v>59276.025499999996</v>
      </c>
      <c r="N11" s="78">
        <f t="shared" si="6"/>
        <v>71551.250249999997</v>
      </c>
      <c r="O11" s="22">
        <f>SUM(O6:O10)</f>
        <v>82999.450289999993</v>
      </c>
      <c r="P11" s="22">
        <f t="shared" ref="P11:AH11" si="7">SUM(P6:P10)</f>
        <v>96279.36233639998</v>
      </c>
      <c r="Q11" s="22">
        <f t="shared" si="7"/>
        <v>111684.06031022397</v>
      </c>
      <c r="R11" s="22">
        <f t="shared" si="7"/>
        <v>129553.50995985979</v>
      </c>
      <c r="S11" s="22">
        <f t="shared" si="7"/>
        <v>146395.46625464159</v>
      </c>
      <c r="T11" s="22">
        <f t="shared" si="7"/>
        <v>165426.87686774501</v>
      </c>
      <c r="U11" s="22">
        <f t="shared" si="7"/>
        <v>186932.37086055189</v>
      </c>
      <c r="V11" s="22">
        <f t="shared" si="7"/>
        <v>211233.57907242366</v>
      </c>
      <c r="W11" s="22">
        <f t="shared" si="7"/>
        <v>230244.6011889418</v>
      </c>
      <c r="X11" s="22">
        <f t="shared" si="7"/>
        <v>250966.61529594654</v>
      </c>
      <c r="Y11" s="22">
        <f t="shared" si="7"/>
        <v>273553.61067258177</v>
      </c>
      <c r="Z11" s="22">
        <f t="shared" si="7"/>
        <v>298173.43563311419</v>
      </c>
      <c r="AA11" s="22">
        <f t="shared" si="7"/>
        <v>316063.84177110106</v>
      </c>
      <c r="AB11" s="22">
        <f t="shared" si="7"/>
        <v>335027.67227736709</v>
      </c>
      <c r="AC11" s="22">
        <f t="shared" si="7"/>
        <v>355129.33261400909</v>
      </c>
      <c r="AD11" s="22">
        <f t="shared" si="7"/>
        <v>376437.09257084964</v>
      </c>
      <c r="AE11" s="22">
        <f t="shared" si="7"/>
        <v>399023.31812510063</v>
      </c>
      <c r="AF11" s="22">
        <f t="shared" si="7"/>
        <v>422964.71721260669</v>
      </c>
      <c r="AG11" s="22">
        <f t="shared" si="7"/>
        <v>448342.60024536302</v>
      </c>
      <c r="AH11" s="22">
        <f t="shared" si="7"/>
        <v>475243.15626008483</v>
      </c>
    </row>
    <row r="12" spans="1:34">
      <c r="B12" s="7" t="s">
        <v>11</v>
      </c>
      <c r="C12" s="13">
        <f>(SUM('Raw Customer ARR'!D2:D422)/unit)-C11</f>
        <v>0</v>
      </c>
      <c r="D12" s="293">
        <f>(SUM('Raw Customer ARR'!E2:E422)/unit)-D11</f>
        <v>0</v>
      </c>
      <c r="E12" s="13">
        <f>(SUM('Raw Customer ARR'!F2:F422)/unit)-E11</f>
        <v>0</v>
      </c>
      <c r="F12" s="13">
        <f>(SUM('Raw Customer ARR'!G2:G422)/unit)-F11</f>
        <v>0</v>
      </c>
      <c r="G12" s="13">
        <f>(SUM('Raw Customer ARR'!H2:H422)/unit)-G11</f>
        <v>0</v>
      </c>
      <c r="H12" s="13">
        <f>(SUM('Raw Customer ARR'!I2:I422)/unit)-H11</f>
        <v>0</v>
      </c>
      <c r="I12" s="13">
        <f>(SUM('Raw Customer ARR'!J2:J422)/unit)-I11</f>
        <v>0</v>
      </c>
      <c r="J12" s="13">
        <f>(SUM('Raw Customer ARR'!K2:K422)/unit)-J11</f>
        <v>0</v>
      </c>
      <c r="K12" s="13">
        <f>(SUM('Raw Customer ARR'!L2:L422)/unit)-K11</f>
        <v>0</v>
      </c>
      <c r="L12" s="13">
        <f>(SUM('Raw Customer ARR'!M2:M422)/unit)-L11</f>
        <v>0</v>
      </c>
      <c r="M12" s="13">
        <f>(SUM('Raw Customer ARR'!N2:N422)/unit)-M11</f>
        <v>0</v>
      </c>
      <c r="N12" s="248">
        <f>(SUM('Raw Customer ARR'!O2:O422)/unit)-N11</f>
        <v>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>
      <c r="B13" s="7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248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>
      <c r="B14" s="7" t="s">
        <v>25</v>
      </c>
      <c r="C14" s="304">
        <f t="shared" ref="C14" si="8">SUM(C6,C8,C9,C10)/C6</f>
        <v>1.057591246974263</v>
      </c>
      <c r="D14" s="304">
        <f t="shared" ref="D14:AH14" si="9">SUM(D6,D8,D9,D10)/D6</f>
        <v>1.0991104476749252</v>
      </c>
      <c r="E14" s="304">
        <f t="shared" si="9"/>
        <v>1.0510010114088333</v>
      </c>
      <c r="F14" s="304">
        <f t="shared" si="9"/>
        <v>1.1102573117619641</v>
      </c>
      <c r="G14" s="304">
        <f t="shared" si="9"/>
        <v>1.0863002648887741</v>
      </c>
      <c r="H14" s="304">
        <f t="shared" si="9"/>
        <v>1.0775054369562125</v>
      </c>
      <c r="I14" s="304">
        <f t="shared" si="9"/>
        <v>1.0903722114544754</v>
      </c>
      <c r="J14" s="304">
        <f t="shared" si="9"/>
        <v>1.0729954276679134</v>
      </c>
      <c r="K14" s="304">
        <f t="shared" si="9"/>
        <v>1.0838900813251298</v>
      </c>
      <c r="L14" s="304">
        <f t="shared" si="9"/>
        <v>1.080184728603325</v>
      </c>
      <c r="M14" s="304">
        <f t="shared" si="9"/>
        <v>1.0509375128554086</v>
      </c>
      <c r="N14" s="307">
        <f t="shared" si="9"/>
        <v>1.1032008252645076</v>
      </c>
      <c r="O14" s="304">
        <f t="shared" si="9"/>
        <v>1.0399999999999998</v>
      </c>
      <c r="P14" s="304">
        <f t="shared" si="9"/>
        <v>1.0399999999999998</v>
      </c>
      <c r="Q14" s="304">
        <f t="shared" si="9"/>
        <v>1.04</v>
      </c>
      <c r="R14" s="304">
        <f t="shared" si="9"/>
        <v>1.04</v>
      </c>
      <c r="S14" s="304">
        <f t="shared" si="9"/>
        <v>1.03</v>
      </c>
      <c r="T14" s="304">
        <f t="shared" si="9"/>
        <v>1.03</v>
      </c>
      <c r="U14" s="304">
        <f t="shared" si="9"/>
        <v>1.0300000000000002</v>
      </c>
      <c r="V14" s="304">
        <f t="shared" si="9"/>
        <v>1.03</v>
      </c>
      <c r="W14" s="304">
        <f t="shared" si="9"/>
        <v>1.01</v>
      </c>
      <c r="X14" s="304">
        <f t="shared" si="9"/>
        <v>1.01</v>
      </c>
      <c r="Y14" s="304">
        <f t="shared" si="9"/>
        <v>1.01</v>
      </c>
      <c r="Z14" s="304">
        <f t="shared" si="9"/>
        <v>1.0100000000000002</v>
      </c>
      <c r="AA14" s="304">
        <f t="shared" si="9"/>
        <v>1</v>
      </c>
      <c r="AB14" s="304">
        <f t="shared" si="9"/>
        <v>1</v>
      </c>
      <c r="AC14" s="304">
        <f t="shared" si="9"/>
        <v>1</v>
      </c>
      <c r="AD14" s="304">
        <f t="shared" si="9"/>
        <v>1</v>
      </c>
      <c r="AE14" s="304">
        <f t="shared" si="9"/>
        <v>1</v>
      </c>
      <c r="AF14" s="304">
        <f t="shared" si="9"/>
        <v>1</v>
      </c>
      <c r="AG14" s="304">
        <f t="shared" si="9"/>
        <v>0.99999999999999989</v>
      </c>
      <c r="AH14" s="304">
        <f t="shared" si="9"/>
        <v>1</v>
      </c>
    </row>
    <row r="15" spans="1:34">
      <c r="B15" s="7" t="s">
        <v>29</v>
      </c>
      <c r="C15" s="304">
        <f t="shared" ref="C15" si="10">+C7/C$6</f>
        <v>0.20486987372475507</v>
      </c>
      <c r="D15" s="304">
        <f t="shared" ref="D15:N15" si="11">+D7/D$6</f>
        <v>0.17021254235937391</v>
      </c>
      <c r="E15" s="304">
        <f t="shared" si="11"/>
        <v>0.13282761511784141</v>
      </c>
      <c r="F15" s="304">
        <f t="shared" si="11"/>
        <v>0.22844812245692797</v>
      </c>
      <c r="G15" s="304">
        <f t="shared" si="11"/>
        <v>0.10850666132830689</v>
      </c>
      <c r="H15" s="304">
        <f t="shared" si="11"/>
        <v>0.12891360554848824</v>
      </c>
      <c r="I15" s="304">
        <f t="shared" si="11"/>
        <v>0.15545825432026483</v>
      </c>
      <c r="J15" s="304">
        <f t="shared" si="11"/>
        <v>0.13416724235370603</v>
      </c>
      <c r="K15" s="304">
        <f t="shared" si="11"/>
        <v>7.8687291984939595E-2</v>
      </c>
      <c r="L15" s="304">
        <f t="shared" si="11"/>
        <v>0.10999128249615434</v>
      </c>
      <c r="M15" s="304">
        <f t="shared" si="11"/>
        <v>9.6166378836944733E-2</v>
      </c>
      <c r="N15" s="307">
        <f t="shared" si="11"/>
        <v>0.10388500153405192</v>
      </c>
      <c r="O15" s="308">
        <v>0.12</v>
      </c>
      <c r="P15" s="308">
        <v>0.12</v>
      </c>
      <c r="Q15" s="308">
        <v>0.12</v>
      </c>
      <c r="R15" s="308">
        <v>0.12</v>
      </c>
      <c r="S15" s="308">
        <v>0.1</v>
      </c>
      <c r="T15" s="308">
        <v>0.1</v>
      </c>
      <c r="U15" s="308">
        <v>0.1</v>
      </c>
      <c r="V15" s="308">
        <v>0.1</v>
      </c>
      <c r="W15" s="308">
        <v>0.08</v>
      </c>
      <c r="X15" s="308">
        <v>0.08</v>
      </c>
      <c r="Y15" s="308">
        <v>0.08</v>
      </c>
      <c r="Z15" s="308">
        <v>0.08</v>
      </c>
      <c r="AA15" s="308">
        <v>0.06</v>
      </c>
      <c r="AB15" s="308">
        <v>0.06</v>
      </c>
      <c r="AC15" s="308">
        <v>0.06</v>
      </c>
      <c r="AD15" s="308">
        <v>0.06</v>
      </c>
      <c r="AE15" s="308">
        <v>0.06</v>
      </c>
      <c r="AF15" s="308">
        <v>0.06</v>
      </c>
      <c r="AG15" s="308">
        <v>0.06</v>
      </c>
      <c r="AH15" s="308">
        <v>0.06</v>
      </c>
    </row>
    <row r="16" spans="1:34">
      <c r="B16" s="7" t="s">
        <v>26</v>
      </c>
      <c r="C16" s="304">
        <f t="shared" ref="C16" si="12">+C8/C$6</f>
        <v>8.486352161620403E-2</v>
      </c>
      <c r="D16" s="304">
        <f t="shared" ref="D16:N18" si="13">+D8/D$6</f>
        <v>0.11608957789724107</v>
      </c>
      <c r="E16" s="304">
        <f t="shared" si="13"/>
        <v>8.7888778237539725E-2</v>
      </c>
      <c r="F16" s="304">
        <f t="shared" si="13"/>
        <v>0.12306980627387853</v>
      </c>
      <c r="G16" s="304">
        <f t="shared" si="13"/>
        <v>0.11094801767318284</v>
      </c>
      <c r="H16" s="304">
        <f t="shared" si="13"/>
        <v>0.10495894592346311</v>
      </c>
      <c r="I16" s="304">
        <f t="shared" si="13"/>
        <v>9.7948294545953926E-2</v>
      </c>
      <c r="J16" s="304">
        <f t="shared" si="13"/>
        <v>9.1827343472924372E-2</v>
      </c>
      <c r="K16" s="304">
        <f t="shared" si="13"/>
        <v>0.10734321341519723</v>
      </c>
      <c r="L16" s="304">
        <f t="shared" si="13"/>
        <v>0.10760392891288667</v>
      </c>
      <c r="M16" s="304">
        <f t="shared" si="13"/>
        <v>9.1622943904459964E-2</v>
      </c>
      <c r="N16" s="307">
        <f t="shared" si="13"/>
        <v>0.12490009135312219</v>
      </c>
      <c r="O16" s="308">
        <v>0.08</v>
      </c>
      <c r="P16" s="308">
        <v>0.08</v>
      </c>
      <c r="Q16" s="308">
        <v>0.08</v>
      </c>
      <c r="R16" s="308">
        <v>0.08</v>
      </c>
      <c r="S16" s="308">
        <v>7.0000000000000007E-2</v>
      </c>
      <c r="T16" s="308">
        <v>7.0000000000000007E-2</v>
      </c>
      <c r="U16" s="308">
        <v>7.0000000000000007E-2</v>
      </c>
      <c r="V16" s="308">
        <v>7.0000000000000007E-2</v>
      </c>
      <c r="W16" s="308">
        <v>0.05</v>
      </c>
      <c r="X16" s="308">
        <v>0.05</v>
      </c>
      <c r="Y16" s="308">
        <v>0.05</v>
      </c>
      <c r="Z16" s="308">
        <v>0.05</v>
      </c>
      <c r="AA16" s="308">
        <v>0.04</v>
      </c>
      <c r="AB16" s="308">
        <v>0.04</v>
      </c>
      <c r="AC16" s="308">
        <v>0.04</v>
      </c>
      <c r="AD16" s="308">
        <v>0.04</v>
      </c>
      <c r="AE16" s="308">
        <v>0.04</v>
      </c>
      <c r="AF16" s="308">
        <v>0.04</v>
      </c>
      <c r="AG16" s="308">
        <v>0.04</v>
      </c>
      <c r="AH16" s="308">
        <v>0.04</v>
      </c>
    </row>
    <row r="17" spans="1:34">
      <c r="B17" s="7" t="s">
        <v>27</v>
      </c>
      <c r="C17" s="304">
        <f t="shared" ref="C17" si="14">+C9/C$6</f>
        <v>-1.7100645725223691E-2</v>
      </c>
      <c r="D17" s="304">
        <f t="shared" si="13"/>
        <v>-1.6979130222315831E-2</v>
      </c>
      <c r="E17" s="304">
        <f t="shared" si="13"/>
        <v>-1.7470731859553033E-2</v>
      </c>
      <c r="F17" s="304">
        <f t="shared" si="13"/>
        <v>-1.2812494511914334E-2</v>
      </c>
      <c r="G17" s="304">
        <f t="shared" si="13"/>
        <v>-1.2092749018992948E-2</v>
      </c>
      <c r="H17" s="304">
        <f t="shared" si="13"/>
        <v>-1.9606637148681737E-2</v>
      </c>
      <c r="I17" s="304">
        <f t="shared" si="13"/>
        <v>-7.5760830914785105E-3</v>
      </c>
      <c r="J17" s="304">
        <f t="shared" si="13"/>
        <v>-8.7700393070447684E-3</v>
      </c>
      <c r="K17" s="304">
        <f t="shared" si="13"/>
        <v>-1.0160264122498226E-2</v>
      </c>
      <c r="L17" s="304">
        <f t="shared" si="13"/>
        <v>-9.3763390868021879E-3</v>
      </c>
      <c r="M17" s="304">
        <f t="shared" si="13"/>
        <v>-1.7030468008500846E-2</v>
      </c>
      <c r="N17" s="307">
        <f t="shared" si="13"/>
        <v>-9.3819507180014968E-3</v>
      </c>
      <c r="O17" s="308">
        <v>-0.02</v>
      </c>
      <c r="P17" s="309">
        <f t="shared" ref="P17" si="15">+O17</f>
        <v>-0.02</v>
      </c>
      <c r="Q17" s="309">
        <f t="shared" ref="Q17" si="16">+P17</f>
        <v>-0.02</v>
      </c>
      <c r="R17" s="309">
        <f t="shared" ref="R17" si="17">+Q17</f>
        <v>-0.02</v>
      </c>
      <c r="S17" s="309">
        <f t="shared" ref="S17" si="18">+R17</f>
        <v>-0.02</v>
      </c>
      <c r="T17" s="309">
        <f t="shared" ref="T17" si="19">+S17</f>
        <v>-0.02</v>
      </c>
      <c r="U17" s="309">
        <f t="shared" ref="U17" si="20">+T17</f>
        <v>-0.02</v>
      </c>
      <c r="V17" s="309">
        <f t="shared" ref="V17" si="21">+U17</f>
        <v>-0.02</v>
      </c>
      <c r="W17" s="309">
        <f t="shared" ref="W17" si="22">+V17</f>
        <v>-0.02</v>
      </c>
      <c r="X17" s="309">
        <f t="shared" ref="X17" si="23">+W17</f>
        <v>-0.02</v>
      </c>
      <c r="Y17" s="309">
        <f t="shared" ref="Y17" si="24">+X17</f>
        <v>-0.02</v>
      </c>
      <c r="Z17" s="309">
        <f t="shared" ref="Z17" si="25">+Y17</f>
        <v>-0.02</v>
      </c>
      <c r="AA17" s="309">
        <f t="shared" ref="AA17" si="26">+Z17</f>
        <v>-0.02</v>
      </c>
      <c r="AB17" s="309">
        <f t="shared" ref="AB17" si="27">+AA17</f>
        <v>-0.02</v>
      </c>
      <c r="AC17" s="309">
        <f t="shared" ref="AC17" si="28">+AB17</f>
        <v>-0.02</v>
      </c>
      <c r="AD17" s="309">
        <f t="shared" ref="AD17" si="29">+AC17</f>
        <v>-0.02</v>
      </c>
      <c r="AE17" s="309">
        <f t="shared" ref="AE17" si="30">+AD17</f>
        <v>-0.02</v>
      </c>
      <c r="AF17" s="309">
        <f t="shared" ref="AF17" si="31">+AE17</f>
        <v>-0.02</v>
      </c>
      <c r="AG17" s="309">
        <f t="shared" ref="AG17" si="32">+AF17</f>
        <v>-0.02</v>
      </c>
      <c r="AH17" s="309">
        <f t="shared" ref="AH17" si="33">+AG17</f>
        <v>-0.02</v>
      </c>
    </row>
    <row r="18" spans="1:34">
      <c r="B18" s="7" t="s">
        <v>28</v>
      </c>
      <c r="C18" s="304">
        <f t="shared" ref="C18" si="34">+C10/C$6</f>
        <v>-1.0171628916717468E-2</v>
      </c>
      <c r="D18" s="304">
        <f t="shared" si="13"/>
        <v>0</v>
      </c>
      <c r="E18" s="304">
        <f t="shared" si="13"/>
        <v>-1.9417034969153386E-2</v>
      </c>
      <c r="F18" s="304">
        <f t="shared" si="13"/>
        <v>0</v>
      </c>
      <c r="G18" s="304">
        <f t="shared" si="13"/>
        <v>-1.2555003765415658E-2</v>
      </c>
      <c r="H18" s="304">
        <f t="shared" si="13"/>
        <v>-7.8468718185688343E-3</v>
      </c>
      <c r="I18" s="304">
        <f t="shared" si="13"/>
        <v>0</v>
      </c>
      <c r="J18" s="304">
        <f t="shared" si="13"/>
        <v>-1.0061876497966124E-2</v>
      </c>
      <c r="K18" s="304">
        <f t="shared" si="13"/>
        <v>-1.329286796756929E-2</v>
      </c>
      <c r="L18" s="304">
        <f t="shared" si="13"/>
        <v>-1.8042861222759398E-2</v>
      </c>
      <c r="M18" s="304">
        <f t="shared" si="13"/>
        <v>-2.3654963040550477E-2</v>
      </c>
      <c r="N18" s="307">
        <f t="shared" si="13"/>
        <v>-1.2317315370613032E-2</v>
      </c>
      <c r="O18" s="308">
        <v>-0.02</v>
      </c>
      <c r="P18" s="309">
        <f t="shared" ref="P18" si="35">+O18</f>
        <v>-0.02</v>
      </c>
      <c r="Q18" s="309">
        <f t="shared" ref="Q18:AH18" si="36">+P18</f>
        <v>-0.02</v>
      </c>
      <c r="R18" s="309">
        <f t="shared" si="36"/>
        <v>-0.02</v>
      </c>
      <c r="S18" s="309">
        <f t="shared" si="36"/>
        <v>-0.02</v>
      </c>
      <c r="T18" s="309">
        <f t="shared" si="36"/>
        <v>-0.02</v>
      </c>
      <c r="U18" s="309">
        <f t="shared" si="36"/>
        <v>-0.02</v>
      </c>
      <c r="V18" s="309">
        <f t="shared" si="36"/>
        <v>-0.02</v>
      </c>
      <c r="W18" s="309">
        <f t="shared" si="36"/>
        <v>-0.02</v>
      </c>
      <c r="X18" s="309">
        <f t="shared" si="36"/>
        <v>-0.02</v>
      </c>
      <c r="Y18" s="309">
        <f t="shared" si="36"/>
        <v>-0.02</v>
      </c>
      <c r="Z18" s="309">
        <f t="shared" si="36"/>
        <v>-0.02</v>
      </c>
      <c r="AA18" s="309">
        <f t="shared" si="36"/>
        <v>-0.02</v>
      </c>
      <c r="AB18" s="309">
        <f t="shared" si="36"/>
        <v>-0.02</v>
      </c>
      <c r="AC18" s="309">
        <f t="shared" si="36"/>
        <v>-0.02</v>
      </c>
      <c r="AD18" s="309">
        <f t="shared" si="36"/>
        <v>-0.02</v>
      </c>
      <c r="AE18" s="309">
        <f t="shared" si="36"/>
        <v>-0.02</v>
      </c>
      <c r="AF18" s="309">
        <f t="shared" si="36"/>
        <v>-0.02</v>
      </c>
      <c r="AG18" s="309">
        <f t="shared" si="36"/>
        <v>-0.02</v>
      </c>
      <c r="AH18" s="309">
        <f t="shared" si="36"/>
        <v>-0.02</v>
      </c>
    </row>
    <row r="19" spans="1:34"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19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 spans="1:34" s="10" customFormat="1">
      <c r="A20" s="5"/>
      <c r="B20" s="16" t="s">
        <v>16</v>
      </c>
      <c r="C20" s="15"/>
      <c r="D20" s="15"/>
      <c r="E20" s="15"/>
      <c r="F20" s="15"/>
      <c r="G20" s="15"/>
      <c r="H20" s="5"/>
      <c r="I20" s="5"/>
      <c r="J20" s="5"/>
      <c r="K20" s="5"/>
      <c r="L20" s="5"/>
      <c r="M20" s="5"/>
      <c r="N20" s="24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>
      <c r="B21" s="24" t="s">
        <v>12</v>
      </c>
      <c r="C21" s="295">
        <f>COUNTIFS('Raw Customer ARR'!C$2:C$422, "&gt;"&amp;0 )</f>
        <v>51</v>
      </c>
      <c r="D21" s="8">
        <f>C24</f>
        <v>63</v>
      </c>
      <c r="E21" s="8">
        <f t="shared" ref="E21:AH21" si="37">D24</f>
        <v>77</v>
      </c>
      <c r="F21" s="8">
        <f t="shared" si="37"/>
        <v>89</v>
      </c>
      <c r="G21" s="8">
        <f t="shared" si="37"/>
        <v>118</v>
      </c>
      <c r="H21" s="8">
        <f t="shared" si="37"/>
        <v>135</v>
      </c>
      <c r="I21" s="8">
        <f t="shared" si="37"/>
        <v>159</v>
      </c>
      <c r="J21" s="8">
        <f t="shared" si="37"/>
        <v>196</v>
      </c>
      <c r="K21" s="8">
        <f t="shared" si="37"/>
        <v>232</v>
      </c>
      <c r="L21" s="8">
        <f t="shared" si="37"/>
        <v>258</v>
      </c>
      <c r="M21" s="8">
        <f t="shared" si="37"/>
        <v>298</v>
      </c>
      <c r="N21" s="100">
        <f t="shared" si="37"/>
        <v>338</v>
      </c>
      <c r="O21" s="8">
        <f t="shared" si="37"/>
        <v>394</v>
      </c>
      <c r="P21" s="8">
        <f t="shared" si="37"/>
        <v>472.1262300027027</v>
      </c>
      <c r="Q21" s="8">
        <f t="shared" si="37"/>
        <v>562.75265680583789</v>
      </c>
      <c r="R21" s="8">
        <f t="shared" si="37"/>
        <v>667.87931189747462</v>
      </c>
      <c r="S21" s="8">
        <f t="shared" si="37"/>
        <v>789.82623180377323</v>
      </c>
      <c r="T21" s="8">
        <f t="shared" si="37"/>
        <v>905.37395690310768</v>
      </c>
      <c r="U21" s="8">
        <f t="shared" si="37"/>
        <v>1035.9428862653556</v>
      </c>
      <c r="V21" s="8">
        <f t="shared" si="37"/>
        <v>1183.4857764446958</v>
      </c>
      <c r="W21" s="8">
        <f t="shared" si="37"/>
        <v>1350.2092423473503</v>
      </c>
      <c r="X21" s="8">
        <f t="shared" si="37"/>
        <v>1496.360043002865</v>
      </c>
      <c r="Y21" s="8">
        <f t="shared" si="37"/>
        <v>1655.6644157173762</v>
      </c>
      <c r="Z21" s="8">
        <f t="shared" si="37"/>
        <v>1829.3061819761933</v>
      </c>
      <c r="AA21" s="8">
        <f t="shared" si="37"/>
        <v>2018.5757071983039</v>
      </c>
      <c r="AB21" s="8">
        <f t="shared" si="37"/>
        <v>2165.2448025637814</v>
      </c>
      <c r="AC21" s="8">
        <f t="shared" si="37"/>
        <v>2320.7140436511877</v>
      </c>
      <c r="AD21" s="8">
        <f t="shared" si="37"/>
        <v>2485.5114392038386</v>
      </c>
      <c r="AE21" s="8">
        <f t="shared" si="37"/>
        <v>2660.1966784896481</v>
      </c>
      <c r="AF21" s="8">
        <f t="shared" si="37"/>
        <v>2845.3630321326068</v>
      </c>
      <c r="AG21" s="8">
        <f t="shared" si="37"/>
        <v>3041.6393669941426</v>
      </c>
      <c r="AH21" s="8">
        <f t="shared" si="37"/>
        <v>3249.6922819473707</v>
      </c>
    </row>
    <row r="22" spans="1:34">
      <c r="B22" s="24" t="s">
        <v>13</v>
      </c>
      <c r="C22" s="173">
        <f>COUNTIFS('Raw Customer ARR'!C$2:C$422, "="&amp;0, 'Raw Customer ARR'!D$2:D$422, "&gt;"&amp;0 )</f>
        <v>13</v>
      </c>
      <c r="D22" s="173">
        <f>COUNTIFS('Raw Customer ARR'!D$2:D$422, "="&amp;0, 'Raw Customer ARR'!E$2:E$422, "&gt;"&amp;0 )</f>
        <v>14</v>
      </c>
      <c r="E22" s="173">
        <f>COUNTIFS('Raw Customer ARR'!E$2:E$422, "="&amp;0, 'Raw Customer ARR'!F$2:F$422, "&gt;"&amp;0 )</f>
        <v>13</v>
      </c>
      <c r="F22" s="173">
        <f>COUNTIFS('Raw Customer ARR'!F$2:F$422, "="&amp;0, 'Raw Customer ARR'!G$2:G$422, "&gt;"&amp;0 )</f>
        <v>29</v>
      </c>
      <c r="G22" s="173">
        <f>COUNTIFS('Raw Customer ARR'!G$2:G$422, "="&amp;0, 'Raw Customer ARR'!H$2:H$422, "&gt;"&amp;0 )</f>
        <v>18</v>
      </c>
      <c r="H22" s="173">
        <f>COUNTIFS('Raw Customer ARR'!H$2:H$422, "="&amp;0, 'Raw Customer ARR'!I$2:I$422, "&gt;"&amp;0 )</f>
        <v>25</v>
      </c>
      <c r="I22" s="173">
        <f>COUNTIFS('Raw Customer ARR'!I$2:I$422, "="&amp;0, 'Raw Customer ARR'!J$2:J$422, "&gt;"&amp;0 )</f>
        <v>37</v>
      </c>
      <c r="J22" s="173">
        <f>COUNTIFS('Raw Customer ARR'!J$2:J$422, "="&amp;0, 'Raw Customer ARR'!K$2:K$422, "&gt;"&amp;0 )</f>
        <v>38</v>
      </c>
      <c r="K22" s="173">
        <f>COUNTIFS('Raw Customer ARR'!K$2:K$422, "="&amp;0, 'Raw Customer ARR'!L$2:L$422, "&gt;"&amp;0 )</f>
        <v>29</v>
      </c>
      <c r="L22" s="173">
        <f>COUNTIFS('Raw Customer ARR'!L$2:L$422, "="&amp;0, 'Raw Customer ARR'!M$2:M$422, "&gt;"&amp;0 )</f>
        <v>45</v>
      </c>
      <c r="M22" s="173">
        <f>COUNTIFS('Raw Customer ARR'!M$2:M$422, "="&amp;0, 'Raw Customer ARR'!N$2:N$422, "&gt;"&amp;0 )</f>
        <v>47</v>
      </c>
      <c r="N22" s="197">
        <f>COUNTIFS('Raw Customer ARR'!N$2:N$422, "="&amp;0, 'Raw Customer ARR'!O$2:O$422, "&gt;"&amp;0 )</f>
        <v>59</v>
      </c>
      <c r="O22" s="8">
        <f t="shared" ref="O22:AH22" si="38">+O7/O27</f>
        <v>85.861500299999989</v>
      </c>
      <c r="P22" s="8">
        <f t="shared" si="38"/>
        <v>99.599340347999984</v>
      </c>
      <c r="Q22" s="8">
        <f t="shared" si="38"/>
        <v>115.53523480367998</v>
      </c>
      <c r="R22" s="8">
        <f t="shared" si="38"/>
        <v>134.02087237226874</v>
      </c>
      <c r="S22" s="8">
        <f t="shared" si="38"/>
        <v>129.55350995985981</v>
      </c>
      <c r="T22" s="8">
        <f t="shared" si="38"/>
        <v>146.3954662546416</v>
      </c>
      <c r="U22" s="8">
        <f t="shared" si="38"/>
        <v>165.42687686774502</v>
      </c>
      <c r="V22" s="8">
        <f t="shared" si="38"/>
        <v>186.93237086055188</v>
      </c>
      <c r="W22" s="8">
        <f t="shared" si="38"/>
        <v>168.98686325793892</v>
      </c>
      <c r="X22" s="8">
        <f t="shared" si="38"/>
        <v>184.19568095115343</v>
      </c>
      <c r="Y22" s="8">
        <f t="shared" si="38"/>
        <v>200.77329223675721</v>
      </c>
      <c r="Z22" s="8">
        <f t="shared" si="38"/>
        <v>218.84288853806541</v>
      </c>
      <c r="AA22" s="8">
        <f t="shared" si="38"/>
        <v>178.90406137986849</v>
      </c>
      <c r="AB22" s="8">
        <f t="shared" si="38"/>
        <v>189.63830506266061</v>
      </c>
      <c r="AC22" s="8">
        <f t="shared" si="38"/>
        <v>201.01660336642024</v>
      </c>
      <c r="AD22" s="8">
        <f t="shared" si="38"/>
        <v>213.07759956840545</v>
      </c>
      <c r="AE22" s="8">
        <f t="shared" si="38"/>
        <v>225.86225554250979</v>
      </c>
      <c r="AF22" s="8">
        <f t="shared" si="38"/>
        <v>239.41399087506036</v>
      </c>
      <c r="AG22" s="8">
        <f t="shared" si="38"/>
        <v>253.77883032756398</v>
      </c>
      <c r="AH22" s="8">
        <f t="shared" si="38"/>
        <v>269.00556014721781</v>
      </c>
    </row>
    <row r="23" spans="1:34">
      <c r="B23" s="24" t="s">
        <v>15</v>
      </c>
      <c r="C23" s="173">
        <f>-COUNTIFS('Raw Customer ARR'!C$2:C$422, "&gt;"&amp;0, 'Raw Customer ARR'!D$2:D$422, "="&amp;0 )</f>
        <v>-1</v>
      </c>
      <c r="D23" s="173">
        <f>-COUNTIFS('Raw Customer ARR'!D$2:D$422, "&gt;"&amp;0, 'Raw Customer ARR'!E$2:E$422, "="&amp;0 )</f>
        <v>0</v>
      </c>
      <c r="E23" s="173">
        <f>-COUNTIFS('Raw Customer ARR'!E$2:E$422, "&gt;"&amp;0, 'Raw Customer ARR'!F$2:F$422, "="&amp;0 )</f>
        <v>-1</v>
      </c>
      <c r="F23" s="173">
        <f>-COUNTIFS('Raw Customer ARR'!F$2:F$422, "&gt;"&amp;0, 'Raw Customer ARR'!G$2:G$422, "="&amp;0 )</f>
        <v>0</v>
      </c>
      <c r="G23" s="173">
        <f>-COUNTIFS('Raw Customer ARR'!G$2:G$422, "&gt;"&amp;0, 'Raw Customer ARR'!H$2:H$422, "="&amp;0 )</f>
        <v>-1</v>
      </c>
      <c r="H23" s="173">
        <f>-COUNTIFS('Raw Customer ARR'!H$2:H$422, "&gt;"&amp;0, 'Raw Customer ARR'!I$2:I$422, "="&amp;0 )</f>
        <v>-1</v>
      </c>
      <c r="I23" s="173">
        <f>-COUNTIFS('Raw Customer ARR'!I$2:I$422, "&gt;"&amp;0, 'Raw Customer ARR'!J$2:J$422, "="&amp;0 )</f>
        <v>0</v>
      </c>
      <c r="J23" s="173">
        <f>-COUNTIFS('Raw Customer ARR'!J$2:J$422, "&gt;"&amp;0, 'Raw Customer ARR'!K$2:K$422, "="&amp;0 )</f>
        <v>-2</v>
      </c>
      <c r="K23" s="173">
        <f>-COUNTIFS('Raw Customer ARR'!K$2:K$422, "&gt;"&amp;0, 'Raw Customer ARR'!L$2:L$422, "="&amp;0 )</f>
        <v>-3</v>
      </c>
      <c r="L23" s="173">
        <f>-COUNTIFS('Raw Customer ARR'!L$2:L$422, "&gt;"&amp;0, 'Raw Customer ARR'!M$2:M$422, "="&amp;0 )</f>
        <v>-5</v>
      </c>
      <c r="M23" s="173">
        <f>-COUNTIFS('Raw Customer ARR'!M$2:M$422, "&gt;"&amp;0, 'Raw Customer ARR'!N$2:N$422, "="&amp;0 )</f>
        <v>-7</v>
      </c>
      <c r="N23" s="197">
        <f>-COUNTIFS('Raw Customer ARR'!N$2:N$422, "&gt;"&amp;0, 'Raw Customer ARR'!O$2:O$422, "="&amp;0 )</f>
        <v>-3</v>
      </c>
      <c r="O23" s="8">
        <f t="shared" ref="O23:AH23" si="39">+O10/O28</f>
        <v>-7.7352702972972969</v>
      </c>
      <c r="P23" s="8">
        <f t="shared" si="39"/>
        <v>-8.9729135448648645</v>
      </c>
      <c r="Q23" s="8">
        <f t="shared" si="39"/>
        <v>-10.408579712043242</v>
      </c>
      <c r="R23" s="8">
        <f t="shared" si="39"/>
        <v>-12.07395246597016</v>
      </c>
      <c r="S23" s="8">
        <f t="shared" si="39"/>
        <v>-14.005784860525383</v>
      </c>
      <c r="T23" s="8">
        <f t="shared" si="39"/>
        <v>-15.826536892393685</v>
      </c>
      <c r="U23" s="8">
        <f t="shared" si="39"/>
        <v>-17.883986688404867</v>
      </c>
      <c r="V23" s="8">
        <f t="shared" si="39"/>
        <v>-20.208904957897502</v>
      </c>
      <c r="W23" s="8">
        <f t="shared" si="39"/>
        <v>-22.836062602424178</v>
      </c>
      <c r="X23" s="8">
        <f t="shared" si="39"/>
        <v>-24.891308236642356</v>
      </c>
      <c r="Y23" s="8">
        <f t="shared" si="39"/>
        <v>-27.131525977940164</v>
      </c>
      <c r="Z23" s="8">
        <f t="shared" si="39"/>
        <v>-29.573363315954786</v>
      </c>
      <c r="AA23" s="8">
        <f t="shared" si="39"/>
        <v>-32.234966014390722</v>
      </c>
      <c r="AB23" s="8">
        <f t="shared" si="39"/>
        <v>-34.169063975254168</v>
      </c>
      <c r="AC23" s="8">
        <f t="shared" si="39"/>
        <v>-36.219207813769415</v>
      </c>
      <c r="AD23" s="8">
        <f t="shared" si="39"/>
        <v>-38.392360282595575</v>
      </c>
      <c r="AE23" s="8">
        <f t="shared" si="39"/>
        <v>-40.695901899551316</v>
      </c>
      <c r="AF23" s="8">
        <f t="shared" si="39"/>
        <v>-43.137656013524392</v>
      </c>
      <c r="AG23" s="8">
        <f t="shared" si="39"/>
        <v>-45.725915374335855</v>
      </c>
      <c r="AH23" s="8">
        <f t="shared" si="39"/>
        <v>-48.469470296796004</v>
      </c>
    </row>
    <row r="24" spans="1:34">
      <c r="B24" s="9" t="s">
        <v>14</v>
      </c>
      <c r="C24" s="12">
        <f t="shared" ref="C24" si="40">SUM(C21:C23)</f>
        <v>63</v>
      </c>
      <c r="D24" s="12">
        <f t="shared" ref="D24:N24" si="41">SUM(D21:D23)</f>
        <v>77</v>
      </c>
      <c r="E24" s="12">
        <f t="shared" si="41"/>
        <v>89</v>
      </c>
      <c r="F24" s="12">
        <f t="shared" si="41"/>
        <v>118</v>
      </c>
      <c r="G24" s="12">
        <f t="shared" si="41"/>
        <v>135</v>
      </c>
      <c r="H24" s="12">
        <f t="shared" si="41"/>
        <v>159</v>
      </c>
      <c r="I24" s="12">
        <f t="shared" si="41"/>
        <v>196</v>
      </c>
      <c r="J24" s="12">
        <f t="shared" si="41"/>
        <v>232</v>
      </c>
      <c r="K24" s="12">
        <f t="shared" si="41"/>
        <v>258</v>
      </c>
      <c r="L24" s="12">
        <f t="shared" si="41"/>
        <v>298</v>
      </c>
      <c r="M24" s="12">
        <f t="shared" si="41"/>
        <v>338</v>
      </c>
      <c r="N24" s="133">
        <f t="shared" si="41"/>
        <v>394</v>
      </c>
      <c r="O24" s="12">
        <f t="shared" ref="O24:S24" si="42">SUM(O21:O23)</f>
        <v>472.1262300027027</v>
      </c>
      <c r="P24" s="12">
        <f t="shared" si="42"/>
        <v>562.75265680583789</v>
      </c>
      <c r="Q24" s="12">
        <f t="shared" si="42"/>
        <v>667.87931189747462</v>
      </c>
      <c r="R24" s="12">
        <f t="shared" si="42"/>
        <v>789.82623180377323</v>
      </c>
      <c r="S24" s="12">
        <f t="shared" si="42"/>
        <v>905.37395690310768</v>
      </c>
      <c r="T24" s="12">
        <f t="shared" ref="T24:AH24" si="43">SUM(T21:T23)</f>
        <v>1035.9428862653556</v>
      </c>
      <c r="U24" s="12">
        <f t="shared" si="43"/>
        <v>1183.4857764446958</v>
      </c>
      <c r="V24" s="12">
        <f t="shared" si="43"/>
        <v>1350.2092423473503</v>
      </c>
      <c r="W24" s="12">
        <f t="shared" si="43"/>
        <v>1496.360043002865</v>
      </c>
      <c r="X24" s="12">
        <f t="shared" si="43"/>
        <v>1655.6644157173762</v>
      </c>
      <c r="Y24" s="12">
        <f t="shared" si="43"/>
        <v>1829.3061819761933</v>
      </c>
      <c r="Z24" s="12">
        <f t="shared" si="43"/>
        <v>2018.5757071983039</v>
      </c>
      <c r="AA24" s="12">
        <f t="shared" si="43"/>
        <v>2165.2448025637814</v>
      </c>
      <c r="AB24" s="12">
        <f t="shared" si="43"/>
        <v>2320.7140436511877</v>
      </c>
      <c r="AC24" s="12">
        <f t="shared" si="43"/>
        <v>2485.5114392038386</v>
      </c>
      <c r="AD24" s="12">
        <f t="shared" si="43"/>
        <v>2660.1966784896481</v>
      </c>
      <c r="AE24" s="12">
        <f t="shared" si="43"/>
        <v>2845.3630321326068</v>
      </c>
      <c r="AF24" s="12">
        <f t="shared" si="43"/>
        <v>3041.6393669941426</v>
      </c>
      <c r="AG24" s="12">
        <f t="shared" si="43"/>
        <v>3249.6922819473707</v>
      </c>
      <c r="AH24" s="12">
        <f t="shared" si="43"/>
        <v>3470.2283717977925</v>
      </c>
    </row>
    <row r="25" spans="1:34">
      <c r="B25" s="7" t="s">
        <v>11</v>
      </c>
      <c r="C25" s="14">
        <f>COUNTIFS('Raw Customer ARR'!D$2:D$422, "&gt;"&amp;0)-C24</f>
        <v>0</v>
      </c>
      <c r="D25" s="14">
        <f>COUNTIFS('Raw Customer ARR'!E$2:E$422, "&gt;"&amp;0)-D24</f>
        <v>0</v>
      </c>
      <c r="E25" s="14">
        <f>COUNTIFS('Raw Customer ARR'!F$2:F$422, "&gt;"&amp;0)-E24</f>
        <v>0</v>
      </c>
      <c r="F25" s="14">
        <f>COUNTIFS('Raw Customer ARR'!G$2:G$422, "&gt;"&amp;0)-F24</f>
        <v>0</v>
      </c>
      <c r="G25" s="14">
        <f>COUNTIFS('Raw Customer ARR'!H$2:H$422, "&gt;"&amp;0)-G24</f>
        <v>0</v>
      </c>
      <c r="H25" s="14">
        <f>COUNTIFS('Raw Customer ARR'!I$2:I$422, "&gt;"&amp;0)-H24</f>
        <v>0</v>
      </c>
      <c r="I25" s="14">
        <f>COUNTIFS('Raw Customer ARR'!J$2:J$422, "&gt;"&amp;0)-I24</f>
        <v>0</v>
      </c>
      <c r="J25" s="14">
        <f>COUNTIFS('Raw Customer ARR'!K$2:K$422, "&gt;"&amp;0)-J24</f>
        <v>0</v>
      </c>
      <c r="K25" s="14">
        <f>COUNTIFS('Raw Customer ARR'!L$2:L$422, "&gt;"&amp;0)-K24</f>
        <v>0</v>
      </c>
      <c r="L25" s="14">
        <f>COUNTIFS('Raw Customer ARR'!M$2:M$422, "&gt;"&amp;0)-L24</f>
        <v>0</v>
      </c>
      <c r="M25" s="14">
        <f>COUNTIFS('Raw Customer ARR'!N$2:N$422, "&gt;"&amp;0)-M24</f>
        <v>0</v>
      </c>
      <c r="N25" s="99">
        <f>COUNTIFS('Raw Customer ARR'!O$2:O$422, "&gt;"&amp;0)-N24</f>
        <v>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B26" s="7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9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B27" s="7" t="s">
        <v>158</v>
      </c>
      <c r="C27" s="188">
        <f>IFERROR(C7/C22, 0)</f>
        <v>106.90384615384616</v>
      </c>
      <c r="D27" s="188">
        <f t="shared" ref="D27:N27" si="44">IFERROR(D7/D22, 0)</f>
        <v>104.12142857142858</v>
      </c>
      <c r="E27" s="188">
        <f t="shared" si="44"/>
        <v>111.06923076923077</v>
      </c>
      <c r="F27" s="188">
        <f t="shared" si="44"/>
        <v>101.37413793103448</v>
      </c>
      <c r="G27" s="188">
        <f t="shared" si="44"/>
        <v>103.85</v>
      </c>
      <c r="H27" s="188">
        <f t="shared" si="44"/>
        <v>106.14</v>
      </c>
      <c r="I27" s="188">
        <f t="shared" si="44"/>
        <v>104.33513513513513</v>
      </c>
      <c r="J27" s="188">
        <f t="shared" si="44"/>
        <v>109.22960526315791</v>
      </c>
      <c r="K27" s="188">
        <f t="shared" si="44"/>
        <v>101.33275862068966</v>
      </c>
      <c r="L27" s="188">
        <f t="shared" si="44"/>
        <v>106.12333333333333</v>
      </c>
      <c r="M27" s="188">
        <f t="shared" si="44"/>
        <v>105.73085106382979</v>
      </c>
      <c r="N27" s="249">
        <f t="shared" si="44"/>
        <v>104.37101694915255</v>
      </c>
      <c r="O27" s="189">
        <v>100</v>
      </c>
      <c r="P27" s="250">
        <f t="shared" ref="P27:S28" si="45">+O27</f>
        <v>100</v>
      </c>
      <c r="Q27" s="250">
        <f t="shared" si="45"/>
        <v>100</v>
      </c>
      <c r="R27" s="250">
        <f t="shared" si="45"/>
        <v>100</v>
      </c>
      <c r="S27" s="250">
        <f t="shared" si="45"/>
        <v>100</v>
      </c>
      <c r="T27" s="250">
        <f t="shared" ref="T27:AH27" si="46">+S27</f>
        <v>100</v>
      </c>
      <c r="U27" s="250">
        <f t="shared" si="46"/>
        <v>100</v>
      </c>
      <c r="V27" s="250">
        <f t="shared" si="46"/>
        <v>100</v>
      </c>
      <c r="W27" s="250">
        <f t="shared" si="46"/>
        <v>100</v>
      </c>
      <c r="X27" s="250">
        <f t="shared" si="46"/>
        <v>100</v>
      </c>
      <c r="Y27" s="250">
        <f t="shared" si="46"/>
        <v>100</v>
      </c>
      <c r="Z27" s="250">
        <f t="shared" si="46"/>
        <v>100</v>
      </c>
      <c r="AA27" s="250">
        <f t="shared" si="46"/>
        <v>100</v>
      </c>
      <c r="AB27" s="250">
        <f t="shared" si="46"/>
        <v>100</v>
      </c>
      <c r="AC27" s="250">
        <f t="shared" si="46"/>
        <v>100</v>
      </c>
      <c r="AD27" s="250">
        <f t="shared" si="46"/>
        <v>100</v>
      </c>
      <c r="AE27" s="250">
        <f t="shared" si="46"/>
        <v>100</v>
      </c>
      <c r="AF27" s="250">
        <f t="shared" si="46"/>
        <v>100</v>
      </c>
      <c r="AG27" s="250">
        <f t="shared" si="46"/>
        <v>100</v>
      </c>
      <c r="AH27" s="250">
        <f t="shared" si="46"/>
        <v>100</v>
      </c>
    </row>
    <row r="28" spans="1:34">
      <c r="B28" s="7" t="s">
        <v>159</v>
      </c>
      <c r="C28" s="188">
        <f>IFERROR(C10/C23,0)</f>
        <v>69</v>
      </c>
      <c r="D28" s="188">
        <f t="shared" ref="D28:N28" si="47">IFERROR(D10/D23,0)</f>
        <v>0</v>
      </c>
      <c r="E28" s="188">
        <f t="shared" si="47"/>
        <v>211.07249999999999</v>
      </c>
      <c r="F28" s="188">
        <f t="shared" si="47"/>
        <v>0</v>
      </c>
      <c r="G28" s="188">
        <f t="shared" si="47"/>
        <v>216.29150000000001</v>
      </c>
      <c r="H28" s="188">
        <f t="shared" si="47"/>
        <v>161.51650000000001</v>
      </c>
      <c r="I28" s="188">
        <f t="shared" si="47"/>
        <v>0</v>
      </c>
      <c r="J28" s="188">
        <f t="shared" si="47"/>
        <v>155.641875</v>
      </c>
      <c r="K28" s="188">
        <f t="shared" si="47"/>
        <v>165.47816666666668</v>
      </c>
      <c r="L28" s="188">
        <f t="shared" si="47"/>
        <v>156.67529999999999</v>
      </c>
      <c r="M28" s="188">
        <f t="shared" si="47"/>
        <v>174.62264285714286</v>
      </c>
      <c r="N28" s="249">
        <f t="shared" si="47"/>
        <v>243.37383333333332</v>
      </c>
      <c r="O28" s="189">
        <v>185</v>
      </c>
      <c r="P28" s="250">
        <f t="shared" si="45"/>
        <v>185</v>
      </c>
      <c r="Q28" s="250">
        <f t="shared" si="45"/>
        <v>185</v>
      </c>
      <c r="R28" s="250">
        <f t="shared" si="45"/>
        <v>185</v>
      </c>
      <c r="S28" s="250">
        <f t="shared" si="45"/>
        <v>185</v>
      </c>
      <c r="T28" s="250">
        <f t="shared" ref="T28:AH28" si="48">+S28</f>
        <v>185</v>
      </c>
      <c r="U28" s="250">
        <f t="shared" si="48"/>
        <v>185</v>
      </c>
      <c r="V28" s="250">
        <f t="shared" si="48"/>
        <v>185</v>
      </c>
      <c r="W28" s="250">
        <f t="shared" si="48"/>
        <v>185</v>
      </c>
      <c r="X28" s="250">
        <f t="shared" si="48"/>
        <v>185</v>
      </c>
      <c r="Y28" s="250">
        <f t="shared" si="48"/>
        <v>185</v>
      </c>
      <c r="Z28" s="250">
        <f t="shared" si="48"/>
        <v>185</v>
      </c>
      <c r="AA28" s="250">
        <f t="shared" si="48"/>
        <v>185</v>
      </c>
      <c r="AB28" s="250">
        <f t="shared" si="48"/>
        <v>185</v>
      </c>
      <c r="AC28" s="250">
        <f t="shared" si="48"/>
        <v>185</v>
      </c>
      <c r="AD28" s="250">
        <f t="shared" si="48"/>
        <v>185</v>
      </c>
      <c r="AE28" s="250">
        <f t="shared" si="48"/>
        <v>185</v>
      </c>
      <c r="AF28" s="250">
        <f t="shared" si="48"/>
        <v>185</v>
      </c>
      <c r="AG28" s="250">
        <f t="shared" si="48"/>
        <v>185</v>
      </c>
      <c r="AH28" s="250">
        <f t="shared" si="48"/>
        <v>185</v>
      </c>
    </row>
    <row r="29" spans="1:34">
      <c r="B29" s="7" t="s">
        <v>157</v>
      </c>
      <c r="C29" s="188">
        <f>IFERROR(C11/C24, 0)</f>
        <v>135.93648809523808</v>
      </c>
      <c r="D29" s="188">
        <f t="shared" ref="D29:N29" si="49">IFERROR(D11/D24, 0)</f>
        <v>141.17507142857141</v>
      </c>
      <c r="E29" s="188">
        <f t="shared" si="49"/>
        <v>144.59310112359549</v>
      </c>
      <c r="F29" s="188">
        <f t="shared" si="49"/>
        <v>145.99587923728811</v>
      </c>
      <c r="G29" s="188">
        <f t="shared" si="49"/>
        <v>152.47076111111107</v>
      </c>
      <c r="H29" s="188">
        <f t="shared" si="49"/>
        <v>156.17855345911946</v>
      </c>
      <c r="I29" s="188">
        <f t="shared" si="49"/>
        <v>157.8415714285714</v>
      </c>
      <c r="J29" s="188">
        <f t="shared" si="49"/>
        <v>160.97383081896552</v>
      </c>
      <c r="K29" s="188">
        <f t="shared" si="49"/>
        <v>168.28500678294574</v>
      </c>
      <c r="L29" s="188">
        <f t="shared" si="49"/>
        <v>173.40437835570469</v>
      </c>
      <c r="M29" s="188">
        <f t="shared" si="49"/>
        <v>175.37285650887574</v>
      </c>
      <c r="N29" s="249">
        <f t="shared" si="49"/>
        <v>181.60215799492386</v>
      </c>
      <c r="O29" s="251">
        <f t="shared" ref="O29:AH29" si="50">O11/O24</f>
        <v>175.79927785313868</v>
      </c>
      <c r="P29" s="188">
        <f t="shared" si="50"/>
        <v>171.08646431431862</v>
      </c>
      <c r="Q29" s="188">
        <f t="shared" si="50"/>
        <v>167.22191917118172</v>
      </c>
      <c r="R29" s="188">
        <f t="shared" si="50"/>
        <v>164.02786428603505</v>
      </c>
      <c r="S29" s="188">
        <f t="shared" si="50"/>
        <v>161.69613134819681</v>
      </c>
      <c r="T29" s="188">
        <f t="shared" si="50"/>
        <v>159.68725598775058</v>
      </c>
      <c r="U29" s="188">
        <f t="shared" si="50"/>
        <v>157.95066960763532</v>
      </c>
      <c r="V29" s="188">
        <f t="shared" si="50"/>
        <v>156.44506973244552</v>
      </c>
      <c r="W29" s="188">
        <f t="shared" si="50"/>
        <v>153.86978706467701</v>
      </c>
      <c r="X29" s="188">
        <f t="shared" si="50"/>
        <v>151.58060589664012</v>
      </c>
      <c r="Y29" s="188">
        <f t="shared" si="50"/>
        <v>149.53954311632114</v>
      </c>
      <c r="Z29" s="188">
        <f t="shared" si="50"/>
        <v>147.71476470752046</v>
      </c>
      <c r="AA29" s="188">
        <f t="shared" si="50"/>
        <v>145.97141228412707</v>
      </c>
      <c r="AB29" s="188">
        <f t="shared" si="50"/>
        <v>144.36404743355061</v>
      </c>
      <c r="AC29" s="188">
        <f t="shared" si="50"/>
        <v>142.8797820088748</v>
      </c>
      <c r="AD29" s="188">
        <f t="shared" si="50"/>
        <v>141.50724103022915</v>
      </c>
      <c r="AE29" s="188">
        <f t="shared" si="50"/>
        <v>140.23634721437693</v>
      </c>
      <c r="AF29" s="188">
        <f t="shared" si="50"/>
        <v>139.05814140964239</v>
      </c>
      <c r="AG29" s="188">
        <f t="shared" si="50"/>
        <v>137.9646321394759</v>
      </c>
      <c r="AH29" s="188">
        <f t="shared" si="50"/>
        <v>136.94866888944244</v>
      </c>
    </row>
    <row r="30" spans="1:34">
      <c r="B30" s="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76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</sheetData>
  <pageMargins left="0.7" right="0.7" top="0.75" bottom="0.75" header="0.3" footer="0.3"/>
  <pageSetup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BE2D-AEF3-4A9E-A37B-5348EB6461EE}">
  <sheetPr>
    <pageSetUpPr fitToPage="1"/>
  </sheetPr>
  <dimension ref="A1:O422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9.1328125" defaultRowHeight="13.15"/>
  <cols>
    <col min="1" max="2" width="10.796875" style="239" customWidth="1"/>
    <col min="3" max="3" width="10.796875" style="300" customWidth="1"/>
    <col min="4" max="4" width="11.6640625" style="296" customWidth="1"/>
    <col min="5" max="7" width="12" style="296" customWidth="1"/>
    <col min="8" max="8" width="11.6640625" style="296" customWidth="1"/>
    <col min="9" max="9" width="11.46484375" style="296" customWidth="1"/>
    <col min="10" max="11" width="11.6640625" style="296" customWidth="1"/>
    <col min="12" max="12" width="12" style="296" customWidth="1"/>
    <col min="13" max="13" width="11.6640625" style="296" customWidth="1"/>
    <col min="14" max="14" width="11.46484375" style="296" customWidth="1"/>
    <col min="15" max="15" width="11.6640625" style="296" customWidth="1"/>
    <col min="16" max="16384" width="9.1328125" style="32"/>
  </cols>
  <sheetData>
    <row r="1" spans="1:15" s="34" customFormat="1" ht="14.25">
      <c r="A1" s="237" t="s">
        <v>3</v>
      </c>
      <c r="B1" s="244" t="s">
        <v>4</v>
      </c>
      <c r="C1" s="299">
        <f>EOMONTH(D1, -3)</f>
        <v>43830</v>
      </c>
      <c r="D1" s="297">
        <v>43921</v>
      </c>
      <c r="E1" s="297">
        <f t="shared" ref="E1:O1" si="0">EOMONTH(D1,3)</f>
        <v>44012</v>
      </c>
      <c r="F1" s="297">
        <f t="shared" si="0"/>
        <v>44104</v>
      </c>
      <c r="G1" s="297">
        <f t="shared" si="0"/>
        <v>44196</v>
      </c>
      <c r="H1" s="297">
        <f t="shared" si="0"/>
        <v>44286</v>
      </c>
      <c r="I1" s="297">
        <f t="shared" si="0"/>
        <v>44377</v>
      </c>
      <c r="J1" s="297">
        <f t="shared" si="0"/>
        <v>44469</v>
      </c>
      <c r="K1" s="297">
        <f t="shared" si="0"/>
        <v>44561</v>
      </c>
      <c r="L1" s="297">
        <f t="shared" si="0"/>
        <v>44651</v>
      </c>
      <c r="M1" s="297">
        <f t="shared" si="0"/>
        <v>44742</v>
      </c>
      <c r="N1" s="297">
        <f t="shared" si="0"/>
        <v>44834</v>
      </c>
      <c r="O1" s="297">
        <f t="shared" si="0"/>
        <v>44926</v>
      </c>
    </row>
    <row r="2" spans="1:15" s="34" customFormat="1" ht="16.5" customHeight="1">
      <c r="A2" s="238">
        <v>1</v>
      </c>
      <c r="B2" s="245" cm="1">
        <f t="array" ref="B2">INDEX(D$1:O$1, MATCH(TRUE, INDEX(($D2:$O2 &lt;&gt; 0), 0),0))</f>
        <v>44834</v>
      </c>
      <c r="C2" s="298">
        <v>0</v>
      </c>
      <c r="D2" s="298">
        <v>0</v>
      </c>
      <c r="E2" s="298">
        <v>0</v>
      </c>
      <c r="F2" s="298">
        <v>0</v>
      </c>
      <c r="G2" s="298">
        <v>0</v>
      </c>
      <c r="H2" s="298">
        <v>0</v>
      </c>
      <c r="I2" s="298">
        <v>0</v>
      </c>
      <c r="J2" s="298">
        <v>0</v>
      </c>
      <c r="K2" s="298">
        <v>0</v>
      </c>
      <c r="L2" s="298">
        <v>0</v>
      </c>
      <c r="M2" s="298">
        <v>0</v>
      </c>
      <c r="N2" s="298">
        <v>120000</v>
      </c>
      <c r="O2" s="298">
        <v>138000</v>
      </c>
    </row>
    <row r="3" spans="1:15" s="34" customFormat="1" ht="14.25">
      <c r="A3" s="238">
        <f t="shared" ref="A3:A66" si="1">+A2+1</f>
        <v>2</v>
      </c>
      <c r="B3" s="245" cm="1">
        <f t="array" ref="B3">INDEX(D$1:O$1, MATCH(TRUE, INDEX(($D3:$O3 &lt;&gt; 0), 0),0))</f>
        <v>44742</v>
      </c>
      <c r="C3" s="298">
        <v>0</v>
      </c>
      <c r="D3" s="298">
        <v>0</v>
      </c>
      <c r="E3" s="298">
        <v>0</v>
      </c>
      <c r="F3" s="298">
        <v>0</v>
      </c>
      <c r="G3" s="298">
        <v>0</v>
      </c>
      <c r="H3" s="298">
        <v>0</v>
      </c>
      <c r="I3" s="298">
        <v>0</v>
      </c>
      <c r="J3" s="298">
        <v>0</v>
      </c>
      <c r="K3" s="298">
        <v>0</v>
      </c>
      <c r="L3" s="298">
        <v>0</v>
      </c>
      <c r="M3" s="298">
        <v>60000</v>
      </c>
      <c r="N3" s="298">
        <v>69000</v>
      </c>
      <c r="O3" s="298">
        <v>69000</v>
      </c>
    </row>
    <row r="4" spans="1:15" s="34" customFormat="1" ht="14.25">
      <c r="A4" s="238">
        <f t="shared" si="1"/>
        <v>3</v>
      </c>
      <c r="B4" s="245" cm="1">
        <f t="array" ref="B4">INDEX(D$1:O$1, MATCH(TRUE, INDEX(($D4:$O4 &lt;&gt; 0), 0),0))</f>
        <v>44926</v>
      </c>
      <c r="C4" s="298">
        <v>0</v>
      </c>
      <c r="D4" s="298">
        <v>0</v>
      </c>
      <c r="E4" s="298">
        <v>0</v>
      </c>
      <c r="F4" s="298">
        <v>0</v>
      </c>
      <c r="G4" s="298">
        <v>0</v>
      </c>
      <c r="H4" s="298">
        <v>0</v>
      </c>
      <c r="I4" s="298">
        <v>0</v>
      </c>
      <c r="J4" s="298">
        <v>0</v>
      </c>
      <c r="K4" s="298">
        <v>0</v>
      </c>
      <c r="L4" s="298">
        <v>0</v>
      </c>
      <c r="M4" s="298">
        <v>0</v>
      </c>
      <c r="N4" s="298">
        <v>0</v>
      </c>
      <c r="O4" s="298">
        <v>92400</v>
      </c>
    </row>
    <row r="5" spans="1:15" s="34" customFormat="1" ht="14.25">
      <c r="A5" s="238">
        <f t="shared" si="1"/>
        <v>4</v>
      </c>
      <c r="B5" s="245" cm="1">
        <f t="array" ref="B5">INDEX(D$1:O$1, MATCH(TRUE, INDEX(($D5:$O5 &lt;&gt; 0), 0),0))</f>
        <v>44742</v>
      </c>
      <c r="C5" s="298">
        <v>0</v>
      </c>
      <c r="D5" s="298">
        <v>0</v>
      </c>
      <c r="E5" s="298">
        <v>0</v>
      </c>
      <c r="F5" s="298">
        <v>0</v>
      </c>
      <c r="G5" s="298">
        <v>0</v>
      </c>
      <c r="H5" s="298">
        <v>0</v>
      </c>
      <c r="I5" s="298">
        <v>0</v>
      </c>
      <c r="J5" s="298">
        <v>0</v>
      </c>
      <c r="K5" s="298">
        <v>0</v>
      </c>
      <c r="L5" s="298">
        <v>0</v>
      </c>
      <c r="M5" s="298">
        <v>120000</v>
      </c>
      <c r="N5" s="298">
        <v>120000</v>
      </c>
      <c r="O5" s="298">
        <v>138000</v>
      </c>
    </row>
    <row r="6" spans="1:15" s="34" customFormat="1" ht="14.25">
      <c r="A6" s="238">
        <f t="shared" si="1"/>
        <v>5</v>
      </c>
      <c r="B6" s="245" cm="1">
        <f t="array" ref="B6">INDEX(D$1:O$1, MATCH(TRUE, INDEX(($D6:$O6 &lt;&gt; 0), 0),0))</f>
        <v>44286</v>
      </c>
      <c r="C6" s="298">
        <v>0</v>
      </c>
      <c r="D6" s="298">
        <v>0</v>
      </c>
      <c r="E6" s="298">
        <v>0</v>
      </c>
      <c r="F6" s="298">
        <v>0</v>
      </c>
      <c r="G6" s="298">
        <v>0</v>
      </c>
      <c r="H6" s="298">
        <v>120000</v>
      </c>
      <c r="I6" s="298">
        <v>158700</v>
      </c>
      <c r="J6" s="298">
        <v>182505</v>
      </c>
      <c r="K6" s="298">
        <v>182505</v>
      </c>
      <c r="L6" s="298">
        <v>182505</v>
      </c>
      <c r="M6" s="298">
        <v>0</v>
      </c>
      <c r="N6" s="298">
        <v>0</v>
      </c>
      <c r="O6" s="298">
        <v>0</v>
      </c>
    </row>
    <row r="7" spans="1:15" s="34" customFormat="1" ht="14.25">
      <c r="A7" s="238">
        <f t="shared" si="1"/>
        <v>6</v>
      </c>
      <c r="B7" s="245" cm="1">
        <f t="array" ref="B7">INDEX(D$1:O$1, MATCH(TRUE, INDEX(($D7:$O7 &lt;&gt; 0), 0),0))</f>
        <v>44651</v>
      </c>
      <c r="C7" s="298">
        <v>0</v>
      </c>
      <c r="D7" s="298">
        <v>0</v>
      </c>
      <c r="E7" s="298">
        <v>0</v>
      </c>
      <c r="F7" s="298">
        <v>0</v>
      </c>
      <c r="G7" s="298">
        <v>0</v>
      </c>
      <c r="H7" s="298">
        <v>0</v>
      </c>
      <c r="I7" s="298">
        <v>0</v>
      </c>
      <c r="J7" s="298">
        <v>0</v>
      </c>
      <c r="K7" s="298">
        <v>0</v>
      </c>
      <c r="L7" s="298">
        <v>60000</v>
      </c>
      <c r="M7" s="298">
        <v>69000</v>
      </c>
      <c r="N7" s="298">
        <v>79350</v>
      </c>
      <c r="O7" s="298">
        <v>69828</v>
      </c>
    </row>
    <row r="8" spans="1:15" s="34" customFormat="1" ht="14.25">
      <c r="A8" s="238">
        <f t="shared" si="1"/>
        <v>7</v>
      </c>
      <c r="B8" s="245" cm="1">
        <f t="array" ref="B8">INDEX(D$1:O$1, MATCH(TRUE, INDEX(($D8:$O8 &lt;&gt; 0), 0),0))</f>
        <v>44834</v>
      </c>
      <c r="C8" s="298">
        <v>0</v>
      </c>
      <c r="D8" s="298">
        <v>0</v>
      </c>
      <c r="E8" s="298">
        <v>0</v>
      </c>
      <c r="F8" s="298">
        <v>0</v>
      </c>
      <c r="G8" s="298">
        <v>0</v>
      </c>
      <c r="H8" s="298">
        <v>0</v>
      </c>
      <c r="I8" s="298">
        <v>0</v>
      </c>
      <c r="J8" s="298">
        <v>0</v>
      </c>
      <c r="K8" s="298">
        <v>0</v>
      </c>
      <c r="L8" s="298">
        <v>0</v>
      </c>
      <c r="M8" s="298">
        <v>0</v>
      </c>
      <c r="N8" s="298">
        <v>120000</v>
      </c>
      <c r="O8" s="298">
        <v>120000</v>
      </c>
    </row>
    <row r="9" spans="1:15" s="34" customFormat="1" ht="14.25">
      <c r="A9" s="238">
        <f t="shared" si="1"/>
        <v>8</v>
      </c>
      <c r="B9" s="245" cm="1">
        <f t="array" ref="B9">INDEX(D$1:O$1, MATCH(TRUE, INDEX(($D9:$O9 &lt;&gt; 0), 0),0))</f>
        <v>44834</v>
      </c>
      <c r="C9" s="298">
        <v>0</v>
      </c>
      <c r="D9" s="298">
        <v>0</v>
      </c>
      <c r="E9" s="298">
        <v>0</v>
      </c>
      <c r="F9" s="298">
        <v>0</v>
      </c>
      <c r="G9" s="298">
        <v>0</v>
      </c>
      <c r="H9" s="298">
        <v>0</v>
      </c>
      <c r="I9" s="298">
        <v>0</v>
      </c>
      <c r="J9" s="298">
        <v>0</v>
      </c>
      <c r="K9" s="298">
        <v>0</v>
      </c>
      <c r="L9" s="298">
        <v>0</v>
      </c>
      <c r="M9" s="298">
        <v>0</v>
      </c>
      <c r="N9" s="298">
        <v>120750</v>
      </c>
      <c r="O9" s="298">
        <v>120750</v>
      </c>
    </row>
    <row r="10" spans="1:15" s="34" customFormat="1" ht="14.25">
      <c r="A10" s="238">
        <f t="shared" si="1"/>
        <v>9</v>
      </c>
      <c r="B10" s="245" cm="1">
        <f t="array" ref="B10">INDEX(D$1:O$1, MATCH(TRUE, INDEX(($D10:$O10 &lt;&gt; 0), 0),0))</f>
        <v>44834</v>
      </c>
      <c r="C10" s="298">
        <v>0</v>
      </c>
      <c r="D10" s="298">
        <v>0</v>
      </c>
      <c r="E10" s="298">
        <v>0</v>
      </c>
      <c r="F10" s="298">
        <v>0</v>
      </c>
      <c r="G10" s="298">
        <v>0</v>
      </c>
      <c r="H10" s="298">
        <v>0</v>
      </c>
      <c r="I10" s="298">
        <v>0</v>
      </c>
      <c r="J10" s="298">
        <v>0</v>
      </c>
      <c r="K10" s="298">
        <v>0</v>
      </c>
      <c r="L10" s="298">
        <v>0</v>
      </c>
      <c r="M10" s="298">
        <v>0</v>
      </c>
      <c r="N10" s="298">
        <v>105000</v>
      </c>
      <c r="O10" s="298">
        <v>120750</v>
      </c>
    </row>
    <row r="11" spans="1:15" s="34" customFormat="1" ht="14.25">
      <c r="A11" s="238">
        <f t="shared" si="1"/>
        <v>10</v>
      </c>
      <c r="B11" s="245" cm="1">
        <f t="array" ref="B11">INDEX(D$1:O$1, MATCH(TRUE, INDEX(($D11:$O11 &lt;&gt; 0), 0),0))</f>
        <v>44469</v>
      </c>
      <c r="C11" s="298">
        <v>0</v>
      </c>
      <c r="D11" s="298">
        <v>0</v>
      </c>
      <c r="E11" s="298">
        <v>0</v>
      </c>
      <c r="F11" s="298">
        <v>0</v>
      </c>
      <c r="G11" s="298">
        <v>0</v>
      </c>
      <c r="H11" s="298">
        <v>0</v>
      </c>
      <c r="I11" s="298">
        <v>0</v>
      </c>
      <c r="J11" s="298">
        <v>60000</v>
      </c>
      <c r="K11" s="298">
        <v>69000</v>
      </c>
      <c r="L11" s="298">
        <v>69828</v>
      </c>
      <c r="M11" s="298">
        <v>69828</v>
      </c>
      <c r="N11" s="298">
        <v>92347.5</v>
      </c>
      <c r="O11" s="298">
        <v>81265.75</v>
      </c>
    </row>
    <row r="12" spans="1:15" s="34" customFormat="1" ht="14.25">
      <c r="A12" s="238">
        <f t="shared" si="1"/>
        <v>11</v>
      </c>
      <c r="B12" s="245" cm="1">
        <f t="array" ref="B12">INDEX(D$1:O$1, MATCH(TRUE, INDEX(($D12:$O12 &lt;&gt; 0), 0),0))</f>
        <v>44742</v>
      </c>
      <c r="C12" s="298">
        <v>0</v>
      </c>
      <c r="D12" s="298">
        <v>0</v>
      </c>
      <c r="E12" s="298">
        <v>0</v>
      </c>
      <c r="F12" s="298">
        <v>0</v>
      </c>
      <c r="G12" s="298">
        <v>0</v>
      </c>
      <c r="H12" s="298">
        <v>0</v>
      </c>
      <c r="I12" s="298">
        <v>0</v>
      </c>
      <c r="J12" s="298">
        <v>0</v>
      </c>
      <c r="K12" s="298">
        <v>0</v>
      </c>
      <c r="L12" s="298">
        <v>0</v>
      </c>
      <c r="M12" s="298">
        <v>60000</v>
      </c>
      <c r="N12" s="298">
        <v>60000</v>
      </c>
      <c r="O12" s="298">
        <v>69000</v>
      </c>
    </row>
    <row r="13" spans="1:15" s="34" customFormat="1" ht="14.25">
      <c r="A13" s="238">
        <f t="shared" si="1"/>
        <v>12</v>
      </c>
      <c r="B13" s="245" cm="1">
        <f t="array" ref="B13">INDEX(D$1:O$1, MATCH(TRUE, INDEX(($D13:$O13 &lt;&gt; 0), 0),0))</f>
        <v>44834</v>
      </c>
      <c r="C13" s="298">
        <v>0</v>
      </c>
      <c r="D13" s="298">
        <v>0</v>
      </c>
      <c r="E13" s="298">
        <v>0</v>
      </c>
      <c r="F13" s="298">
        <v>0</v>
      </c>
      <c r="G13" s="298">
        <v>0</v>
      </c>
      <c r="H13" s="298">
        <v>0</v>
      </c>
      <c r="I13" s="298">
        <v>0</v>
      </c>
      <c r="J13" s="298">
        <v>0</v>
      </c>
      <c r="K13" s="298">
        <v>0</v>
      </c>
      <c r="L13" s="298">
        <v>0</v>
      </c>
      <c r="M13" s="298">
        <v>0</v>
      </c>
      <c r="N13" s="298">
        <v>138000</v>
      </c>
      <c r="O13" s="298">
        <v>182505</v>
      </c>
    </row>
    <row r="14" spans="1:15" s="34" customFormat="1" ht="14.25">
      <c r="A14" s="238">
        <f t="shared" si="1"/>
        <v>13</v>
      </c>
      <c r="B14" s="245" cm="1">
        <f t="array" ref="B14">INDEX(D$1:O$1, MATCH(TRUE, INDEX(($D14:$O14 &lt;&gt; 0), 0),0))</f>
        <v>44012</v>
      </c>
      <c r="C14" s="298">
        <v>0</v>
      </c>
      <c r="D14" s="298">
        <v>0</v>
      </c>
      <c r="E14" s="298">
        <v>69000</v>
      </c>
      <c r="F14" s="298">
        <v>69828</v>
      </c>
      <c r="G14" s="298">
        <v>69828</v>
      </c>
      <c r="H14" s="298">
        <v>69828</v>
      </c>
      <c r="I14" s="298">
        <v>69828</v>
      </c>
      <c r="J14" s="298">
        <v>80302.25</v>
      </c>
      <c r="K14" s="298">
        <v>92347.5</v>
      </c>
      <c r="L14" s="298">
        <v>106199.75</v>
      </c>
      <c r="M14" s="298">
        <v>106199.75</v>
      </c>
      <c r="N14" s="298">
        <v>106199.75</v>
      </c>
      <c r="O14" s="298">
        <v>106199.75</v>
      </c>
    </row>
    <row r="15" spans="1:15" s="34" customFormat="1" ht="14.25">
      <c r="A15" s="238">
        <f t="shared" si="1"/>
        <v>14</v>
      </c>
      <c r="B15" s="245" cm="1">
        <f t="array" ref="B15">INDEX(D$1:O$1, MATCH(TRUE, INDEX(($D15:$O15 &lt;&gt; 0), 0),0))</f>
        <v>44926</v>
      </c>
      <c r="C15" s="298">
        <v>0</v>
      </c>
      <c r="D15" s="298">
        <v>0</v>
      </c>
      <c r="E15" s="298">
        <v>0</v>
      </c>
      <c r="F15" s="298">
        <v>0</v>
      </c>
      <c r="G15" s="298">
        <v>0</v>
      </c>
      <c r="H15" s="298">
        <v>0</v>
      </c>
      <c r="I15" s="298">
        <v>0</v>
      </c>
      <c r="J15" s="298">
        <v>0</v>
      </c>
      <c r="K15" s="298">
        <v>0</v>
      </c>
      <c r="L15" s="298">
        <v>0</v>
      </c>
      <c r="M15" s="298">
        <v>0</v>
      </c>
      <c r="N15" s="298">
        <v>0</v>
      </c>
      <c r="O15" s="298">
        <v>69000</v>
      </c>
    </row>
    <row r="16" spans="1:15" s="34" customFormat="1" ht="14.25">
      <c r="A16" s="238">
        <f t="shared" si="1"/>
        <v>15</v>
      </c>
      <c r="B16" s="245" cm="1">
        <f t="array" ref="B16">INDEX(D$1:O$1, MATCH(TRUE, INDEX(($D16:$O16 &lt;&gt; 0), 0),0))</f>
        <v>43921</v>
      </c>
      <c r="C16" s="298">
        <v>160604.5</v>
      </c>
      <c r="D16" s="298">
        <v>160604.5</v>
      </c>
      <c r="E16" s="298">
        <v>160604.5</v>
      </c>
      <c r="F16" s="298">
        <v>160604.5</v>
      </c>
      <c r="G16" s="298">
        <v>184695</v>
      </c>
      <c r="H16" s="298">
        <v>244259.25</v>
      </c>
      <c r="I16" s="298">
        <v>323032.75</v>
      </c>
      <c r="J16" s="298">
        <v>323032.75</v>
      </c>
      <c r="K16" s="298">
        <v>427211</v>
      </c>
      <c r="L16" s="298">
        <v>491292.5</v>
      </c>
      <c r="M16" s="298">
        <v>564986.5</v>
      </c>
      <c r="N16" s="298">
        <v>649734.25</v>
      </c>
      <c r="O16" s="298">
        <v>747194.5</v>
      </c>
    </row>
    <row r="17" spans="1:15" s="34" customFormat="1" ht="14.25">
      <c r="A17" s="238">
        <f t="shared" si="1"/>
        <v>16</v>
      </c>
      <c r="B17" s="245" cm="1">
        <f t="array" ref="B17">INDEX(D$1:O$1, MATCH(TRUE, INDEX(($D17:$O17 &lt;&gt; 0), 0),0))</f>
        <v>44469</v>
      </c>
      <c r="C17" s="298">
        <v>0</v>
      </c>
      <c r="D17" s="298">
        <v>0</v>
      </c>
      <c r="E17" s="298">
        <v>0</v>
      </c>
      <c r="F17" s="298">
        <v>0</v>
      </c>
      <c r="G17" s="298">
        <v>0</v>
      </c>
      <c r="H17" s="298">
        <v>0</v>
      </c>
      <c r="I17" s="298">
        <v>0</v>
      </c>
      <c r="J17" s="298">
        <v>60000</v>
      </c>
      <c r="K17" s="298">
        <v>52800</v>
      </c>
      <c r="L17" s="298">
        <v>60720</v>
      </c>
      <c r="M17" s="298">
        <v>60720</v>
      </c>
      <c r="N17" s="298">
        <v>69828</v>
      </c>
      <c r="O17" s="298">
        <v>69828</v>
      </c>
    </row>
    <row r="18" spans="1:15" s="34" customFormat="1" ht="14.25">
      <c r="A18" s="238">
        <f t="shared" si="1"/>
        <v>17</v>
      </c>
      <c r="B18" s="245" cm="1">
        <f t="array" ref="B18">INDEX(D$1:O$1, MATCH(TRUE, INDEX(($D18:$O18 &lt;&gt; 0), 0),0))</f>
        <v>44651</v>
      </c>
      <c r="C18" s="298">
        <v>0</v>
      </c>
      <c r="D18" s="298">
        <v>0</v>
      </c>
      <c r="E18" s="298">
        <v>0</v>
      </c>
      <c r="F18" s="298">
        <v>0</v>
      </c>
      <c r="G18" s="298">
        <v>0</v>
      </c>
      <c r="H18" s="298">
        <v>0</v>
      </c>
      <c r="I18" s="298">
        <v>0</v>
      </c>
      <c r="J18" s="298">
        <v>0</v>
      </c>
      <c r="K18" s="298">
        <v>0</v>
      </c>
      <c r="L18" s="298">
        <v>69000</v>
      </c>
      <c r="M18" s="298">
        <v>79350</v>
      </c>
      <c r="N18" s="298">
        <v>69828</v>
      </c>
      <c r="O18" s="298">
        <v>80302.25</v>
      </c>
    </row>
    <row r="19" spans="1:15" s="34" customFormat="1" ht="14.25">
      <c r="A19" s="238">
        <f t="shared" si="1"/>
        <v>18</v>
      </c>
      <c r="B19" s="245" cm="1">
        <f t="array" ref="B19">INDEX(D$1:O$1, MATCH(TRUE, INDEX(($D19:$O19 &lt;&gt; 0), 0),0))</f>
        <v>44104</v>
      </c>
      <c r="C19" s="298">
        <v>0</v>
      </c>
      <c r="D19" s="298">
        <v>0</v>
      </c>
      <c r="E19" s="298">
        <v>0</v>
      </c>
      <c r="F19" s="298">
        <v>92400</v>
      </c>
      <c r="G19" s="298">
        <v>92400</v>
      </c>
      <c r="H19" s="298">
        <v>106260</v>
      </c>
      <c r="I19" s="298">
        <v>106260</v>
      </c>
      <c r="J19" s="298">
        <v>122199</v>
      </c>
      <c r="K19" s="298">
        <v>140528.75</v>
      </c>
      <c r="L19" s="298">
        <v>185849.5</v>
      </c>
      <c r="M19" s="298">
        <v>213726.75</v>
      </c>
      <c r="N19" s="298">
        <v>245785.75</v>
      </c>
      <c r="O19" s="298">
        <v>282653.75</v>
      </c>
    </row>
    <row r="20" spans="1:15" s="34" customFormat="1" ht="14.25">
      <c r="A20" s="238">
        <f t="shared" si="1"/>
        <v>19</v>
      </c>
      <c r="B20" s="245" cm="1">
        <f t="array" ref="B20">INDEX(D$1:O$1, MATCH(TRUE, INDEX(($D20:$O20 &lt;&gt; 0), 0),0))</f>
        <v>44196</v>
      </c>
      <c r="C20" s="298">
        <v>0</v>
      </c>
      <c r="D20" s="298">
        <v>0</v>
      </c>
      <c r="E20" s="298">
        <v>0</v>
      </c>
      <c r="F20" s="298">
        <v>0</v>
      </c>
      <c r="G20" s="298">
        <v>120750</v>
      </c>
      <c r="H20" s="298">
        <v>138862.5</v>
      </c>
      <c r="I20" s="298">
        <v>159692</v>
      </c>
      <c r="J20" s="298">
        <v>159692</v>
      </c>
      <c r="K20" s="298">
        <v>183645.75</v>
      </c>
      <c r="L20" s="298">
        <v>161608.25</v>
      </c>
      <c r="M20" s="298">
        <v>185849.5</v>
      </c>
      <c r="N20" s="298">
        <v>213726.75</v>
      </c>
      <c r="O20" s="298">
        <v>213726.75</v>
      </c>
    </row>
    <row r="21" spans="1:15" s="34" customFormat="1" ht="14.25">
      <c r="A21" s="238">
        <f t="shared" si="1"/>
        <v>20</v>
      </c>
      <c r="B21" s="245" cm="1">
        <f t="array" ref="B21">INDEX(D$1:O$1, MATCH(TRUE, INDEX(($D21:$O21 &lt;&gt; 0), 0),0))</f>
        <v>43921</v>
      </c>
      <c r="C21" s="298">
        <v>0</v>
      </c>
      <c r="D21" s="298">
        <v>120750</v>
      </c>
      <c r="E21" s="298">
        <v>120750</v>
      </c>
      <c r="F21" s="298">
        <v>106260</v>
      </c>
      <c r="G21" s="298">
        <v>122199</v>
      </c>
      <c r="H21" s="298">
        <v>122199</v>
      </c>
      <c r="I21" s="298">
        <v>140528.75</v>
      </c>
      <c r="J21" s="298">
        <v>140528.75</v>
      </c>
      <c r="K21" s="298">
        <v>185849.5</v>
      </c>
      <c r="L21" s="298">
        <v>185849.5</v>
      </c>
      <c r="M21" s="298">
        <v>213726.75</v>
      </c>
      <c r="N21" s="298">
        <v>213726.75</v>
      </c>
      <c r="O21" s="298">
        <v>216291.5</v>
      </c>
    </row>
    <row r="22" spans="1:15" s="34" customFormat="1" ht="14.25">
      <c r="A22" s="238">
        <f t="shared" si="1"/>
        <v>21</v>
      </c>
      <c r="B22" s="245" cm="1">
        <f t="array" ref="B22">INDEX(D$1:O$1, MATCH(TRUE, INDEX(($D22:$O22 &lt;&gt; 0), 0),0))</f>
        <v>44561</v>
      </c>
      <c r="C22" s="298">
        <v>0</v>
      </c>
      <c r="D22" s="298">
        <v>0</v>
      </c>
      <c r="E22" s="298">
        <v>0</v>
      </c>
      <c r="F22" s="298">
        <v>0</v>
      </c>
      <c r="G22" s="298">
        <v>0</v>
      </c>
      <c r="H22" s="298">
        <v>0</v>
      </c>
      <c r="I22" s="298">
        <v>0</v>
      </c>
      <c r="J22" s="298">
        <v>0</v>
      </c>
      <c r="K22" s="298">
        <v>120750</v>
      </c>
      <c r="L22" s="298">
        <v>138862.5</v>
      </c>
      <c r="M22" s="298">
        <v>159692</v>
      </c>
      <c r="N22" s="298">
        <v>211192.5</v>
      </c>
      <c r="O22" s="298">
        <v>279302</v>
      </c>
    </row>
    <row r="23" spans="1:15" s="34" customFormat="1" ht="14.25">
      <c r="A23" s="238">
        <f t="shared" si="1"/>
        <v>22</v>
      </c>
      <c r="B23" s="245" cm="1">
        <f t="array" ref="B23">INDEX(D$1:O$1, MATCH(TRUE, INDEX(($D23:$O23 &lt;&gt; 0), 0),0))</f>
        <v>44377</v>
      </c>
      <c r="C23" s="298">
        <v>0</v>
      </c>
      <c r="D23" s="298">
        <v>0</v>
      </c>
      <c r="E23" s="298">
        <v>0</v>
      </c>
      <c r="F23" s="298">
        <v>0</v>
      </c>
      <c r="G23" s="298">
        <v>0</v>
      </c>
      <c r="H23" s="298">
        <v>0</v>
      </c>
      <c r="I23" s="298">
        <v>138000</v>
      </c>
      <c r="J23" s="298">
        <v>138000</v>
      </c>
      <c r="K23" s="298">
        <v>158700</v>
      </c>
      <c r="L23" s="298">
        <v>158700</v>
      </c>
      <c r="M23" s="298">
        <v>182505</v>
      </c>
      <c r="N23" s="298">
        <v>182505</v>
      </c>
      <c r="O23" s="298">
        <v>182505</v>
      </c>
    </row>
    <row r="24" spans="1:15" s="34" customFormat="1" ht="14.25">
      <c r="A24" s="238">
        <f t="shared" si="1"/>
        <v>23</v>
      </c>
      <c r="B24" s="245" cm="1">
        <f t="array" ref="B24">INDEX(D$1:O$1, MATCH(TRUE, INDEX(($D24:$O24 &lt;&gt; 0), 0),0))</f>
        <v>44377</v>
      </c>
      <c r="C24" s="298">
        <v>0</v>
      </c>
      <c r="D24" s="298">
        <v>0</v>
      </c>
      <c r="E24" s="298">
        <v>0</v>
      </c>
      <c r="F24" s="298">
        <v>0</v>
      </c>
      <c r="G24" s="298">
        <v>0</v>
      </c>
      <c r="H24" s="298">
        <v>0</v>
      </c>
      <c r="I24" s="298">
        <v>60000</v>
      </c>
      <c r="J24" s="298">
        <v>60000</v>
      </c>
      <c r="K24" s="298">
        <v>69000</v>
      </c>
      <c r="L24" s="298">
        <v>79350</v>
      </c>
      <c r="M24" s="298">
        <v>91252.5</v>
      </c>
      <c r="N24" s="298">
        <v>80302.25</v>
      </c>
      <c r="O24" s="298">
        <v>70666</v>
      </c>
    </row>
    <row r="25" spans="1:15" s="34" customFormat="1" ht="14.25">
      <c r="A25" s="238">
        <f t="shared" si="1"/>
        <v>24</v>
      </c>
      <c r="B25" s="245" cm="1">
        <f t="array" ref="B25">INDEX(D$1:O$1, MATCH(TRUE, INDEX(($D25:$O25 &lt;&gt; 0), 0),0))</f>
        <v>44196</v>
      </c>
      <c r="C25" s="298">
        <v>0</v>
      </c>
      <c r="D25" s="298">
        <v>0</v>
      </c>
      <c r="E25" s="298">
        <v>0</v>
      </c>
      <c r="F25" s="298">
        <v>0</v>
      </c>
      <c r="G25" s="298">
        <v>105000</v>
      </c>
      <c r="H25" s="298">
        <v>120750</v>
      </c>
      <c r="I25" s="298">
        <v>106260</v>
      </c>
      <c r="J25" s="298">
        <v>140528.75</v>
      </c>
      <c r="K25" s="298">
        <v>123665.5</v>
      </c>
      <c r="L25" s="298">
        <v>123665.5</v>
      </c>
      <c r="M25" s="298">
        <v>123665.5</v>
      </c>
      <c r="N25" s="298">
        <v>123665.5</v>
      </c>
      <c r="O25" s="298">
        <v>163547.5</v>
      </c>
    </row>
    <row r="26" spans="1:15" s="34" customFormat="1" ht="14.25">
      <c r="A26" s="238">
        <f t="shared" si="1"/>
        <v>25</v>
      </c>
      <c r="B26" s="245" cm="1">
        <f t="array" ref="B26">INDEX(D$1:O$1, MATCH(TRUE, INDEX(($D26:$O26 &lt;&gt; 0), 0),0))</f>
        <v>44469</v>
      </c>
      <c r="C26" s="298">
        <v>0</v>
      </c>
      <c r="D26" s="298">
        <v>0</v>
      </c>
      <c r="E26" s="298">
        <v>0</v>
      </c>
      <c r="F26" s="298">
        <v>0</v>
      </c>
      <c r="G26" s="298">
        <v>0</v>
      </c>
      <c r="H26" s="298">
        <v>0</v>
      </c>
      <c r="I26" s="298">
        <v>0</v>
      </c>
      <c r="J26" s="298">
        <v>92400</v>
      </c>
      <c r="K26" s="298">
        <v>106260</v>
      </c>
      <c r="L26" s="298">
        <v>122199</v>
      </c>
      <c r="M26" s="298">
        <v>140528.75</v>
      </c>
      <c r="N26" s="298">
        <v>161608.25</v>
      </c>
      <c r="O26" s="298">
        <v>213726.75</v>
      </c>
    </row>
    <row r="27" spans="1:15" s="34" customFormat="1" ht="14.25">
      <c r="A27" s="238">
        <f t="shared" si="1"/>
        <v>26</v>
      </c>
      <c r="B27" s="245" cm="1">
        <f t="array" ref="B27">INDEX(D$1:O$1, MATCH(TRUE, INDEX(($D27:$O27 &lt;&gt; 0), 0),0))</f>
        <v>44561</v>
      </c>
      <c r="C27" s="298">
        <v>0</v>
      </c>
      <c r="D27" s="298">
        <v>0</v>
      </c>
      <c r="E27" s="298">
        <v>0</v>
      </c>
      <c r="F27" s="298">
        <v>0</v>
      </c>
      <c r="G27" s="298">
        <v>0</v>
      </c>
      <c r="H27" s="298">
        <v>0</v>
      </c>
      <c r="I27" s="298">
        <v>0</v>
      </c>
      <c r="J27" s="298">
        <v>0</v>
      </c>
      <c r="K27" s="298">
        <v>120000</v>
      </c>
      <c r="L27" s="298">
        <v>138000</v>
      </c>
      <c r="M27" s="298">
        <v>158700</v>
      </c>
      <c r="N27" s="298">
        <v>209880.75</v>
      </c>
      <c r="O27" s="298">
        <v>209880.75</v>
      </c>
    </row>
    <row r="28" spans="1:15" s="34" customFormat="1" ht="14.25">
      <c r="A28" s="238">
        <f t="shared" si="1"/>
        <v>27</v>
      </c>
      <c r="B28" s="245" cm="1">
        <f t="array" ref="B28">INDEX(D$1:O$1, MATCH(TRUE, INDEX(($D28:$O28 &lt;&gt; 0), 0),0))</f>
        <v>44742</v>
      </c>
      <c r="C28" s="298">
        <v>0</v>
      </c>
      <c r="D28" s="298">
        <v>0</v>
      </c>
      <c r="E28" s="298">
        <v>0</v>
      </c>
      <c r="F28" s="298">
        <v>0</v>
      </c>
      <c r="G28" s="298">
        <v>0</v>
      </c>
      <c r="H28" s="298">
        <v>0</v>
      </c>
      <c r="I28" s="298">
        <v>0</v>
      </c>
      <c r="J28" s="298">
        <v>0</v>
      </c>
      <c r="K28" s="298">
        <v>0</v>
      </c>
      <c r="L28" s="298">
        <v>0</v>
      </c>
      <c r="M28" s="298">
        <v>120000</v>
      </c>
      <c r="N28" s="298">
        <v>158700</v>
      </c>
      <c r="O28" s="298">
        <v>182505</v>
      </c>
    </row>
    <row r="29" spans="1:15" s="34" customFormat="1" ht="14.25">
      <c r="A29" s="238">
        <f t="shared" si="1"/>
        <v>28</v>
      </c>
      <c r="B29" s="245" cm="1">
        <f t="array" ref="B29">INDEX(D$1:O$1, MATCH(TRUE, INDEX(($D29:$O29 &lt;&gt; 0), 0),0))</f>
        <v>44286</v>
      </c>
      <c r="C29" s="298">
        <v>0</v>
      </c>
      <c r="D29" s="298">
        <v>0</v>
      </c>
      <c r="E29" s="298">
        <v>0</v>
      </c>
      <c r="F29" s="298">
        <v>0</v>
      </c>
      <c r="G29" s="298">
        <v>0</v>
      </c>
      <c r="H29" s="298">
        <v>120750</v>
      </c>
      <c r="I29" s="298">
        <v>138862.5</v>
      </c>
      <c r="J29" s="298">
        <v>138862.5</v>
      </c>
      <c r="K29" s="298">
        <v>159692</v>
      </c>
      <c r="L29" s="298">
        <v>211192.5</v>
      </c>
      <c r="M29" s="298">
        <v>213726.75</v>
      </c>
      <c r="N29" s="298">
        <v>282653.75</v>
      </c>
      <c r="O29" s="298">
        <v>282653.75</v>
      </c>
    </row>
    <row r="30" spans="1:15" s="34" customFormat="1" ht="14.25">
      <c r="A30" s="238">
        <f t="shared" si="1"/>
        <v>29</v>
      </c>
      <c r="B30" s="245" cm="1">
        <f t="array" ref="B30">INDEX(D$1:O$1, MATCH(TRUE, INDEX(($D30:$O30 &lt;&gt; 0), 0),0))</f>
        <v>43921</v>
      </c>
      <c r="C30" s="298">
        <v>125149.25</v>
      </c>
      <c r="D30" s="298">
        <v>143921.75</v>
      </c>
      <c r="E30" s="298">
        <v>165510</v>
      </c>
      <c r="F30" s="298">
        <v>165510</v>
      </c>
      <c r="G30" s="298">
        <v>218887</v>
      </c>
      <c r="H30" s="298">
        <v>218887</v>
      </c>
      <c r="I30" s="298">
        <v>289478</v>
      </c>
      <c r="J30" s="298">
        <v>332899.75</v>
      </c>
      <c r="K30" s="298">
        <v>332899.75</v>
      </c>
      <c r="L30" s="298">
        <v>382834.75</v>
      </c>
      <c r="M30" s="298">
        <v>440260</v>
      </c>
      <c r="N30" s="298">
        <v>582243.75</v>
      </c>
      <c r="O30" s="298">
        <v>582243.75</v>
      </c>
    </row>
    <row r="31" spans="1:15" s="34" customFormat="1" ht="14.25">
      <c r="A31" s="238">
        <f t="shared" si="1"/>
        <v>30</v>
      </c>
      <c r="B31" s="245" cm="1">
        <f t="array" ref="B31">INDEX(D$1:O$1, MATCH(TRUE, INDEX(($D31:$O31 &lt;&gt; 0), 0),0))</f>
        <v>44834</v>
      </c>
      <c r="C31" s="298">
        <v>0</v>
      </c>
      <c r="D31" s="298">
        <v>0</v>
      </c>
      <c r="E31" s="298">
        <v>0</v>
      </c>
      <c r="F31" s="298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0</v>
      </c>
      <c r="L31" s="298">
        <v>0</v>
      </c>
      <c r="M31" s="298">
        <v>0</v>
      </c>
      <c r="N31" s="298">
        <v>120000</v>
      </c>
      <c r="O31" s="298">
        <v>120000</v>
      </c>
    </row>
    <row r="32" spans="1:15" s="34" customFormat="1" ht="14.25">
      <c r="A32" s="238">
        <f t="shared" si="1"/>
        <v>31</v>
      </c>
      <c r="B32" s="245" cm="1">
        <f t="array" ref="B32">INDEX(D$1:O$1, MATCH(TRUE, INDEX(($D32:$O32 &lt;&gt; 0), 0),0))</f>
        <v>44196</v>
      </c>
      <c r="C32" s="298">
        <v>0</v>
      </c>
      <c r="D32" s="298">
        <v>0</v>
      </c>
      <c r="E32" s="298">
        <v>0</v>
      </c>
      <c r="F32" s="298">
        <v>0</v>
      </c>
      <c r="G32" s="298">
        <v>69000</v>
      </c>
      <c r="H32" s="298">
        <v>91252.5</v>
      </c>
      <c r="I32" s="298">
        <v>80302.25</v>
      </c>
      <c r="J32" s="298">
        <v>81265.75</v>
      </c>
      <c r="K32" s="298">
        <v>107474</v>
      </c>
      <c r="L32" s="298">
        <v>123595.25</v>
      </c>
      <c r="M32" s="298">
        <v>142134.5</v>
      </c>
      <c r="N32" s="298">
        <v>142134.5</v>
      </c>
      <c r="O32" s="298">
        <v>142134.5</v>
      </c>
    </row>
    <row r="33" spans="1:15" s="34" customFormat="1" ht="14.25">
      <c r="A33" s="238">
        <f t="shared" si="1"/>
        <v>32</v>
      </c>
      <c r="B33" s="245" cm="1">
        <f t="array" ref="B33">INDEX(D$1:O$1, MATCH(TRUE, INDEX(($D33:$O33 &lt;&gt; 0), 0),0))</f>
        <v>43921</v>
      </c>
      <c r="C33" s="298">
        <v>61448.75</v>
      </c>
      <c r="D33" s="298">
        <v>61448.75</v>
      </c>
      <c r="E33" s="298">
        <v>81265.75</v>
      </c>
      <c r="F33" s="298">
        <v>107474</v>
      </c>
      <c r="G33" s="298">
        <v>123595.25</v>
      </c>
      <c r="H33" s="298">
        <v>142134.5</v>
      </c>
      <c r="I33" s="298">
        <v>163454.5</v>
      </c>
      <c r="J33" s="298">
        <v>163454.5</v>
      </c>
      <c r="K33" s="298">
        <v>163454.5</v>
      </c>
      <c r="L33" s="298">
        <v>143840</v>
      </c>
      <c r="M33" s="298">
        <v>190228.5</v>
      </c>
      <c r="N33" s="298">
        <v>190228.5</v>
      </c>
      <c r="O33" s="298">
        <v>218762.75</v>
      </c>
    </row>
    <row r="34" spans="1:15" s="34" customFormat="1" ht="14.25">
      <c r="A34" s="238">
        <f t="shared" si="1"/>
        <v>33</v>
      </c>
      <c r="B34" s="245" cm="1">
        <f t="array" ref="B34">INDEX(D$1:O$1, MATCH(TRUE, INDEX(($D34:$O34 &lt;&gt; 0), 0),0))</f>
        <v>44742</v>
      </c>
      <c r="C34" s="298">
        <v>0</v>
      </c>
      <c r="D34" s="298">
        <v>0</v>
      </c>
      <c r="E34" s="298">
        <v>0</v>
      </c>
      <c r="F34" s="298">
        <v>0</v>
      </c>
      <c r="G34" s="298">
        <v>0</v>
      </c>
      <c r="H34" s="298">
        <v>0</v>
      </c>
      <c r="I34" s="298">
        <v>0</v>
      </c>
      <c r="J34" s="298">
        <v>0</v>
      </c>
      <c r="K34" s="298">
        <v>0</v>
      </c>
      <c r="L34" s="298">
        <v>0</v>
      </c>
      <c r="M34" s="298">
        <v>105000</v>
      </c>
      <c r="N34" s="298">
        <v>120750</v>
      </c>
      <c r="O34" s="298">
        <v>159692</v>
      </c>
    </row>
    <row r="35" spans="1:15" s="33" customFormat="1" ht="14.25">
      <c r="A35" s="238">
        <f t="shared" si="1"/>
        <v>34</v>
      </c>
      <c r="B35" s="245" cm="1">
        <f t="array" ref="B35">INDEX(D$1:O$1, MATCH(TRUE, INDEX(($D35:$O35 &lt;&gt; 0), 0),0))</f>
        <v>44104</v>
      </c>
      <c r="C35" s="298">
        <v>0</v>
      </c>
      <c r="D35" s="298">
        <v>0</v>
      </c>
      <c r="E35" s="298">
        <v>0</v>
      </c>
      <c r="F35" s="298">
        <v>120750</v>
      </c>
      <c r="G35" s="298">
        <v>106260</v>
      </c>
      <c r="H35" s="298">
        <v>122199</v>
      </c>
      <c r="I35" s="298">
        <v>107535</v>
      </c>
      <c r="J35" s="298">
        <v>163547.5</v>
      </c>
      <c r="K35" s="298">
        <v>188079.5</v>
      </c>
      <c r="L35" s="298">
        <v>165510</v>
      </c>
      <c r="M35" s="298">
        <v>165510</v>
      </c>
      <c r="N35" s="298">
        <v>145648.75</v>
      </c>
      <c r="O35" s="298">
        <v>167496.25</v>
      </c>
    </row>
    <row r="36" spans="1:15" s="33" customFormat="1" ht="14.25">
      <c r="A36" s="238">
        <f t="shared" si="1"/>
        <v>35</v>
      </c>
      <c r="B36" s="245" cm="1">
        <f t="array" ref="B36">INDEX(D$1:O$1, MATCH(TRUE, INDEX(($D36:$O36 &lt;&gt; 0), 0),0))</f>
        <v>44469</v>
      </c>
      <c r="C36" s="298">
        <v>0</v>
      </c>
      <c r="D36" s="298">
        <v>0</v>
      </c>
      <c r="E36" s="298">
        <v>0</v>
      </c>
      <c r="F36" s="298">
        <v>0</v>
      </c>
      <c r="G36" s="298">
        <v>0</v>
      </c>
      <c r="H36" s="298">
        <v>0</v>
      </c>
      <c r="I36" s="298">
        <v>0</v>
      </c>
      <c r="J36" s="298">
        <v>120750</v>
      </c>
      <c r="K36" s="298">
        <v>159692</v>
      </c>
      <c r="L36" s="298">
        <v>159692</v>
      </c>
      <c r="M36" s="298">
        <v>183645.75</v>
      </c>
      <c r="N36" s="298">
        <v>161608.25</v>
      </c>
      <c r="O36" s="298">
        <v>213726.75</v>
      </c>
    </row>
    <row r="37" spans="1:15" s="33" customFormat="1" ht="14.25">
      <c r="A37" s="238">
        <f t="shared" si="1"/>
        <v>36</v>
      </c>
      <c r="B37" s="245" cm="1">
        <f t="array" ref="B37">INDEX(D$1:O$1, MATCH(TRUE, INDEX(($D37:$O37 &lt;&gt; 0), 0),0))</f>
        <v>44012</v>
      </c>
      <c r="C37" s="298">
        <v>0</v>
      </c>
      <c r="D37" s="298">
        <v>0</v>
      </c>
      <c r="E37" s="298">
        <v>60000</v>
      </c>
      <c r="F37" s="298">
        <v>69000</v>
      </c>
      <c r="G37" s="298">
        <v>69000</v>
      </c>
      <c r="H37" s="298">
        <v>69000</v>
      </c>
      <c r="I37" s="298">
        <v>91252.5</v>
      </c>
      <c r="J37" s="298">
        <v>91252.5</v>
      </c>
      <c r="K37" s="298">
        <v>104940.5</v>
      </c>
      <c r="L37" s="298">
        <v>120681.5</v>
      </c>
      <c r="M37" s="298">
        <v>138783.75</v>
      </c>
      <c r="N37" s="298">
        <v>122129.5</v>
      </c>
      <c r="O37" s="298">
        <v>140449</v>
      </c>
    </row>
    <row r="38" spans="1:15" s="33" customFormat="1" ht="14.25">
      <c r="A38" s="238">
        <f t="shared" si="1"/>
        <v>37</v>
      </c>
      <c r="B38" s="245" cm="1">
        <f t="array" ref="B38">INDEX(D$1:O$1, MATCH(TRUE, INDEX(($D38:$O38 &lt;&gt; 0), 0),0))</f>
        <v>43921</v>
      </c>
      <c r="C38" s="298">
        <v>138862.5</v>
      </c>
      <c r="D38" s="298">
        <v>138862.5</v>
      </c>
      <c r="E38" s="298">
        <v>159692</v>
      </c>
      <c r="F38" s="298">
        <v>140528.75</v>
      </c>
      <c r="G38" s="298">
        <v>140528.75</v>
      </c>
      <c r="H38" s="298">
        <v>161608.25</v>
      </c>
      <c r="I38" s="298">
        <v>161608.25</v>
      </c>
      <c r="J38" s="298">
        <v>161608.25</v>
      </c>
      <c r="K38" s="298">
        <v>213726.75</v>
      </c>
      <c r="L38" s="298">
        <v>245785.75</v>
      </c>
      <c r="M38" s="298">
        <v>282653.75</v>
      </c>
      <c r="N38" s="298">
        <v>325051.75</v>
      </c>
      <c r="O38" s="298">
        <v>325051.75</v>
      </c>
    </row>
    <row r="39" spans="1:15" s="33" customFormat="1" ht="14.25">
      <c r="A39" s="238">
        <f t="shared" si="1"/>
        <v>38</v>
      </c>
      <c r="B39" s="245" cm="1">
        <f t="array" ref="B39">INDEX(D$1:O$1, MATCH(TRUE, INDEX(($D39:$O39 &lt;&gt; 0), 0),0))</f>
        <v>44377</v>
      </c>
      <c r="C39" s="298">
        <v>0</v>
      </c>
      <c r="D39" s="298">
        <v>0</v>
      </c>
      <c r="E39" s="298">
        <v>0</v>
      </c>
      <c r="F39" s="298">
        <v>0</v>
      </c>
      <c r="G39" s="298">
        <v>0</v>
      </c>
      <c r="H39" s="298">
        <v>0</v>
      </c>
      <c r="I39" s="298">
        <v>92400</v>
      </c>
      <c r="J39" s="298">
        <v>106260</v>
      </c>
      <c r="K39" s="298">
        <v>107535</v>
      </c>
      <c r="L39" s="298">
        <v>108825.5</v>
      </c>
      <c r="M39" s="298">
        <v>108825.5</v>
      </c>
      <c r="N39" s="298">
        <v>95766.5</v>
      </c>
      <c r="O39" s="298">
        <v>110131.5</v>
      </c>
    </row>
    <row r="40" spans="1:15" s="33" customFormat="1" ht="14.25">
      <c r="A40" s="238">
        <f t="shared" si="1"/>
        <v>39</v>
      </c>
      <c r="B40" s="245" cm="1">
        <f t="array" ref="B40">INDEX(D$1:O$1, MATCH(TRUE, INDEX(($D40:$O40 &lt;&gt; 0), 0),0))</f>
        <v>44196</v>
      </c>
      <c r="C40" s="298">
        <v>0</v>
      </c>
      <c r="D40" s="298">
        <v>0</v>
      </c>
      <c r="E40" s="298">
        <v>0</v>
      </c>
      <c r="F40" s="298">
        <v>0</v>
      </c>
      <c r="G40" s="298">
        <v>120000</v>
      </c>
      <c r="H40" s="298">
        <v>158700</v>
      </c>
      <c r="I40" s="298">
        <v>158700</v>
      </c>
      <c r="J40" s="298">
        <v>158700</v>
      </c>
      <c r="K40" s="298">
        <v>160604.5</v>
      </c>
      <c r="L40" s="298">
        <v>184695</v>
      </c>
      <c r="M40" s="298">
        <v>244259.25</v>
      </c>
      <c r="N40" s="298">
        <v>323032.75</v>
      </c>
      <c r="O40" s="298">
        <v>284269</v>
      </c>
    </row>
    <row r="41" spans="1:15" s="33" customFormat="1" ht="14.25">
      <c r="A41" s="238">
        <f t="shared" si="1"/>
        <v>40</v>
      </c>
      <c r="B41" s="245" cm="1">
        <f t="array" ref="B41">INDEX(D$1:O$1, MATCH(TRUE, INDEX(($D41:$O41 &lt;&gt; 0), 0),0))</f>
        <v>44286</v>
      </c>
      <c r="C41" s="298">
        <v>0</v>
      </c>
      <c r="D41" s="298">
        <v>0</v>
      </c>
      <c r="E41" s="298">
        <v>0</v>
      </c>
      <c r="F41" s="298">
        <v>0</v>
      </c>
      <c r="G41" s="298">
        <v>0</v>
      </c>
      <c r="H41" s="298">
        <v>120000</v>
      </c>
      <c r="I41" s="298">
        <v>138000</v>
      </c>
      <c r="J41" s="298">
        <v>158700</v>
      </c>
      <c r="K41" s="298">
        <v>182505</v>
      </c>
      <c r="L41" s="298">
        <v>182505</v>
      </c>
      <c r="M41" s="298">
        <v>160604.5</v>
      </c>
      <c r="N41" s="298">
        <v>212399.25</v>
      </c>
      <c r="O41" s="298">
        <v>244259.25</v>
      </c>
    </row>
    <row r="42" spans="1:15" s="33" customFormat="1" ht="14.25">
      <c r="A42" s="238">
        <f t="shared" si="1"/>
        <v>41</v>
      </c>
      <c r="B42" s="245" cm="1">
        <f t="array" ref="B42">INDEX(D$1:O$1, MATCH(TRUE, INDEX(($D42:$O42 &lt;&gt; 0), 0),0))</f>
        <v>44834</v>
      </c>
      <c r="C42" s="298">
        <v>0</v>
      </c>
      <c r="D42" s="298">
        <v>0</v>
      </c>
      <c r="E42" s="298">
        <v>0</v>
      </c>
      <c r="F42" s="298">
        <v>0</v>
      </c>
      <c r="G42" s="298">
        <v>0</v>
      </c>
      <c r="H42" s="298">
        <v>0</v>
      </c>
      <c r="I42" s="298">
        <v>0</v>
      </c>
      <c r="J42" s="298">
        <v>0</v>
      </c>
      <c r="K42" s="298">
        <v>0</v>
      </c>
      <c r="L42" s="298">
        <v>0</v>
      </c>
      <c r="M42" s="298">
        <v>0</v>
      </c>
      <c r="N42" s="298">
        <v>105000</v>
      </c>
      <c r="O42" s="298">
        <v>120750</v>
      </c>
    </row>
    <row r="43" spans="1:15" s="33" customFormat="1" ht="14.25">
      <c r="A43" s="238">
        <f t="shared" si="1"/>
        <v>42</v>
      </c>
      <c r="B43" s="245" cm="1">
        <f t="array" ref="B43">INDEX(D$1:O$1, MATCH(TRUE, INDEX(($D43:$O43 &lt;&gt; 0), 0),0))</f>
        <v>44561</v>
      </c>
      <c r="C43" s="298">
        <v>0</v>
      </c>
      <c r="D43" s="298">
        <v>0</v>
      </c>
      <c r="E43" s="298">
        <v>0</v>
      </c>
      <c r="F43" s="298">
        <v>0</v>
      </c>
      <c r="G43" s="298">
        <v>0</v>
      </c>
      <c r="H43" s="298">
        <v>0</v>
      </c>
      <c r="I43" s="298">
        <v>0</v>
      </c>
      <c r="J43" s="298">
        <v>0</v>
      </c>
      <c r="K43" s="298">
        <v>120750</v>
      </c>
      <c r="L43" s="298">
        <v>120750</v>
      </c>
      <c r="M43" s="298">
        <v>138862.5</v>
      </c>
      <c r="N43" s="298">
        <v>140528.75</v>
      </c>
      <c r="O43" s="298">
        <v>161608.25</v>
      </c>
    </row>
    <row r="44" spans="1:15" s="33" customFormat="1" ht="14.25">
      <c r="A44" s="238">
        <f t="shared" si="1"/>
        <v>43</v>
      </c>
      <c r="B44" s="245" cm="1">
        <f t="array" ref="B44">INDEX(D$1:O$1, MATCH(TRUE, INDEX(($D44:$O44 &lt;&gt; 0), 0),0))</f>
        <v>43921</v>
      </c>
      <c r="C44" s="298">
        <v>183541.25</v>
      </c>
      <c r="D44" s="298">
        <v>183541.25</v>
      </c>
      <c r="E44" s="298">
        <v>211072.5</v>
      </c>
      <c r="F44" s="298">
        <v>0</v>
      </c>
      <c r="G44" s="298">
        <v>0</v>
      </c>
      <c r="H44" s="298">
        <v>0</v>
      </c>
      <c r="I44" s="298">
        <v>0</v>
      </c>
      <c r="J44" s="298">
        <v>0</v>
      </c>
      <c r="K44" s="298">
        <v>0</v>
      </c>
      <c r="L44" s="298">
        <v>0</v>
      </c>
      <c r="M44" s="298">
        <v>0</v>
      </c>
      <c r="N44" s="298">
        <v>0</v>
      </c>
      <c r="O44" s="298">
        <v>0</v>
      </c>
    </row>
    <row r="45" spans="1:15" s="33" customFormat="1" ht="14.25">
      <c r="A45" s="238">
        <f t="shared" si="1"/>
        <v>44</v>
      </c>
      <c r="B45" s="245" cm="1">
        <f t="array" ref="B45">INDEX(D$1:O$1, MATCH(TRUE, INDEX(($D45:$O45 &lt;&gt; 0), 0),0))</f>
        <v>43921</v>
      </c>
      <c r="C45" s="298">
        <v>161608.25</v>
      </c>
      <c r="D45" s="298">
        <v>161608.25</v>
      </c>
      <c r="E45" s="298">
        <v>185849.5</v>
      </c>
      <c r="F45" s="298">
        <v>185849.5</v>
      </c>
      <c r="G45" s="298">
        <v>185849.5</v>
      </c>
      <c r="H45" s="298">
        <v>213726.75</v>
      </c>
      <c r="I45" s="298">
        <v>245785.75</v>
      </c>
      <c r="J45" s="298">
        <v>245785.75</v>
      </c>
      <c r="K45" s="298">
        <v>245785.75</v>
      </c>
      <c r="L45" s="298">
        <v>245785.75</v>
      </c>
      <c r="M45" s="298">
        <v>245785.75</v>
      </c>
      <c r="N45" s="298">
        <v>245785.75</v>
      </c>
      <c r="O45" s="298">
        <v>373809.5</v>
      </c>
    </row>
    <row r="46" spans="1:15" s="33" customFormat="1" ht="14.25">
      <c r="A46" s="238">
        <f t="shared" si="1"/>
        <v>45</v>
      </c>
      <c r="B46" s="245" cm="1">
        <f t="array" ref="B46">INDEX(D$1:O$1, MATCH(TRUE, INDEX(($D46:$O46 &lt;&gt; 0), 0),0))</f>
        <v>44926</v>
      </c>
      <c r="C46" s="298">
        <v>0</v>
      </c>
      <c r="D46" s="298">
        <v>0</v>
      </c>
      <c r="E46" s="298">
        <v>0</v>
      </c>
      <c r="F46" s="298">
        <v>0</v>
      </c>
      <c r="G46" s="298">
        <v>0</v>
      </c>
      <c r="H46" s="298">
        <v>0</v>
      </c>
      <c r="I46" s="298">
        <v>0</v>
      </c>
      <c r="J46" s="298">
        <v>0</v>
      </c>
      <c r="K46" s="298">
        <v>0</v>
      </c>
      <c r="L46" s="298">
        <v>0</v>
      </c>
      <c r="M46" s="298">
        <v>0</v>
      </c>
      <c r="N46" s="298">
        <v>0</v>
      </c>
      <c r="O46" s="298">
        <v>105000</v>
      </c>
    </row>
    <row r="47" spans="1:15" s="33" customFormat="1" ht="14.25">
      <c r="A47" s="238">
        <f t="shared" si="1"/>
        <v>46</v>
      </c>
      <c r="B47" s="245" cm="1">
        <f t="array" ref="B47">INDEX(D$1:O$1, MATCH(TRUE, INDEX(($D47:$O47 &lt;&gt; 0), 0),0))</f>
        <v>44926</v>
      </c>
      <c r="C47" s="298">
        <v>0</v>
      </c>
      <c r="D47" s="298">
        <v>0</v>
      </c>
      <c r="E47" s="298">
        <v>0</v>
      </c>
      <c r="F47" s="298">
        <v>0</v>
      </c>
      <c r="G47" s="298">
        <v>0</v>
      </c>
      <c r="H47" s="298">
        <v>0</v>
      </c>
      <c r="I47" s="298">
        <v>0</v>
      </c>
      <c r="J47" s="298">
        <v>0</v>
      </c>
      <c r="K47" s="298">
        <v>0</v>
      </c>
      <c r="L47" s="298">
        <v>0</v>
      </c>
      <c r="M47" s="298">
        <v>0</v>
      </c>
      <c r="N47" s="298">
        <v>0</v>
      </c>
      <c r="O47" s="298">
        <v>105000</v>
      </c>
    </row>
    <row r="48" spans="1:15" s="33" customFormat="1" ht="14.25">
      <c r="A48" s="238">
        <f t="shared" si="1"/>
        <v>47</v>
      </c>
      <c r="B48" s="245" cm="1">
        <f t="array" ref="B48">INDEX(D$1:O$1, MATCH(TRUE, INDEX(($D48:$O48 &lt;&gt; 0), 0),0))</f>
        <v>44469</v>
      </c>
      <c r="C48" s="298">
        <v>0</v>
      </c>
      <c r="D48" s="298">
        <v>0</v>
      </c>
      <c r="E48" s="298">
        <v>0</v>
      </c>
      <c r="F48" s="298">
        <v>0</v>
      </c>
      <c r="G48" s="298">
        <v>0</v>
      </c>
      <c r="H48" s="298">
        <v>0</v>
      </c>
      <c r="I48" s="298">
        <v>0</v>
      </c>
      <c r="J48" s="298">
        <v>120750</v>
      </c>
      <c r="K48" s="298">
        <v>120750</v>
      </c>
      <c r="L48" s="298">
        <v>120750</v>
      </c>
      <c r="M48" s="298">
        <v>138862.5</v>
      </c>
      <c r="N48" s="298">
        <v>159692</v>
      </c>
      <c r="O48" s="298">
        <v>159692</v>
      </c>
    </row>
    <row r="49" spans="1:15" s="33" customFormat="1" ht="14.25">
      <c r="A49" s="238">
        <f t="shared" si="1"/>
        <v>48</v>
      </c>
      <c r="B49" s="245" cm="1">
        <f t="array" ref="B49">INDEX(D$1:O$1, MATCH(TRUE, INDEX(($D49:$O49 &lt;&gt; 0), 0),0))</f>
        <v>44742</v>
      </c>
      <c r="C49" s="298">
        <v>0</v>
      </c>
      <c r="D49" s="298">
        <v>0</v>
      </c>
      <c r="E49" s="298">
        <v>0</v>
      </c>
      <c r="F49" s="298">
        <v>0</v>
      </c>
      <c r="G49" s="298">
        <v>0</v>
      </c>
      <c r="H49" s="298">
        <v>0</v>
      </c>
      <c r="I49" s="298">
        <v>0</v>
      </c>
      <c r="J49" s="298">
        <v>0</v>
      </c>
      <c r="K49" s="298">
        <v>0</v>
      </c>
      <c r="L49" s="298">
        <v>0</v>
      </c>
      <c r="M49" s="298">
        <v>105000</v>
      </c>
      <c r="N49" s="298">
        <v>106260</v>
      </c>
      <c r="O49" s="298">
        <v>122199</v>
      </c>
    </row>
    <row r="50" spans="1:15" s="33" customFormat="1" ht="14.25">
      <c r="A50" s="238">
        <f t="shared" si="1"/>
        <v>49</v>
      </c>
      <c r="B50" s="245" cm="1">
        <f t="array" ref="B50">INDEX(D$1:O$1, MATCH(TRUE, INDEX(($D50:$O50 &lt;&gt; 0), 0),0))</f>
        <v>44469</v>
      </c>
      <c r="C50" s="298">
        <v>0</v>
      </c>
      <c r="D50" s="298">
        <v>0</v>
      </c>
      <c r="E50" s="298">
        <v>0</v>
      </c>
      <c r="F50" s="298">
        <v>0</v>
      </c>
      <c r="G50" s="298">
        <v>0</v>
      </c>
      <c r="H50" s="298">
        <v>0</v>
      </c>
      <c r="I50" s="298">
        <v>0</v>
      </c>
      <c r="J50" s="298">
        <v>105000</v>
      </c>
      <c r="K50" s="298">
        <v>105000</v>
      </c>
      <c r="L50" s="298">
        <v>120750</v>
      </c>
      <c r="M50" s="298">
        <v>120750</v>
      </c>
      <c r="N50" s="298">
        <v>159692</v>
      </c>
      <c r="O50" s="298">
        <v>183645.75</v>
      </c>
    </row>
    <row r="51" spans="1:15" s="33" customFormat="1" ht="14.25">
      <c r="A51" s="238">
        <f t="shared" si="1"/>
        <v>50</v>
      </c>
      <c r="B51" s="245" cm="1">
        <f t="array" ref="B51">INDEX(D$1:O$1, MATCH(TRUE, INDEX(($D51:$O51 &lt;&gt; 0), 0),0))</f>
        <v>44561</v>
      </c>
      <c r="C51" s="298">
        <v>0</v>
      </c>
      <c r="D51" s="298">
        <v>0</v>
      </c>
      <c r="E51" s="298">
        <v>0</v>
      </c>
      <c r="F51" s="298">
        <v>0</v>
      </c>
      <c r="G51" s="298">
        <v>0</v>
      </c>
      <c r="H51" s="298">
        <v>0</v>
      </c>
      <c r="I51" s="298">
        <v>0</v>
      </c>
      <c r="J51" s="298">
        <v>0</v>
      </c>
      <c r="K51" s="298">
        <v>120750</v>
      </c>
      <c r="L51" s="298">
        <v>120750</v>
      </c>
      <c r="M51" s="298">
        <v>159692</v>
      </c>
      <c r="N51" s="298">
        <v>140528.75</v>
      </c>
      <c r="O51" s="298">
        <v>140528.75</v>
      </c>
    </row>
    <row r="52" spans="1:15" s="33" customFormat="1" ht="14.25">
      <c r="A52" s="238">
        <f t="shared" si="1"/>
        <v>51</v>
      </c>
      <c r="B52" s="245" cm="1">
        <f t="array" ref="B52">INDEX(D$1:O$1, MATCH(TRUE, INDEX(($D52:$O52 &lt;&gt; 0), 0),0))</f>
        <v>44104</v>
      </c>
      <c r="C52" s="298">
        <v>0</v>
      </c>
      <c r="D52" s="298">
        <v>0</v>
      </c>
      <c r="E52" s="298">
        <v>0</v>
      </c>
      <c r="F52" s="298">
        <v>60000</v>
      </c>
      <c r="G52" s="298">
        <v>79350</v>
      </c>
      <c r="H52" s="298">
        <v>104940.5</v>
      </c>
      <c r="I52" s="298">
        <v>138783.75</v>
      </c>
      <c r="J52" s="298">
        <v>161516.5</v>
      </c>
      <c r="K52" s="298">
        <v>185743.75</v>
      </c>
      <c r="L52" s="298">
        <v>185743.75</v>
      </c>
      <c r="M52" s="298">
        <v>245646.25</v>
      </c>
      <c r="N52" s="298">
        <v>324867.25</v>
      </c>
      <c r="O52" s="298">
        <v>285883</v>
      </c>
    </row>
    <row r="53" spans="1:15" s="33" customFormat="1" ht="14.25">
      <c r="A53" s="238">
        <f t="shared" si="1"/>
        <v>52</v>
      </c>
      <c r="B53" s="245" cm="1">
        <f t="array" ref="B53">INDEX(D$1:O$1, MATCH(TRUE, INDEX(($D53:$O53 &lt;&gt; 0), 0),0))</f>
        <v>44469</v>
      </c>
      <c r="C53" s="298">
        <v>0</v>
      </c>
      <c r="D53" s="298">
        <v>0</v>
      </c>
      <c r="E53" s="298">
        <v>0</v>
      </c>
      <c r="F53" s="298">
        <v>0</v>
      </c>
      <c r="G53" s="298">
        <v>0</v>
      </c>
      <c r="H53" s="298">
        <v>0</v>
      </c>
      <c r="I53" s="298">
        <v>0</v>
      </c>
      <c r="J53" s="298">
        <v>105000</v>
      </c>
      <c r="K53" s="298">
        <v>105000</v>
      </c>
      <c r="L53" s="298">
        <v>122199</v>
      </c>
      <c r="M53" s="298">
        <v>140528.75</v>
      </c>
      <c r="N53" s="298">
        <v>140528.75</v>
      </c>
      <c r="O53" s="298">
        <v>161608.25</v>
      </c>
    </row>
    <row r="54" spans="1:15" s="33" customFormat="1" ht="14.25">
      <c r="A54" s="238">
        <f t="shared" si="1"/>
        <v>53</v>
      </c>
      <c r="B54" s="245" cm="1">
        <f t="array" ref="B54">INDEX(D$1:O$1, MATCH(TRUE, INDEX(($D54:$O54 &lt;&gt; 0), 0),0))</f>
        <v>44834</v>
      </c>
      <c r="C54" s="298">
        <v>0</v>
      </c>
      <c r="D54" s="298">
        <v>0</v>
      </c>
      <c r="E54" s="298">
        <v>0</v>
      </c>
      <c r="F54" s="298">
        <v>0</v>
      </c>
      <c r="G54" s="298">
        <v>0</v>
      </c>
      <c r="H54" s="298">
        <v>0</v>
      </c>
      <c r="I54" s="298">
        <v>0</v>
      </c>
      <c r="J54" s="298">
        <v>0</v>
      </c>
      <c r="K54" s="298">
        <v>0</v>
      </c>
      <c r="L54" s="298">
        <v>0</v>
      </c>
      <c r="M54" s="298">
        <v>0</v>
      </c>
      <c r="N54" s="298">
        <v>120750</v>
      </c>
      <c r="O54" s="298">
        <v>138862.5</v>
      </c>
    </row>
    <row r="55" spans="1:15" s="33" customFormat="1" ht="14.25">
      <c r="A55" s="238">
        <f t="shared" si="1"/>
        <v>54</v>
      </c>
      <c r="B55" s="245" cm="1">
        <f t="array" ref="B55">INDEX(D$1:O$1, MATCH(TRUE, INDEX(($D55:$O55 &lt;&gt; 0), 0),0))</f>
        <v>43921</v>
      </c>
      <c r="C55" s="298">
        <v>158700</v>
      </c>
      <c r="D55" s="298">
        <v>158700</v>
      </c>
      <c r="E55" s="298">
        <v>209880.75</v>
      </c>
      <c r="F55" s="298">
        <v>241362.75</v>
      </c>
      <c r="G55" s="298">
        <v>367082.75</v>
      </c>
      <c r="H55" s="298">
        <v>558287</v>
      </c>
      <c r="I55" s="298">
        <v>491292.5</v>
      </c>
      <c r="J55" s="298">
        <v>649734.25</v>
      </c>
      <c r="K55" s="298">
        <v>649734.25</v>
      </c>
      <c r="L55" s="298">
        <v>747194.5</v>
      </c>
      <c r="M55" s="298">
        <v>859273.75</v>
      </c>
      <c r="N55" s="298">
        <v>988164.75</v>
      </c>
      <c r="O55" s="298">
        <v>1502875</v>
      </c>
    </row>
    <row r="56" spans="1:15">
      <c r="A56" s="238">
        <f t="shared" si="1"/>
        <v>55</v>
      </c>
      <c r="B56" s="245" cm="1">
        <f t="array" ref="B56">INDEX(D$1:O$1, MATCH(TRUE, INDEX(($D56:$O56 &lt;&gt; 0), 0),0))</f>
        <v>44926</v>
      </c>
      <c r="C56" s="298">
        <v>0</v>
      </c>
      <c r="D56" s="298">
        <v>0</v>
      </c>
      <c r="E56" s="298">
        <v>0</v>
      </c>
      <c r="F56" s="298">
        <v>0</v>
      </c>
      <c r="G56" s="298">
        <v>0</v>
      </c>
      <c r="H56" s="298">
        <v>0</v>
      </c>
      <c r="I56" s="298">
        <v>0</v>
      </c>
      <c r="J56" s="298">
        <v>0</v>
      </c>
      <c r="K56" s="298">
        <v>0</v>
      </c>
      <c r="L56" s="298">
        <v>0</v>
      </c>
      <c r="M56" s="298">
        <v>0</v>
      </c>
      <c r="N56" s="298">
        <v>0</v>
      </c>
      <c r="O56" s="298">
        <v>105000</v>
      </c>
    </row>
    <row r="57" spans="1:15">
      <c r="A57" s="238">
        <f t="shared" si="1"/>
        <v>56</v>
      </c>
      <c r="B57" s="245" cm="1">
        <f t="array" ref="B57">INDEX(D$1:O$1, MATCH(TRUE, INDEX(($D57:$O57 &lt;&gt; 0), 0),0))</f>
        <v>44834</v>
      </c>
      <c r="C57" s="298">
        <v>0</v>
      </c>
      <c r="D57" s="298">
        <v>0</v>
      </c>
      <c r="E57" s="298">
        <v>0</v>
      </c>
      <c r="F57" s="298">
        <v>0</v>
      </c>
      <c r="G57" s="298">
        <v>0</v>
      </c>
      <c r="H57" s="298">
        <v>0</v>
      </c>
      <c r="I57" s="298">
        <v>0</v>
      </c>
      <c r="J57" s="298">
        <v>0</v>
      </c>
      <c r="K57" s="298">
        <v>0</v>
      </c>
      <c r="L57" s="298">
        <v>0</v>
      </c>
      <c r="M57" s="298">
        <v>0</v>
      </c>
      <c r="N57" s="298">
        <v>105000</v>
      </c>
      <c r="O57" s="298">
        <v>105000</v>
      </c>
    </row>
    <row r="58" spans="1:15">
      <c r="A58" s="238">
        <f t="shared" si="1"/>
        <v>57</v>
      </c>
      <c r="B58" s="245" cm="1">
        <f t="array" ref="B58">INDEX(D$1:O$1, MATCH(TRUE, INDEX(($D58:$O58 &lt;&gt; 0), 0),0))</f>
        <v>44834</v>
      </c>
      <c r="C58" s="298">
        <v>0</v>
      </c>
      <c r="D58" s="298">
        <v>0</v>
      </c>
      <c r="E58" s="298">
        <v>0</v>
      </c>
      <c r="F58" s="298">
        <v>0</v>
      </c>
      <c r="G58" s="298">
        <v>0</v>
      </c>
      <c r="H58" s="298">
        <v>0</v>
      </c>
      <c r="I58" s="298">
        <v>0</v>
      </c>
      <c r="J58" s="298">
        <v>0</v>
      </c>
      <c r="K58" s="298">
        <v>0</v>
      </c>
      <c r="L58" s="298">
        <v>0</v>
      </c>
      <c r="M58" s="298">
        <v>0</v>
      </c>
      <c r="N58" s="298">
        <v>92400</v>
      </c>
      <c r="O58" s="298">
        <v>122199</v>
      </c>
    </row>
    <row r="59" spans="1:15">
      <c r="A59" s="238">
        <f t="shared" si="1"/>
        <v>58</v>
      </c>
      <c r="B59" s="245" cm="1">
        <f t="array" ref="B59">INDEX(D$1:O$1, MATCH(TRUE, INDEX(($D59:$O59 &lt;&gt; 0), 0),0))</f>
        <v>43921</v>
      </c>
      <c r="C59" s="298">
        <v>280898</v>
      </c>
      <c r="D59" s="298">
        <v>323032.75</v>
      </c>
      <c r="E59" s="298">
        <v>427211</v>
      </c>
      <c r="F59" s="298">
        <v>564986.5</v>
      </c>
      <c r="G59" s="298">
        <v>571766.25</v>
      </c>
      <c r="H59" s="298">
        <v>503154.25</v>
      </c>
      <c r="I59" s="298">
        <v>503154.25</v>
      </c>
      <c r="J59" s="298">
        <v>578627.5</v>
      </c>
      <c r="K59" s="298">
        <v>585571</v>
      </c>
      <c r="L59" s="298">
        <v>774417.5</v>
      </c>
      <c r="M59" s="298">
        <v>1024167.25</v>
      </c>
      <c r="N59" s="298">
        <v>1024167.25</v>
      </c>
      <c r="O59" s="298">
        <v>1354461.25</v>
      </c>
    </row>
    <row r="60" spans="1:15">
      <c r="A60" s="238">
        <f t="shared" si="1"/>
        <v>59</v>
      </c>
      <c r="B60" s="245" cm="1">
        <f t="array" ref="B60">INDEX(D$1:O$1, MATCH(TRUE, INDEX(($D60:$O60 &lt;&gt; 0), 0),0))</f>
        <v>44469</v>
      </c>
      <c r="C60" s="298">
        <v>0</v>
      </c>
      <c r="D60" s="298">
        <v>0</v>
      </c>
      <c r="E60" s="298">
        <v>0</v>
      </c>
      <c r="F60" s="298">
        <v>0</v>
      </c>
      <c r="G60" s="298">
        <v>0</v>
      </c>
      <c r="H60" s="298">
        <v>0</v>
      </c>
      <c r="I60" s="298">
        <v>0</v>
      </c>
      <c r="J60" s="298">
        <v>120000</v>
      </c>
      <c r="K60" s="298">
        <v>138000</v>
      </c>
      <c r="L60" s="298">
        <v>138000</v>
      </c>
      <c r="M60" s="298">
        <v>138000</v>
      </c>
      <c r="N60" s="298">
        <v>121440</v>
      </c>
      <c r="O60" s="298">
        <v>139656</v>
      </c>
    </row>
    <row r="61" spans="1:15">
      <c r="A61" s="238">
        <f t="shared" si="1"/>
        <v>60</v>
      </c>
      <c r="B61" s="245" cm="1">
        <f t="array" ref="B61">INDEX(D$1:O$1, MATCH(TRUE, INDEX(($D61:$O61 &lt;&gt; 0), 0),0))</f>
        <v>44561</v>
      </c>
      <c r="C61" s="298">
        <v>0</v>
      </c>
      <c r="D61" s="298">
        <v>0</v>
      </c>
      <c r="E61" s="298">
        <v>0</v>
      </c>
      <c r="F61" s="298">
        <v>0</v>
      </c>
      <c r="G61" s="298">
        <v>0</v>
      </c>
      <c r="H61" s="298">
        <v>0</v>
      </c>
      <c r="I61" s="298">
        <v>0</v>
      </c>
      <c r="J61" s="298">
        <v>0</v>
      </c>
      <c r="K61" s="298">
        <v>138862.5</v>
      </c>
      <c r="L61" s="298">
        <v>138862.5</v>
      </c>
      <c r="M61" s="298">
        <v>138862.5</v>
      </c>
      <c r="N61" s="298">
        <v>122199</v>
      </c>
      <c r="O61" s="298">
        <v>140528.75</v>
      </c>
    </row>
    <row r="62" spans="1:15">
      <c r="A62" s="238">
        <f t="shared" si="1"/>
        <v>61</v>
      </c>
      <c r="B62" s="245" cm="1">
        <f t="array" ref="B62">INDEX(D$1:O$1, MATCH(TRUE, INDEX(($D62:$O62 &lt;&gt; 0), 0),0))</f>
        <v>44926</v>
      </c>
      <c r="C62" s="298">
        <v>0</v>
      </c>
      <c r="D62" s="298">
        <v>0</v>
      </c>
      <c r="E62" s="298">
        <v>0</v>
      </c>
      <c r="F62" s="298">
        <v>0</v>
      </c>
      <c r="G62" s="298">
        <v>0</v>
      </c>
      <c r="H62" s="298">
        <v>0</v>
      </c>
      <c r="I62" s="298">
        <v>0</v>
      </c>
      <c r="J62" s="298">
        <v>0</v>
      </c>
      <c r="K62" s="298">
        <v>0</v>
      </c>
      <c r="L62" s="298">
        <v>0</v>
      </c>
      <c r="M62" s="298">
        <v>0</v>
      </c>
      <c r="N62" s="298">
        <v>0</v>
      </c>
      <c r="O62" s="298">
        <v>105000</v>
      </c>
    </row>
    <row r="63" spans="1:15">
      <c r="A63" s="238">
        <f t="shared" si="1"/>
        <v>62</v>
      </c>
      <c r="B63" s="245" cm="1">
        <f t="array" ref="B63">INDEX(D$1:O$1, MATCH(TRUE, INDEX(($D63:$O63 &lt;&gt; 0), 0),0))</f>
        <v>44196</v>
      </c>
      <c r="C63" s="298">
        <v>0</v>
      </c>
      <c r="D63" s="298">
        <v>0</v>
      </c>
      <c r="E63" s="298">
        <v>0</v>
      </c>
      <c r="F63" s="298">
        <v>0</v>
      </c>
      <c r="G63" s="298">
        <v>60000</v>
      </c>
      <c r="H63" s="298">
        <v>79350</v>
      </c>
      <c r="I63" s="298">
        <v>91252.5</v>
      </c>
      <c r="J63" s="298">
        <v>104940.5</v>
      </c>
      <c r="K63" s="298">
        <v>138783.75</v>
      </c>
      <c r="L63" s="298">
        <v>211072.5</v>
      </c>
      <c r="M63" s="298">
        <v>211072.5</v>
      </c>
      <c r="N63" s="298">
        <v>211072.5</v>
      </c>
      <c r="O63" s="298">
        <v>163454.5</v>
      </c>
    </row>
    <row r="64" spans="1:15">
      <c r="A64" s="238">
        <f t="shared" si="1"/>
        <v>63</v>
      </c>
      <c r="B64" s="245" cm="1">
        <f t="array" ref="B64">INDEX(D$1:O$1, MATCH(TRUE, INDEX(($D64:$O64 &lt;&gt; 0), 0),0))</f>
        <v>44834</v>
      </c>
      <c r="C64" s="298">
        <v>0</v>
      </c>
      <c r="D64" s="298">
        <v>0</v>
      </c>
      <c r="E64" s="298">
        <v>0</v>
      </c>
      <c r="F64" s="298">
        <v>0</v>
      </c>
      <c r="G64" s="298">
        <v>0</v>
      </c>
      <c r="H64" s="298">
        <v>0</v>
      </c>
      <c r="I64" s="298">
        <v>0</v>
      </c>
      <c r="J64" s="298">
        <v>0</v>
      </c>
      <c r="K64" s="298">
        <v>0</v>
      </c>
      <c r="L64" s="298">
        <v>0</v>
      </c>
      <c r="M64" s="298">
        <v>0</v>
      </c>
      <c r="N64" s="298">
        <v>120000</v>
      </c>
      <c r="O64" s="298">
        <v>138000</v>
      </c>
    </row>
    <row r="65" spans="1:15">
      <c r="A65" s="238">
        <f t="shared" si="1"/>
        <v>64</v>
      </c>
      <c r="B65" s="245" cm="1">
        <f t="array" ref="B65">INDEX(D$1:O$1, MATCH(TRUE, INDEX(($D65:$O65 &lt;&gt; 0), 0),0))</f>
        <v>44104</v>
      </c>
      <c r="C65" s="298">
        <v>0</v>
      </c>
      <c r="D65" s="298">
        <v>0</v>
      </c>
      <c r="E65" s="298">
        <v>0</v>
      </c>
      <c r="F65" s="298">
        <v>120000</v>
      </c>
      <c r="G65" s="298">
        <v>138000</v>
      </c>
      <c r="H65" s="298">
        <v>138000</v>
      </c>
      <c r="I65" s="298">
        <v>158700</v>
      </c>
      <c r="J65" s="298">
        <v>158700</v>
      </c>
      <c r="K65" s="298">
        <v>139656</v>
      </c>
      <c r="L65" s="298">
        <v>141331.75</v>
      </c>
      <c r="M65" s="298">
        <v>124372</v>
      </c>
      <c r="N65" s="298">
        <v>124372</v>
      </c>
      <c r="O65" s="298">
        <v>109447.5</v>
      </c>
    </row>
    <row r="66" spans="1:15">
      <c r="A66" s="238">
        <f t="shared" si="1"/>
        <v>65</v>
      </c>
      <c r="B66" s="245" cm="1">
        <f t="array" ref="B66">INDEX(D$1:O$1, MATCH(TRUE, INDEX(($D66:$O66 &lt;&gt; 0), 0),0))</f>
        <v>44377</v>
      </c>
      <c r="C66" s="298">
        <v>0</v>
      </c>
      <c r="D66" s="298">
        <v>0</v>
      </c>
      <c r="E66" s="298">
        <v>0</v>
      </c>
      <c r="F66" s="298">
        <v>0</v>
      </c>
      <c r="G66" s="298">
        <v>0</v>
      </c>
      <c r="H66" s="298">
        <v>0</v>
      </c>
      <c r="I66" s="298">
        <v>105000</v>
      </c>
      <c r="J66" s="298">
        <v>92400</v>
      </c>
      <c r="K66" s="298">
        <v>106260</v>
      </c>
      <c r="L66" s="298">
        <v>106260</v>
      </c>
      <c r="M66" s="298">
        <v>140528.75</v>
      </c>
      <c r="N66" s="298">
        <v>140528.75</v>
      </c>
      <c r="O66" s="298">
        <v>185849.5</v>
      </c>
    </row>
    <row r="67" spans="1:15">
      <c r="A67" s="238">
        <f t="shared" ref="A67:A130" si="2">+A66+1</f>
        <v>66</v>
      </c>
      <c r="B67" s="245" cm="1">
        <f t="array" ref="B67">INDEX(D$1:O$1, MATCH(TRUE, INDEX(($D67:$O67 &lt;&gt; 0), 0),0))</f>
        <v>44834</v>
      </c>
      <c r="C67" s="298">
        <v>0</v>
      </c>
      <c r="D67" s="298">
        <v>0</v>
      </c>
      <c r="E67" s="298">
        <v>0</v>
      </c>
      <c r="F67" s="298">
        <v>0</v>
      </c>
      <c r="G67" s="298">
        <v>0</v>
      </c>
      <c r="H67" s="298">
        <v>0</v>
      </c>
      <c r="I67" s="298">
        <v>0</v>
      </c>
      <c r="J67" s="298">
        <v>0</v>
      </c>
      <c r="K67" s="298">
        <v>0</v>
      </c>
      <c r="L67" s="298">
        <v>0</v>
      </c>
      <c r="M67" s="298">
        <v>0</v>
      </c>
      <c r="N67" s="298">
        <v>105000</v>
      </c>
      <c r="O67" s="298">
        <v>92400</v>
      </c>
    </row>
    <row r="68" spans="1:15">
      <c r="A68" s="238">
        <f t="shared" si="2"/>
        <v>67</v>
      </c>
      <c r="B68" s="245" cm="1">
        <f t="array" ref="B68">INDEX(D$1:O$1, MATCH(TRUE, INDEX(($D68:$O68 &lt;&gt; 0), 0),0))</f>
        <v>44926</v>
      </c>
      <c r="C68" s="298">
        <v>0</v>
      </c>
      <c r="D68" s="298">
        <v>0</v>
      </c>
      <c r="E68" s="298">
        <v>0</v>
      </c>
      <c r="F68" s="298">
        <v>0</v>
      </c>
      <c r="G68" s="298">
        <v>0</v>
      </c>
      <c r="H68" s="298">
        <v>0</v>
      </c>
      <c r="I68" s="298">
        <v>0</v>
      </c>
      <c r="J68" s="298">
        <v>0</v>
      </c>
      <c r="K68" s="298">
        <v>0</v>
      </c>
      <c r="L68" s="298">
        <v>0</v>
      </c>
      <c r="M68" s="298">
        <v>0</v>
      </c>
      <c r="N68" s="298">
        <v>0</v>
      </c>
      <c r="O68" s="298">
        <v>105600</v>
      </c>
    </row>
    <row r="69" spans="1:15">
      <c r="A69" s="238">
        <f t="shared" si="2"/>
        <v>68</v>
      </c>
      <c r="B69" s="245" cm="1">
        <f t="array" ref="B69">INDEX(D$1:O$1, MATCH(TRUE, INDEX(($D69:$O69 &lt;&gt; 0), 0),0))</f>
        <v>44469</v>
      </c>
      <c r="C69" s="298">
        <v>0</v>
      </c>
      <c r="D69" s="298">
        <v>0</v>
      </c>
      <c r="E69" s="298">
        <v>0</v>
      </c>
      <c r="F69" s="298">
        <v>0</v>
      </c>
      <c r="G69" s="298">
        <v>0</v>
      </c>
      <c r="H69" s="298">
        <v>0</v>
      </c>
      <c r="I69" s="298">
        <v>0</v>
      </c>
      <c r="J69" s="298">
        <v>120750</v>
      </c>
      <c r="K69" s="298">
        <v>120750</v>
      </c>
      <c r="L69" s="298">
        <v>120750</v>
      </c>
      <c r="M69" s="298">
        <v>138862.5</v>
      </c>
      <c r="N69" s="298">
        <v>122199</v>
      </c>
      <c r="O69" s="298">
        <v>122199</v>
      </c>
    </row>
    <row r="70" spans="1:15">
      <c r="A70" s="238">
        <f t="shared" si="2"/>
        <v>69</v>
      </c>
      <c r="B70" s="245" cm="1">
        <f t="array" ref="B70">INDEX(D$1:O$1, MATCH(TRUE, INDEX(($D70:$O70 &lt;&gt; 0), 0),0))</f>
        <v>44651</v>
      </c>
      <c r="C70" s="298">
        <v>0</v>
      </c>
      <c r="D70" s="298">
        <v>0</v>
      </c>
      <c r="E70" s="298">
        <v>0</v>
      </c>
      <c r="F70" s="298">
        <v>0</v>
      </c>
      <c r="G70" s="298">
        <v>0</v>
      </c>
      <c r="H70" s="298">
        <v>0</v>
      </c>
      <c r="I70" s="298">
        <v>0</v>
      </c>
      <c r="J70" s="298">
        <v>0</v>
      </c>
      <c r="K70" s="298">
        <v>0</v>
      </c>
      <c r="L70" s="298">
        <v>105000</v>
      </c>
      <c r="M70" s="298">
        <v>120750</v>
      </c>
      <c r="N70" s="298">
        <v>120750</v>
      </c>
      <c r="O70" s="298">
        <v>138862.5</v>
      </c>
    </row>
    <row r="71" spans="1:15">
      <c r="A71" s="238">
        <f t="shared" si="2"/>
        <v>70</v>
      </c>
      <c r="B71" s="245" cm="1">
        <f t="array" ref="B71">INDEX(D$1:O$1, MATCH(TRUE, INDEX(($D71:$O71 &lt;&gt; 0), 0),0))</f>
        <v>44834</v>
      </c>
      <c r="C71" s="298">
        <v>0</v>
      </c>
      <c r="D71" s="298">
        <v>0</v>
      </c>
      <c r="E71" s="298">
        <v>0</v>
      </c>
      <c r="F71" s="298">
        <v>0</v>
      </c>
      <c r="G71" s="298">
        <v>0</v>
      </c>
      <c r="H71" s="298">
        <v>0</v>
      </c>
      <c r="I71" s="298">
        <v>0</v>
      </c>
      <c r="J71" s="298">
        <v>0</v>
      </c>
      <c r="K71" s="298">
        <v>0</v>
      </c>
      <c r="L71" s="298">
        <v>0</v>
      </c>
      <c r="M71" s="298">
        <v>0</v>
      </c>
      <c r="N71" s="298">
        <v>120000</v>
      </c>
      <c r="O71" s="298">
        <v>120000</v>
      </c>
    </row>
    <row r="72" spans="1:15">
      <c r="A72" s="238">
        <f t="shared" si="2"/>
        <v>71</v>
      </c>
      <c r="B72" s="245" cm="1">
        <f t="array" ref="B72">INDEX(D$1:O$1, MATCH(TRUE, INDEX(($D72:$O72 &lt;&gt; 0), 0),0))</f>
        <v>44651</v>
      </c>
      <c r="C72" s="298">
        <v>0</v>
      </c>
      <c r="D72" s="298">
        <v>0</v>
      </c>
      <c r="E72" s="298">
        <v>0</v>
      </c>
      <c r="F72" s="298">
        <v>0</v>
      </c>
      <c r="G72" s="298">
        <v>0</v>
      </c>
      <c r="H72" s="298">
        <v>0</v>
      </c>
      <c r="I72" s="298">
        <v>0</v>
      </c>
      <c r="J72" s="298">
        <v>0</v>
      </c>
      <c r="K72" s="298">
        <v>0</v>
      </c>
      <c r="L72" s="298">
        <v>92400</v>
      </c>
      <c r="M72" s="298">
        <v>92400</v>
      </c>
      <c r="N72" s="298">
        <v>106260</v>
      </c>
      <c r="O72" s="298">
        <v>106260</v>
      </c>
    </row>
    <row r="73" spans="1:15">
      <c r="A73" s="238">
        <f t="shared" si="2"/>
        <v>72</v>
      </c>
      <c r="B73" s="245" cm="1">
        <f t="array" ref="B73">INDEX(D$1:O$1, MATCH(TRUE, INDEX(($D73:$O73 &lt;&gt; 0), 0),0))</f>
        <v>43921</v>
      </c>
      <c r="C73" s="298">
        <v>62932.25</v>
      </c>
      <c r="D73" s="298">
        <v>62932.25</v>
      </c>
      <c r="E73" s="298">
        <v>62932.25</v>
      </c>
      <c r="F73" s="298">
        <v>72372</v>
      </c>
      <c r="G73" s="298">
        <v>72372</v>
      </c>
      <c r="H73" s="298">
        <v>72372</v>
      </c>
      <c r="I73" s="298">
        <v>72372</v>
      </c>
      <c r="J73" s="298">
        <v>95712</v>
      </c>
      <c r="K73" s="298">
        <v>110069</v>
      </c>
      <c r="L73" s="298">
        <v>96860.75</v>
      </c>
      <c r="M73" s="298">
        <v>111389.75</v>
      </c>
      <c r="N73" s="298">
        <v>0</v>
      </c>
      <c r="O73" s="298">
        <v>0</v>
      </c>
    </row>
    <row r="74" spans="1:15">
      <c r="A74" s="238">
        <f t="shared" si="2"/>
        <v>73</v>
      </c>
      <c r="B74" s="245" cm="1">
        <f t="array" ref="B74">INDEX(D$1:O$1, MATCH(TRUE, INDEX(($D74:$O74 &lt;&gt; 0), 0),0))</f>
        <v>44926</v>
      </c>
      <c r="C74" s="298">
        <v>0</v>
      </c>
      <c r="D74" s="298">
        <v>0</v>
      </c>
      <c r="E74" s="298">
        <v>0</v>
      </c>
      <c r="F74" s="298">
        <v>0</v>
      </c>
      <c r="G74" s="298">
        <v>0</v>
      </c>
      <c r="H74" s="298">
        <v>0</v>
      </c>
      <c r="I74" s="298">
        <v>0</v>
      </c>
      <c r="J74" s="298">
        <v>0</v>
      </c>
      <c r="K74" s="298">
        <v>0</v>
      </c>
      <c r="L74" s="298">
        <v>0</v>
      </c>
      <c r="M74" s="298">
        <v>0</v>
      </c>
      <c r="N74" s="298">
        <v>0</v>
      </c>
      <c r="O74" s="298">
        <v>105000</v>
      </c>
    </row>
    <row r="75" spans="1:15">
      <c r="A75" s="238">
        <f t="shared" si="2"/>
        <v>74</v>
      </c>
      <c r="B75" s="245" cm="1">
        <f t="array" ref="B75">INDEX(D$1:O$1, MATCH(TRUE, INDEX(($D75:$O75 &lt;&gt; 0), 0),0))</f>
        <v>44651</v>
      </c>
      <c r="C75" s="298">
        <v>0</v>
      </c>
      <c r="D75" s="298">
        <v>0</v>
      </c>
      <c r="E75" s="298">
        <v>0</v>
      </c>
      <c r="F75" s="298">
        <v>0</v>
      </c>
      <c r="G75" s="298">
        <v>0</v>
      </c>
      <c r="H75" s="298">
        <v>0</v>
      </c>
      <c r="I75" s="298">
        <v>0</v>
      </c>
      <c r="J75" s="298">
        <v>0</v>
      </c>
      <c r="K75" s="298">
        <v>0</v>
      </c>
      <c r="L75" s="298">
        <v>105000</v>
      </c>
      <c r="M75" s="298">
        <v>138862.5</v>
      </c>
      <c r="N75" s="298">
        <v>138862.5</v>
      </c>
      <c r="O75" s="298">
        <v>138862.5</v>
      </c>
    </row>
    <row r="76" spans="1:15">
      <c r="A76" s="238">
        <f t="shared" si="2"/>
        <v>75</v>
      </c>
      <c r="B76" s="245" cm="1">
        <f t="array" ref="B76">INDEX(D$1:O$1, MATCH(TRUE, INDEX(($D76:$O76 &lt;&gt; 0), 0),0))</f>
        <v>44834</v>
      </c>
      <c r="C76" s="298">
        <v>0</v>
      </c>
      <c r="D76" s="298">
        <v>0</v>
      </c>
      <c r="E76" s="298">
        <v>0</v>
      </c>
      <c r="F76" s="298">
        <v>0</v>
      </c>
      <c r="G76" s="298">
        <v>0</v>
      </c>
      <c r="H76" s="298">
        <v>0</v>
      </c>
      <c r="I76" s="298">
        <v>0</v>
      </c>
      <c r="J76" s="298">
        <v>0</v>
      </c>
      <c r="K76" s="298">
        <v>0</v>
      </c>
      <c r="L76" s="298">
        <v>0</v>
      </c>
      <c r="M76" s="298">
        <v>0</v>
      </c>
      <c r="N76" s="298">
        <v>60000</v>
      </c>
      <c r="O76" s="298">
        <v>79350</v>
      </c>
    </row>
    <row r="77" spans="1:15">
      <c r="A77" s="238">
        <f t="shared" si="2"/>
        <v>76</v>
      </c>
      <c r="B77" s="245" cm="1">
        <f t="array" ref="B77">INDEX(D$1:O$1, MATCH(TRUE, INDEX(($D77:$O77 &lt;&gt; 0), 0),0))</f>
        <v>43921</v>
      </c>
      <c r="C77" s="298">
        <v>120000</v>
      </c>
      <c r="D77" s="298">
        <v>138000</v>
      </c>
      <c r="E77" s="298">
        <v>158700</v>
      </c>
      <c r="F77" s="298">
        <v>209880.75</v>
      </c>
      <c r="G77" s="298">
        <v>277567.25</v>
      </c>
      <c r="H77" s="298">
        <v>277567.25</v>
      </c>
      <c r="I77" s="298">
        <v>319202.5</v>
      </c>
      <c r="J77" s="298">
        <v>485467</v>
      </c>
      <c r="K77" s="298">
        <v>485467</v>
      </c>
      <c r="L77" s="298">
        <v>485467</v>
      </c>
      <c r="M77" s="298">
        <v>491292.5</v>
      </c>
      <c r="N77" s="298">
        <v>564986.5</v>
      </c>
      <c r="O77" s="298">
        <v>649734.25</v>
      </c>
    </row>
    <row r="78" spans="1:15">
      <c r="A78" s="238">
        <f t="shared" si="2"/>
        <v>77</v>
      </c>
      <c r="B78" s="245" cm="1">
        <f t="array" ref="B78">INDEX(D$1:O$1, MATCH(TRUE, INDEX(($D78:$O78 &lt;&gt; 0), 0),0))</f>
        <v>44742</v>
      </c>
      <c r="C78" s="298">
        <v>0</v>
      </c>
      <c r="D78" s="298">
        <v>0</v>
      </c>
      <c r="E78" s="298">
        <v>0</v>
      </c>
      <c r="F78" s="298">
        <v>0</v>
      </c>
      <c r="G78" s="298">
        <v>0</v>
      </c>
      <c r="H78" s="298">
        <v>0</v>
      </c>
      <c r="I78" s="298">
        <v>0</v>
      </c>
      <c r="J78" s="298">
        <v>0</v>
      </c>
      <c r="K78" s="298">
        <v>0</v>
      </c>
      <c r="L78" s="298">
        <v>0</v>
      </c>
      <c r="M78" s="298">
        <v>105000</v>
      </c>
      <c r="N78" s="298">
        <v>106260</v>
      </c>
      <c r="O78" s="298">
        <v>122199</v>
      </c>
    </row>
    <row r="79" spans="1:15">
      <c r="A79" s="238">
        <f t="shared" si="2"/>
        <v>78</v>
      </c>
      <c r="B79" s="245" cm="1">
        <f t="array" ref="B79">INDEX(D$1:O$1, MATCH(TRUE, INDEX(($D79:$O79 &lt;&gt; 0), 0),0))</f>
        <v>44286</v>
      </c>
      <c r="C79" s="298">
        <v>0</v>
      </c>
      <c r="D79" s="298">
        <v>0</v>
      </c>
      <c r="E79" s="298">
        <v>0</v>
      </c>
      <c r="F79" s="298">
        <v>0</v>
      </c>
      <c r="G79" s="298">
        <v>0</v>
      </c>
      <c r="H79" s="298">
        <v>60000</v>
      </c>
      <c r="I79" s="298">
        <v>79350</v>
      </c>
      <c r="J79" s="298">
        <v>79350</v>
      </c>
      <c r="K79" s="298">
        <v>69828</v>
      </c>
      <c r="L79" s="298">
        <v>80302.25</v>
      </c>
      <c r="M79" s="298">
        <v>80302.25</v>
      </c>
      <c r="N79" s="298">
        <v>106199.75</v>
      </c>
      <c r="O79" s="298">
        <v>93455.75</v>
      </c>
    </row>
    <row r="80" spans="1:15">
      <c r="A80" s="238">
        <f t="shared" si="2"/>
        <v>79</v>
      </c>
      <c r="B80" s="245" cm="1">
        <f t="array" ref="B80">INDEX(D$1:O$1, MATCH(TRUE, INDEX(($D80:$O80 &lt;&gt; 0), 0),0))</f>
        <v>44834</v>
      </c>
      <c r="C80" s="298">
        <v>0</v>
      </c>
      <c r="D80" s="298">
        <v>0</v>
      </c>
      <c r="E80" s="298">
        <v>0</v>
      </c>
      <c r="F80" s="298">
        <v>0</v>
      </c>
      <c r="G80" s="298">
        <v>0</v>
      </c>
      <c r="H80" s="298">
        <v>0</v>
      </c>
      <c r="I80" s="298">
        <v>0</v>
      </c>
      <c r="J80" s="298">
        <v>0</v>
      </c>
      <c r="K80" s="298">
        <v>0</v>
      </c>
      <c r="L80" s="298">
        <v>0</v>
      </c>
      <c r="M80" s="298">
        <v>0</v>
      </c>
      <c r="N80" s="298">
        <v>69000</v>
      </c>
      <c r="O80" s="298">
        <v>60720</v>
      </c>
    </row>
    <row r="81" spans="1:15">
      <c r="A81" s="238">
        <f t="shared" si="2"/>
        <v>80</v>
      </c>
      <c r="B81" s="245" cm="1">
        <f t="array" ref="B81">INDEX(D$1:O$1, MATCH(TRUE, INDEX(($D81:$O81 &lt;&gt; 0), 0),0))</f>
        <v>44651</v>
      </c>
      <c r="C81" s="298">
        <v>0</v>
      </c>
      <c r="D81" s="298">
        <v>0</v>
      </c>
      <c r="E81" s="298">
        <v>0</v>
      </c>
      <c r="F81" s="298">
        <v>0</v>
      </c>
      <c r="G81" s="298">
        <v>0</v>
      </c>
      <c r="H81" s="298">
        <v>0</v>
      </c>
      <c r="I81" s="298">
        <v>0</v>
      </c>
      <c r="J81" s="298">
        <v>0</v>
      </c>
      <c r="K81" s="298">
        <v>0</v>
      </c>
      <c r="L81" s="298">
        <v>60000</v>
      </c>
      <c r="M81" s="298">
        <v>60000</v>
      </c>
      <c r="N81" s="298">
        <v>69000</v>
      </c>
      <c r="O81" s="298">
        <v>69828</v>
      </c>
    </row>
    <row r="82" spans="1:15">
      <c r="A82" s="238">
        <f t="shared" si="2"/>
        <v>81</v>
      </c>
      <c r="B82" s="245" cm="1">
        <f t="array" ref="B82">INDEX(D$1:O$1, MATCH(TRUE, INDEX(($D82:$O82 &lt;&gt; 0), 0),0))</f>
        <v>44012</v>
      </c>
      <c r="C82" s="298">
        <v>0</v>
      </c>
      <c r="D82" s="298">
        <v>0</v>
      </c>
      <c r="E82" s="298">
        <v>105600</v>
      </c>
      <c r="F82" s="298">
        <v>105600</v>
      </c>
      <c r="G82" s="298">
        <v>81776.75</v>
      </c>
      <c r="H82" s="298">
        <v>94043.25</v>
      </c>
      <c r="I82" s="298">
        <v>82758</v>
      </c>
      <c r="J82" s="298">
        <v>82758</v>
      </c>
      <c r="K82" s="298">
        <v>72827</v>
      </c>
      <c r="L82" s="298">
        <v>72827</v>
      </c>
      <c r="M82" s="298">
        <v>83751</v>
      </c>
      <c r="N82" s="298">
        <v>73701</v>
      </c>
      <c r="O82" s="298">
        <v>84756</v>
      </c>
    </row>
    <row r="83" spans="1:15">
      <c r="A83" s="238">
        <f t="shared" si="2"/>
        <v>82</v>
      </c>
      <c r="B83" s="245" cm="1">
        <f t="array" ref="B83">INDEX(D$1:O$1, MATCH(TRUE, INDEX(($D83:$O83 &lt;&gt; 0), 0),0))</f>
        <v>44926</v>
      </c>
      <c r="C83" s="298">
        <v>0</v>
      </c>
      <c r="D83" s="298">
        <v>0</v>
      </c>
      <c r="E83" s="298">
        <v>0</v>
      </c>
      <c r="F83" s="298">
        <v>0</v>
      </c>
      <c r="G83" s="298">
        <v>0</v>
      </c>
      <c r="H83" s="298">
        <v>0</v>
      </c>
      <c r="I83" s="298">
        <v>0</v>
      </c>
      <c r="J83" s="298">
        <v>0</v>
      </c>
      <c r="K83" s="298">
        <v>0</v>
      </c>
      <c r="L83" s="298">
        <v>0</v>
      </c>
      <c r="M83" s="298">
        <v>0</v>
      </c>
      <c r="N83" s="298">
        <v>0</v>
      </c>
      <c r="O83" s="298">
        <v>60000</v>
      </c>
    </row>
    <row r="84" spans="1:15">
      <c r="A84" s="238">
        <f t="shared" si="2"/>
        <v>83</v>
      </c>
      <c r="B84" s="245" cm="1">
        <f t="array" ref="B84">INDEX(D$1:O$1, MATCH(TRUE, INDEX(($D84:$O84 &lt;&gt; 0), 0),0))</f>
        <v>44469</v>
      </c>
      <c r="C84" s="298">
        <v>0</v>
      </c>
      <c r="D84" s="298">
        <v>0</v>
      </c>
      <c r="E84" s="298">
        <v>0</v>
      </c>
      <c r="F84" s="298">
        <v>0</v>
      </c>
      <c r="G84" s="298">
        <v>0</v>
      </c>
      <c r="H84" s="298">
        <v>0</v>
      </c>
      <c r="I84" s="298">
        <v>0</v>
      </c>
      <c r="J84" s="298">
        <v>120000</v>
      </c>
      <c r="K84" s="298">
        <v>120000</v>
      </c>
      <c r="L84" s="298">
        <v>120000</v>
      </c>
      <c r="M84" s="298">
        <v>138000</v>
      </c>
      <c r="N84" s="298">
        <v>138000</v>
      </c>
      <c r="O84" s="298">
        <v>158700</v>
      </c>
    </row>
    <row r="85" spans="1:15">
      <c r="A85" s="238">
        <f t="shared" si="2"/>
        <v>84</v>
      </c>
      <c r="B85" s="245" cm="1">
        <f t="array" ref="B85">INDEX(D$1:O$1, MATCH(TRUE, INDEX(($D85:$O85 &lt;&gt; 0), 0),0))</f>
        <v>44561</v>
      </c>
      <c r="C85" s="298">
        <v>0</v>
      </c>
      <c r="D85" s="298">
        <v>0</v>
      </c>
      <c r="E85" s="298">
        <v>0</v>
      </c>
      <c r="F85" s="298">
        <v>0</v>
      </c>
      <c r="G85" s="298">
        <v>0</v>
      </c>
      <c r="H85" s="298">
        <v>0</v>
      </c>
      <c r="I85" s="298">
        <v>0</v>
      </c>
      <c r="J85" s="298">
        <v>0</v>
      </c>
      <c r="K85" s="298">
        <v>120000</v>
      </c>
      <c r="L85" s="298">
        <v>138000</v>
      </c>
      <c r="M85" s="298">
        <v>158700</v>
      </c>
      <c r="N85" s="298">
        <v>158700</v>
      </c>
      <c r="O85" s="298">
        <v>158700</v>
      </c>
    </row>
    <row r="86" spans="1:15">
      <c r="A86" s="238">
        <f t="shared" si="2"/>
        <v>85</v>
      </c>
      <c r="B86" s="245" cm="1">
        <f t="array" ref="B86">INDEX(D$1:O$1, MATCH(TRUE, INDEX(($D86:$O86 &lt;&gt; 0), 0),0))</f>
        <v>44834</v>
      </c>
      <c r="C86" s="298">
        <v>0</v>
      </c>
      <c r="D86" s="298">
        <v>0</v>
      </c>
      <c r="E86" s="298">
        <v>0</v>
      </c>
      <c r="F86" s="298">
        <v>0</v>
      </c>
      <c r="G86" s="298">
        <v>0</v>
      </c>
      <c r="H86" s="298">
        <v>0</v>
      </c>
      <c r="I86" s="298">
        <v>0</v>
      </c>
      <c r="J86" s="298">
        <v>0</v>
      </c>
      <c r="K86" s="298">
        <v>0</v>
      </c>
      <c r="L86" s="298">
        <v>0</v>
      </c>
      <c r="M86" s="298">
        <v>0</v>
      </c>
      <c r="N86" s="298">
        <v>120000</v>
      </c>
      <c r="O86" s="298">
        <v>138000</v>
      </c>
    </row>
    <row r="87" spans="1:15">
      <c r="A87" s="238">
        <f t="shared" si="2"/>
        <v>86</v>
      </c>
      <c r="B87" s="245" cm="1">
        <f t="array" ref="B87">INDEX(D$1:O$1, MATCH(TRUE, INDEX(($D87:$O87 &lt;&gt; 0), 0),0))</f>
        <v>44286</v>
      </c>
      <c r="C87" s="298">
        <v>0</v>
      </c>
      <c r="D87" s="298">
        <v>0</v>
      </c>
      <c r="E87" s="298">
        <v>0</v>
      </c>
      <c r="F87" s="298">
        <v>0</v>
      </c>
      <c r="G87" s="298">
        <v>0</v>
      </c>
      <c r="H87" s="298">
        <v>60000</v>
      </c>
      <c r="I87" s="298">
        <v>46464</v>
      </c>
      <c r="J87" s="298">
        <v>46464</v>
      </c>
      <c r="K87" s="298">
        <v>61448.75</v>
      </c>
      <c r="L87" s="298">
        <v>54074.75</v>
      </c>
      <c r="M87" s="298">
        <v>62186</v>
      </c>
      <c r="N87" s="298">
        <v>71514</v>
      </c>
      <c r="O87" s="298">
        <v>62932.25</v>
      </c>
    </row>
    <row r="88" spans="1:15">
      <c r="A88" s="238">
        <f t="shared" si="2"/>
        <v>87</v>
      </c>
      <c r="B88" s="245" cm="1">
        <f t="array" ref="B88">INDEX(D$1:O$1, MATCH(TRUE, INDEX(($D88:$O88 &lt;&gt; 0), 0),0))</f>
        <v>44012</v>
      </c>
      <c r="C88" s="298">
        <v>0</v>
      </c>
      <c r="D88" s="298">
        <v>0</v>
      </c>
      <c r="E88" s="298">
        <v>105000</v>
      </c>
      <c r="F88" s="298">
        <v>120750</v>
      </c>
      <c r="G88" s="298">
        <v>122199</v>
      </c>
      <c r="H88" s="298">
        <v>140528.75</v>
      </c>
      <c r="I88" s="298">
        <v>185849.5</v>
      </c>
      <c r="J88" s="298">
        <v>213726.75</v>
      </c>
      <c r="K88" s="298">
        <v>245785.75</v>
      </c>
      <c r="L88" s="298">
        <v>282653.75</v>
      </c>
      <c r="M88" s="298">
        <v>325051.75</v>
      </c>
      <c r="N88" s="298">
        <v>325051.75</v>
      </c>
      <c r="O88" s="298">
        <v>325051.75</v>
      </c>
    </row>
    <row r="89" spans="1:15">
      <c r="A89" s="238">
        <f t="shared" si="2"/>
        <v>88</v>
      </c>
      <c r="B89" s="245" cm="1">
        <f t="array" ref="B89">INDEX(D$1:O$1, MATCH(TRUE, INDEX(($D89:$O89 &lt;&gt; 0), 0),0))</f>
        <v>44104</v>
      </c>
      <c r="C89" s="298">
        <v>0</v>
      </c>
      <c r="D89" s="298">
        <v>0</v>
      </c>
      <c r="E89" s="298">
        <v>0</v>
      </c>
      <c r="F89" s="298">
        <v>105000</v>
      </c>
      <c r="G89" s="298">
        <v>120750</v>
      </c>
      <c r="H89" s="298">
        <v>159692</v>
      </c>
      <c r="I89" s="298">
        <v>183645.75</v>
      </c>
      <c r="J89" s="298">
        <v>183645.75</v>
      </c>
      <c r="K89" s="298">
        <v>161608.25</v>
      </c>
      <c r="L89" s="298">
        <v>185849.5</v>
      </c>
      <c r="M89" s="298">
        <v>163547.5</v>
      </c>
      <c r="N89" s="298">
        <v>216291.5</v>
      </c>
      <c r="O89" s="298">
        <v>216291.5</v>
      </c>
    </row>
    <row r="90" spans="1:15">
      <c r="A90" s="238">
        <f t="shared" si="2"/>
        <v>89</v>
      </c>
      <c r="B90" s="245" cm="1">
        <f t="array" ref="B90">INDEX(D$1:O$1, MATCH(TRUE, INDEX(($D90:$O90 &lt;&gt; 0), 0),0))</f>
        <v>44926</v>
      </c>
      <c r="C90" s="298">
        <v>0</v>
      </c>
      <c r="D90" s="298">
        <v>0</v>
      </c>
      <c r="E90" s="298">
        <v>0</v>
      </c>
      <c r="F90" s="298">
        <v>0</v>
      </c>
      <c r="G90" s="298">
        <v>0</v>
      </c>
      <c r="H90" s="298">
        <v>0</v>
      </c>
      <c r="I90" s="298">
        <v>0</v>
      </c>
      <c r="J90" s="298">
        <v>0</v>
      </c>
      <c r="K90" s="298">
        <v>0</v>
      </c>
      <c r="L90" s="298">
        <v>0</v>
      </c>
      <c r="M90" s="298">
        <v>0</v>
      </c>
      <c r="N90" s="298">
        <v>0</v>
      </c>
      <c r="O90" s="298">
        <v>138000</v>
      </c>
    </row>
    <row r="91" spans="1:15">
      <c r="A91" s="238">
        <f t="shared" si="2"/>
        <v>90</v>
      </c>
      <c r="B91" s="245" cm="1">
        <f t="array" ref="B91">INDEX(D$1:O$1, MATCH(TRUE, INDEX(($D91:$O91 &lt;&gt; 0), 0),0))</f>
        <v>44926</v>
      </c>
      <c r="C91" s="298">
        <v>0</v>
      </c>
      <c r="D91" s="298">
        <v>0</v>
      </c>
      <c r="E91" s="298">
        <v>0</v>
      </c>
      <c r="F91" s="298">
        <v>0</v>
      </c>
      <c r="G91" s="298">
        <v>0</v>
      </c>
      <c r="H91" s="298">
        <v>0</v>
      </c>
      <c r="I91" s="298">
        <v>0</v>
      </c>
      <c r="J91" s="298">
        <v>0</v>
      </c>
      <c r="K91" s="298">
        <v>0</v>
      </c>
      <c r="L91" s="298">
        <v>0</v>
      </c>
      <c r="M91" s="298">
        <v>0</v>
      </c>
      <c r="N91" s="298">
        <v>0</v>
      </c>
      <c r="O91" s="298">
        <v>105000</v>
      </c>
    </row>
    <row r="92" spans="1:15">
      <c r="A92" s="238">
        <f t="shared" si="2"/>
        <v>91</v>
      </c>
      <c r="B92" s="245" cm="1">
        <f t="array" ref="B92">INDEX(D$1:O$1, MATCH(TRUE, INDEX(($D92:$O92 &lt;&gt; 0), 0),0))</f>
        <v>44742</v>
      </c>
      <c r="C92" s="298">
        <v>0</v>
      </c>
      <c r="D92" s="298">
        <v>0</v>
      </c>
      <c r="E92" s="298">
        <v>0</v>
      </c>
      <c r="F92" s="298">
        <v>0</v>
      </c>
      <c r="G92" s="298">
        <v>0</v>
      </c>
      <c r="H92" s="298">
        <v>0</v>
      </c>
      <c r="I92" s="298">
        <v>0</v>
      </c>
      <c r="J92" s="298">
        <v>0</v>
      </c>
      <c r="K92" s="298">
        <v>0</v>
      </c>
      <c r="L92" s="298">
        <v>0</v>
      </c>
      <c r="M92" s="298">
        <v>105000</v>
      </c>
      <c r="N92" s="298">
        <v>120750</v>
      </c>
      <c r="O92" s="298">
        <v>159692</v>
      </c>
    </row>
    <row r="93" spans="1:15">
      <c r="A93" s="238">
        <f t="shared" si="2"/>
        <v>92</v>
      </c>
      <c r="B93" s="245" cm="1">
        <f t="array" ref="B93">INDEX(D$1:O$1, MATCH(TRUE, INDEX(($D93:$O93 &lt;&gt; 0), 0),0))</f>
        <v>44377</v>
      </c>
      <c r="C93" s="298">
        <v>0</v>
      </c>
      <c r="D93" s="298">
        <v>0</v>
      </c>
      <c r="E93" s="298">
        <v>0</v>
      </c>
      <c r="F93" s="298">
        <v>0</v>
      </c>
      <c r="G93" s="298">
        <v>0</v>
      </c>
      <c r="H93" s="298">
        <v>0</v>
      </c>
      <c r="I93" s="298">
        <v>120000</v>
      </c>
      <c r="J93" s="298">
        <v>158700</v>
      </c>
      <c r="K93" s="298">
        <v>158700</v>
      </c>
      <c r="L93" s="298">
        <v>184695</v>
      </c>
      <c r="M93" s="298">
        <v>184695</v>
      </c>
      <c r="N93" s="298">
        <v>0</v>
      </c>
      <c r="O93" s="298">
        <v>0</v>
      </c>
    </row>
    <row r="94" spans="1:15">
      <c r="A94" s="238">
        <f t="shared" si="2"/>
        <v>93</v>
      </c>
      <c r="B94" s="245" cm="1">
        <f t="array" ref="B94">INDEX(D$1:O$1, MATCH(TRUE, INDEX(($D94:$O94 &lt;&gt; 0), 0),0))</f>
        <v>44286</v>
      </c>
      <c r="C94" s="298">
        <v>0</v>
      </c>
      <c r="D94" s="298">
        <v>0</v>
      </c>
      <c r="E94" s="298">
        <v>0</v>
      </c>
      <c r="F94" s="298">
        <v>0</v>
      </c>
      <c r="G94" s="298">
        <v>0</v>
      </c>
      <c r="H94" s="298">
        <v>69000</v>
      </c>
      <c r="I94" s="298">
        <v>69000</v>
      </c>
      <c r="J94" s="298">
        <v>60720</v>
      </c>
      <c r="K94" s="298">
        <v>69828</v>
      </c>
      <c r="L94" s="298">
        <v>69828</v>
      </c>
      <c r="M94" s="298">
        <v>70666</v>
      </c>
      <c r="N94" s="298">
        <v>71514</v>
      </c>
      <c r="O94" s="298">
        <v>71514</v>
      </c>
    </row>
    <row r="95" spans="1:15">
      <c r="A95" s="238">
        <f t="shared" si="2"/>
        <v>94</v>
      </c>
      <c r="B95" s="245" cm="1">
        <f t="array" ref="B95">INDEX(D$1:O$1, MATCH(TRUE, INDEX(($D95:$O95 &lt;&gt; 0), 0),0))</f>
        <v>44012</v>
      </c>
      <c r="C95" s="298">
        <v>0</v>
      </c>
      <c r="D95" s="298">
        <v>0</v>
      </c>
      <c r="E95" s="298">
        <v>79350</v>
      </c>
      <c r="F95" s="298">
        <v>91252.5</v>
      </c>
      <c r="G95" s="298">
        <v>91252.5</v>
      </c>
      <c r="H95" s="298">
        <v>92347.5</v>
      </c>
      <c r="I95" s="298">
        <v>92347.5</v>
      </c>
      <c r="J95" s="298">
        <v>122129.5</v>
      </c>
      <c r="K95" s="298">
        <v>0</v>
      </c>
      <c r="L95" s="298">
        <v>0</v>
      </c>
      <c r="M95" s="298">
        <v>0</v>
      </c>
      <c r="N95" s="298">
        <v>0</v>
      </c>
      <c r="O95" s="298">
        <v>0</v>
      </c>
    </row>
    <row r="96" spans="1:15">
      <c r="A96" s="238">
        <f t="shared" si="2"/>
        <v>95</v>
      </c>
      <c r="B96" s="245" cm="1">
        <f t="array" ref="B96">INDEX(D$1:O$1, MATCH(TRUE, INDEX(($D96:$O96 &lt;&gt; 0), 0),0))</f>
        <v>44926</v>
      </c>
      <c r="C96" s="298">
        <v>0</v>
      </c>
      <c r="D96" s="298">
        <v>0</v>
      </c>
      <c r="E96" s="298">
        <v>0</v>
      </c>
      <c r="F96" s="298">
        <v>0</v>
      </c>
      <c r="G96" s="298">
        <v>0</v>
      </c>
      <c r="H96" s="298">
        <v>0</v>
      </c>
      <c r="I96" s="298">
        <v>0</v>
      </c>
      <c r="J96" s="298">
        <v>0</v>
      </c>
      <c r="K96" s="298">
        <v>0</v>
      </c>
      <c r="L96" s="298">
        <v>0</v>
      </c>
      <c r="M96" s="298">
        <v>0</v>
      </c>
      <c r="N96" s="298">
        <v>0</v>
      </c>
      <c r="O96" s="298">
        <v>120000</v>
      </c>
    </row>
    <row r="97" spans="1:15">
      <c r="A97" s="238">
        <f t="shared" si="2"/>
        <v>96</v>
      </c>
      <c r="B97" s="245" cm="1">
        <f t="array" ref="B97">INDEX(D$1:O$1, MATCH(TRUE, INDEX(($D97:$O97 &lt;&gt; 0), 0),0))</f>
        <v>44926</v>
      </c>
      <c r="C97" s="298">
        <v>0</v>
      </c>
      <c r="D97" s="298">
        <v>0</v>
      </c>
      <c r="E97" s="298">
        <v>0</v>
      </c>
      <c r="F97" s="298">
        <v>0</v>
      </c>
      <c r="G97" s="298">
        <v>0</v>
      </c>
      <c r="H97" s="298">
        <v>0</v>
      </c>
      <c r="I97" s="298">
        <v>0</v>
      </c>
      <c r="J97" s="298">
        <v>0</v>
      </c>
      <c r="K97" s="298">
        <v>0</v>
      </c>
      <c r="L97" s="298">
        <v>0</v>
      </c>
      <c r="M97" s="298">
        <v>0</v>
      </c>
      <c r="N97" s="298">
        <v>0</v>
      </c>
      <c r="O97" s="298">
        <v>60000</v>
      </c>
    </row>
    <row r="98" spans="1:15">
      <c r="A98" s="238">
        <f t="shared" si="2"/>
        <v>97</v>
      </c>
      <c r="B98" s="245" cm="1">
        <f t="array" ref="B98">INDEX(D$1:O$1, MATCH(TRUE, INDEX(($D98:$O98 &lt;&gt; 0), 0),0))</f>
        <v>44742</v>
      </c>
      <c r="C98" s="298">
        <v>0</v>
      </c>
      <c r="D98" s="298">
        <v>0</v>
      </c>
      <c r="E98" s="298">
        <v>0</v>
      </c>
      <c r="F98" s="298">
        <v>0</v>
      </c>
      <c r="G98" s="298">
        <v>0</v>
      </c>
      <c r="H98" s="298">
        <v>0</v>
      </c>
      <c r="I98" s="298">
        <v>0</v>
      </c>
      <c r="J98" s="298">
        <v>0</v>
      </c>
      <c r="K98" s="298">
        <v>0</v>
      </c>
      <c r="L98" s="298">
        <v>0</v>
      </c>
      <c r="M98" s="298">
        <v>120000</v>
      </c>
      <c r="N98" s="298">
        <v>138000</v>
      </c>
      <c r="O98" s="298">
        <v>158700</v>
      </c>
    </row>
    <row r="99" spans="1:15">
      <c r="A99" s="238">
        <f t="shared" si="2"/>
        <v>98</v>
      </c>
      <c r="B99" s="245" cm="1">
        <f t="array" ref="B99">INDEX(D$1:O$1, MATCH(TRUE, INDEX(($D99:$O99 &lt;&gt; 0), 0),0))</f>
        <v>44469</v>
      </c>
      <c r="C99" s="298">
        <v>0</v>
      </c>
      <c r="D99" s="298">
        <v>0</v>
      </c>
      <c r="E99" s="298">
        <v>0</v>
      </c>
      <c r="F99" s="298">
        <v>0</v>
      </c>
      <c r="G99" s="298">
        <v>0</v>
      </c>
      <c r="H99" s="298">
        <v>0</v>
      </c>
      <c r="I99" s="298">
        <v>0</v>
      </c>
      <c r="J99" s="298">
        <v>120750</v>
      </c>
      <c r="K99" s="298">
        <v>120750</v>
      </c>
      <c r="L99" s="298">
        <v>120750</v>
      </c>
      <c r="M99" s="298">
        <v>159692</v>
      </c>
      <c r="N99" s="298">
        <v>183645.75</v>
      </c>
      <c r="O99" s="298">
        <v>211192.5</v>
      </c>
    </row>
    <row r="100" spans="1:15">
      <c r="A100" s="238">
        <f t="shared" si="2"/>
        <v>99</v>
      </c>
      <c r="B100" s="245" cm="1">
        <f t="array" ref="B100">INDEX(D$1:O$1, MATCH(TRUE, INDEX(($D100:$O100 &lt;&gt; 0), 0),0))</f>
        <v>44926</v>
      </c>
      <c r="C100" s="298">
        <v>0</v>
      </c>
      <c r="D100" s="298">
        <v>0</v>
      </c>
      <c r="E100" s="298">
        <v>0</v>
      </c>
      <c r="F100" s="298">
        <v>0</v>
      </c>
      <c r="G100" s="298">
        <v>0</v>
      </c>
      <c r="H100" s="298">
        <v>0</v>
      </c>
      <c r="I100" s="298">
        <v>0</v>
      </c>
      <c r="J100" s="298">
        <v>0</v>
      </c>
      <c r="K100" s="298">
        <v>0</v>
      </c>
      <c r="L100" s="298">
        <v>0</v>
      </c>
      <c r="M100" s="298">
        <v>0</v>
      </c>
      <c r="N100" s="298">
        <v>0</v>
      </c>
      <c r="O100" s="298">
        <v>105000</v>
      </c>
    </row>
    <row r="101" spans="1:15">
      <c r="A101" s="238">
        <f t="shared" si="2"/>
        <v>100</v>
      </c>
      <c r="B101" s="245" cm="1">
        <f t="array" ref="B101">INDEX(D$1:O$1, MATCH(TRUE, INDEX(($D101:$O101 &lt;&gt; 0), 0),0))</f>
        <v>44742</v>
      </c>
      <c r="C101" s="298">
        <v>0</v>
      </c>
      <c r="D101" s="298">
        <v>0</v>
      </c>
      <c r="E101" s="298">
        <v>0</v>
      </c>
      <c r="F101" s="298">
        <v>0</v>
      </c>
      <c r="G101" s="298">
        <v>0</v>
      </c>
      <c r="H101" s="298">
        <v>0</v>
      </c>
      <c r="I101" s="298">
        <v>0</v>
      </c>
      <c r="J101" s="298">
        <v>0</v>
      </c>
      <c r="K101" s="298">
        <v>0</v>
      </c>
      <c r="L101" s="298">
        <v>0</v>
      </c>
      <c r="M101" s="298">
        <v>60000</v>
      </c>
      <c r="N101" s="298">
        <v>52800</v>
      </c>
      <c r="O101" s="298">
        <v>60720</v>
      </c>
    </row>
    <row r="102" spans="1:15">
      <c r="A102" s="238">
        <f t="shared" si="2"/>
        <v>101</v>
      </c>
      <c r="B102" s="245" cm="1">
        <f t="array" ref="B102">INDEX(D$1:O$1, MATCH(TRUE, INDEX(($D102:$O102 &lt;&gt; 0), 0),0))</f>
        <v>43921</v>
      </c>
      <c r="C102" s="298">
        <v>92400</v>
      </c>
      <c r="D102" s="298">
        <v>122199</v>
      </c>
      <c r="E102" s="298">
        <v>140528.75</v>
      </c>
      <c r="F102" s="298">
        <v>161608.25</v>
      </c>
      <c r="G102" s="298">
        <v>185849.5</v>
      </c>
      <c r="H102" s="298">
        <v>185849.5</v>
      </c>
      <c r="I102" s="298">
        <v>188079.5</v>
      </c>
      <c r="J102" s="298">
        <v>190336.5</v>
      </c>
      <c r="K102" s="298">
        <v>251720</v>
      </c>
      <c r="L102" s="298">
        <v>332899.75</v>
      </c>
      <c r="M102" s="298">
        <v>332899.75</v>
      </c>
      <c r="N102" s="298">
        <v>440260</v>
      </c>
      <c r="O102" s="298">
        <v>506299</v>
      </c>
    </row>
    <row r="103" spans="1:15">
      <c r="A103" s="238">
        <f t="shared" si="2"/>
        <v>102</v>
      </c>
      <c r="B103" s="245" cm="1">
        <f t="array" ref="B103">INDEX(D$1:O$1, MATCH(TRUE, INDEX(($D103:$O103 &lt;&gt; 0), 0),0))</f>
        <v>44561</v>
      </c>
      <c r="C103" s="298">
        <v>0</v>
      </c>
      <c r="D103" s="298">
        <v>0</v>
      </c>
      <c r="E103" s="298">
        <v>0</v>
      </c>
      <c r="F103" s="298">
        <v>0</v>
      </c>
      <c r="G103" s="298">
        <v>0</v>
      </c>
      <c r="H103" s="298">
        <v>0</v>
      </c>
      <c r="I103" s="298">
        <v>0</v>
      </c>
      <c r="J103" s="298">
        <v>0</v>
      </c>
      <c r="K103" s="298">
        <v>120000</v>
      </c>
      <c r="L103" s="298">
        <v>139656</v>
      </c>
      <c r="M103" s="298">
        <v>141331.75</v>
      </c>
      <c r="N103" s="298">
        <v>162531.75</v>
      </c>
      <c r="O103" s="298">
        <v>162531.75</v>
      </c>
    </row>
    <row r="104" spans="1:15">
      <c r="A104" s="238">
        <f t="shared" si="2"/>
        <v>103</v>
      </c>
      <c r="B104" s="245" cm="1">
        <f t="array" ref="B104">INDEX(D$1:O$1, MATCH(TRUE, INDEX(($D104:$O104 &lt;&gt; 0), 0),0))</f>
        <v>44561</v>
      </c>
      <c r="C104" s="298">
        <v>0</v>
      </c>
      <c r="D104" s="298">
        <v>0</v>
      </c>
      <c r="E104" s="298">
        <v>0</v>
      </c>
      <c r="F104" s="298">
        <v>0</v>
      </c>
      <c r="G104" s="298">
        <v>0</v>
      </c>
      <c r="H104" s="298">
        <v>0</v>
      </c>
      <c r="I104" s="298">
        <v>0</v>
      </c>
      <c r="J104" s="298">
        <v>0</v>
      </c>
      <c r="K104" s="298">
        <v>120000</v>
      </c>
      <c r="L104" s="298">
        <v>138000</v>
      </c>
      <c r="M104" s="298">
        <v>182505</v>
      </c>
      <c r="N104" s="298">
        <v>0</v>
      </c>
      <c r="O104" s="298">
        <v>0</v>
      </c>
    </row>
    <row r="105" spans="1:15">
      <c r="A105" s="238">
        <f t="shared" si="2"/>
        <v>104</v>
      </c>
      <c r="B105" s="245" cm="1">
        <f t="array" ref="B105">INDEX(D$1:O$1, MATCH(TRUE, INDEX(($D105:$O105 &lt;&gt; 0), 0),0))</f>
        <v>44377</v>
      </c>
      <c r="C105" s="298">
        <v>0</v>
      </c>
      <c r="D105" s="298">
        <v>0</v>
      </c>
      <c r="E105" s="298">
        <v>0</v>
      </c>
      <c r="F105" s="298">
        <v>0</v>
      </c>
      <c r="G105" s="298">
        <v>0</v>
      </c>
      <c r="H105" s="298">
        <v>0</v>
      </c>
      <c r="I105" s="298">
        <v>138000</v>
      </c>
      <c r="J105" s="298">
        <v>158700</v>
      </c>
      <c r="K105" s="298">
        <v>182505</v>
      </c>
      <c r="L105" s="298">
        <v>209880.75</v>
      </c>
      <c r="M105" s="298">
        <v>0</v>
      </c>
      <c r="N105" s="298">
        <v>0</v>
      </c>
      <c r="O105" s="298">
        <v>0</v>
      </c>
    </row>
    <row r="106" spans="1:15">
      <c r="A106" s="238">
        <f t="shared" si="2"/>
        <v>105</v>
      </c>
      <c r="B106" s="245" cm="1">
        <f t="array" ref="B106">INDEX(D$1:O$1, MATCH(TRUE, INDEX(($D106:$O106 &lt;&gt; 0), 0),0))</f>
        <v>44742</v>
      </c>
      <c r="C106" s="298">
        <v>0</v>
      </c>
      <c r="D106" s="298">
        <v>0</v>
      </c>
      <c r="E106" s="298">
        <v>0</v>
      </c>
      <c r="F106" s="298">
        <v>0</v>
      </c>
      <c r="G106" s="298">
        <v>0</v>
      </c>
      <c r="H106" s="298">
        <v>0</v>
      </c>
      <c r="I106" s="298">
        <v>0</v>
      </c>
      <c r="J106" s="298">
        <v>0</v>
      </c>
      <c r="K106" s="298">
        <v>0</v>
      </c>
      <c r="L106" s="298">
        <v>0</v>
      </c>
      <c r="M106" s="298">
        <v>158700</v>
      </c>
      <c r="N106" s="298">
        <v>182505</v>
      </c>
      <c r="O106" s="298">
        <v>182505</v>
      </c>
    </row>
    <row r="107" spans="1:15">
      <c r="A107" s="238">
        <f t="shared" si="2"/>
        <v>106</v>
      </c>
      <c r="B107" s="245" cm="1">
        <f t="array" ref="B107">INDEX(D$1:O$1, MATCH(TRUE, INDEX(($D107:$O107 &lt;&gt; 0), 0),0))</f>
        <v>44742</v>
      </c>
      <c r="C107" s="298">
        <v>0</v>
      </c>
      <c r="D107" s="298">
        <v>0</v>
      </c>
      <c r="E107" s="298">
        <v>0</v>
      </c>
      <c r="F107" s="298">
        <v>0</v>
      </c>
      <c r="G107" s="298">
        <v>0</v>
      </c>
      <c r="H107" s="298">
        <v>0</v>
      </c>
      <c r="I107" s="298">
        <v>0</v>
      </c>
      <c r="J107" s="298">
        <v>0</v>
      </c>
      <c r="K107" s="298">
        <v>0</v>
      </c>
      <c r="L107" s="298">
        <v>0</v>
      </c>
      <c r="M107" s="298">
        <v>120750</v>
      </c>
      <c r="N107" s="298">
        <v>120750</v>
      </c>
      <c r="O107" s="298">
        <v>120750</v>
      </c>
    </row>
    <row r="108" spans="1:15">
      <c r="A108" s="238">
        <f t="shared" si="2"/>
        <v>107</v>
      </c>
      <c r="B108" s="245" cm="1">
        <f t="array" ref="B108">INDEX(D$1:O$1, MATCH(TRUE, INDEX(($D108:$O108 &lt;&gt; 0), 0),0))</f>
        <v>44926</v>
      </c>
      <c r="C108" s="298">
        <v>0</v>
      </c>
      <c r="D108" s="298">
        <v>0</v>
      </c>
      <c r="E108" s="298">
        <v>0</v>
      </c>
      <c r="F108" s="298">
        <v>0</v>
      </c>
      <c r="G108" s="298">
        <v>0</v>
      </c>
      <c r="H108" s="298">
        <v>0</v>
      </c>
      <c r="I108" s="298">
        <v>0</v>
      </c>
      <c r="J108" s="298">
        <v>0</v>
      </c>
      <c r="K108" s="298">
        <v>0</v>
      </c>
      <c r="L108" s="298">
        <v>0</v>
      </c>
      <c r="M108" s="298">
        <v>0</v>
      </c>
      <c r="N108" s="298">
        <v>0</v>
      </c>
      <c r="O108" s="298">
        <v>60000</v>
      </c>
    </row>
    <row r="109" spans="1:15">
      <c r="A109" s="238">
        <f t="shared" si="2"/>
        <v>108</v>
      </c>
      <c r="B109" s="245" cm="1">
        <f t="array" ref="B109">INDEX(D$1:O$1, MATCH(TRUE, INDEX(($D109:$O109 &lt;&gt; 0), 0),0))</f>
        <v>44196</v>
      </c>
      <c r="C109" s="298">
        <v>0</v>
      </c>
      <c r="D109" s="298">
        <v>0</v>
      </c>
      <c r="E109" s="298">
        <v>0</v>
      </c>
      <c r="F109" s="298">
        <v>0</v>
      </c>
      <c r="G109" s="298">
        <v>69000</v>
      </c>
      <c r="H109" s="298">
        <v>60720</v>
      </c>
      <c r="I109" s="298">
        <v>69828</v>
      </c>
      <c r="J109" s="298">
        <v>69828</v>
      </c>
      <c r="K109" s="298">
        <v>69828</v>
      </c>
      <c r="L109" s="298">
        <v>106199.75</v>
      </c>
      <c r="M109" s="298">
        <v>122129.5</v>
      </c>
      <c r="N109" s="298">
        <v>123595.25</v>
      </c>
      <c r="O109" s="298">
        <v>123595.25</v>
      </c>
    </row>
    <row r="110" spans="1:15">
      <c r="A110" s="238">
        <f t="shared" si="2"/>
        <v>109</v>
      </c>
      <c r="B110" s="245" cm="1">
        <f t="array" ref="B110">INDEX(D$1:O$1, MATCH(TRUE, INDEX(($D110:$O110 &lt;&gt; 0), 0),0))</f>
        <v>44742</v>
      </c>
      <c r="C110" s="298">
        <v>0</v>
      </c>
      <c r="D110" s="298">
        <v>0</v>
      </c>
      <c r="E110" s="298">
        <v>0</v>
      </c>
      <c r="F110" s="298">
        <v>0</v>
      </c>
      <c r="G110" s="298">
        <v>0</v>
      </c>
      <c r="H110" s="298">
        <v>0</v>
      </c>
      <c r="I110" s="298">
        <v>0</v>
      </c>
      <c r="J110" s="298">
        <v>0</v>
      </c>
      <c r="K110" s="298">
        <v>0</v>
      </c>
      <c r="L110" s="298">
        <v>0</v>
      </c>
      <c r="M110" s="298">
        <v>120000</v>
      </c>
      <c r="N110" s="298">
        <v>138000</v>
      </c>
      <c r="O110" s="298">
        <v>158700</v>
      </c>
    </row>
    <row r="111" spans="1:15">
      <c r="A111" s="238">
        <f t="shared" si="2"/>
        <v>110</v>
      </c>
      <c r="B111" s="245" cm="1">
        <f t="array" ref="B111">INDEX(D$1:O$1, MATCH(TRUE, INDEX(($D111:$O111 &lt;&gt; 0), 0),0))</f>
        <v>44469</v>
      </c>
      <c r="C111" s="298">
        <v>0</v>
      </c>
      <c r="D111" s="298">
        <v>0</v>
      </c>
      <c r="E111" s="298">
        <v>0</v>
      </c>
      <c r="F111" s="298">
        <v>0</v>
      </c>
      <c r="G111" s="298">
        <v>0</v>
      </c>
      <c r="H111" s="298">
        <v>0</v>
      </c>
      <c r="I111" s="298">
        <v>0</v>
      </c>
      <c r="J111" s="298">
        <v>105000</v>
      </c>
      <c r="K111" s="298">
        <v>105000</v>
      </c>
      <c r="L111" s="298">
        <v>106260</v>
      </c>
      <c r="M111" s="298">
        <v>0</v>
      </c>
      <c r="N111" s="298">
        <v>0</v>
      </c>
      <c r="O111" s="298">
        <v>0</v>
      </c>
    </row>
    <row r="112" spans="1:15">
      <c r="A112" s="238">
        <f t="shared" si="2"/>
        <v>111</v>
      </c>
      <c r="B112" s="245" cm="1">
        <f t="array" ref="B112">INDEX(D$1:O$1, MATCH(TRUE, INDEX(($D112:$O112 &lt;&gt; 0), 0),0))</f>
        <v>44834</v>
      </c>
      <c r="C112" s="298">
        <v>0</v>
      </c>
      <c r="D112" s="298">
        <v>0</v>
      </c>
      <c r="E112" s="298">
        <v>0</v>
      </c>
      <c r="F112" s="298">
        <v>0</v>
      </c>
      <c r="G112" s="298">
        <v>0</v>
      </c>
      <c r="H112" s="298">
        <v>0</v>
      </c>
      <c r="I112" s="298">
        <v>0</v>
      </c>
      <c r="J112" s="298">
        <v>0</v>
      </c>
      <c r="K112" s="298">
        <v>0</v>
      </c>
      <c r="L112" s="298">
        <v>0</v>
      </c>
      <c r="M112" s="298">
        <v>0</v>
      </c>
      <c r="N112" s="298">
        <v>60000</v>
      </c>
      <c r="O112" s="298">
        <v>91252.5</v>
      </c>
    </row>
    <row r="113" spans="1:15">
      <c r="A113" s="238">
        <f t="shared" si="2"/>
        <v>112</v>
      </c>
      <c r="B113" s="245" cm="1">
        <f t="array" ref="B113">INDEX(D$1:O$1, MATCH(TRUE, INDEX(($D113:$O113 &lt;&gt; 0), 0),0))</f>
        <v>44377</v>
      </c>
      <c r="C113" s="298">
        <v>0</v>
      </c>
      <c r="D113" s="298">
        <v>0</v>
      </c>
      <c r="E113" s="298">
        <v>0</v>
      </c>
      <c r="F113" s="298">
        <v>0</v>
      </c>
      <c r="G113" s="298">
        <v>0</v>
      </c>
      <c r="H113" s="298">
        <v>0</v>
      </c>
      <c r="I113" s="298">
        <v>105000</v>
      </c>
      <c r="J113" s="298">
        <v>105000</v>
      </c>
      <c r="K113" s="298">
        <v>105000</v>
      </c>
      <c r="L113" s="298">
        <v>105000</v>
      </c>
      <c r="M113" s="298">
        <v>138862.5</v>
      </c>
      <c r="N113" s="298">
        <v>159692</v>
      </c>
      <c r="O113" s="298">
        <v>183645.75</v>
      </c>
    </row>
    <row r="114" spans="1:15">
      <c r="A114" s="238">
        <f t="shared" si="2"/>
        <v>113</v>
      </c>
      <c r="B114" s="245" cm="1">
        <f t="array" ref="B114">INDEX(D$1:O$1, MATCH(TRUE, INDEX(($D114:$O114 &lt;&gt; 0), 0),0))</f>
        <v>44377</v>
      </c>
      <c r="C114" s="298">
        <v>0</v>
      </c>
      <c r="D114" s="298">
        <v>0</v>
      </c>
      <c r="E114" s="298">
        <v>0</v>
      </c>
      <c r="F114" s="298">
        <v>0</v>
      </c>
      <c r="G114" s="298">
        <v>0</v>
      </c>
      <c r="H114" s="298">
        <v>0</v>
      </c>
      <c r="I114" s="298">
        <v>105600</v>
      </c>
      <c r="J114" s="298">
        <v>105600</v>
      </c>
      <c r="K114" s="298">
        <v>121440</v>
      </c>
      <c r="L114" s="298">
        <v>139656</v>
      </c>
      <c r="M114" s="298">
        <v>122897.25</v>
      </c>
      <c r="N114" s="298">
        <v>122897.25</v>
      </c>
      <c r="O114" s="298">
        <v>122897.25</v>
      </c>
    </row>
    <row r="115" spans="1:15">
      <c r="A115" s="238">
        <f t="shared" si="2"/>
        <v>114</v>
      </c>
      <c r="B115" s="245" cm="1">
        <f t="array" ref="B115">INDEX(D$1:O$1, MATCH(TRUE, INDEX(($D115:$O115 &lt;&gt; 0), 0),0))</f>
        <v>44469</v>
      </c>
      <c r="C115" s="298">
        <v>0</v>
      </c>
      <c r="D115" s="298">
        <v>0</v>
      </c>
      <c r="E115" s="298">
        <v>0</v>
      </c>
      <c r="F115" s="298">
        <v>0</v>
      </c>
      <c r="G115" s="298">
        <v>0</v>
      </c>
      <c r="H115" s="298">
        <v>0</v>
      </c>
      <c r="I115" s="298">
        <v>0</v>
      </c>
      <c r="J115" s="298">
        <v>138000</v>
      </c>
      <c r="K115" s="298">
        <v>138000</v>
      </c>
      <c r="L115" s="298">
        <v>158700</v>
      </c>
      <c r="M115" s="298">
        <v>158700</v>
      </c>
      <c r="N115" s="298">
        <v>182505</v>
      </c>
      <c r="O115" s="298">
        <v>209880.75</v>
      </c>
    </row>
    <row r="116" spans="1:15">
      <c r="A116" s="238">
        <f t="shared" si="2"/>
        <v>115</v>
      </c>
      <c r="B116" s="245" cm="1">
        <f t="array" ref="B116">INDEX(D$1:O$1, MATCH(TRUE, INDEX(($D116:$O116 &lt;&gt; 0), 0),0))</f>
        <v>43921</v>
      </c>
      <c r="C116" s="298">
        <v>138000</v>
      </c>
      <c r="D116" s="298">
        <v>182505</v>
      </c>
      <c r="E116" s="298">
        <v>160604.5</v>
      </c>
      <c r="F116" s="298">
        <v>212399.25</v>
      </c>
      <c r="G116" s="298">
        <v>186911.5</v>
      </c>
      <c r="H116" s="298">
        <v>247190.25</v>
      </c>
      <c r="I116" s="298">
        <v>217527.5</v>
      </c>
      <c r="J116" s="298">
        <v>217527.5</v>
      </c>
      <c r="K116" s="298">
        <v>217527.5</v>
      </c>
      <c r="L116" s="298">
        <v>250156.5</v>
      </c>
      <c r="M116" s="298">
        <v>287680</v>
      </c>
      <c r="N116" s="298">
        <v>287680</v>
      </c>
      <c r="O116" s="298">
        <v>287680</v>
      </c>
    </row>
    <row r="117" spans="1:15">
      <c r="A117" s="238">
        <f t="shared" si="2"/>
        <v>116</v>
      </c>
      <c r="B117" s="245" cm="1">
        <f t="array" ref="B117">INDEX(D$1:O$1, MATCH(TRUE, INDEX(($D117:$O117 &lt;&gt; 0), 0),0))</f>
        <v>44742</v>
      </c>
      <c r="C117" s="298">
        <v>0</v>
      </c>
      <c r="D117" s="298">
        <v>0</v>
      </c>
      <c r="E117" s="298">
        <v>0</v>
      </c>
      <c r="F117" s="298">
        <v>0</v>
      </c>
      <c r="G117" s="298">
        <v>0</v>
      </c>
      <c r="H117" s="298">
        <v>0</v>
      </c>
      <c r="I117" s="298">
        <v>0</v>
      </c>
      <c r="J117" s="298">
        <v>0</v>
      </c>
      <c r="K117" s="298">
        <v>0</v>
      </c>
      <c r="L117" s="298">
        <v>0</v>
      </c>
      <c r="M117" s="298">
        <v>69000</v>
      </c>
      <c r="N117" s="298">
        <v>91252.5</v>
      </c>
      <c r="O117" s="298">
        <v>91252.5</v>
      </c>
    </row>
    <row r="118" spans="1:15">
      <c r="A118" s="238">
        <f t="shared" si="2"/>
        <v>117</v>
      </c>
      <c r="B118" s="245" cm="1">
        <f t="array" ref="B118">INDEX(D$1:O$1, MATCH(TRUE, INDEX(($D118:$O118 &lt;&gt; 0), 0),0))</f>
        <v>44651</v>
      </c>
      <c r="C118" s="298">
        <v>0</v>
      </c>
      <c r="D118" s="298">
        <v>0</v>
      </c>
      <c r="E118" s="298">
        <v>0</v>
      </c>
      <c r="F118" s="298">
        <v>0</v>
      </c>
      <c r="G118" s="298">
        <v>0</v>
      </c>
      <c r="H118" s="298">
        <v>0</v>
      </c>
      <c r="I118" s="298">
        <v>0</v>
      </c>
      <c r="J118" s="298">
        <v>0</v>
      </c>
      <c r="K118" s="298">
        <v>0</v>
      </c>
      <c r="L118" s="298">
        <v>105000</v>
      </c>
      <c r="M118" s="298">
        <v>106260</v>
      </c>
      <c r="N118" s="298">
        <v>106260</v>
      </c>
      <c r="O118" s="298">
        <v>107535</v>
      </c>
    </row>
    <row r="119" spans="1:15">
      <c r="A119" s="238">
        <f t="shared" si="2"/>
        <v>118</v>
      </c>
      <c r="B119" s="245" cm="1">
        <f t="array" ref="B119">INDEX(D$1:O$1, MATCH(TRUE, INDEX(($D119:$O119 &lt;&gt; 0), 0),0))</f>
        <v>44926</v>
      </c>
      <c r="C119" s="298">
        <v>0</v>
      </c>
      <c r="D119" s="298">
        <v>0</v>
      </c>
      <c r="E119" s="298">
        <v>0</v>
      </c>
      <c r="F119" s="298">
        <v>0</v>
      </c>
      <c r="G119" s="298">
        <v>0</v>
      </c>
      <c r="H119" s="298">
        <v>0</v>
      </c>
      <c r="I119" s="298">
        <v>0</v>
      </c>
      <c r="J119" s="298">
        <v>0</v>
      </c>
      <c r="K119" s="298">
        <v>0</v>
      </c>
      <c r="L119" s="298">
        <v>0</v>
      </c>
      <c r="M119" s="298">
        <v>0</v>
      </c>
      <c r="N119" s="298">
        <v>0</v>
      </c>
      <c r="O119" s="298">
        <v>60000</v>
      </c>
    </row>
    <row r="120" spans="1:15">
      <c r="A120" s="238">
        <f t="shared" si="2"/>
        <v>119</v>
      </c>
      <c r="B120" s="245" cm="1">
        <f t="array" ref="B120">INDEX(D$1:O$1, MATCH(TRUE, INDEX(($D120:$O120 &lt;&gt; 0), 0),0))</f>
        <v>44651</v>
      </c>
      <c r="C120" s="298">
        <v>0</v>
      </c>
      <c r="D120" s="298">
        <v>0</v>
      </c>
      <c r="E120" s="298">
        <v>0</v>
      </c>
      <c r="F120" s="298">
        <v>0</v>
      </c>
      <c r="G120" s="298">
        <v>0</v>
      </c>
      <c r="H120" s="298">
        <v>0</v>
      </c>
      <c r="I120" s="298">
        <v>0</v>
      </c>
      <c r="J120" s="298">
        <v>0</v>
      </c>
      <c r="K120" s="298">
        <v>0</v>
      </c>
      <c r="L120" s="298">
        <v>120000</v>
      </c>
      <c r="M120" s="298">
        <v>138000</v>
      </c>
      <c r="N120" s="298">
        <v>158700</v>
      </c>
      <c r="O120" s="298">
        <v>241362.75</v>
      </c>
    </row>
    <row r="121" spans="1:15">
      <c r="A121" s="238">
        <f t="shared" si="2"/>
        <v>120</v>
      </c>
      <c r="B121" s="245" cm="1">
        <f t="array" ref="B121">INDEX(D$1:O$1, MATCH(TRUE, INDEX(($D121:$O121 &lt;&gt; 0), 0),0))</f>
        <v>43921</v>
      </c>
      <c r="C121" s="298">
        <v>123665.5</v>
      </c>
      <c r="D121" s="298">
        <v>123665.5</v>
      </c>
      <c r="E121" s="298">
        <v>123665.5</v>
      </c>
      <c r="F121" s="298">
        <v>142215.25</v>
      </c>
      <c r="G121" s="298">
        <v>143921.75</v>
      </c>
      <c r="H121" s="298">
        <v>143921.75</v>
      </c>
      <c r="I121" s="298">
        <v>143921.75</v>
      </c>
      <c r="J121" s="298">
        <v>143921.75</v>
      </c>
      <c r="K121" s="298">
        <v>165510</v>
      </c>
      <c r="L121" s="298">
        <v>218887</v>
      </c>
      <c r="M121" s="298">
        <v>192620.5</v>
      </c>
      <c r="N121" s="298">
        <v>194932</v>
      </c>
      <c r="O121" s="298">
        <v>224171.75</v>
      </c>
    </row>
    <row r="122" spans="1:15">
      <c r="A122" s="238">
        <f t="shared" si="2"/>
        <v>121</v>
      </c>
      <c r="B122" s="245" cm="1">
        <f t="array" ref="B122">INDEX(D$1:O$1, MATCH(TRUE, INDEX(($D122:$O122 &lt;&gt; 0), 0),0))</f>
        <v>44561</v>
      </c>
      <c r="C122" s="298">
        <v>0</v>
      </c>
      <c r="D122" s="298">
        <v>0</v>
      </c>
      <c r="E122" s="298">
        <v>0</v>
      </c>
      <c r="F122" s="298">
        <v>0</v>
      </c>
      <c r="G122" s="298">
        <v>0</v>
      </c>
      <c r="H122" s="298">
        <v>0</v>
      </c>
      <c r="I122" s="298">
        <v>0</v>
      </c>
      <c r="J122" s="298">
        <v>0</v>
      </c>
      <c r="K122" s="298">
        <v>120750</v>
      </c>
      <c r="L122" s="298">
        <v>120750</v>
      </c>
      <c r="M122" s="298">
        <v>138862.5</v>
      </c>
      <c r="N122" s="298">
        <v>159692</v>
      </c>
      <c r="O122" s="298">
        <v>159692</v>
      </c>
    </row>
    <row r="123" spans="1:15">
      <c r="A123" s="238">
        <f t="shared" si="2"/>
        <v>122</v>
      </c>
      <c r="B123" s="245" cm="1">
        <f t="array" ref="B123">INDEX(D$1:O$1, MATCH(TRUE, INDEX(($D123:$O123 &lt;&gt; 0), 0),0))</f>
        <v>44469</v>
      </c>
      <c r="C123" s="298">
        <v>0</v>
      </c>
      <c r="D123" s="298">
        <v>0</v>
      </c>
      <c r="E123" s="298">
        <v>0</v>
      </c>
      <c r="F123" s="298">
        <v>0</v>
      </c>
      <c r="G123" s="298">
        <v>0</v>
      </c>
      <c r="H123" s="298">
        <v>0</v>
      </c>
      <c r="I123" s="298">
        <v>0</v>
      </c>
      <c r="J123" s="298">
        <v>120750</v>
      </c>
      <c r="K123" s="298">
        <v>122199</v>
      </c>
      <c r="L123" s="298">
        <v>123665.5</v>
      </c>
      <c r="M123" s="298">
        <v>123665.5</v>
      </c>
      <c r="N123" s="298">
        <v>123665.5</v>
      </c>
      <c r="O123" s="298">
        <v>142215.25</v>
      </c>
    </row>
    <row r="124" spans="1:15">
      <c r="A124" s="238">
        <f t="shared" si="2"/>
        <v>123</v>
      </c>
      <c r="B124" s="245" cm="1">
        <f t="array" ref="B124">INDEX(D$1:O$1, MATCH(TRUE, INDEX(($D124:$O124 &lt;&gt; 0), 0),0))</f>
        <v>44196</v>
      </c>
      <c r="C124" s="298">
        <v>0</v>
      </c>
      <c r="D124" s="298">
        <v>0</v>
      </c>
      <c r="E124" s="298">
        <v>0</v>
      </c>
      <c r="F124" s="298">
        <v>0</v>
      </c>
      <c r="G124" s="298">
        <v>79350</v>
      </c>
      <c r="H124" s="298">
        <v>91252.5</v>
      </c>
      <c r="I124" s="298">
        <v>91252.5</v>
      </c>
      <c r="J124" s="298">
        <v>92347.5</v>
      </c>
      <c r="K124" s="298">
        <v>92347.5</v>
      </c>
      <c r="L124" s="298">
        <v>92347.5</v>
      </c>
      <c r="M124" s="298">
        <v>106199.75</v>
      </c>
      <c r="N124" s="298">
        <v>106199.75</v>
      </c>
      <c r="O124" s="298">
        <v>106199.75</v>
      </c>
    </row>
    <row r="125" spans="1:15">
      <c r="A125" s="238">
        <f t="shared" si="2"/>
        <v>124</v>
      </c>
      <c r="B125" s="245" cm="1">
        <f t="array" ref="B125">INDEX(D$1:O$1, MATCH(TRUE, INDEX(($D125:$O125 &lt;&gt; 0), 0),0))</f>
        <v>44834</v>
      </c>
      <c r="C125" s="298">
        <v>0</v>
      </c>
      <c r="D125" s="298">
        <v>0</v>
      </c>
      <c r="E125" s="298">
        <v>0</v>
      </c>
      <c r="F125" s="298">
        <v>0</v>
      </c>
      <c r="G125" s="298">
        <v>0</v>
      </c>
      <c r="H125" s="298">
        <v>0</v>
      </c>
      <c r="I125" s="298">
        <v>0</v>
      </c>
      <c r="J125" s="298">
        <v>0</v>
      </c>
      <c r="K125" s="298">
        <v>0</v>
      </c>
      <c r="L125" s="298">
        <v>0</v>
      </c>
      <c r="M125" s="298">
        <v>0</v>
      </c>
      <c r="N125" s="298">
        <v>120750</v>
      </c>
      <c r="O125" s="298">
        <v>138862.5</v>
      </c>
    </row>
    <row r="126" spans="1:15">
      <c r="A126" s="238">
        <f t="shared" si="2"/>
        <v>125</v>
      </c>
      <c r="B126" s="245" cm="1">
        <f t="array" ref="B126">INDEX(D$1:O$1, MATCH(TRUE, INDEX(($D126:$O126 &lt;&gt; 0), 0),0))</f>
        <v>43921</v>
      </c>
      <c r="C126" s="298">
        <v>0</v>
      </c>
      <c r="D126" s="298">
        <v>120000</v>
      </c>
      <c r="E126" s="298">
        <v>138000</v>
      </c>
      <c r="F126" s="298">
        <v>138000</v>
      </c>
      <c r="G126" s="298">
        <v>138000</v>
      </c>
      <c r="H126" s="298">
        <v>138000</v>
      </c>
      <c r="I126" s="298">
        <v>158700</v>
      </c>
      <c r="J126" s="298">
        <v>241362.75</v>
      </c>
      <c r="K126" s="298">
        <v>241362.75</v>
      </c>
      <c r="L126" s="298">
        <v>241362.75</v>
      </c>
      <c r="M126" s="298">
        <v>241362.75</v>
      </c>
      <c r="N126" s="298">
        <v>319202.5</v>
      </c>
      <c r="O126" s="298">
        <v>367082.75</v>
      </c>
    </row>
    <row r="127" spans="1:15">
      <c r="A127" s="238">
        <f t="shared" si="2"/>
        <v>126</v>
      </c>
      <c r="B127" s="245" cm="1">
        <f t="array" ref="B127">INDEX(D$1:O$1, MATCH(TRUE, INDEX(($D127:$O127 &lt;&gt; 0), 0),0))</f>
        <v>44926</v>
      </c>
      <c r="C127" s="298">
        <v>0</v>
      </c>
      <c r="D127" s="298">
        <v>0</v>
      </c>
      <c r="E127" s="298">
        <v>0</v>
      </c>
      <c r="F127" s="298">
        <v>0</v>
      </c>
      <c r="G127" s="298">
        <v>0</v>
      </c>
      <c r="H127" s="298">
        <v>0</v>
      </c>
      <c r="I127" s="298">
        <v>0</v>
      </c>
      <c r="J127" s="298">
        <v>0</v>
      </c>
      <c r="K127" s="298">
        <v>0</v>
      </c>
      <c r="L127" s="298">
        <v>0</v>
      </c>
      <c r="M127" s="298">
        <v>0</v>
      </c>
      <c r="N127" s="298">
        <v>0</v>
      </c>
      <c r="O127" s="298">
        <v>138000</v>
      </c>
    </row>
    <row r="128" spans="1:15">
      <c r="A128" s="238">
        <f t="shared" si="2"/>
        <v>127</v>
      </c>
      <c r="B128" s="245" cm="1">
        <f t="array" ref="B128">INDEX(D$1:O$1, MATCH(TRUE, INDEX(($D128:$O128 &lt;&gt; 0), 0),0))</f>
        <v>44926</v>
      </c>
      <c r="C128" s="298">
        <v>0</v>
      </c>
      <c r="D128" s="298">
        <v>0</v>
      </c>
      <c r="E128" s="298">
        <v>0</v>
      </c>
      <c r="F128" s="298">
        <v>0</v>
      </c>
      <c r="G128" s="298">
        <v>0</v>
      </c>
      <c r="H128" s="298">
        <v>0</v>
      </c>
      <c r="I128" s="298">
        <v>0</v>
      </c>
      <c r="J128" s="298">
        <v>0</v>
      </c>
      <c r="K128" s="298">
        <v>0</v>
      </c>
      <c r="L128" s="298">
        <v>0</v>
      </c>
      <c r="M128" s="298">
        <v>0</v>
      </c>
      <c r="N128" s="298">
        <v>0</v>
      </c>
      <c r="O128" s="298">
        <v>120000</v>
      </c>
    </row>
    <row r="129" spans="1:15">
      <c r="A129" s="238">
        <f t="shared" si="2"/>
        <v>128</v>
      </c>
      <c r="B129" s="245" cm="1">
        <f t="array" ref="B129">INDEX(D$1:O$1, MATCH(TRUE, INDEX(($D129:$O129 &lt;&gt; 0), 0),0))</f>
        <v>44561</v>
      </c>
      <c r="C129" s="298">
        <v>0</v>
      </c>
      <c r="D129" s="298">
        <v>0</v>
      </c>
      <c r="E129" s="298">
        <v>0</v>
      </c>
      <c r="F129" s="298">
        <v>0</v>
      </c>
      <c r="G129" s="298">
        <v>0</v>
      </c>
      <c r="H129" s="298">
        <v>0</v>
      </c>
      <c r="I129" s="298">
        <v>0</v>
      </c>
      <c r="J129" s="298">
        <v>0</v>
      </c>
      <c r="K129" s="298">
        <v>120750</v>
      </c>
      <c r="L129" s="298">
        <v>120750</v>
      </c>
      <c r="M129" s="298">
        <v>159692</v>
      </c>
      <c r="N129" s="298">
        <v>183645.75</v>
      </c>
      <c r="O129" s="298">
        <v>183645.75</v>
      </c>
    </row>
    <row r="130" spans="1:15">
      <c r="A130" s="238">
        <f t="shared" si="2"/>
        <v>129</v>
      </c>
      <c r="B130" s="245" cm="1">
        <f t="array" ref="B130">INDEX(D$1:O$1, MATCH(TRUE, INDEX(($D130:$O130 &lt;&gt; 0), 0),0))</f>
        <v>44742</v>
      </c>
      <c r="C130" s="298">
        <v>0</v>
      </c>
      <c r="D130" s="298">
        <v>0</v>
      </c>
      <c r="E130" s="298">
        <v>0</v>
      </c>
      <c r="F130" s="298">
        <v>0</v>
      </c>
      <c r="G130" s="298">
        <v>0</v>
      </c>
      <c r="H130" s="298">
        <v>0</v>
      </c>
      <c r="I130" s="298">
        <v>0</v>
      </c>
      <c r="J130" s="298">
        <v>0</v>
      </c>
      <c r="K130" s="298">
        <v>0</v>
      </c>
      <c r="L130" s="298">
        <v>0</v>
      </c>
      <c r="M130" s="298">
        <v>105000</v>
      </c>
      <c r="N130" s="298">
        <v>92400</v>
      </c>
      <c r="O130" s="298">
        <v>106260</v>
      </c>
    </row>
    <row r="131" spans="1:15">
      <c r="A131" s="238">
        <f t="shared" ref="A131:A194" si="3">+A130+1</f>
        <v>130</v>
      </c>
      <c r="B131" s="245" cm="1">
        <f t="array" ref="B131">INDEX(D$1:O$1, MATCH(TRUE, INDEX(($D131:$O131 &lt;&gt; 0), 0),0))</f>
        <v>44926</v>
      </c>
      <c r="C131" s="298">
        <v>0</v>
      </c>
      <c r="D131" s="298">
        <v>0</v>
      </c>
      <c r="E131" s="298">
        <v>0</v>
      </c>
      <c r="F131" s="298">
        <v>0</v>
      </c>
      <c r="G131" s="298">
        <v>0</v>
      </c>
      <c r="H131" s="298">
        <v>0</v>
      </c>
      <c r="I131" s="298">
        <v>0</v>
      </c>
      <c r="J131" s="298">
        <v>0</v>
      </c>
      <c r="K131" s="298">
        <v>0</v>
      </c>
      <c r="L131" s="298">
        <v>0</v>
      </c>
      <c r="M131" s="298">
        <v>0</v>
      </c>
      <c r="N131" s="298">
        <v>0</v>
      </c>
      <c r="O131" s="298">
        <v>120000</v>
      </c>
    </row>
    <row r="132" spans="1:15">
      <c r="A132" s="238">
        <f t="shared" si="3"/>
        <v>131</v>
      </c>
      <c r="B132" s="245" cm="1">
        <f t="array" ref="B132">INDEX(D$1:O$1, MATCH(TRUE, INDEX(($D132:$O132 &lt;&gt; 0), 0),0))</f>
        <v>44561</v>
      </c>
      <c r="C132" s="298">
        <v>0</v>
      </c>
      <c r="D132" s="298">
        <v>0</v>
      </c>
      <c r="E132" s="298">
        <v>0</v>
      </c>
      <c r="F132" s="298">
        <v>0</v>
      </c>
      <c r="G132" s="298">
        <v>0</v>
      </c>
      <c r="H132" s="298">
        <v>0</v>
      </c>
      <c r="I132" s="298">
        <v>0</v>
      </c>
      <c r="J132" s="298">
        <v>0</v>
      </c>
      <c r="K132" s="298">
        <v>60000</v>
      </c>
      <c r="L132" s="298">
        <v>69000</v>
      </c>
      <c r="M132" s="298">
        <v>69000</v>
      </c>
      <c r="N132" s="298">
        <v>79350</v>
      </c>
      <c r="O132" s="298">
        <v>91252.5</v>
      </c>
    </row>
    <row r="133" spans="1:15">
      <c r="A133" s="238">
        <f t="shared" si="3"/>
        <v>132</v>
      </c>
      <c r="B133" s="245" cm="1">
        <f t="array" ref="B133">INDEX(D$1:O$1, MATCH(TRUE, INDEX(($D133:$O133 &lt;&gt; 0), 0),0))</f>
        <v>44196</v>
      </c>
      <c r="C133" s="298">
        <v>0</v>
      </c>
      <c r="D133" s="298">
        <v>0</v>
      </c>
      <c r="E133" s="298">
        <v>0</v>
      </c>
      <c r="F133" s="298">
        <v>0</v>
      </c>
      <c r="G133" s="298">
        <v>105000</v>
      </c>
      <c r="H133" s="298">
        <v>92400</v>
      </c>
      <c r="I133" s="298">
        <v>81312</v>
      </c>
      <c r="J133" s="298">
        <v>71554.5</v>
      </c>
      <c r="K133" s="298">
        <v>94631</v>
      </c>
      <c r="L133" s="298">
        <v>94631</v>
      </c>
      <c r="M133" s="298">
        <v>94631</v>
      </c>
      <c r="N133" s="298">
        <v>94631</v>
      </c>
      <c r="O133" s="298">
        <v>108825.5</v>
      </c>
    </row>
    <row r="134" spans="1:15">
      <c r="A134" s="238">
        <f t="shared" si="3"/>
        <v>133</v>
      </c>
      <c r="B134" s="245" cm="1">
        <f t="array" ref="B134">INDEX(D$1:O$1, MATCH(TRUE, INDEX(($D134:$O134 &lt;&gt; 0), 0),0))</f>
        <v>44742</v>
      </c>
      <c r="C134" s="298">
        <v>0</v>
      </c>
      <c r="D134" s="298">
        <v>0</v>
      </c>
      <c r="E134" s="298">
        <v>0</v>
      </c>
      <c r="F134" s="298">
        <v>0</v>
      </c>
      <c r="G134" s="298">
        <v>0</v>
      </c>
      <c r="H134" s="298">
        <v>0</v>
      </c>
      <c r="I134" s="298">
        <v>0</v>
      </c>
      <c r="J134" s="298">
        <v>0</v>
      </c>
      <c r="K134" s="298">
        <v>0</v>
      </c>
      <c r="L134" s="298">
        <v>0</v>
      </c>
      <c r="M134" s="298">
        <v>138000</v>
      </c>
      <c r="N134" s="298">
        <v>138000</v>
      </c>
      <c r="O134" s="298">
        <v>121440</v>
      </c>
    </row>
    <row r="135" spans="1:15">
      <c r="A135" s="238">
        <f t="shared" si="3"/>
        <v>134</v>
      </c>
      <c r="B135" s="245" cm="1">
        <f t="array" ref="B135">INDEX(D$1:O$1, MATCH(TRUE, INDEX(($D135:$O135 &lt;&gt; 0), 0),0))</f>
        <v>44742</v>
      </c>
      <c r="C135" s="298">
        <v>0</v>
      </c>
      <c r="D135" s="298">
        <v>0</v>
      </c>
      <c r="E135" s="298">
        <v>0</v>
      </c>
      <c r="F135" s="298">
        <v>0</v>
      </c>
      <c r="G135" s="298">
        <v>0</v>
      </c>
      <c r="H135" s="298">
        <v>0</v>
      </c>
      <c r="I135" s="298">
        <v>0</v>
      </c>
      <c r="J135" s="298">
        <v>0</v>
      </c>
      <c r="K135" s="298">
        <v>0</v>
      </c>
      <c r="L135" s="298">
        <v>0</v>
      </c>
      <c r="M135" s="298">
        <v>138000</v>
      </c>
      <c r="N135" s="298">
        <v>158700</v>
      </c>
      <c r="O135" s="298">
        <v>158700</v>
      </c>
    </row>
    <row r="136" spans="1:15">
      <c r="A136" s="238">
        <f t="shared" si="3"/>
        <v>135</v>
      </c>
      <c r="B136" s="245" cm="1">
        <f t="array" ref="B136">INDEX(D$1:O$1, MATCH(TRUE, INDEX(($D136:$O136 &lt;&gt; 0), 0),0))</f>
        <v>44926</v>
      </c>
      <c r="C136" s="298">
        <v>0</v>
      </c>
      <c r="D136" s="298">
        <v>0</v>
      </c>
      <c r="E136" s="298">
        <v>0</v>
      </c>
      <c r="F136" s="298">
        <v>0</v>
      </c>
      <c r="G136" s="298">
        <v>0</v>
      </c>
      <c r="H136" s="298">
        <v>0</v>
      </c>
      <c r="I136" s="298">
        <v>0</v>
      </c>
      <c r="J136" s="298">
        <v>0</v>
      </c>
      <c r="K136" s="298">
        <v>0</v>
      </c>
      <c r="L136" s="298">
        <v>0</v>
      </c>
      <c r="M136" s="298">
        <v>0</v>
      </c>
      <c r="N136" s="298">
        <v>0</v>
      </c>
      <c r="O136" s="298">
        <v>105000</v>
      </c>
    </row>
    <row r="137" spans="1:15">
      <c r="A137" s="238">
        <f t="shared" si="3"/>
        <v>136</v>
      </c>
      <c r="B137" s="245" cm="1">
        <f t="array" ref="B137">INDEX(D$1:O$1, MATCH(TRUE, INDEX(($D137:$O137 &lt;&gt; 0), 0),0))</f>
        <v>44469</v>
      </c>
      <c r="C137" s="298">
        <v>0</v>
      </c>
      <c r="D137" s="298">
        <v>0</v>
      </c>
      <c r="E137" s="298">
        <v>0</v>
      </c>
      <c r="F137" s="298">
        <v>0</v>
      </c>
      <c r="G137" s="298">
        <v>0</v>
      </c>
      <c r="H137" s="298">
        <v>0</v>
      </c>
      <c r="I137" s="298">
        <v>0</v>
      </c>
      <c r="J137" s="298">
        <v>105000</v>
      </c>
      <c r="K137" s="298">
        <v>120750</v>
      </c>
      <c r="L137" s="298">
        <v>120750</v>
      </c>
      <c r="M137" s="298">
        <v>138862.5</v>
      </c>
      <c r="N137" s="298">
        <v>122199</v>
      </c>
      <c r="O137" s="298">
        <v>140528.75</v>
      </c>
    </row>
    <row r="138" spans="1:15">
      <c r="A138" s="238">
        <f t="shared" si="3"/>
        <v>137</v>
      </c>
      <c r="B138" s="245" cm="1">
        <f t="array" ref="B138">INDEX(D$1:O$1, MATCH(TRUE, INDEX(($D138:$O138 &lt;&gt; 0), 0),0))</f>
        <v>44377</v>
      </c>
      <c r="C138" s="298">
        <v>0</v>
      </c>
      <c r="D138" s="298">
        <v>0</v>
      </c>
      <c r="E138" s="298">
        <v>0</v>
      </c>
      <c r="F138" s="298">
        <v>0</v>
      </c>
      <c r="G138" s="298">
        <v>0</v>
      </c>
      <c r="H138" s="298">
        <v>0</v>
      </c>
      <c r="I138" s="298">
        <v>138000</v>
      </c>
      <c r="J138" s="298">
        <v>160604.5</v>
      </c>
      <c r="K138" s="298">
        <v>141331.75</v>
      </c>
      <c r="L138" s="298">
        <v>162531.75</v>
      </c>
      <c r="M138" s="298">
        <v>162531.75</v>
      </c>
      <c r="N138" s="298">
        <v>162531.75</v>
      </c>
      <c r="O138" s="298">
        <v>247190.25</v>
      </c>
    </row>
    <row r="139" spans="1:15">
      <c r="A139" s="238">
        <f t="shared" si="3"/>
        <v>138</v>
      </c>
      <c r="B139" s="245" cm="1">
        <f t="array" ref="B139">INDEX(D$1:O$1, MATCH(TRUE, INDEX(($D139:$O139 &lt;&gt; 0), 0),0))</f>
        <v>44286</v>
      </c>
      <c r="C139" s="298">
        <v>0</v>
      </c>
      <c r="D139" s="298">
        <v>0</v>
      </c>
      <c r="E139" s="298">
        <v>0</v>
      </c>
      <c r="F139" s="298">
        <v>0</v>
      </c>
      <c r="G139" s="298">
        <v>0</v>
      </c>
      <c r="H139" s="298">
        <v>120000</v>
      </c>
      <c r="I139" s="298">
        <v>120000</v>
      </c>
      <c r="J139" s="298">
        <v>138000</v>
      </c>
      <c r="K139" s="298">
        <v>138000</v>
      </c>
      <c r="L139" s="298">
        <v>182505</v>
      </c>
      <c r="M139" s="298">
        <v>241362.75</v>
      </c>
      <c r="N139" s="298">
        <v>244259.25</v>
      </c>
      <c r="O139" s="298">
        <v>280898</v>
      </c>
    </row>
    <row r="140" spans="1:15">
      <c r="A140" s="238">
        <f t="shared" si="3"/>
        <v>139</v>
      </c>
      <c r="B140" s="245" cm="1">
        <f t="array" ref="B140">INDEX(D$1:O$1, MATCH(TRUE, INDEX(($D140:$O140 &lt;&gt; 0), 0),0))</f>
        <v>44196</v>
      </c>
      <c r="C140" s="298">
        <v>0</v>
      </c>
      <c r="D140" s="298">
        <v>0</v>
      </c>
      <c r="E140" s="298">
        <v>0</v>
      </c>
      <c r="F140" s="298">
        <v>0</v>
      </c>
      <c r="G140" s="298">
        <v>120000</v>
      </c>
      <c r="H140" s="298">
        <v>138000</v>
      </c>
      <c r="I140" s="298">
        <v>158700</v>
      </c>
      <c r="J140" s="298">
        <v>158700</v>
      </c>
      <c r="K140" s="298">
        <v>158700</v>
      </c>
      <c r="L140" s="298">
        <v>182505</v>
      </c>
      <c r="M140" s="298">
        <v>160604.5</v>
      </c>
      <c r="N140" s="298">
        <v>184695</v>
      </c>
      <c r="O140" s="298">
        <v>184695</v>
      </c>
    </row>
    <row r="141" spans="1:15">
      <c r="A141" s="238">
        <f t="shared" si="3"/>
        <v>140</v>
      </c>
      <c r="B141" s="245" cm="1">
        <f t="array" ref="B141">INDEX(D$1:O$1, MATCH(TRUE, INDEX(($D141:$O141 &lt;&gt; 0), 0),0))</f>
        <v>44286</v>
      </c>
      <c r="C141" s="298">
        <v>0</v>
      </c>
      <c r="D141" s="298">
        <v>0</v>
      </c>
      <c r="E141" s="298">
        <v>0</v>
      </c>
      <c r="F141" s="298">
        <v>0</v>
      </c>
      <c r="G141" s="298">
        <v>0</v>
      </c>
      <c r="H141" s="298">
        <v>105000</v>
      </c>
      <c r="I141" s="298">
        <v>105000</v>
      </c>
      <c r="J141" s="298">
        <v>105000</v>
      </c>
      <c r="K141" s="298">
        <v>120750</v>
      </c>
      <c r="L141" s="298">
        <v>120750</v>
      </c>
      <c r="M141" s="298">
        <v>140528.75</v>
      </c>
      <c r="N141" s="298">
        <v>140528.75</v>
      </c>
      <c r="O141" s="298">
        <v>213726.75</v>
      </c>
    </row>
    <row r="142" spans="1:15">
      <c r="A142" s="238">
        <f t="shared" si="3"/>
        <v>141</v>
      </c>
      <c r="B142" s="245" cm="1">
        <f t="array" ref="B142">INDEX(D$1:O$1, MATCH(TRUE, INDEX(($D142:$O142 &lt;&gt; 0), 0),0))</f>
        <v>43921</v>
      </c>
      <c r="C142" s="298">
        <v>105000</v>
      </c>
      <c r="D142" s="298">
        <v>120750</v>
      </c>
      <c r="E142" s="298">
        <v>159692</v>
      </c>
      <c r="F142" s="298">
        <v>159692</v>
      </c>
      <c r="G142" s="298">
        <v>183645.75</v>
      </c>
      <c r="H142" s="298">
        <v>142215.25</v>
      </c>
      <c r="I142" s="298">
        <v>125149.25</v>
      </c>
      <c r="J142" s="298">
        <v>165510</v>
      </c>
      <c r="K142" s="298">
        <v>218887</v>
      </c>
      <c r="L142" s="298">
        <v>192620.5</v>
      </c>
      <c r="M142" s="298">
        <v>221513.75</v>
      </c>
      <c r="N142" s="298">
        <v>254740.75</v>
      </c>
      <c r="O142" s="298">
        <v>254740.75</v>
      </c>
    </row>
    <row r="143" spans="1:15">
      <c r="A143" s="238">
        <f t="shared" si="3"/>
        <v>142</v>
      </c>
      <c r="B143" s="245" cm="1">
        <f t="array" ref="B143">INDEX(D$1:O$1, MATCH(TRUE, INDEX(($D143:$O143 &lt;&gt; 0), 0),0))</f>
        <v>44012</v>
      </c>
      <c r="C143" s="298">
        <v>0</v>
      </c>
      <c r="D143" s="298">
        <v>0</v>
      </c>
      <c r="E143" s="298">
        <v>120000</v>
      </c>
      <c r="F143" s="298">
        <v>105600</v>
      </c>
      <c r="G143" s="298">
        <v>121440</v>
      </c>
      <c r="H143" s="298">
        <v>121440</v>
      </c>
      <c r="I143" s="298">
        <v>121440</v>
      </c>
      <c r="J143" s="298">
        <v>160604.5</v>
      </c>
      <c r="K143" s="298">
        <v>160604.5</v>
      </c>
      <c r="L143" s="298">
        <v>160604.5</v>
      </c>
      <c r="M143" s="298">
        <v>184695</v>
      </c>
      <c r="N143" s="298">
        <v>184695</v>
      </c>
      <c r="O143" s="298">
        <v>244259.25</v>
      </c>
    </row>
    <row r="144" spans="1:15">
      <c r="A144" s="238">
        <f t="shared" si="3"/>
        <v>143</v>
      </c>
      <c r="B144" s="245" cm="1">
        <f t="array" ref="B144">INDEX(D$1:O$1, MATCH(TRUE, INDEX(($D144:$O144 &lt;&gt; 0), 0),0))</f>
        <v>44012</v>
      </c>
      <c r="C144" s="298">
        <v>0</v>
      </c>
      <c r="D144" s="298">
        <v>0</v>
      </c>
      <c r="E144" s="298">
        <v>120000</v>
      </c>
      <c r="F144" s="298">
        <v>138000</v>
      </c>
      <c r="G144" s="298">
        <v>138000</v>
      </c>
      <c r="H144" s="298">
        <v>158700</v>
      </c>
      <c r="I144" s="298">
        <v>158700</v>
      </c>
      <c r="J144" s="298">
        <v>209880.75</v>
      </c>
      <c r="K144" s="298">
        <v>277567.25</v>
      </c>
      <c r="L144" s="298">
        <v>319202.5</v>
      </c>
      <c r="M144" s="298">
        <v>367082.75</v>
      </c>
      <c r="N144" s="298">
        <v>371487.75</v>
      </c>
      <c r="O144" s="298">
        <v>371487.75</v>
      </c>
    </row>
    <row r="145" spans="1:15">
      <c r="A145" s="238">
        <f t="shared" si="3"/>
        <v>144</v>
      </c>
      <c r="B145" s="245" cm="1">
        <f t="array" ref="B145">INDEX(D$1:O$1, MATCH(TRUE, INDEX(($D145:$O145 &lt;&gt; 0), 0),0))</f>
        <v>43921</v>
      </c>
      <c r="C145" s="298">
        <v>0</v>
      </c>
      <c r="D145" s="298">
        <v>105000</v>
      </c>
      <c r="E145" s="298">
        <v>120750</v>
      </c>
      <c r="F145" s="298">
        <v>138862.5</v>
      </c>
      <c r="G145" s="298">
        <v>159692</v>
      </c>
      <c r="H145" s="298">
        <v>159692</v>
      </c>
      <c r="I145" s="298">
        <v>183645.75</v>
      </c>
      <c r="J145" s="298">
        <v>183645.75</v>
      </c>
      <c r="K145" s="298">
        <v>183645.75</v>
      </c>
      <c r="L145" s="298">
        <v>211192.5</v>
      </c>
      <c r="M145" s="298">
        <v>211192.5</v>
      </c>
      <c r="N145" s="298">
        <v>211192.5</v>
      </c>
      <c r="O145" s="298">
        <v>321197.5</v>
      </c>
    </row>
    <row r="146" spans="1:15">
      <c r="A146" s="238">
        <f t="shared" si="3"/>
        <v>145</v>
      </c>
      <c r="B146" s="245" cm="1">
        <f t="array" ref="B146">INDEX(D$1:O$1, MATCH(TRUE, INDEX(($D146:$O146 &lt;&gt; 0), 0),0))</f>
        <v>44469</v>
      </c>
      <c r="C146" s="298">
        <v>0</v>
      </c>
      <c r="D146" s="298">
        <v>0</v>
      </c>
      <c r="E146" s="298">
        <v>0</v>
      </c>
      <c r="F146" s="298">
        <v>0</v>
      </c>
      <c r="G146" s="298">
        <v>0</v>
      </c>
      <c r="H146" s="298">
        <v>0</v>
      </c>
      <c r="I146" s="298">
        <v>0</v>
      </c>
      <c r="J146" s="298">
        <v>120000</v>
      </c>
      <c r="K146" s="298">
        <v>120000</v>
      </c>
      <c r="L146" s="298">
        <v>158700</v>
      </c>
      <c r="M146" s="298">
        <v>139656</v>
      </c>
      <c r="N146" s="298">
        <v>160604.5</v>
      </c>
      <c r="O146" s="298">
        <v>212399.25</v>
      </c>
    </row>
    <row r="147" spans="1:15">
      <c r="A147" s="238">
        <f t="shared" si="3"/>
        <v>146</v>
      </c>
      <c r="B147" s="245" cm="1">
        <f t="array" ref="B147">INDEX(D$1:O$1, MATCH(TRUE, INDEX(($D147:$O147 &lt;&gt; 0), 0),0))</f>
        <v>44012</v>
      </c>
      <c r="C147" s="298">
        <v>0</v>
      </c>
      <c r="D147" s="298">
        <v>0</v>
      </c>
      <c r="E147" s="298">
        <v>105000</v>
      </c>
      <c r="F147" s="298">
        <v>105000</v>
      </c>
      <c r="G147" s="298">
        <v>120750</v>
      </c>
      <c r="H147" s="298">
        <v>138862.5</v>
      </c>
      <c r="I147" s="298">
        <v>138862.5</v>
      </c>
      <c r="J147" s="298">
        <v>138862.5</v>
      </c>
      <c r="K147" s="298">
        <v>159692</v>
      </c>
      <c r="L147" s="298">
        <v>159692</v>
      </c>
      <c r="M147" s="298">
        <v>159692</v>
      </c>
      <c r="N147" s="298">
        <v>183645.75</v>
      </c>
      <c r="O147" s="298">
        <v>211192.5</v>
      </c>
    </row>
    <row r="148" spans="1:15">
      <c r="A148" s="238">
        <f t="shared" si="3"/>
        <v>147</v>
      </c>
      <c r="B148" s="245" cm="1">
        <f t="array" ref="B148">INDEX(D$1:O$1, MATCH(TRUE, INDEX(($D148:$O148 &lt;&gt; 0), 0),0))</f>
        <v>44926</v>
      </c>
      <c r="C148" s="298">
        <v>0</v>
      </c>
      <c r="D148" s="298">
        <v>0</v>
      </c>
      <c r="E148" s="298">
        <v>0</v>
      </c>
      <c r="F148" s="298">
        <v>0</v>
      </c>
      <c r="G148" s="298">
        <v>0</v>
      </c>
      <c r="H148" s="298">
        <v>0</v>
      </c>
      <c r="I148" s="298">
        <v>0</v>
      </c>
      <c r="J148" s="298">
        <v>0</v>
      </c>
      <c r="K148" s="298">
        <v>0</v>
      </c>
      <c r="L148" s="298">
        <v>0</v>
      </c>
      <c r="M148" s="298">
        <v>0</v>
      </c>
      <c r="N148" s="298">
        <v>0</v>
      </c>
      <c r="O148" s="298">
        <v>105000</v>
      </c>
    </row>
    <row r="149" spans="1:15">
      <c r="A149" s="238">
        <f t="shared" si="3"/>
        <v>148</v>
      </c>
      <c r="B149" s="245" cm="1">
        <f t="array" ref="B149">INDEX(D$1:O$1, MATCH(TRUE, INDEX(($D149:$O149 &lt;&gt; 0), 0),0))</f>
        <v>44834</v>
      </c>
      <c r="C149" s="298">
        <v>0</v>
      </c>
      <c r="D149" s="298">
        <v>0</v>
      </c>
      <c r="E149" s="298">
        <v>0</v>
      </c>
      <c r="F149" s="298">
        <v>0</v>
      </c>
      <c r="G149" s="298">
        <v>0</v>
      </c>
      <c r="H149" s="298">
        <v>0</v>
      </c>
      <c r="I149" s="298">
        <v>0</v>
      </c>
      <c r="J149" s="298">
        <v>0</v>
      </c>
      <c r="K149" s="298">
        <v>0</v>
      </c>
      <c r="L149" s="298">
        <v>0</v>
      </c>
      <c r="M149" s="298">
        <v>0</v>
      </c>
      <c r="N149" s="298">
        <v>105000</v>
      </c>
      <c r="O149" s="298">
        <v>138862.5</v>
      </c>
    </row>
    <row r="150" spans="1:15">
      <c r="A150" s="238">
        <f t="shared" si="3"/>
        <v>149</v>
      </c>
      <c r="B150" s="245" cm="1">
        <f t="array" ref="B150">INDEX(D$1:O$1, MATCH(TRUE, INDEX(($D150:$O150 &lt;&gt; 0), 0),0))</f>
        <v>44834</v>
      </c>
      <c r="C150" s="298">
        <v>0</v>
      </c>
      <c r="D150" s="298">
        <v>0</v>
      </c>
      <c r="E150" s="298">
        <v>0</v>
      </c>
      <c r="F150" s="298">
        <v>0</v>
      </c>
      <c r="G150" s="298">
        <v>0</v>
      </c>
      <c r="H150" s="298">
        <v>0</v>
      </c>
      <c r="I150" s="298">
        <v>0</v>
      </c>
      <c r="J150" s="298">
        <v>0</v>
      </c>
      <c r="K150" s="298">
        <v>0</v>
      </c>
      <c r="L150" s="298">
        <v>0</v>
      </c>
      <c r="M150" s="298">
        <v>0</v>
      </c>
      <c r="N150" s="298">
        <v>69000</v>
      </c>
      <c r="O150" s="298">
        <v>61448.75</v>
      </c>
    </row>
    <row r="151" spans="1:15">
      <c r="A151" s="238">
        <f t="shared" si="3"/>
        <v>150</v>
      </c>
      <c r="B151" s="245" cm="1">
        <f t="array" ref="B151">INDEX(D$1:O$1, MATCH(TRUE, INDEX(($D151:$O151 &lt;&gt; 0), 0),0))</f>
        <v>44834</v>
      </c>
      <c r="C151" s="298">
        <v>0</v>
      </c>
      <c r="D151" s="298">
        <v>0</v>
      </c>
      <c r="E151" s="298">
        <v>0</v>
      </c>
      <c r="F151" s="298">
        <v>0</v>
      </c>
      <c r="G151" s="298">
        <v>0</v>
      </c>
      <c r="H151" s="298">
        <v>0</v>
      </c>
      <c r="I151" s="298">
        <v>0</v>
      </c>
      <c r="J151" s="298">
        <v>0</v>
      </c>
      <c r="K151" s="298">
        <v>0</v>
      </c>
      <c r="L151" s="298">
        <v>0</v>
      </c>
      <c r="M151" s="298">
        <v>0</v>
      </c>
      <c r="N151" s="298">
        <v>105000</v>
      </c>
      <c r="O151" s="298">
        <v>120750</v>
      </c>
    </row>
    <row r="152" spans="1:15">
      <c r="A152" s="238">
        <f t="shared" si="3"/>
        <v>151</v>
      </c>
      <c r="B152" s="245" cm="1">
        <f t="array" ref="B152">INDEX(D$1:O$1, MATCH(TRUE, INDEX(($D152:$O152 &lt;&gt; 0), 0),0))</f>
        <v>44926</v>
      </c>
      <c r="C152" s="298">
        <v>0</v>
      </c>
      <c r="D152" s="298">
        <v>0</v>
      </c>
      <c r="E152" s="298">
        <v>0</v>
      </c>
      <c r="F152" s="298">
        <v>0</v>
      </c>
      <c r="G152" s="298">
        <v>0</v>
      </c>
      <c r="H152" s="298">
        <v>0</v>
      </c>
      <c r="I152" s="298">
        <v>0</v>
      </c>
      <c r="J152" s="298">
        <v>0</v>
      </c>
      <c r="K152" s="298">
        <v>0</v>
      </c>
      <c r="L152" s="298">
        <v>0</v>
      </c>
      <c r="M152" s="298">
        <v>0</v>
      </c>
      <c r="N152" s="298">
        <v>0</v>
      </c>
      <c r="O152" s="298">
        <v>120750</v>
      </c>
    </row>
    <row r="153" spans="1:15">
      <c r="A153" s="238">
        <f t="shared" si="3"/>
        <v>152</v>
      </c>
      <c r="B153" s="245" cm="1">
        <f t="array" ref="B153">INDEX(D$1:O$1, MATCH(TRUE, INDEX(($D153:$O153 &lt;&gt; 0), 0),0))</f>
        <v>44561</v>
      </c>
      <c r="C153" s="298">
        <v>0</v>
      </c>
      <c r="D153" s="298">
        <v>0</v>
      </c>
      <c r="E153" s="298">
        <v>0</v>
      </c>
      <c r="F153" s="298">
        <v>0</v>
      </c>
      <c r="G153" s="298">
        <v>0</v>
      </c>
      <c r="H153" s="298">
        <v>0</v>
      </c>
      <c r="I153" s="298">
        <v>0</v>
      </c>
      <c r="J153" s="298">
        <v>0</v>
      </c>
      <c r="K153" s="298">
        <v>120750</v>
      </c>
      <c r="L153" s="298">
        <v>159692</v>
      </c>
      <c r="M153" s="298">
        <v>159692</v>
      </c>
      <c r="N153" s="298">
        <v>159692</v>
      </c>
      <c r="O153" s="298">
        <v>140528.75</v>
      </c>
    </row>
    <row r="154" spans="1:15">
      <c r="A154" s="238">
        <f t="shared" si="3"/>
        <v>153</v>
      </c>
      <c r="B154" s="245" cm="1">
        <f t="array" ref="B154">INDEX(D$1:O$1, MATCH(TRUE, INDEX(($D154:$O154 &lt;&gt; 0), 0),0))</f>
        <v>44561</v>
      </c>
      <c r="C154" s="298">
        <v>0</v>
      </c>
      <c r="D154" s="298">
        <v>0</v>
      </c>
      <c r="E154" s="298">
        <v>0</v>
      </c>
      <c r="F154" s="298">
        <v>0</v>
      </c>
      <c r="G154" s="298">
        <v>0</v>
      </c>
      <c r="H154" s="298">
        <v>0</v>
      </c>
      <c r="I154" s="298">
        <v>0</v>
      </c>
      <c r="J154" s="298">
        <v>0</v>
      </c>
      <c r="K154" s="298">
        <v>105000</v>
      </c>
      <c r="L154" s="298">
        <v>159692</v>
      </c>
      <c r="M154" s="298">
        <v>183645.75</v>
      </c>
      <c r="N154" s="298">
        <v>183645.75</v>
      </c>
      <c r="O154" s="298">
        <v>242871.5</v>
      </c>
    </row>
    <row r="155" spans="1:15">
      <c r="A155" s="238">
        <f t="shared" si="3"/>
        <v>154</v>
      </c>
      <c r="B155" s="245" cm="1">
        <f t="array" ref="B155">INDEX(D$1:O$1, MATCH(TRUE, INDEX(($D155:$O155 &lt;&gt; 0), 0),0))</f>
        <v>44742</v>
      </c>
      <c r="C155" s="298">
        <v>0</v>
      </c>
      <c r="D155" s="298">
        <v>0</v>
      </c>
      <c r="E155" s="298">
        <v>0</v>
      </c>
      <c r="F155" s="298">
        <v>0</v>
      </c>
      <c r="G155" s="298">
        <v>0</v>
      </c>
      <c r="H155" s="298">
        <v>0</v>
      </c>
      <c r="I155" s="298">
        <v>0</v>
      </c>
      <c r="J155" s="298">
        <v>0</v>
      </c>
      <c r="K155" s="298">
        <v>0</v>
      </c>
      <c r="L155" s="298">
        <v>0</v>
      </c>
      <c r="M155" s="298">
        <v>105000</v>
      </c>
      <c r="N155" s="298">
        <v>120750</v>
      </c>
      <c r="O155" s="298">
        <v>138862.5</v>
      </c>
    </row>
    <row r="156" spans="1:15">
      <c r="A156" s="238">
        <f t="shared" si="3"/>
        <v>155</v>
      </c>
      <c r="B156" s="245" cm="1">
        <f t="array" ref="B156">INDEX(D$1:O$1, MATCH(TRUE, INDEX(($D156:$O156 &lt;&gt; 0), 0),0))</f>
        <v>43921</v>
      </c>
      <c r="C156" s="298">
        <v>120000</v>
      </c>
      <c r="D156" s="298">
        <v>105600</v>
      </c>
      <c r="E156" s="298">
        <v>121440</v>
      </c>
      <c r="F156" s="298">
        <v>94043.25</v>
      </c>
      <c r="G156" s="298">
        <v>108149.5</v>
      </c>
      <c r="H156" s="298">
        <v>108149.5</v>
      </c>
      <c r="I156" s="298">
        <v>124372</v>
      </c>
      <c r="J156" s="298">
        <v>109447.5</v>
      </c>
      <c r="K156" s="298">
        <v>96313.75</v>
      </c>
      <c r="L156" s="298">
        <v>110760.75</v>
      </c>
      <c r="M156" s="298">
        <v>110760.75</v>
      </c>
      <c r="N156" s="298">
        <v>110760.75</v>
      </c>
      <c r="O156" s="298">
        <v>146481</v>
      </c>
    </row>
    <row r="157" spans="1:15">
      <c r="A157" s="238">
        <f t="shared" si="3"/>
        <v>156</v>
      </c>
      <c r="B157" s="245" cm="1">
        <f t="array" ref="B157">INDEX(D$1:O$1, MATCH(TRUE, INDEX(($D157:$O157 &lt;&gt; 0), 0),0))</f>
        <v>43921</v>
      </c>
      <c r="C157" s="298">
        <v>0</v>
      </c>
      <c r="D157" s="298">
        <v>120000</v>
      </c>
      <c r="E157" s="298">
        <v>138000</v>
      </c>
      <c r="F157" s="298">
        <v>138000</v>
      </c>
      <c r="G157" s="298">
        <v>138000</v>
      </c>
      <c r="H157" s="298">
        <v>138000</v>
      </c>
      <c r="I157" s="298">
        <v>121440</v>
      </c>
      <c r="J157" s="298">
        <v>121440</v>
      </c>
      <c r="K157" s="298">
        <v>184695</v>
      </c>
      <c r="L157" s="298">
        <v>244259.25</v>
      </c>
      <c r="M157" s="298">
        <v>214948</v>
      </c>
      <c r="N157" s="298">
        <v>189154.25</v>
      </c>
      <c r="O157" s="298">
        <v>189154.25</v>
      </c>
    </row>
    <row r="158" spans="1:15">
      <c r="A158" s="238">
        <f t="shared" si="3"/>
        <v>157</v>
      </c>
      <c r="B158" s="245" cm="1">
        <f t="array" ref="B158">INDEX(D$1:O$1, MATCH(TRUE, INDEX(($D158:$O158 &lt;&gt; 0), 0),0))</f>
        <v>44742</v>
      </c>
      <c r="C158" s="298">
        <v>0</v>
      </c>
      <c r="D158" s="298">
        <v>0</v>
      </c>
      <c r="E158" s="298">
        <v>0</v>
      </c>
      <c r="F158" s="298">
        <v>0</v>
      </c>
      <c r="G158" s="298">
        <v>0</v>
      </c>
      <c r="H158" s="298">
        <v>0</v>
      </c>
      <c r="I158" s="298">
        <v>0</v>
      </c>
      <c r="J158" s="298">
        <v>0</v>
      </c>
      <c r="K158" s="298">
        <v>0</v>
      </c>
      <c r="L158" s="298">
        <v>0</v>
      </c>
      <c r="M158" s="298">
        <v>105000</v>
      </c>
      <c r="N158" s="298">
        <v>105000</v>
      </c>
      <c r="O158" s="298">
        <v>120750</v>
      </c>
    </row>
    <row r="159" spans="1:15">
      <c r="A159" s="238">
        <f t="shared" si="3"/>
        <v>158</v>
      </c>
      <c r="B159" s="245" cm="1">
        <f t="array" ref="B159">INDEX(D$1:O$1, MATCH(TRUE, INDEX(($D159:$O159 &lt;&gt; 0), 0),0))</f>
        <v>43921</v>
      </c>
      <c r="C159" s="298">
        <v>162531.75</v>
      </c>
      <c r="D159" s="298">
        <v>162531.75</v>
      </c>
      <c r="E159" s="298">
        <v>186911.5</v>
      </c>
      <c r="F159" s="298">
        <v>186911.5</v>
      </c>
      <c r="G159" s="298">
        <v>186911.5</v>
      </c>
      <c r="H159" s="298">
        <v>247190.25</v>
      </c>
      <c r="I159" s="298">
        <v>247190.25</v>
      </c>
      <c r="J159" s="298">
        <v>326909.25</v>
      </c>
      <c r="K159" s="298">
        <v>375945.5</v>
      </c>
      <c r="L159" s="298">
        <v>432337.5</v>
      </c>
      <c r="M159" s="298">
        <v>432337.5</v>
      </c>
      <c r="N159" s="298">
        <v>497188</v>
      </c>
      <c r="O159" s="298">
        <v>571766.25</v>
      </c>
    </row>
    <row r="160" spans="1:15">
      <c r="A160" s="238">
        <f t="shared" si="3"/>
        <v>159</v>
      </c>
      <c r="B160" s="245" cm="1">
        <f t="array" ref="B160">INDEX(D$1:O$1, MATCH(TRUE, INDEX(($D160:$O160 &lt;&gt; 0), 0),0))</f>
        <v>44377</v>
      </c>
      <c r="C160" s="298">
        <v>0</v>
      </c>
      <c r="D160" s="298">
        <v>0</v>
      </c>
      <c r="E160" s="298">
        <v>0</v>
      </c>
      <c r="F160" s="298">
        <v>0</v>
      </c>
      <c r="G160" s="298">
        <v>0</v>
      </c>
      <c r="H160" s="298">
        <v>0</v>
      </c>
      <c r="I160" s="298">
        <v>120750</v>
      </c>
      <c r="J160" s="298">
        <v>140528.75</v>
      </c>
      <c r="K160" s="298">
        <v>161608.25</v>
      </c>
      <c r="L160" s="298">
        <v>161608.25</v>
      </c>
      <c r="M160" s="298">
        <v>213726.75</v>
      </c>
      <c r="N160" s="298">
        <v>282653.75</v>
      </c>
      <c r="O160" s="298">
        <v>282653.75</v>
      </c>
    </row>
    <row r="161" spans="1:15">
      <c r="A161" s="238">
        <f t="shared" si="3"/>
        <v>160</v>
      </c>
      <c r="B161" s="245" cm="1">
        <f t="array" ref="B161">INDEX(D$1:O$1, MATCH(TRUE, INDEX(($D161:$O161 &lt;&gt; 0), 0),0))</f>
        <v>44926</v>
      </c>
      <c r="C161" s="298">
        <v>0</v>
      </c>
      <c r="D161" s="298">
        <v>0</v>
      </c>
      <c r="E161" s="298">
        <v>0</v>
      </c>
      <c r="F161" s="298">
        <v>0</v>
      </c>
      <c r="G161" s="298">
        <v>0</v>
      </c>
      <c r="H161" s="298">
        <v>0</v>
      </c>
      <c r="I161" s="298">
        <v>0</v>
      </c>
      <c r="J161" s="298">
        <v>0</v>
      </c>
      <c r="K161" s="298">
        <v>0</v>
      </c>
      <c r="L161" s="298">
        <v>0</v>
      </c>
      <c r="M161" s="298">
        <v>0</v>
      </c>
      <c r="N161" s="298">
        <v>0</v>
      </c>
      <c r="O161" s="298">
        <v>120750</v>
      </c>
    </row>
    <row r="162" spans="1:15">
      <c r="A162" s="238">
        <f t="shared" si="3"/>
        <v>161</v>
      </c>
      <c r="B162" s="245" cm="1">
        <f t="array" ref="B162">INDEX(D$1:O$1, MATCH(TRUE, INDEX(($D162:$O162 &lt;&gt; 0), 0),0))</f>
        <v>44469</v>
      </c>
      <c r="C162" s="298">
        <v>0</v>
      </c>
      <c r="D162" s="298">
        <v>0</v>
      </c>
      <c r="E162" s="298">
        <v>0</v>
      </c>
      <c r="F162" s="298">
        <v>0</v>
      </c>
      <c r="G162" s="298">
        <v>0</v>
      </c>
      <c r="H162" s="298">
        <v>0</v>
      </c>
      <c r="I162" s="298">
        <v>0</v>
      </c>
      <c r="J162" s="298">
        <v>120750</v>
      </c>
      <c r="K162" s="298">
        <v>159692</v>
      </c>
      <c r="L162" s="298">
        <v>161608.25</v>
      </c>
      <c r="M162" s="298">
        <v>185849.5</v>
      </c>
      <c r="N162" s="298">
        <v>213726.75</v>
      </c>
      <c r="O162" s="298">
        <v>245785.75</v>
      </c>
    </row>
    <row r="163" spans="1:15">
      <c r="A163" s="238">
        <f t="shared" si="3"/>
        <v>162</v>
      </c>
      <c r="B163" s="245" cm="1">
        <f t="array" ref="B163">INDEX(D$1:O$1, MATCH(TRUE, INDEX(($D163:$O163 &lt;&gt; 0), 0),0))</f>
        <v>44651</v>
      </c>
      <c r="C163" s="298">
        <v>0</v>
      </c>
      <c r="D163" s="298">
        <v>0</v>
      </c>
      <c r="E163" s="298">
        <v>0</v>
      </c>
      <c r="F163" s="298">
        <v>0</v>
      </c>
      <c r="G163" s="298">
        <v>0</v>
      </c>
      <c r="H163" s="298">
        <v>0</v>
      </c>
      <c r="I163" s="298">
        <v>0</v>
      </c>
      <c r="J163" s="298">
        <v>0</v>
      </c>
      <c r="K163" s="298">
        <v>0</v>
      </c>
      <c r="L163" s="298">
        <v>105000</v>
      </c>
      <c r="M163" s="298">
        <v>120750</v>
      </c>
      <c r="N163" s="298">
        <v>120750</v>
      </c>
      <c r="O163" s="298">
        <v>140528.75</v>
      </c>
    </row>
    <row r="164" spans="1:15">
      <c r="A164" s="238">
        <f t="shared" si="3"/>
        <v>163</v>
      </c>
      <c r="B164" s="245" cm="1">
        <f t="array" ref="B164">INDEX(D$1:O$1, MATCH(TRUE, INDEX(($D164:$O164 &lt;&gt; 0), 0),0))</f>
        <v>44926</v>
      </c>
      <c r="C164" s="298">
        <v>0</v>
      </c>
      <c r="D164" s="298">
        <v>0</v>
      </c>
      <c r="E164" s="298">
        <v>0</v>
      </c>
      <c r="F164" s="298">
        <v>0</v>
      </c>
      <c r="G164" s="298">
        <v>0</v>
      </c>
      <c r="H164" s="298">
        <v>0</v>
      </c>
      <c r="I164" s="298">
        <v>0</v>
      </c>
      <c r="J164" s="298">
        <v>0</v>
      </c>
      <c r="K164" s="298">
        <v>0</v>
      </c>
      <c r="L164" s="298">
        <v>0</v>
      </c>
      <c r="M164" s="298">
        <v>0</v>
      </c>
      <c r="N164" s="298">
        <v>0</v>
      </c>
      <c r="O164" s="298">
        <v>69000</v>
      </c>
    </row>
    <row r="165" spans="1:15">
      <c r="A165" s="238">
        <f t="shared" si="3"/>
        <v>164</v>
      </c>
      <c r="B165" s="245" cm="1">
        <f t="array" ref="B165">INDEX(D$1:O$1, MATCH(TRUE, INDEX(($D165:$O165 &lt;&gt; 0), 0),0))</f>
        <v>44651</v>
      </c>
      <c r="C165" s="298">
        <v>0</v>
      </c>
      <c r="D165" s="298">
        <v>0</v>
      </c>
      <c r="E165" s="298">
        <v>0</v>
      </c>
      <c r="F165" s="298">
        <v>0</v>
      </c>
      <c r="G165" s="298">
        <v>0</v>
      </c>
      <c r="H165" s="298">
        <v>0</v>
      </c>
      <c r="I165" s="298">
        <v>0</v>
      </c>
      <c r="J165" s="298">
        <v>0</v>
      </c>
      <c r="K165" s="298">
        <v>0</v>
      </c>
      <c r="L165" s="298">
        <v>60000</v>
      </c>
      <c r="M165" s="298">
        <v>52800</v>
      </c>
      <c r="N165" s="298">
        <v>60720</v>
      </c>
      <c r="O165" s="298">
        <v>69828</v>
      </c>
    </row>
    <row r="166" spans="1:15">
      <c r="A166" s="238">
        <f t="shared" si="3"/>
        <v>165</v>
      </c>
      <c r="B166" s="245" cm="1">
        <f t="array" ref="B166">INDEX(D$1:O$1, MATCH(TRUE, INDEX(($D166:$O166 &lt;&gt; 0), 0),0))</f>
        <v>44196</v>
      </c>
      <c r="C166" s="298">
        <v>0</v>
      </c>
      <c r="D166" s="298">
        <v>0</v>
      </c>
      <c r="E166" s="298">
        <v>0</v>
      </c>
      <c r="F166" s="298">
        <v>0</v>
      </c>
      <c r="G166" s="298">
        <v>105000</v>
      </c>
      <c r="H166" s="298">
        <v>105000</v>
      </c>
      <c r="I166" s="298">
        <v>138862.5</v>
      </c>
      <c r="J166" s="298">
        <v>138862.5</v>
      </c>
      <c r="K166" s="298">
        <v>183645.75</v>
      </c>
      <c r="L166" s="298">
        <v>183645.75</v>
      </c>
      <c r="M166" s="298">
        <v>211192.5</v>
      </c>
      <c r="N166" s="298">
        <v>185849.5</v>
      </c>
      <c r="O166" s="298">
        <v>245785.75</v>
      </c>
    </row>
    <row r="167" spans="1:15">
      <c r="A167" s="238">
        <f t="shared" si="3"/>
        <v>166</v>
      </c>
      <c r="B167" s="245" cm="1">
        <f t="array" ref="B167">INDEX(D$1:O$1, MATCH(TRUE, INDEX(($D167:$O167 &lt;&gt; 0), 0),0))</f>
        <v>44469</v>
      </c>
      <c r="C167" s="298">
        <v>0</v>
      </c>
      <c r="D167" s="298">
        <v>0</v>
      </c>
      <c r="E167" s="298">
        <v>0</v>
      </c>
      <c r="F167" s="298">
        <v>0</v>
      </c>
      <c r="G167" s="298">
        <v>0</v>
      </c>
      <c r="H167" s="298">
        <v>0</v>
      </c>
      <c r="I167" s="298">
        <v>0</v>
      </c>
      <c r="J167" s="298">
        <v>120000</v>
      </c>
      <c r="K167" s="298">
        <v>120000</v>
      </c>
      <c r="L167" s="298">
        <v>120000</v>
      </c>
      <c r="M167" s="298">
        <v>158700</v>
      </c>
      <c r="N167" s="298">
        <v>158700</v>
      </c>
      <c r="O167" s="298">
        <v>158700</v>
      </c>
    </row>
    <row r="168" spans="1:15">
      <c r="A168" s="238">
        <f t="shared" si="3"/>
        <v>167</v>
      </c>
      <c r="B168" s="245" cm="1">
        <f t="array" ref="B168">INDEX(D$1:O$1, MATCH(TRUE, INDEX(($D168:$O168 &lt;&gt; 0), 0),0))</f>
        <v>44469</v>
      </c>
      <c r="C168" s="298">
        <v>0</v>
      </c>
      <c r="D168" s="298">
        <v>0</v>
      </c>
      <c r="E168" s="298">
        <v>0</v>
      </c>
      <c r="F168" s="298">
        <v>0</v>
      </c>
      <c r="G168" s="298">
        <v>0</v>
      </c>
      <c r="H168" s="298">
        <v>0</v>
      </c>
      <c r="I168" s="298">
        <v>0</v>
      </c>
      <c r="J168" s="298">
        <v>120000</v>
      </c>
      <c r="K168" s="298">
        <v>138000</v>
      </c>
      <c r="L168" s="298">
        <v>138000</v>
      </c>
      <c r="M168" s="298">
        <v>138000</v>
      </c>
      <c r="N168" s="298">
        <v>138000</v>
      </c>
      <c r="O168" s="298">
        <v>138000</v>
      </c>
    </row>
    <row r="169" spans="1:15">
      <c r="A169" s="238">
        <f t="shared" si="3"/>
        <v>168</v>
      </c>
      <c r="B169" s="245" cm="1">
        <f t="array" ref="B169">INDEX(D$1:O$1, MATCH(TRUE, INDEX(($D169:$O169 &lt;&gt; 0), 0),0))</f>
        <v>43921</v>
      </c>
      <c r="C169" s="298">
        <v>122199</v>
      </c>
      <c r="D169" s="298">
        <v>122199</v>
      </c>
      <c r="E169" s="298">
        <v>161608.25</v>
      </c>
      <c r="F169" s="298">
        <v>213726.75</v>
      </c>
      <c r="G169" s="298">
        <v>282653.75</v>
      </c>
      <c r="H169" s="298">
        <v>325051.75</v>
      </c>
      <c r="I169" s="298">
        <v>429881</v>
      </c>
      <c r="J169" s="298">
        <v>429881</v>
      </c>
      <c r="K169" s="298">
        <v>429881</v>
      </c>
      <c r="L169" s="298">
        <v>568517.5</v>
      </c>
      <c r="M169" s="298">
        <v>575339.75</v>
      </c>
      <c r="N169" s="298">
        <v>506299</v>
      </c>
      <c r="O169" s="298">
        <v>506299</v>
      </c>
    </row>
    <row r="170" spans="1:15">
      <c r="A170" s="238">
        <f t="shared" si="3"/>
        <v>169</v>
      </c>
      <c r="B170" s="245" cm="1">
        <f t="array" ref="B170">INDEX(D$1:O$1, MATCH(TRUE, INDEX(($D170:$O170 &lt;&gt; 0), 0),0))</f>
        <v>44286</v>
      </c>
      <c r="C170" s="298">
        <v>0</v>
      </c>
      <c r="D170" s="298">
        <v>0</v>
      </c>
      <c r="E170" s="298">
        <v>0</v>
      </c>
      <c r="F170" s="298">
        <v>0</v>
      </c>
      <c r="G170" s="298">
        <v>0</v>
      </c>
      <c r="H170" s="298">
        <v>105000</v>
      </c>
      <c r="I170" s="298">
        <v>120750</v>
      </c>
      <c r="J170" s="298">
        <v>120750</v>
      </c>
      <c r="K170" s="298">
        <v>120750</v>
      </c>
      <c r="L170" s="298">
        <v>138862.5</v>
      </c>
      <c r="M170" s="298">
        <v>183645.75</v>
      </c>
      <c r="N170" s="298">
        <v>211192.5</v>
      </c>
      <c r="O170" s="298">
        <v>242871.5</v>
      </c>
    </row>
    <row r="171" spans="1:15">
      <c r="A171" s="238">
        <f t="shared" si="3"/>
        <v>170</v>
      </c>
      <c r="B171" s="245" cm="1">
        <f t="array" ref="B171">INDEX(D$1:O$1, MATCH(TRUE, INDEX(($D171:$O171 &lt;&gt; 0), 0),0))</f>
        <v>44651</v>
      </c>
      <c r="C171" s="298">
        <v>0</v>
      </c>
      <c r="D171" s="298">
        <v>0</v>
      </c>
      <c r="E171" s="298">
        <v>0</v>
      </c>
      <c r="F171" s="298">
        <v>0</v>
      </c>
      <c r="G171" s="298">
        <v>0</v>
      </c>
      <c r="H171" s="298">
        <v>0</v>
      </c>
      <c r="I171" s="298">
        <v>0</v>
      </c>
      <c r="J171" s="298">
        <v>0</v>
      </c>
      <c r="K171" s="298">
        <v>0</v>
      </c>
      <c r="L171" s="298">
        <v>138000</v>
      </c>
      <c r="M171" s="298">
        <v>158700</v>
      </c>
      <c r="N171" s="298">
        <v>182505</v>
      </c>
      <c r="O171" s="298">
        <v>277567.25</v>
      </c>
    </row>
    <row r="172" spans="1:15">
      <c r="A172" s="238">
        <f t="shared" si="3"/>
        <v>171</v>
      </c>
      <c r="B172" s="245" cm="1">
        <f t="array" ref="B172">INDEX(D$1:O$1, MATCH(TRUE, INDEX(($D172:$O172 &lt;&gt; 0), 0),0))</f>
        <v>44742</v>
      </c>
      <c r="C172" s="298">
        <v>0</v>
      </c>
      <c r="D172" s="298">
        <v>0</v>
      </c>
      <c r="E172" s="298">
        <v>0</v>
      </c>
      <c r="F172" s="298">
        <v>0</v>
      </c>
      <c r="G172" s="298">
        <v>0</v>
      </c>
      <c r="H172" s="298">
        <v>0</v>
      </c>
      <c r="I172" s="298">
        <v>0</v>
      </c>
      <c r="J172" s="298">
        <v>0</v>
      </c>
      <c r="K172" s="298">
        <v>0</v>
      </c>
      <c r="L172" s="298">
        <v>0</v>
      </c>
      <c r="M172" s="298">
        <v>120000</v>
      </c>
      <c r="N172" s="298">
        <v>120000</v>
      </c>
      <c r="O172" s="298">
        <v>138000</v>
      </c>
    </row>
    <row r="173" spans="1:15">
      <c r="A173" s="238">
        <f t="shared" si="3"/>
        <v>172</v>
      </c>
      <c r="B173" s="245" cm="1">
        <f t="array" ref="B173">INDEX(D$1:O$1, MATCH(TRUE, INDEX(($D173:$O173 &lt;&gt; 0), 0),0))</f>
        <v>44561</v>
      </c>
      <c r="C173" s="298">
        <v>0</v>
      </c>
      <c r="D173" s="298">
        <v>0</v>
      </c>
      <c r="E173" s="298">
        <v>0</v>
      </c>
      <c r="F173" s="298">
        <v>0</v>
      </c>
      <c r="G173" s="298">
        <v>0</v>
      </c>
      <c r="H173" s="298">
        <v>0</v>
      </c>
      <c r="I173" s="298">
        <v>0</v>
      </c>
      <c r="J173" s="298">
        <v>0</v>
      </c>
      <c r="K173" s="298">
        <v>105000</v>
      </c>
      <c r="L173" s="298">
        <v>0</v>
      </c>
      <c r="M173" s="298">
        <v>0</v>
      </c>
      <c r="N173" s="298">
        <v>0</v>
      </c>
      <c r="O173" s="298">
        <v>0</v>
      </c>
    </row>
    <row r="174" spans="1:15">
      <c r="A174" s="238">
        <f t="shared" si="3"/>
        <v>173</v>
      </c>
      <c r="B174" s="245" cm="1">
        <f t="array" ref="B174">INDEX(D$1:O$1, MATCH(TRUE, INDEX(($D174:$O174 &lt;&gt; 0), 0),0))</f>
        <v>44651</v>
      </c>
      <c r="C174" s="298">
        <v>0</v>
      </c>
      <c r="D174" s="298">
        <v>0</v>
      </c>
      <c r="E174" s="298">
        <v>0</v>
      </c>
      <c r="F174" s="298">
        <v>0</v>
      </c>
      <c r="G174" s="298">
        <v>0</v>
      </c>
      <c r="H174" s="298">
        <v>0</v>
      </c>
      <c r="I174" s="298">
        <v>0</v>
      </c>
      <c r="J174" s="298">
        <v>0</v>
      </c>
      <c r="K174" s="298">
        <v>0</v>
      </c>
      <c r="L174" s="298">
        <v>120000</v>
      </c>
      <c r="M174" s="298">
        <v>120000</v>
      </c>
      <c r="N174" s="298">
        <v>105600</v>
      </c>
      <c r="O174" s="298">
        <v>105600</v>
      </c>
    </row>
    <row r="175" spans="1:15">
      <c r="A175" s="238">
        <f t="shared" si="3"/>
        <v>174</v>
      </c>
      <c r="B175" s="245" cm="1">
        <f t="array" ref="B175">INDEX(D$1:O$1, MATCH(TRUE, INDEX(($D175:$O175 &lt;&gt; 0), 0),0))</f>
        <v>44651</v>
      </c>
      <c r="C175" s="298">
        <v>0</v>
      </c>
      <c r="D175" s="298">
        <v>0</v>
      </c>
      <c r="E175" s="298">
        <v>0</v>
      </c>
      <c r="F175" s="298">
        <v>0</v>
      </c>
      <c r="G175" s="298">
        <v>0</v>
      </c>
      <c r="H175" s="298">
        <v>0</v>
      </c>
      <c r="I175" s="298">
        <v>0</v>
      </c>
      <c r="J175" s="298">
        <v>0</v>
      </c>
      <c r="K175" s="298">
        <v>0</v>
      </c>
      <c r="L175" s="298">
        <v>138000</v>
      </c>
      <c r="M175" s="298">
        <v>138000</v>
      </c>
      <c r="N175" s="298">
        <v>158700</v>
      </c>
      <c r="O175" s="298">
        <v>139656</v>
      </c>
    </row>
    <row r="176" spans="1:15">
      <c r="A176" s="238">
        <f t="shared" si="3"/>
        <v>175</v>
      </c>
      <c r="B176" s="245" cm="1">
        <f t="array" ref="B176">INDEX(D$1:O$1, MATCH(TRUE, INDEX(($D176:$O176 &lt;&gt; 0), 0),0))</f>
        <v>44834</v>
      </c>
      <c r="C176" s="298">
        <v>0</v>
      </c>
      <c r="D176" s="298">
        <v>0</v>
      </c>
      <c r="E176" s="298">
        <v>0</v>
      </c>
      <c r="F176" s="298">
        <v>0</v>
      </c>
      <c r="G176" s="298">
        <v>0</v>
      </c>
      <c r="H176" s="298">
        <v>0</v>
      </c>
      <c r="I176" s="298">
        <v>0</v>
      </c>
      <c r="J176" s="298">
        <v>0</v>
      </c>
      <c r="K176" s="298">
        <v>0</v>
      </c>
      <c r="L176" s="298">
        <v>0</v>
      </c>
      <c r="M176" s="298">
        <v>0</v>
      </c>
      <c r="N176" s="298">
        <v>105000</v>
      </c>
      <c r="O176" s="298">
        <v>105000</v>
      </c>
    </row>
    <row r="177" spans="1:15">
      <c r="A177" s="238">
        <f t="shared" si="3"/>
        <v>176</v>
      </c>
      <c r="B177" s="245" cm="1">
        <f t="array" ref="B177">INDEX(D$1:O$1, MATCH(TRUE, INDEX(($D177:$O177 &lt;&gt; 0), 0),0))</f>
        <v>44926</v>
      </c>
      <c r="C177" s="298">
        <v>0</v>
      </c>
      <c r="D177" s="298">
        <v>0</v>
      </c>
      <c r="E177" s="298">
        <v>0</v>
      </c>
      <c r="F177" s="298">
        <v>0</v>
      </c>
      <c r="G177" s="298">
        <v>0</v>
      </c>
      <c r="H177" s="298">
        <v>0</v>
      </c>
      <c r="I177" s="298">
        <v>0</v>
      </c>
      <c r="J177" s="298">
        <v>0</v>
      </c>
      <c r="K177" s="298">
        <v>0</v>
      </c>
      <c r="L177" s="298">
        <v>0</v>
      </c>
      <c r="M177" s="298">
        <v>0</v>
      </c>
      <c r="N177" s="298">
        <v>0</v>
      </c>
      <c r="O177" s="298">
        <v>120750</v>
      </c>
    </row>
    <row r="178" spans="1:15">
      <c r="A178" s="238">
        <f t="shared" si="3"/>
        <v>177</v>
      </c>
      <c r="B178" s="245" cm="1">
        <f t="array" ref="B178">INDEX(D$1:O$1, MATCH(TRUE, INDEX(($D178:$O178 &lt;&gt; 0), 0),0))</f>
        <v>44469</v>
      </c>
      <c r="C178" s="298">
        <v>0</v>
      </c>
      <c r="D178" s="298">
        <v>0</v>
      </c>
      <c r="E178" s="298">
        <v>0</v>
      </c>
      <c r="F178" s="298">
        <v>0</v>
      </c>
      <c r="G178" s="298">
        <v>0</v>
      </c>
      <c r="H178" s="298">
        <v>0</v>
      </c>
      <c r="I178" s="298">
        <v>0</v>
      </c>
      <c r="J178" s="298">
        <v>105000</v>
      </c>
      <c r="K178" s="298">
        <v>120750</v>
      </c>
      <c r="L178" s="298">
        <v>159692</v>
      </c>
      <c r="M178" s="298">
        <v>211192.5</v>
      </c>
      <c r="N178" s="298">
        <v>211192.5</v>
      </c>
      <c r="O178" s="298">
        <v>242871.5</v>
      </c>
    </row>
    <row r="179" spans="1:15">
      <c r="A179" s="238">
        <f t="shared" si="3"/>
        <v>178</v>
      </c>
      <c r="B179" s="245" cm="1">
        <f t="array" ref="B179">INDEX(D$1:O$1, MATCH(TRUE, INDEX(($D179:$O179 &lt;&gt; 0), 0),0))</f>
        <v>43921</v>
      </c>
      <c r="C179" s="298">
        <v>0</v>
      </c>
      <c r="D179" s="298">
        <v>120000</v>
      </c>
      <c r="E179" s="298">
        <v>138000</v>
      </c>
      <c r="F179" s="298">
        <v>158700</v>
      </c>
      <c r="G179" s="298">
        <v>182505</v>
      </c>
      <c r="H179" s="298">
        <v>182505</v>
      </c>
      <c r="I179" s="298">
        <v>160604.5</v>
      </c>
      <c r="J179" s="298">
        <v>184695</v>
      </c>
      <c r="K179" s="298">
        <v>244259.25</v>
      </c>
      <c r="L179" s="298">
        <v>214948</v>
      </c>
      <c r="M179" s="298">
        <v>247190.25</v>
      </c>
      <c r="N179" s="298">
        <v>247190.25</v>
      </c>
      <c r="O179" s="298">
        <v>284269</v>
      </c>
    </row>
    <row r="180" spans="1:15">
      <c r="A180" s="238">
        <f t="shared" si="3"/>
        <v>179</v>
      </c>
      <c r="B180" s="245" cm="1">
        <f t="array" ref="B180">INDEX(D$1:O$1, MATCH(TRUE, INDEX(($D180:$O180 &lt;&gt; 0), 0),0))</f>
        <v>44196</v>
      </c>
      <c r="C180" s="298">
        <v>0</v>
      </c>
      <c r="D180" s="298">
        <v>0</v>
      </c>
      <c r="E180" s="298">
        <v>0</v>
      </c>
      <c r="F180" s="298">
        <v>0</v>
      </c>
      <c r="G180" s="298">
        <v>105000</v>
      </c>
      <c r="H180" s="298">
        <v>105000</v>
      </c>
      <c r="I180" s="298">
        <v>120750</v>
      </c>
      <c r="J180" s="298">
        <v>138862.5</v>
      </c>
      <c r="K180" s="298">
        <v>122199</v>
      </c>
      <c r="L180" s="298">
        <v>140528.75</v>
      </c>
      <c r="M180" s="298">
        <v>161608.25</v>
      </c>
      <c r="N180" s="298">
        <v>245785.75</v>
      </c>
      <c r="O180" s="298">
        <v>282653.75</v>
      </c>
    </row>
    <row r="181" spans="1:15">
      <c r="A181" s="238">
        <f t="shared" si="3"/>
        <v>180</v>
      </c>
      <c r="B181" s="245" t="e" cm="1">
        <f t="array" ref="B181">INDEX(D$1:O$1, MATCH(TRUE, INDEX(($D181:$O181 &lt;&gt; 0), 0),0))</f>
        <v>#N/A</v>
      </c>
      <c r="C181" s="298">
        <v>69000</v>
      </c>
      <c r="D181" s="298">
        <v>0</v>
      </c>
      <c r="E181" s="298">
        <v>0</v>
      </c>
      <c r="F181" s="298">
        <v>0</v>
      </c>
      <c r="G181" s="298">
        <v>0</v>
      </c>
      <c r="H181" s="298">
        <v>0</v>
      </c>
      <c r="I181" s="298">
        <v>0</v>
      </c>
      <c r="J181" s="298">
        <v>0</v>
      </c>
      <c r="K181" s="298">
        <v>0</v>
      </c>
      <c r="L181" s="298">
        <v>0</v>
      </c>
      <c r="M181" s="298">
        <v>0</v>
      </c>
      <c r="N181" s="298">
        <v>0</v>
      </c>
      <c r="O181" s="298">
        <v>0</v>
      </c>
    </row>
    <row r="182" spans="1:15">
      <c r="A182" s="238">
        <f t="shared" si="3"/>
        <v>181</v>
      </c>
      <c r="B182" s="245" cm="1">
        <f t="array" ref="B182">INDEX(D$1:O$1, MATCH(TRUE, INDEX(($D182:$O182 &lt;&gt; 0), 0),0))</f>
        <v>44834</v>
      </c>
      <c r="C182" s="298">
        <v>0</v>
      </c>
      <c r="D182" s="298">
        <v>0</v>
      </c>
      <c r="E182" s="298">
        <v>0</v>
      </c>
      <c r="F182" s="298">
        <v>0</v>
      </c>
      <c r="G182" s="298">
        <v>0</v>
      </c>
      <c r="H182" s="298">
        <v>0</v>
      </c>
      <c r="I182" s="298">
        <v>0</v>
      </c>
      <c r="J182" s="298">
        <v>0</v>
      </c>
      <c r="K182" s="298">
        <v>0</v>
      </c>
      <c r="L182" s="298">
        <v>0</v>
      </c>
      <c r="M182" s="298">
        <v>0</v>
      </c>
      <c r="N182" s="298">
        <v>120000</v>
      </c>
      <c r="O182" s="298">
        <v>120000</v>
      </c>
    </row>
    <row r="183" spans="1:15">
      <c r="A183" s="238">
        <f t="shared" si="3"/>
        <v>182</v>
      </c>
      <c r="B183" s="245" cm="1">
        <f t="array" ref="B183">INDEX(D$1:O$1, MATCH(TRUE, INDEX(($D183:$O183 &lt;&gt; 0), 0),0))</f>
        <v>44834</v>
      </c>
      <c r="C183" s="298">
        <v>0</v>
      </c>
      <c r="D183" s="298">
        <v>0</v>
      </c>
      <c r="E183" s="298">
        <v>0</v>
      </c>
      <c r="F183" s="298">
        <v>0</v>
      </c>
      <c r="G183" s="298">
        <v>0</v>
      </c>
      <c r="H183" s="298">
        <v>0</v>
      </c>
      <c r="I183" s="298">
        <v>0</v>
      </c>
      <c r="J183" s="298">
        <v>0</v>
      </c>
      <c r="K183" s="298">
        <v>0</v>
      </c>
      <c r="L183" s="298">
        <v>0</v>
      </c>
      <c r="M183" s="298">
        <v>0</v>
      </c>
      <c r="N183" s="298">
        <v>105000</v>
      </c>
      <c r="O183" s="298">
        <v>105000</v>
      </c>
    </row>
    <row r="184" spans="1:15">
      <c r="A184" s="238">
        <f t="shared" si="3"/>
        <v>183</v>
      </c>
      <c r="B184" s="245" cm="1">
        <f t="array" ref="B184">INDEX(D$1:O$1, MATCH(TRUE, INDEX(($D184:$O184 &lt;&gt; 0), 0),0))</f>
        <v>43921</v>
      </c>
      <c r="C184" s="298">
        <v>120750</v>
      </c>
      <c r="D184" s="298">
        <v>120750</v>
      </c>
      <c r="E184" s="298">
        <v>120750</v>
      </c>
      <c r="F184" s="298">
        <v>138862.5</v>
      </c>
      <c r="G184" s="298">
        <v>138862.5</v>
      </c>
      <c r="H184" s="298">
        <v>138862.5</v>
      </c>
      <c r="I184" s="298">
        <v>138862.5</v>
      </c>
      <c r="J184" s="298">
        <v>159692</v>
      </c>
      <c r="K184" s="298">
        <v>161608.25</v>
      </c>
      <c r="L184" s="298">
        <v>161608.25</v>
      </c>
      <c r="M184" s="298">
        <v>142215.25</v>
      </c>
      <c r="N184" s="298">
        <v>163547.5</v>
      </c>
      <c r="O184" s="298">
        <v>188079.5</v>
      </c>
    </row>
    <row r="185" spans="1:15">
      <c r="A185" s="238">
        <f t="shared" si="3"/>
        <v>184</v>
      </c>
      <c r="B185" s="245" cm="1">
        <f t="array" ref="B185">INDEX(D$1:O$1, MATCH(TRUE, INDEX(($D185:$O185 &lt;&gt; 0), 0),0))</f>
        <v>44469</v>
      </c>
      <c r="C185" s="298">
        <v>0</v>
      </c>
      <c r="D185" s="298">
        <v>0</v>
      </c>
      <c r="E185" s="298">
        <v>0</v>
      </c>
      <c r="F185" s="298">
        <v>0</v>
      </c>
      <c r="G185" s="298">
        <v>0</v>
      </c>
      <c r="H185" s="298">
        <v>0</v>
      </c>
      <c r="I185" s="298">
        <v>0</v>
      </c>
      <c r="J185" s="298">
        <v>105000</v>
      </c>
      <c r="K185" s="298">
        <v>120750</v>
      </c>
      <c r="L185" s="298">
        <v>120750</v>
      </c>
      <c r="M185" s="298">
        <v>138862.5</v>
      </c>
      <c r="N185" s="298">
        <v>138862.5</v>
      </c>
      <c r="O185" s="298">
        <v>138862.5</v>
      </c>
    </row>
    <row r="186" spans="1:15">
      <c r="A186" s="238">
        <f t="shared" si="3"/>
        <v>185</v>
      </c>
      <c r="B186" s="245" cm="1">
        <f t="array" ref="B186">INDEX(D$1:O$1, MATCH(TRUE, INDEX(($D186:$O186 &lt;&gt; 0), 0),0))</f>
        <v>44742</v>
      </c>
      <c r="C186" s="298">
        <v>0</v>
      </c>
      <c r="D186" s="298">
        <v>0</v>
      </c>
      <c r="E186" s="298">
        <v>0</v>
      </c>
      <c r="F186" s="298">
        <v>0</v>
      </c>
      <c r="G186" s="298">
        <v>0</v>
      </c>
      <c r="H186" s="298">
        <v>0</v>
      </c>
      <c r="I186" s="298">
        <v>0</v>
      </c>
      <c r="J186" s="298">
        <v>0</v>
      </c>
      <c r="K186" s="298">
        <v>0</v>
      </c>
      <c r="L186" s="298">
        <v>0</v>
      </c>
      <c r="M186" s="298">
        <v>120000</v>
      </c>
      <c r="N186" s="298">
        <v>138000</v>
      </c>
      <c r="O186" s="298">
        <v>158700</v>
      </c>
    </row>
    <row r="187" spans="1:15">
      <c r="A187" s="238">
        <f t="shared" si="3"/>
        <v>186</v>
      </c>
      <c r="B187" s="245" cm="1">
        <f t="array" ref="B187">INDEX(D$1:O$1, MATCH(TRUE, INDEX(($D187:$O187 &lt;&gt; 0), 0),0))</f>
        <v>44742</v>
      </c>
      <c r="C187" s="298">
        <v>0</v>
      </c>
      <c r="D187" s="298">
        <v>0</v>
      </c>
      <c r="E187" s="298">
        <v>0</v>
      </c>
      <c r="F187" s="298">
        <v>0</v>
      </c>
      <c r="G187" s="298">
        <v>0</v>
      </c>
      <c r="H187" s="298">
        <v>0</v>
      </c>
      <c r="I187" s="298">
        <v>0</v>
      </c>
      <c r="J187" s="298">
        <v>0</v>
      </c>
      <c r="K187" s="298">
        <v>0</v>
      </c>
      <c r="L187" s="298">
        <v>0</v>
      </c>
      <c r="M187" s="298">
        <v>105000</v>
      </c>
      <c r="N187" s="298">
        <v>120750</v>
      </c>
      <c r="O187" s="298">
        <v>120750</v>
      </c>
    </row>
    <row r="188" spans="1:15">
      <c r="A188" s="238">
        <f t="shared" si="3"/>
        <v>187</v>
      </c>
      <c r="B188" s="245" cm="1">
        <f t="array" ref="B188">INDEX(D$1:O$1, MATCH(TRUE, INDEX(($D188:$O188 &lt;&gt; 0), 0),0))</f>
        <v>44561</v>
      </c>
      <c r="C188" s="298">
        <v>0</v>
      </c>
      <c r="D188" s="298">
        <v>0</v>
      </c>
      <c r="E188" s="298">
        <v>0</v>
      </c>
      <c r="F188" s="298">
        <v>0</v>
      </c>
      <c r="G188" s="298">
        <v>0</v>
      </c>
      <c r="H188" s="298">
        <v>0</v>
      </c>
      <c r="I188" s="298">
        <v>0</v>
      </c>
      <c r="J188" s="298">
        <v>0</v>
      </c>
      <c r="K188" s="298">
        <v>60000</v>
      </c>
      <c r="L188" s="298">
        <v>69000</v>
      </c>
      <c r="M188" s="298">
        <v>60720</v>
      </c>
      <c r="N188" s="298">
        <v>60720</v>
      </c>
      <c r="O188" s="298">
        <v>53433.5</v>
      </c>
    </row>
    <row r="189" spans="1:15">
      <c r="A189" s="238">
        <f t="shared" si="3"/>
        <v>188</v>
      </c>
      <c r="B189" s="245" cm="1">
        <f t="array" ref="B189">INDEX(D$1:O$1, MATCH(TRUE, INDEX(($D189:$O189 &lt;&gt; 0), 0),0))</f>
        <v>44926</v>
      </c>
      <c r="C189" s="298">
        <v>0</v>
      </c>
      <c r="D189" s="298">
        <v>0</v>
      </c>
      <c r="E189" s="298">
        <v>0</v>
      </c>
      <c r="F189" s="298">
        <v>0</v>
      </c>
      <c r="G189" s="298">
        <v>0</v>
      </c>
      <c r="H189" s="298">
        <v>0</v>
      </c>
      <c r="I189" s="298">
        <v>0</v>
      </c>
      <c r="J189" s="298">
        <v>0</v>
      </c>
      <c r="K189" s="298">
        <v>0</v>
      </c>
      <c r="L189" s="298">
        <v>0</v>
      </c>
      <c r="M189" s="298">
        <v>0</v>
      </c>
      <c r="N189" s="298">
        <v>0</v>
      </c>
      <c r="O189" s="298">
        <v>105000</v>
      </c>
    </row>
    <row r="190" spans="1:15">
      <c r="A190" s="238">
        <f t="shared" si="3"/>
        <v>189</v>
      </c>
      <c r="B190" s="245" cm="1">
        <f t="array" ref="B190">INDEX(D$1:O$1, MATCH(TRUE, INDEX(($D190:$O190 &lt;&gt; 0), 0),0))</f>
        <v>43921</v>
      </c>
      <c r="C190" s="298">
        <v>120000</v>
      </c>
      <c r="D190" s="298">
        <v>120000</v>
      </c>
      <c r="E190" s="298">
        <v>138000</v>
      </c>
      <c r="F190" s="298">
        <v>138000</v>
      </c>
      <c r="G190" s="298">
        <v>158700</v>
      </c>
      <c r="H190" s="298">
        <v>209880.75</v>
      </c>
      <c r="I190" s="298">
        <v>212399.25</v>
      </c>
      <c r="J190" s="298">
        <v>244259.25</v>
      </c>
      <c r="K190" s="298">
        <v>244259.25</v>
      </c>
      <c r="L190" s="298">
        <v>214948</v>
      </c>
      <c r="M190" s="298">
        <v>214948</v>
      </c>
      <c r="N190" s="298">
        <v>217527.5</v>
      </c>
      <c r="O190" s="298">
        <v>250156.5</v>
      </c>
    </row>
    <row r="191" spans="1:15">
      <c r="A191" s="238">
        <f t="shared" si="3"/>
        <v>190</v>
      </c>
      <c r="B191" s="245" cm="1">
        <f t="array" ref="B191">INDEX(D$1:O$1, MATCH(TRUE, INDEX(($D191:$O191 &lt;&gt; 0), 0),0))</f>
        <v>44104</v>
      </c>
      <c r="C191" s="298">
        <v>0</v>
      </c>
      <c r="D191" s="298">
        <v>0</v>
      </c>
      <c r="E191" s="298">
        <v>0</v>
      </c>
      <c r="F191" s="298">
        <v>120000</v>
      </c>
      <c r="G191" s="298">
        <v>158700</v>
      </c>
      <c r="H191" s="298">
        <v>158700</v>
      </c>
      <c r="I191" s="298">
        <v>209880.75</v>
      </c>
      <c r="J191" s="298">
        <v>209880.75</v>
      </c>
      <c r="K191" s="298">
        <v>209880.75</v>
      </c>
      <c r="L191" s="298">
        <v>241362.75</v>
      </c>
      <c r="M191" s="298">
        <v>241362.75</v>
      </c>
      <c r="N191" s="298">
        <v>241362.75</v>
      </c>
      <c r="O191" s="298">
        <v>277567.25</v>
      </c>
    </row>
    <row r="192" spans="1:15">
      <c r="A192" s="238">
        <f t="shared" si="3"/>
        <v>191</v>
      </c>
      <c r="B192" s="245" cm="1">
        <f t="array" ref="B192">INDEX(D$1:O$1, MATCH(TRUE, INDEX(($D192:$O192 &lt;&gt; 0), 0),0))</f>
        <v>44926</v>
      </c>
      <c r="C192" s="298">
        <v>0</v>
      </c>
      <c r="D192" s="298">
        <v>0</v>
      </c>
      <c r="E192" s="298">
        <v>0</v>
      </c>
      <c r="F192" s="298">
        <v>0</v>
      </c>
      <c r="G192" s="298">
        <v>0</v>
      </c>
      <c r="H192" s="298">
        <v>0</v>
      </c>
      <c r="I192" s="298">
        <v>0</v>
      </c>
      <c r="J192" s="298">
        <v>0</v>
      </c>
      <c r="K192" s="298">
        <v>0</v>
      </c>
      <c r="L192" s="298">
        <v>0</v>
      </c>
      <c r="M192" s="298">
        <v>0</v>
      </c>
      <c r="N192" s="298">
        <v>0</v>
      </c>
      <c r="O192" s="298">
        <v>92400</v>
      </c>
    </row>
    <row r="193" spans="1:15">
      <c r="A193" s="238">
        <f t="shared" si="3"/>
        <v>192</v>
      </c>
      <c r="B193" s="245" cm="1">
        <f t="array" ref="B193">INDEX(D$1:O$1, MATCH(TRUE, INDEX(($D193:$O193 &lt;&gt; 0), 0),0))</f>
        <v>44469</v>
      </c>
      <c r="C193" s="298">
        <v>0</v>
      </c>
      <c r="D193" s="298">
        <v>0</v>
      </c>
      <c r="E193" s="298">
        <v>0</v>
      </c>
      <c r="F193" s="298">
        <v>0</v>
      </c>
      <c r="G193" s="298">
        <v>0</v>
      </c>
      <c r="H193" s="298">
        <v>0</v>
      </c>
      <c r="I193" s="298">
        <v>0</v>
      </c>
      <c r="J193" s="298">
        <v>105000</v>
      </c>
      <c r="K193" s="298">
        <v>106260</v>
      </c>
      <c r="L193" s="298">
        <v>122199</v>
      </c>
      <c r="M193" s="298">
        <v>140528.75</v>
      </c>
      <c r="N193" s="298">
        <v>123665.5</v>
      </c>
      <c r="O193" s="298">
        <v>163547.5</v>
      </c>
    </row>
    <row r="194" spans="1:15">
      <c r="A194" s="238">
        <f t="shared" si="3"/>
        <v>193</v>
      </c>
      <c r="B194" s="245" cm="1">
        <f t="array" ref="B194">INDEX(D$1:O$1, MATCH(TRUE, INDEX(($D194:$O194 &lt;&gt; 0), 0),0))</f>
        <v>44834</v>
      </c>
      <c r="C194" s="298">
        <v>0</v>
      </c>
      <c r="D194" s="298">
        <v>0</v>
      </c>
      <c r="E194" s="298">
        <v>0</v>
      </c>
      <c r="F194" s="298">
        <v>0</v>
      </c>
      <c r="G194" s="298">
        <v>0</v>
      </c>
      <c r="H194" s="298">
        <v>0</v>
      </c>
      <c r="I194" s="298">
        <v>0</v>
      </c>
      <c r="J194" s="298">
        <v>0</v>
      </c>
      <c r="K194" s="298">
        <v>0</v>
      </c>
      <c r="L194" s="298">
        <v>0</v>
      </c>
      <c r="M194" s="298">
        <v>0</v>
      </c>
      <c r="N194" s="298">
        <v>138000</v>
      </c>
      <c r="O194" s="298">
        <v>138000</v>
      </c>
    </row>
    <row r="195" spans="1:15">
      <c r="A195" s="238">
        <f t="shared" ref="A195:A258" si="4">+A194+1</f>
        <v>194</v>
      </c>
      <c r="B195" s="245" cm="1">
        <f t="array" ref="B195">INDEX(D$1:O$1, MATCH(TRUE, INDEX(($D195:$O195 &lt;&gt; 0), 0),0))</f>
        <v>44377</v>
      </c>
      <c r="C195" s="298">
        <v>0</v>
      </c>
      <c r="D195" s="298">
        <v>0</v>
      </c>
      <c r="E195" s="298">
        <v>0</v>
      </c>
      <c r="F195" s="298">
        <v>0</v>
      </c>
      <c r="G195" s="298">
        <v>0</v>
      </c>
      <c r="H195" s="298">
        <v>0</v>
      </c>
      <c r="I195" s="298">
        <v>60000</v>
      </c>
      <c r="J195" s="298">
        <v>60720</v>
      </c>
      <c r="K195" s="298">
        <v>60720</v>
      </c>
      <c r="L195" s="298">
        <v>69828</v>
      </c>
      <c r="M195" s="298">
        <v>69828</v>
      </c>
      <c r="N195" s="298">
        <v>80302.25</v>
      </c>
      <c r="O195" s="298">
        <v>92347.5</v>
      </c>
    </row>
    <row r="196" spans="1:15">
      <c r="A196" s="238">
        <f t="shared" si="4"/>
        <v>195</v>
      </c>
      <c r="B196" s="245" cm="1">
        <f t="array" ref="B196">INDEX(D$1:O$1, MATCH(TRUE, INDEX(($D196:$O196 &lt;&gt; 0), 0),0))</f>
        <v>43921</v>
      </c>
      <c r="C196" s="298">
        <v>120000</v>
      </c>
      <c r="D196" s="298">
        <v>120000</v>
      </c>
      <c r="E196" s="298">
        <v>92928</v>
      </c>
      <c r="F196" s="298">
        <v>106867.25</v>
      </c>
      <c r="G196" s="298">
        <v>122897.25</v>
      </c>
      <c r="H196" s="298">
        <v>124372</v>
      </c>
      <c r="I196" s="298">
        <v>143027.75</v>
      </c>
      <c r="J196" s="298">
        <v>144744.25</v>
      </c>
      <c r="K196" s="298">
        <v>144744.25</v>
      </c>
      <c r="L196" s="298">
        <v>191424.25</v>
      </c>
      <c r="M196" s="298">
        <v>220137.75</v>
      </c>
      <c r="N196" s="298">
        <v>0</v>
      </c>
      <c r="O196" s="298">
        <v>0</v>
      </c>
    </row>
    <row r="197" spans="1:15">
      <c r="A197" s="238">
        <f t="shared" si="4"/>
        <v>196</v>
      </c>
      <c r="B197" s="245" cm="1">
        <f t="array" ref="B197">INDEX(D$1:O$1, MATCH(TRUE, INDEX(($D197:$O197 &lt;&gt; 0), 0),0))</f>
        <v>44561</v>
      </c>
      <c r="C197" s="298">
        <v>0</v>
      </c>
      <c r="D197" s="298">
        <v>0</v>
      </c>
      <c r="E197" s="298">
        <v>0</v>
      </c>
      <c r="F197" s="298">
        <v>0</v>
      </c>
      <c r="G197" s="298">
        <v>0</v>
      </c>
      <c r="H197" s="298">
        <v>0</v>
      </c>
      <c r="I197" s="298">
        <v>0</v>
      </c>
      <c r="J197" s="298">
        <v>0</v>
      </c>
      <c r="K197" s="298">
        <v>138862.5</v>
      </c>
      <c r="L197" s="298">
        <v>138862.5</v>
      </c>
      <c r="M197" s="298">
        <v>122199</v>
      </c>
      <c r="N197" s="298">
        <v>140528.75</v>
      </c>
      <c r="O197" s="298">
        <v>140528.75</v>
      </c>
    </row>
    <row r="198" spans="1:15">
      <c r="A198" s="238">
        <f t="shared" si="4"/>
        <v>197</v>
      </c>
      <c r="B198" s="245" cm="1">
        <f t="array" ref="B198">INDEX(D$1:O$1, MATCH(TRUE, INDEX(($D198:$O198 &lt;&gt; 0), 0),0))</f>
        <v>44926</v>
      </c>
      <c r="C198" s="298">
        <v>0</v>
      </c>
      <c r="D198" s="298">
        <v>0</v>
      </c>
      <c r="E198" s="298">
        <v>0</v>
      </c>
      <c r="F198" s="298">
        <v>0</v>
      </c>
      <c r="G198" s="298">
        <v>0</v>
      </c>
      <c r="H198" s="298">
        <v>0</v>
      </c>
      <c r="I198" s="298">
        <v>0</v>
      </c>
      <c r="J198" s="298">
        <v>0</v>
      </c>
      <c r="K198" s="298">
        <v>0</v>
      </c>
      <c r="L198" s="298">
        <v>0</v>
      </c>
      <c r="M198" s="298">
        <v>0</v>
      </c>
      <c r="N198" s="298">
        <v>0</v>
      </c>
      <c r="O198" s="298">
        <v>120750</v>
      </c>
    </row>
    <row r="199" spans="1:15">
      <c r="A199" s="238">
        <f t="shared" si="4"/>
        <v>198</v>
      </c>
      <c r="B199" s="245" cm="1">
        <f t="array" ref="B199">INDEX(D$1:O$1, MATCH(TRUE, INDEX(($D199:$O199 &lt;&gt; 0), 0),0))</f>
        <v>44834</v>
      </c>
      <c r="C199" s="298">
        <v>0</v>
      </c>
      <c r="D199" s="298">
        <v>0</v>
      </c>
      <c r="E199" s="298">
        <v>0</v>
      </c>
      <c r="F199" s="298">
        <v>0</v>
      </c>
      <c r="G199" s="298">
        <v>0</v>
      </c>
      <c r="H199" s="298">
        <v>0</v>
      </c>
      <c r="I199" s="298">
        <v>0</v>
      </c>
      <c r="J199" s="298">
        <v>0</v>
      </c>
      <c r="K199" s="298">
        <v>0</v>
      </c>
      <c r="L199" s="298">
        <v>0</v>
      </c>
      <c r="M199" s="298">
        <v>0</v>
      </c>
      <c r="N199" s="298">
        <v>69000</v>
      </c>
      <c r="O199" s="298">
        <v>69000</v>
      </c>
    </row>
    <row r="200" spans="1:15">
      <c r="A200" s="238">
        <f t="shared" si="4"/>
        <v>199</v>
      </c>
      <c r="B200" s="245" cm="1">
        <f t="array" ref="B200">INDEX(D$1:O$1, MATCH(TRUE, INDEX(($D200:$O200 &lt;&gt; 0), 0),0))</f>
        <v>44561</v>
      </c>
      <c r="C200" s="298">
        <v>0</v>
      </c>
      <c r="D200" s="298">
        <v>0</v>
      </c>
      <c r="E200" s="298">
        <v>0</v>
      </c>
      <c r="F200" s="298">
        <v>0</v>
      </c>
      <c r="G200" s="298">
        <v>0</v>
      </c>
      <c r="H200" s="298">
        <v>0</v>
      </c>
      <c r="I200" s="298">
        <v>0</v>
      </c>
      <c r="J200" s="298">
        <v>0</v>
      </c>
      <c r="K200" s="298">
        <v>105000</v>
      </c>
      <c r="L200" s="298">
        <v>92400</v>
      </c>
      <c r="M200" s="298">
        <v>92400</v>
      </c>
      <c r="N200" s="298">
        <v>106260</v>
      </c>
      <c r="O200" s="298">
        <v>93508.75</v>
      </c>
    </row>
    <row r="201" spans="1:15">
      <c r="A201" s="238">
        <f t="shared" si="4"/>
        <v>200</v>
      </c>
      <c r="B201" s="245" cm="1">
        <f t="array" ref="B201">INDEX(D$1:O$1, MATCH(TRUE, INDEX(($D201:$O201 &lt;&gt; 0), 0),0))</f>
        <v>44926</v>
      </c>
      <c r="C201" s="298">
        <v>0</v>
      </c>
      <c r="D201" s="298">
        <v>0</v>
      </c>
      <c r="E201" s="298">
        <v>0</v>
      </c>
      <c r="F201" s="298">
        <v>0</v>
      </c>
      <c r="G201" s="298">
        <v>0</v>
      </c>
      <c r="H201" s="298">
        <v>0</v>
      </c>
      <c r="I201" s="298">
        <v>0</v>
      </c>
      <c r="J201" s="298">
        <v>0</v>
      </c>
      <c r="K201" s="298">
        <v>0</v>
      </c>
      <c r="L201" s="298">
        <v>0</v>
      </c>
      <c r="M201" s="298">
        <v>0</v>
      </c>
      <c r="N201" s="298">
        <v>0</v>
      </c>
      <c r="O201" s="298">
        <v>105000</v>
      </c>
    </row>
    <row r="202" spans="1:15">
      <c r="A202" s="238">
        <f t="shared" si="4"/>
        <v>201</v>
      </c>
      <c r="B202" s="245" cm="1">
        <f t="array" ref="B202">INDEX(D$1:O$1, MATCH(TRUE, INDEX(($D202:$O202 &lt;&gt; 0), 0),0))</f>
        <v>44196</v>
      </c>
      <c r="C202" s="298">
        <v>0</v>
      </c>
      <c r="D202" s="298">
        <v>0</v>
      </c>
      <c r="E202" s="298">
        <v>0</v>
      </c>
      <c r="F202" s="298">
        <v>0</v>
      </c>
      <c r="G202" s="298">
        <v>69000</v>
      </c>
      <c r="H202" s="298">
        <v>79350</v>
      </c>
      <c r="I202" s="298">
        <v>104940.5</v>
      </c>
      <c r="J202" s="298">
        <v>92347.5</v>
      </c>
      <c r="K202" s="298">
        <v>92347.5</v>
      </c>
      <c r="L202" s="298">
        <v>106199.75</v>
      </c>
      <c r="M202" s="298">
        <v>122129.5</v>
      </c>
      <c r="N202" s="298">
        <v>140449</v>
      </c>
      <c r="O202" s="298">
        <v>0</v>
      </c>
    </row>
    <row r="203" spans="1:15">
      <c r="A203" s="238">
        <f t="shared" si="4"/>
        <v>202</v>
      </c>
      <c r="B203" s="245" cm="1">
        <f t="array" ref="B203">INDEX(D$1:O$1, MATCH(TRUE, INDEX(($D203:$O203 &lt;&gt; 0), 0),0))</f>
        <v>44651</v>
      </c>
      <c r="C203" s="298">
        <v>0</v>
      </c>
      <c r="D203" s="298">
        <v>0</v>
      </c>
      <c r="E203" s="298">
        <v>0</v>
      </c>
      <c r="F203" s="298">
        <v>0</v>
      </c>
      <c r="G203" s="298">
        <v>0</v>
      </c>
      <c r="H203" s="298">
        <v>0</v>
      </c>
      <c r="I203" s="298">
        <v>0</v>
      </c>
      <c r="J203" s="298">
        <v>0</v>
      </c>
      <c r="K203" s="298">
        <v>0</v>
      </c>
      <c r="L203" s="298">
        <v>105000</v>
      </c>
      <c r="M203" s="298">
        <v>120750</v>
      </c>
      <c r="N203" s="298">
        <v>138862.5</v>
      </c>
      <c r="O203" s="298">
        <v>138862.5</v>
      </c>
    </row>
    <row r="204" spans="1:15">
      <c r="A204" s="238">
        <f t="shared" si="4"/>
        <v>203</v>
      </c>
      <c r="B204" s="245" cm="1">
        <f t="array" ref="B204">INDEX(D$1:O$1, MATCH(TRUE, INDEX(($D204:$O204 &lt;&gt; 0), 0),0))</f>
        <v>44926</v>
      </c>
      <c r="C204" s="298">
        <v>0</v>
      </c>
      <c r="D204" s="298">
        <v>0</v>
      </c>
      <c r="E204" s="298">
        <v>0</v>
      </c>
      <c r="F204" s="298">
        <v>0</v>
      </c>
      <c r="G204" s="298">
        <v>0</v>
      </c>
      <c r="H204" s="298">
        <v>0</v>
      </c>
      <c r="I204" s="298">
        <v>0</v>
      </c>
      <c r="J204" s="298">
        <v>0</v>
      </c>
      <c r="K204" s="298">
        <v>0</v>
      </c>
      <c r="L204" s="298">
        <v>0</v>
      </c>
      <c r="M204" s="298">
        <v>0</v>
      </c>
      <c r="N204" s="298">
        <v>0</v>
      </c>
      <c r="O204" s="298">
        <v>105000</v>
      </c>
    </row>
    <row r="205" spans="1:15">
      <c r="A205" s="238">
        <f t="shared" si="4"/>
        <v>204</v>
      </c>
      <c r="B205" s="245" cm="1">
        <f t="array" ref="B205">INDEX(D$1:O$1, MATCH(TRUE, INDEX(($D205:$O205 &lt;&gt; 0), 0),0))</f>
        <v>44196</v>
      </c>
      <c r="C205" s="298">
        <v>0</v>
      </c>
      <c r="D205" s="298">
        <v>0</v>
      </c>
      <c r="E205" s="298">
        <v>0</v>
      </c>
      <c r="F205" s="298">
        <v>0</v>
      </c>
      <c r="G205" s="298">
        <v>138000</v>
      </c>
      <c r="H205" s="298">
        <v>158700</v>
      </c>
      <c r="I205" s="298">
        <v>158700</v>
      </c>
      <c r="J205" s="298">
        <v>158700</v>
      </c>
      <c r="K205" s="298">
        <v>160604.5</v>
      </c>
      <c r="L205" s="298">
        <v>184695</v>
      </c>
      <c r="M205" s="298">
        <v>184695</v>
      </c>
      <c r="N205" s="298">
        <v>184695</v>
      </c>
      <c r="O205" s="298">
        <v>184695</v>
      </c>
    </row>
    <row r="206" spans="1:15">
      <c r="A206" s="238">
        <f t="shared" si="4"/>
        <v>205</v>
      </c>
      <c r="B206" s="245" cm="1">
        <f t="array" ref="B206">INDEX(D$1:O$1, MATCH(TRUE, INDEX(($D206:$O206 &lt;&gt; 0), 0),0))</f>
        <v>43921</v>
      </c>
      <c r="C206" s="298">
        <v>105000</v>
      </c>
      <c r="D206" s="298">
        <v>120750</v>
      </c>
      <c r="E206" s="298">
        <v>120750</v>
      </c>
      <c r="F206" s="298">
        <v>120750</v>
      </c>
      <c r="G206" s="298">
        <v>120750</v>
      </c>
      <c r="H206" s="298">
        <v>122199</v>
      </c>
      <c r="I206" s="298">
        <v>122199</v>
      </c>
      <c r="J206" s="298">
        <v>107535</v>
      </c>
      <c r="K206" s="298">
        <v>107535</v>
      </c>
      <c r="L206" s="298">
        <v>107535</v>
      </c>
      <c r="M206" s="298">
        <v>123665.5</v>
      </c>
      <c r="N206" s="298">
        <v>143921.75</v>
      </c>
      <c r="O206" s="298">
        <v>143921.75</v>
      </c>
    </row>
    <row r="207" spans="1:15">
      <c r="A207" s="238">
        <f t="shared" si="4"/>
        <v>206</v>
      </c>
      <c r="B207" s="245" cm="1">
        <f t="array" ref="B207">INDEX(D$1:O$1, MATCH(TRUE, INDEX(($D207:$O207 &lt;&gt; 0), 0),0))</f>
        <v>44651</v>
      </c>
      <c r="C207" s="298">
        <v>0</v>
      </c>
      <c r="D207" s="298">
        <v>0</v>
      </c>
      <c r="E207" s="298">
        <v>0</v>
      </c>
      <c r="F207" s="298">
        <v>0</v>
      </c>
      <c r="G207" s="298">
        <v>0</v>
      </c>
      <c r="H207" s="298">
        <v>0</v>
      </c>
      <c r="I207" s="298">
        <v>0</v>
      </c>
      <c r="J207" s="298">
        <v>0</v>
      </c>
      <c r="K207" s="298">
        <v>0</v>
      </c>
      <c r="L207" s="298">
        <v>120000</v>
      </c>
      <c r="M207" s="298">
        <v>138000</v>
      </c>
      <c r="N207" s="298">
        <v>158700</v>
      </c>
      <c r="O207" s="298">
        <v>158700</v>
      </c>
    </row>
    <row r="208" spans="1:15">
      <c r="A208" s="238">
        <f t="shared" si="4"/>
        <v>207</v>
      </c>
      <c r="B208" s="245" cm="1">
        <f t="array" ref="B208">INDEX(D$1:O$1, MATCH(TRUE, INDEX(($D208:$O208 &lt;&gt; 0), 0),0))</f>
        <v>44651</v>
      </c>
      <c r="C208" s="298">
        <v>0</v>
      </c>
      <c r="D208" s="298">
        <v>0</v>
      </c>
      <c r="E208" s="298">
        <v>0</v>
      </c>
      <c r="F208" s="298">
        <v>0</v>
      </c>
      <c r="G208" s="298">
        <v>0</v>
      </c>
      <c r="H208" s="298">
        <v>0</v>
      </c>
      <c r="I208" s="298">
        <v>0</v>
      </c>
      <c r="J208" s="298">
        <v>0</v>
      </c>
      <c r="K208" s="298">
        <v>0</v>
      </c>
      <c r="L208" s="298">
        <v>120000</v>
      </c>
      <c r="M208" s="298">
        <v>120000</v>
      </c>
      <c r="N208" s="298">
        <v>138000</v>
      </c>
      <c r="O208" s="298">
        <v>138000</v>
      </c>
    </row>
    <row r="209" spans="1:15">
      <c r="A209" s="238">
        <f t="shared" si="4"/>
        <v>208</v>
      </c>
      <c r="B209" s="245" cm="1">
        <f t="array" ref="B209">INDEX(D$1:O$1, MATCH(TRUE, INDEX(($D209:$O209 &lt;&gt; 0), 0),0))</f>
        <v>44012</v>
      </c>
      <c r="C209" s="298">
        <v>0</v>
      </c>
      <c r="D209" s="298">
        <v>0</v>
      </c>
      <c r="E209" s="298">
        <v>120000</v>
      </c>
      <c r="F209" s="298">
        <v>120000</v>
      </c>
      <c r="G209" s="298">
        <v>138000</v>
      </c>
      <c r="H209" s="298">
        <v>158700</v>
      </c>
      <c r="I209" s="298">
        <v>160604.5</v>
      </c>
      <c r="J209" s="298">
        <v>160604.5</v>
      </c>
      <c r="K209" s="298">
        <v>184695</v>
      </c>
      <c r="L209" s="298">
        <v>184695</v>
      </c>
      <c r="M209" s="298">
        <v>184695</v>
      </c>
      <c r="N209" s="298">
        <v>184695</v>
      </c>
      <c r="O209" s="298">
        <v>162531.75</v>
      </c>
    </row>
    <row r="210" spans="1:15">
      <c r="A210" s="238">
        <f t="shared" si="4"/>
        <v>209</v>
      </c>
      <c r="B210" s="245" cm="1">
        <f t="array" ref="B210">INDEX(D$1:O$1, MATCH(TRUE, INDEX(($D210:$O210 &lt;&gt; 0), 0),0))</f>
        <v>44286</v>
      </c>
      <c r="C210" s="298">
        <v>0</v>
      </c>
      <c r="D210" s="298">
        <v>0</v>
      </c>
      <c r="E210" s="298">
        <v>0</v>
      </c>
      <c r="F210" s="298">
        <v>0</v>
      </c>
      <c r="G210" s="298">
        <v>0</v>
      </c>
      <c r="H210" s="298">
        <v>105000</v>
      </c>
      <c r="I210" s="298">
        <v>138862.5</v>
      </c>
      <c r="J210" s="298">
        <v>138862.5</v>
      </c>
      <c r="K210" s="298">
        <v>159692</v>
      </c>
      <c r="L210" s="298">
        <v>183645.75</v>
      </c>
      <c r="M210" s="298">
        <v>183645.75</v>
      </c>
      <c r="N210" s="298">
        <v>211192.5</v>
      </c>
      <c r="O210" s="298">
        <v>211192.5</v>
      </c>
    </row>
    <row r="211" spans="1:15">
      <c r="A211" s="238">
        <f t="shared" si="4"/>
        <v>210</v>
      </c>
      <c r="B211" s="245" cm="1">
        <f t="array" ref="B211">INDEX(D$1:O$1, MATCH(TRUE, INDEX(($D211:$O211 &lt;&gt; 0), 0),0))</f>
        <v>44561</v>
      </c>
      <c r="C211" s="298">
        <v>0</v>
      </c>
      <c r="D211" s="298">
        <v>0</v>
      </c>
      <c r="E211" s="298">
        <v>0</v>
      </c>
      <c r="F211" s="298">
        <v>0</v>
      </c>
      <c r="G211" s="298">
        <v>0</v>
      </c>
      <c r="H211" s="298">
        <v>0</v>
      </c>
      <c r="I211" s="298">
        <v>0</v>
      </c>
      <c r="J211" s="298">
        <v>0</v>
      </c>
      <c r="K211" s="298">
        <v>105000</v>
      </c>
      <c r="L211" s="298">
        <v>105000</v>
      </c>
      <c r="M211" s="298">
        <v>92400</v>
      </c>
      <c r="N211" s="298">
        <v>92400</v>
      </c>
      <c r="O211" s="298">
        <v>106260</v>
      </c>
    </row>
    <row r="212" spans="1:15">
      <c r="A212" s="238">
        <f t="shared" si="4"/>
        <v>211</v>
      </c>
      <c r="B212" s="245" cm="1">
        <f t="array" ref="B212">INDEX(D$1:O$1, MATCH(TRUE, INDEX(($D212:$O212 &lt;&gt; 0), 0),0))</f>
        <v>44926</v>
      </c>
      <c r="C212" s="298">
        <v>0</v>
      </c>
      <c r="D212" s="298">
        <v>0</v>
      </c>
      <c r="E212" s="298">
        <v>0</v>
      </c>
      <c r="F212" s="298">
        <v>0</v>
      </c>
      <c r="G212" s="298">
        <v>0</v>
      </c>
      <c r="H212" s="298">
        <v>0</v>
      </c>
      <c r="I212" s="298">
        <v>0</v>
      </c>
      <c r="J212" s="298">
        <v>0</v>
      </c>
      <c r="K212" s="298">
        <v>0</v>
      </c>
      <c r="L212" s="298">
        <v>0</v>
      </c>
      <c r="M212" s="298">
        <v>0</v>
      </c>
      <c r="N212" s="298">
        <v>0</v>
      </c>
      <c r="O212" s="298">
        <v>105000</v>
      </c>
    </row>
    <row r="213" spans="1:15">
      <c r="A213" s="238">
        <f t="shared" si="4"/>
        <v>212</v>
      </c>
      <c r="B213" s="245" cm="1">
        <f t="array" ref="B213">INDEX(D$1:O$1, MATCH(TRUE, INDEX(($D213:$O213 &lt;&gt; 0), 0),0))</f>
        <v>44834</v>
      </c>
      <c r="C213" s="298">
        <v>0</v>
      </c>
      <c r="D213" s="298">
        <v>0</v>
      </c>
      <c r="E213" s="298">
        <v>0</v>
      </c>
      <c r="F213" s="298">
        <v>0</v>
      </c>
      <c r="G213" s="298">
        <v>0</v>
      </c>
      <c r="H213" s="298">
        <v>0</v>
      </c>
      <c r="I213" s="298">
        <v>0</v>
      </c>
      <c r="J213" s="298">
        <v>0</v>
      </c>
      <c r="K213" s="298">
        <v>0</v>
      </c>
      <c r="L213" s="298">
        <v>0</v>
      </c>
      <c r="M213" s="298">
        <v>0</v>
      </c>
      <c r="N213" s="298">
        <v>120000</v>
      </c>
      <c r="O213" s="298">
        <v>105600</v>
      </c>
    </row>
    <row r="214" spans="1:15">
      <c r="A214" s="238">
        <f t="shared" si="4"/>
        <v>213</v>
      </c>
      <c r="B214" s="245" cm="1">
        <f t="array" ref="B214">INDEX(D$1:O$1, MATCH(TRUE, INDEX(($D214:$O214 &lt;&gt; 0), 0),0))</f>
        <v>44742</v>
      </c>
      <c r="C214" s="298">
        <v>0</v>
      </c>
      <c r="D214" s="298">
        <v>0</v>
      </c>
      <c r="E214" s="298">
        <v>0</v>
      </c>
      <c r="F214" s="298">
        <v>0</v>
      </c>
      <c r="G214" s="298">
        <v>0</v>
      </c>
      <c r="H214" s="298">
        <v>0</v>
      </c>
      <c r="I214" s="298">
        <v>0</v>
      </c>
      <c r="J214" s="298">
        <v>0</v>
      </c>
      <c r="K214" s="298">
        <v>0</v>
      </c>
      <c r="L214" s="298">
        <v>0</v>
      </c>
      <c r="M214" s="298">
        <v>60000</v>
      </c>
      <c r="N214" s="298">
        <v>69000</v>
      </c>
      <c r="O214" s="298">
        <v>91252.5</v>
      </c>
    </row>
    <row r="215" spans="1:15">
      <c r="A215" s="238">
        <f t="shared" si="4"/>
        <v>214</v>
      </c>
      <c r="B215" s="245" cm="1">
        <f t="array" ref="B215">INDEX(D$1:O$1, MATCH(TRUE, INDEX(($D215:$O215 &lt;&gt; 0), 0),0))</f>
        <v>44561</v>
      </c>
      <c r="C215" s="298">
        <v>0</v>
      </c>
      <c r="D215" s="298">
        <v>0</v>
      </c>
      <c r="E215" s="298">
        <v>0</v>
      </c>
      <c r="F215" s="298">
        <v>0</v>
      </c>
      <c r="G215" s="298">
        <v>0</v>
      </c>
      <c r="H215" s="298">
        <v>0</v>
      </c>
      <c r="I215" s="298">
        <v>0</v>
      </c>
      <c r="J215" s="298">
        <v>0</v>
      </c>
      <c r="K215" s="298">
        <v>105000</v>
      </c>
      <c r="L215" s="298">
        <v>120750</v>
      </c>
      <c r="M215" s="298">
        <v>138862.5</v>
      </c>
      <c r="N215" s="298">
        <v>159692</v>
      </c>
      <c r="O215" s="298">
        <v>211192.5</v>
      </c>
    </row>
    <row r="216" spans="1:15">
      <c r="A216" s="238">
        <f t="shared" si="4"/>
        <v>215</v>
      </c>
      <c r="B216" s="245" cm="1">
        <f t="array" ref="B216">INDEX(D$1:O$1, MATCH(TRUE, INDEX(($D216:$O216 &lt;&gt; 0), 0),0))</f>
        <v>44834</v>
      </c>
      <c r="C216" s="298">
        <v>0</v>
      </c>
      <c r="D216" s="298">
        <v>0</v>
      </c>
      <c r="E216" s="298">
        <v>0</v>
      </c>
      <c r="F216" s="298">
        <v>0</v>
      </c>
      <c r="G216" s="298">
        <v>0</v>
      </c>
      <c r="H216" s="298">
        <v>0</v>
      </c>
      <c r="I216" s="298">
        <v>0</v>
      </c>
      <c r="J216" s="298">
        <v>0</v>
      </c>
      <c r="K216" s="298">
        <v>0</v>
      </c>
      <c r="L216" s="298">
        <v>0</v>
      </c>
      <c r="M216" s="298">
        <v>0</v>
      </c>
      <c r="N216" s="298">
        <v>158700</v>
      </c>
      <c r="O216" s="298">
        <v>209880.75</v>
      </c>
    </row>
    <row r="217" spans="1:15">
      <c r="A217" s="238">
        <f t="shared" si="4"/>
        <v>216</v>
      </c>
      <c r="B217" s="245" cm="1">
        <f t="array" ref="B217">INDEX(D$1:O$1, MATCH(TRUE, INDEX(($D217:$O217 &lt;&gt; 0), 0),0))</f>
        <v>43921</v>
      </c>
      <c r="C217" s="298">
        <v>0</v>
      </c>
      <c r="D217" s="298">
        <v>60000</v>
      </c>
      <c r="E217" s="298">
        <v>69000</v>
      </c>
      <c r="F217" s="298">
        <v>69000</v>
      </c>
      <c r="G217" s="298">
        <v>91252.5</v>
      </c>
      <c r="H217" s="298">
        <v>104940.5</v>
      </c>
      <c r="I217" s="298">
        <v>92347.5</v>
      </c>
      <c r="J217" s="298">
        <v>81265.75</v>
      </c>
      <c r="K217" s="298">
        <v>81265.75</v>
      </c>
      <c r="L217" s="298">
        <v>71514</v>
      </c>
      <c r="M217" s="298">
        <v>71514</v>
      </c>
      <c r="N217" s="298">
        <v>71514</v>
      </c>
      <c r="O217" s="298">
        <v>82241</v>
      </c>
    </row>
    <row r="218" spans="1:15">
      <c r="A218" s="238">
        <f t="shared" si="4"/>
        <v>217</v>
      </c>
      <c r="B218" s="245" cm="1">
        <f t="array" ref="B218">INDEX(D$1:O$1, MATCH(TRUE, INDEX(($D218:$O218 &lt;&gt; 0), 0),0))</f>
        <v>44469</v>
      </c>
      <c r="C218" s="298">
        <v>0</v>
      </c>
      <c r="D218" s="298">
        <v>0</v>
      </c>
      <c r="E218" s="298">
        <v>0</v>
      </c>
      <c r="F218" s="298">
        <v>0</v>
      </c>
      <c r="G218" s="298">
        <v>0</v>
      </c>
      <c r="H218" s="298">
        <v>0</v>
      </c>
      <c r="I218" s="298">
        <v>0</v>
      </c>
      <c r="J218" s="298">
        <v>60000</v>
      </c>
      <c r="K218" s="298">
        <v>69000</v>
      </c>
      <c r="L218" s="298">
        <v>79350</v>
      </c>
      <c r="M218" s="298">
        <v>61448.75</v>
      </c>
      <c r="N218" s="298">
        <v>61448.75</v>
      </c>
      <c r="O218" s="298">
        <v>54074.75</v>
      </c>
    </row>
    <row r="219" spans="1:15">
      <c r="A219" s="238">
        <f t="shared" si="4"/>
        <v>218</v>
      </c>
      <c r="B219" s="245" cm="1">
        <f t="array" ref="B219">INDEX(D$1:O$1, MATCH(TRUE, INDEX(($D219:$O219 &lt;&gt; 0), 0),0))</f>
        <v>44377</v>
      </c>
      <c r="C219" s="298">
        <v>0</v>
      </c>
      <c r="D219" s="298">
        <v>0</v>
      </c>
      <c r="E219" s="298">
        <v>0</v>
      </c>
      <c r="F219" s="298">
        <v>0</v>
      </c>
      <c r="G219" s="298">
        <v>0</v>
      </c>
      <c r="H219" s="298">
        <v>0</v>
      </c>
      <c r="I219" s="298">
        <v>138000</v>
      </c>
      <c r="J219" s="298">
        <v>158700</v>
      </c>
      <c r="K219" s="298">
        <v>182505</v>
      </c>
      <c r="L219" s="298">
        <v>209880.75</v>
      </c>
      <c r="M219" s="298">
        <v>209880.75</v>
      </c>
      <c r="N219" s="298">
        <v>184695</v>
      </c>
      <c r="O219" s="298">
        <v>184695</v>
      </c>
    </row>
    <row r="220" spans="1:15">
      <c r="A220" s="238">
        <f t="shared" si="4"/>
        <v>219</v>
      </c>
      <c r="B220" s="245" cm="1">
        <f t="array" ref="B220">INDEX(D$1:O$1, MATCH(TRUE, INDEX(($D220:$O220 &lt;&gt; 0), 0),0))</f>
        <v>44561</v>
      </c>
      <c r="C220" s="298">
        <v>0</v>
      </c>
      <c r="D220" s="298">
        <v>0</v>
      </c>
      <c r="E220" s="298">
        <v>0</v>
      </c>
      <c r="F220" s="298">
        <v>0</v>
      </c>
      <c r="G220" s="298">
        <v>0</v>
      </c>
      <c r="H220" s="298">
        <v>0</v>
      </c>
      <c r="I220" s="298">
        <v>0</v>
      </c>
      <c r="J220" s="298">
        <v>0</v>
      </c>
      <c r="K220" s="298">
        <v>120750</v>
      </c>
      <c r="L220" s="298">
        <v>120750</v>
      </c>
      <c r="M220" s="298">
        <v>120750</v>
      </c>
      <c r="N220" s="298">
        <v>120750</v>
      </c>
      <c r="O220" s="298">
        <v>106260</v>
      </c>
    </row>
    <row r="221" spans="1:15">
      <c r="A221" s="238">
        <f t="shared" si="4"/>
        <v>220</v>
      </c>
      <c r="B221" s="245" cm="1">
        <f t="array" ref="B221">INDEX(D$1:O$1, MATCH(TRUE, INDEX(($D221:$O221 &lt;&gt; 0), 0),0))</f>
        <v>44834</v>
      </c>
      <c r="C221" s="298">
        <v>0</v>
      </c>
      <c r="D221" s="298">
        <v>0</v>
      </c>
      <c r="E221" s="298">
        <v>0</v>
      </c>
      <c r="F221" s="298">
        <v>0</v>
      </c>
      <c r="G221" s="298">
        <v>0</v>
      </c>
      <c r="H221" s="298">
        <v>0</v>
      </c>
      <c r="I221" s="298">
        <v>0</v>
      </c>
      <c r="J221" s="298">
        <v>0</v>
      </c>
      <c r="K221" s="298">
        <v>0</v>
      </c>
      <c r="L221" s="298">
        <v>0</v>
      </c>
      <c r="M221" s="298">
        <v>0</v>
      </c>
      <c r="N221" s="298">
        <v>60000</v>
      </c>
      <c r="O221" s="298">
        <v>79350</v>
      </c>
    </row>
    <row r="222" spans="1:15">
      <c r="A222" s="238">
        <f t="shared" si="4"/>
        <v>221</v>
      </c>
      <c r="B222" s="245" cm="1">
        <f t="array" ref="B222">INDEX(D$1:O$1, MATCH(TRUE, INDEX(($D222:$O222 &lt;&gt; 0), 0),0))</f>
        <v>44469</v>
      </c>
      <c r="C222" s="298">
        <v>0</v>
      </c>
      <c r="D222" s="298">
        <v>0</v>
      </c>
      <c r="E222" s="298">
        <v>0</v>
      </c>
      <c r="F222" s="298">
        <v>0</v>
      </c>
      <c r="G222" s="298">
        <v>0</v>
      </c>
      <c r="H222" s="298">
        <v>0</v>
      </c>
      <c r="I222" s="298">
        <v>0</v>
      </c>
      <c r="J222" s="298">
        <v>105000</v>
      </c>
      <c r="K222" s="298">
        <v>105000</v>
      </c>
      <c r="L222" s="298">
        <v>138862.5</v>
      </c>
      <c r="M222" s="298">
        <v>138862.5</v>
      </c>
      <c r="N222" s="298">
        <v>159692</v>
      </c>
      <c r="O222" s="298">
        <v>183645.75</v>
      </c>
    </row>
    <row r="223" spans="1:15">
      <c r="A223" s="238">
        <f t="shared" si="4"/>
        <v>222</v>
      </c>
      <c r="B223" s="245" cm="1">
        <f t="array" ref="B223">INDEX(D$1:O$1, MATCH(TRUE, INDEX(($D223:$O223 &lt;&gt; 0), 0),0))</f>
        <v>44012</v>
      </c>
      <c r="C223" s="298">
        <v>0</v>
      </c>
      <c r="D223" s="298">
        <v>0</v>
      </c>
      <c r="E223" s="298">
        <v>138000</v>
      </c>
      <c r="F223" s="298">
        <v>160604.5</v>
      </c>
      <c r="G223" s="298">
        <v>184695</v>
      </c>
      <c r="H223" s="298">
        <v>184695</v>
      </c>
      <c r="I223" s="298">
        <v>184695</v>
      </c>
      <c r="J223" s="298">
        <v>212399.25</v>
      </c>
      <c r="K223" s="298">
        <v>244259.25</v>
      </c>
      <c r="L223" s="298">
        <v>323032.75</v>
      </c>
      <c r="M223" s="298">
        <v>371487.75</v>
      </c>
      <c r="N223" s="298">
        <v>371487.75</v>
      </c>
      <c r="O223" s="298">
        <v>371487.75</v>
      </c>
    </row>
    <row r="224" spans="1:15">
      <c r="A224" s="238">
        <f t="shared" si="4"/>
        <v>223</v>
      </c>
      <c r="B224" s="245" cm="1">
        <f t="array" ref="B224">INDEX(D$1:O$1, MATCH(TRUE, INDEX(($D224:$O224 &lt;&gt; 0), 0),0))</f>
        <v>44196</v>
      </c>
      <c r="C224" s="298">
        <v>0</v>
      </c>
      <c r="D224" s="298">
        <v>0</v>
      </c>
      <c r="E224" s="298">
        <v>0</v>
      </c>
      <c r="F224" s="298">
        <v>0</v>
      </c>
      <c r="G224" s="298">
        <v>105000</v>
      </c>
      <c r="H224" s="298">
        <v>92400</v>
      </c>
      <c r="I224" s="298">
        <v>92400</v>
      </c>
      <c r="J224" s="298">
        <v>122199</v>
      </c>
      <c r="K224" s="298">
        <v>122199</v>
      </c>
      <c r="L224" s="298">
        <v>122199</v>
      </c>
      <c r="M224" s="298">
        <v>140528.75</v>
      </c>
      <c r="N224" s="298">
        <v>123665.5</v>
      </c>
      <c r="O224" s="298">
        <v>142215.25</v>
      </c>
    </row>
    <row r="225" spans="1:15">
      <c r="A225" s="238">
        <f t="shared" si="4"/>
        <v>224</v>
      </c>
      <c r="B225" s="245" cm="1">
        <f t="array" ref="B225">INDEX(D$1:O$1, MATCH(TRUE, INDEX(($D225:$O225 &lt;&gt; 0), 0),0))</f>
        <v>44742</v>
      </c>
      <c r="C225" s="298">
        <v>0</v>
      </c>
      <c r="D225" s="298">
        <v>0</v>
      </c>
      <c r="E225" s="298">
        <v>0</v>
      </c>
      <c r="F225" s="298">
        <v>0</v>
      </c>
      <c r="G225" s="298">
        <v>0</v>
      </c>
      <c r="H225" s="298">
        <v>0</v>
      </c>
      <c r="I225" s="298">
        <v>0</v>
      </c>
      <c r="J225" s="298">
        <v>0</v>
      </c>
      <c r="K225" s="298">
        <v>0</v>
      </c>
      <c r="L225" s="298">
        <v>0</v>
      </c>
      <c r="M225" s="298">
        <v>158700</v>
      </c>
      <c r="N225" s="298">
        <v>160604.5</v>
      </c>
      <c r="O225" s="298">
        <v>160604.5</v>
      </c>
    </row>
    <row r="226" spans="1:15">
      <c r="A226" s="238">
        <f t="shared" si="4"/>
        <v>225</v>
      </c>
      <c r="B226" s="245" cm="1">
        <f t="array" ref="B226">INDEX(D$1:O$1, MATCH(TRUE, INDEX(($D226:$O226 &lt;&gt; 0), 0),0))</f>
        <v>44926</v>
      </c>
      <c r="C226" s="298">
        <v>0</v>
      </c>
      <c r="D226" s="298">
        <v>0</v>
      </c>
      <c r="E226" s="298">
        <v>0</v>
      </c>
      <c r="F226" s="298">
        <v>0</v>
      </c>
      <c r="G226" s="298">
        <v>0</v>
      </c>
      <c r="H226" s="298">
        <v>0</v>
      </c>
      <c r="I226" s="298">
        <v>0</v>
      </c>
      <c r="J226" s="298">
        <v>0</v>
      </c>
      <c r="K226" s="298">
        <v>0</v>
      </c>
      <c r="L226" s="298">
        <v>0</v>
      </c>
      <c r="M226" s="298">
        <v>0</v>
      </c>
      <c r="N226" s="298">
        <v>0</v>
      </c>
      <c r="O226" s="298">
        <v>105000</v>
      </c>
    </row>
    <row r="227" spans="1:15">
      <c r="A227" s="238">
        <f t="shared" si="4"/>
        <v>226</v>
      </c>
      <c r="B227" s="245" cm="1">
        <f t="array" ref="B227">INDEX(D$1:O$1, MATCH(TRUE, INDEX(($D227:$O227 &lt;&gt; 0), 0),0))</f>
        <v>44377</v>
      </c>
      <c r="C227" s="298">
        <v>0</v>
      </c>
      <c r="D227" s="298">
        <v>0</v>
      </c>
      <c r="E227" s="298">
        <v>0</v>
      </c>
      <c r="F227" s="298">
        <v>0</v>
      </c>
      <c r="G227" s="298">
        <v>0</v>
      </c>
      <c r="H227" s="298">
        <v>0</v>
      </c>
      <c r="I227" s="298">
        <v>120000</v>
      </c>
      <c r="J227" s="298">
        <v>120000</v>
      </c>
      <c r="K227" s="298">
        <v>120000</v>
      </c>
      <c r="L227" s="298">
        <v>138000</v>
      </c>
      <c r="M227" s="298">
        <v>158700</v>
      </c>
      <c r="N227" s="298">
        <v>158700</v>
      </c>
      <c r="O227" s="298">
        <v>139656</v>
      </c>
    </row>
    <row r="228" spans="1:15">
      <c r="A228" s="238">
        <f t="shared" si="4"/>
        <v>227</v>
      </c>
      <c r="B228" s="245" cm="1">
        <f t="array" ref="B228">INDEX(D$1:O$1, MATCH(TRUE, INDEX(($D228:$O228 &lt;&gt; 0), 0),0))</f>
        <v>44469</v>
      </c>
      <c r="C228" s="298">
        <v>0</v>
      </c>
      <c r="D228" s="298">
        <v>0</v>
      </c>
      <c r="E228" s="298">
        <v>0</v>
      </c>
      <c r="F228" s="298">
        <v>0</v>
      </c>
      <c r="G228" s="298">
        <v>0</v>
      </c>
      <c r="H228" s="298">
        <v>0</v>
      </c>
      <c r="I228" s="298">
        <v>0</v>
      </c>
      <c r="J228" s="298">
        <v>105000</v>
      </c>
      <c r="K228" s="298">
        <v>105000</v>
      </c>
      <c r="L228" s="298">
        <v>105000</v>
      </c>
      <c r="M228" s="298">
        <v>138862.5</v>
      </c>
      <c r="N228" s="298">
        <v>159692</v>
      </c>
      <c r="O228" s="298">
        <v>183645.75</v>
      </c>
    </row>
    <row r="229" spans="1:15">
      <c r="A229" s="238">
        <f t="shared" si="4"/>
        <v>228</v>
      </c>
      <c r="B229" s="245" cm="1">
        <f t="array" ref="B229">INDEX(D$1:O$1, MATCH(TRUE, INDEX(($D229:$O229 &lt;&gt; 0), 0),0))</f>
        <v>44834</v>
      </c>
      <c r="C229" s="298">
        <v>0</v>
      </c>
      <c r="D229" s="298">
        <v>0</v>
      </c>
      <c r="E229" s="298">
        <v>0</v>
      </c>
      <c r="F229" s="298">
        <v>0</v>
      </c>
      <c r="G229" s="298">
        <v>0</v>
      </c>
      <c r="H229" s="298">
        <v>0</v>
      </c>
      <c r="I229" s="298">
        <v>0</v>
      </c>
      <c r="J229" s="298">
        <v>0</v>
      </c>
      <c r="K229" s="298">
        <v>0</v>
      </c>
      <c r="L229" s="298">
        <v>0</v>
      </c>
      <c r="M229" s="298">
        <v>0</v>
      </c>
      <c r="N229" s="298">
        <v>138000</v>
      </c>
      <c r="O229" s="298">
        <v>158700</v>
      </c>
    </row>
    <row r="230" spans="1:15">
      <c r="A230" s="238">
        <f t="shared" si="4"/>
        <v>229</v>
      </c>
      <c r="B230" s="245" t="e" cm="1">
        <f t="array" ref="B230">INDEX(D$1:O$1, MATCH(TRUE, INDEX(($D230:$O230 &lt;&gt; 0), 0),0))</f>
        <v>#N/A</v>
      </c>
      <c r="C230" s="298">
        <v>0</v>
      </c>
      <c r="D230" s="298">
        <v>0</v>
      </c>
      <c r="E230" s="298">
        <v>0</v>
      </c>
      <c r="F230" s="298">
        <v>0</v>
      </c>
      <c r="G230" s="298">
        <v>0</v>
      </c>
      <c r="H230" s="298">
        <v>0</v>
      </c>
      <c r="I230" s="298">
        <v>0</v>
      </c>
      <c r="J230" s="298">
        <v>0</v>
      </c>
      <c r="K230" s="298">
        <v>0</v>
      </c>
      <c r="L230" s="298">
        <v>0</v>
      </c>
      <c r="M230" s="298">
        <v>0</v>
      </c>
      <c r="N230" s="298">
        <v>0</v>
      </c>
      <c r="O230" s="298">
        <v>0</v>
      </c>
    </row>
    <row r="231" spans="1:15">
      <c r="A231" s="238">
        <f t="shared" si="4"/>
        <v>230</v>
      </c>
      <c r="B231" s="245" cm="1">
        <f t="array" ref="B231">INDEX(D$1:O$1, MATCH(TRUE, INDEX(($D231:$O231 &lt;&gt; 0), 0),0))</f>
        <v>44926</v>
      </c>
      <c r="C231" s="298">
        <v>0</v>
      </c>
      <c r="D231" s="298">
        <v>0</v>
      </c>
      <c r="E231" s="298">
        <v>0</v>
      </c>
      <c r="F231" s="298">
        <v>0</v>
      </c>
      <c r="G231" s="298">
        <v>0</v>
      </c>
      <c r="H231" s="298">
        <v>0</v>
      </c>
      <c r="I231" s="298">
        <v>0</v>
      </c>
      <c r="J231" s="298">
        <v>0</v>
      </c>
      <c r="K231" s="298">
        <v>0</v>
      </c>
      <c r="L231" s="298">
        <v>0</v>
      </c>
      <c r="M231" s="298">
        <v>0</v>
      </c>
      <c r="N231" s="298">
        <v>0</v>
      </c>
      <c r="O231" s="298">
        <v>105000</v>
      </c>
    </row>
    <row r="232" spans="1:15">
      <c r="A232" s="238">
        <f t="shared" si="4"/>
        <v>231</v>
      </c>
      <c r="B232" s="245" cm="1">
        <f t="array" ref="B232">INDEX(D$1:O$1, MATCH(TRUE, INDEX(($D232:$O232 &lt;&gt; 0), 0),0))</f>
        <v>44651</v>
      </c>
      <c r="C232" s="298">
        <v>0</v>
      </c>
      <c r="D232" s="298">
        <v>0</v>
      </c>
      <c r="E232" s="298">
        <v>0</v>
      </c>
      <c r="F232" s="298">
        <v>0</v>
      </c>
      <c r="G232" s="298">
        <v>0</v>
      </c>
      <c r="H232" s="298">
        <v>0</v>
      </c>
      <c r="I232" s="298">
        <v>0</v>
      </c>
      <c r="J232" s="298">
        <v>0</v>
      </c>
      <c r="K232" s="298">
        <v>0</v>
      </c>
      <c r="L232" s="298">
        <v>79350</v>
      </c>
      <c r="M232" s="298">
        <v>91252.5</v>
      </c>
      <c r="N232" s="298">
        <v>80302.25</v>
      </c>
      <c r="O232" s="298">
        <v>92347.5</v>
      </c>
    </row>
    <row r="233" spans="1:15">
      <c r="A233" s="238">
        <f t="shared" si="4"/>
        <v>232</v>
      </c>
      <c r="B233" s="245" cm="1">
        <f t="array" ref="B233">INDEX(D$1:O$1, MATCH(TRUE, INDEX(($D233:$O233 &lt;&gt; 0), 0),0))</f>
        <v>44286</v>
      </c>
      <c r="C233" s="298">
        <v>0</v>
      </c>
      <c r="D233" s="298">
        <v>0</v>
      </c>
      <c r="E233" s="298">
        <v>0</v>
      </c>
      <c r="F233" s="298">
        <v>0</v>
      </c>
      <c r="G233" s="298">
        <v>0</v>
      </c>
      <c r="H233" s="298">
        <v>120000</v>
      </c>
      <c r="I233" s="298">
        <v>139656</v>
      </c>
      <c r="J233" s="298">
        <v>160604.5</v>
      </c>
      <c r="K233" s="298">
        <v>160604.5</v>
      </c>
      <c r="L233" s="298">
        <v>162531.75</v>
      </c>
      <c r="M233" s="298">
        <v>162531.75</v>
      </c>
      <c r="N233" s="298">
        <v>164482</v>
      </c>
      <c r="O233" s="298">
        <v>164482</v>
      </c>
    </row>
    <row r="234" spans="1:15">
      <c r="A234" s="238">
        <f t="shared" si="4"/>
        <v>233</v>
      </c>
      <c r="B234" s="245" cm="1">
        <f t="array" ref="B234">INDEX(D$1:O$1, MATCH(TRUE, INDEX(($D234:$O234 &lt;&gt; 0), 0),0))</f>
        <v>44926</v>
      </c>
      <c r="C234" s="298">
        <v>0</v>
      </c>
      <c r="D234" s="298">
        <v>0</v>
      </c>
      <c r="E234" s="298">
        <v>0</v>
      </c>
      <c r="F234" s="298">
        <v>0</v>
      </c>
      <c r="G234" s="298">
        <v>0</v>
      </c>
      <c r="H234" s="298">
        <v>0</v>
      </c>
      <c r="I234" s="298">
        <v>0</v>
      </c>
      <c r="J234" s="298">
        <v>0</v>
      </c>
      <c r="K234" s="298">
        <v>0</v>
      </c>
      <c r="L234" s="298">
        <v>0</v>
      </c>
      <c r="M234" s="298">
        <v>0</v>
      </c>
      <c r="N234" s="298">
        <v>0</v>
      </c>
      <c r="O234" s="298">
        <v>105000</v>
      </c>
    </row>
    <row r="235" spans="1:15">
      <c r="A235" s="238">
        <f t="shared" si="4"/>
        <v>234</v>
      </c>
      <c r="B235" s="245" cm="1">
        <f t="array" ref="B235">INDEX(D$1:O$1, MATCH(TRUE, INDEX(($D235:$O235 &lt;&gt; 0), 0),0))</f>
        <v>44196</v>
      </c>
      <c r="C235" s="298">
        <v>0</v>
      </c>
      <c r="D235" s="298">
        <v>0</v>
      </c>
      <c r="E235" s="298">
        <v>0</v>
      </c>
      <c r="F235" s="298">
        <v>0</v>
      </c>
      <c r="G235" s="298">
        <v>105600</v>
      </c>
      <c r="H235" s="298">
        <v>106867.25</v>
      </c>
      <c r="I235" s="298">
        <v>122897.25</v>
      </c>
      <c r="J235" s="298">
        <v>141331.75</v>
      </c>
      <c r="K235" s="298">
        <v>141331.75</v>
      </c>
      <c r="L235" s="298">
        <v>141331.75</v>
      </c>
      <c r="M235" s="298">
        <v>141331.75</v>
      </c>
      <c r="N235" s="298">
        <v>141331.75</v>
      </c>
      <c r="O235" s="298">
        <v>162531.75</v>
      </c>
    </row>
    <row r="236" spans="1:15">
      <c r="A236" s="238">
        <f t="shared" si="4"/>
        <v>235</v>
      </c>
      <c r="B236" s="245" cm="1">
        <f t="array" ref="B236">INDEX(D$1:O$1, MATCH(TRUE, INDEX(($D236:$O236 &lt;&gt; 0), 0),0))</f>
        <v>44377</v>
      </c>
      <c r="C236" s="298">
        <v>0</v>
      </c>
      <c r="D236" s="298">
        <v>0</v>
      </c>
      <c r="E236" s="298">
        <v>0</v>
      </c>
      <c r="F236" s="298">
        <v>0</v>
      </c>
      <c r="G236" s="298">
        <v>0</v>
      </c>
      <c r="H236" s="298">
        <v>0</v>
      </c>
      <c r="I236" s="298">
        <v>105000</v>
      </c>
      <c r="J236" s="298">
        <v>105000</v>
      </c>
      <c r="K236" s="298">
        <v>92400</v>
      </c>
      <c r="L236" s="298">
        <v>92400</v>
      </c>
      <c r="M236" s="298">
        <v>81312</v>
      </c>
      <c r="N236" s="298">
        <v>82287.75</v>
      </c>
      <c r="O236" s="298">
        <v>83275.25</v>
      </c>
    </row>
    <row r="237" spans="1:15">
      <c r="A237" s="238">
        <f t="shared" si="4"/>
        <v>236</v>
      </c>
      <c r="B237" s="245" cm="1">
        <f t="array" ref="B237">INDEX(D$1:O$1, MATCH(TRUE, INDEX(($D237:$O237 &lt;&gt; 0), 0),0))</f>
        <v>43921</v>
      </c>
      <c r="C237" s="298">
        <v>105000</v>
      </c>
      <c r="D237" s="298">
        <v>138862.5</v>
      </c>
      <c r="E237" s="298">
        <v>183645.75</v>
      </c>
      <c r="F237" s="298">
        <v>161608.25</v>
      </c>
      <c r="G237" s="298">
        <v>213726.75</v>
      </c>
      <c r="H237" s="298">
        <v>216291.5</v>
      </c>
      <c r="I237" s="298">
        <v>286045.5</v>
      </c>
      <c r="J237" s="298">
        <v>286045.5</v>
      </c>
      <c r="K237" s="298">
        <v>286045.5</v>
      </c>
      <c r="L237" s="298">
        <v>378295.25</v>
      </c>
      <c r="M237" s="298">
        <v>378295.25</v>
      </c>
      <c r="N237" s="298">
        <v>378295.25</v>
      </c>
      <c r="O237" s="298">
        <v>500295.5</v>
      </c>
    </row>
    <row r="238" spans="1:15">
      <c r="A238" s="238">
        <f t="shared" si="4"/>
        <v>237</v>
      </c>
      <c r="B238" s="245" cm="1">
        <f t="array" ref="B238">INDEX(D$1:O$1, MATCH(TRUE, INDEX(($D238:$O238 &lt;&gt; 0), 0),0))</f>
        <v>44377</v>
      </c>
      <c r="C238" s="298">
        <v>0</v>
      </c>
      <c r="D238" s="298">
        <v>0</v>
      </c>
      <c r="E238" s="298">
        <v>0</v>
      </c>
      <c r="F238" s="298">
        <v>0</v>
      </c>
      <c r="G238" s="298">
        <v>0</v>
      </c>
      <c r="H238" s="298">
        <v>0</v>
      </c>
      <c r="I238" s="298">
        <v>120000</v>
      </c>
      <c r="J238" s="298">
        <v>120000</v>
      </c>
      <c r="K238" s="298">
        <v>121440</v>
      </c>
      <c r="L238" s="298">
        <v>139656</v>
      </c>
      <c r="M238" s="298">
        <v>139656</v>
      </c>
      <c r="N238" s="298">
        <v>160604.5</v>
      </c>
      <c r="O238" s="298">
        <v>160604.5</v>
      </c>
    </row>
    <row r="239" spans="1:15">
      <c r="A239" s="238">
        <f t="shared" si="4"/>
        <v>238</v>
      </c>
      <c r="B239" s="245" cm="1">
        <f t="array" ref="B239">INDEX(D$1:O$1, MATCH(TRUE, INDEX(($D239:$O239 &lt;&gt; 0), 0),0))</f>
        <v>44742</v>
      </c>
      <c r="C239" s="298">
        <v>0</v>
      </c>
      <c r="D239" s="298">
        <v>0</v>
      </c>
      <c r="E239" s="298">
        <v>0</v>
      </c>
      <c r="F239" s="298">
        <v>0</v>
      </c>
      <c r="G239" s="298">
        <v>0</v>
      </c>
      <c r="H239" s="298">
        <v>0</v>
      </c>
      <c r="I239" s="298">
        <v>0</v>
      </c>
      <c r="J239" s="298">
        <v>0</v>
      </c>
      <c r="K239" s="298">
        <v>0</v>
      </c>
      <c r="L239" s="298">
        <v>0</v>
      </c>
      <c r="M239" s="298">
        <v>69000</v>
      </c>
      <c r="N239" s="298">
        <v>69828</v>
      </c>
      <c r="O239" s="298">
        <v>69828</v>
      </c>
    </row>
    <row r="240" spans="1:15">
      <c r="A240" s="238">
        <f t="shared" si="4"/>
        <v>239</v>
      </c>
      <c r="B240" s="245" cm="1">
        <f t="array" ref="B240">INDEX(D$1:O$1, MATCH(TRUE, INDEX(($D240:$O240 &lt;&gt; 0), 0),0))</f>
        <v>44196</v>
      </c>
      <c r="C240" s="298">
        <v>0</v>
      </c>
      <c r="D240" s="298">
        <v>0</v>
      </c>
      <c r="E240" s="298">
        <v>0</v>
      </c>
      <c r="F240" s="298">
        <v>0</v>
      </c>
      <c r="G240" s="298">
        <v>60000</v>
      </c>
      <c r="H240" s="298">
        <v>69000</v>
      </c>
      <c r="I240" s="298">
        <v>79350</v>
      </c>
      <c r="J240" s="298">
        <v>91252.5</v>
      </c>
      <c r="K240" s="298">
        <v>80302.25</v>
      </c>
      <c r="L240" s="298">
        <v>80302.25</v>
      </c>
      <c r="M240" s="298">
        <v>122129.5</v>
      </c>
      <c r="N240" s="298">
        <v>123595.25</v>
      </c>
      <c r="O240" s="298">
        <v>142134.5</v>
      </c>
    </row>
    <row r="241" spans="1:15">
      <c r="A241" s="238">
        <f t="shared" si="4"/>
        <v>240</v>
      </c>
      <c r="B241" s="245" cm="1">
        <f t="array" ref="B241">INDEX(D$1:O$1, MATCH(TRUE, INDEX(($D241:$O241 &lt;&gt; 0), 0),0))</f>
        <v>44012</v>
      </c>
      <c r="C241" s="298">
        <v>0</v>
      </c>
      <c r="D241" s="298">
        <v>0</v>
      </c>
      <c r="E241" s="298">
        <v>120750</v>
      </c>
      <c r="F241" s="298">
        <v>120750</v>
      </c>
      <c r="G241" s="298">
        <v>138862.5</v>
      </c>
      <c r="H241" s="298">
        <v>140528.75</v>
      </c>
      <c r="I241" s="298">
        <v>142215.25</v>
      </c>
      <c r="J241" s="298">
        <v>142215.25</v>
      </c>
      <c r="K241" s="298">
        <v>163547.5</v>
      </c>
      <c r="L241" s="298">
        <v>163547.5</v>
      </c>
      <c r="M241" s="298">
        <v>165510</v>
      </c>
      <c r="N241" s="298">
        <v>190336.5</v>
      </c>
      <c r="O241" s="298">
        <v>218887</v>
      </c>
    </row>
    <row r="242" spans="1:15">
      <c r="A242" s="238">
        <f t="shared" si="4"/>
        <v>241</v>
      </c>
      <c r="B242" s="245" cm="1">
        <f t="array" ref="B242">INDEX(D$1:O$1, MATCH(TRUE, INDEX(($D242:$O242 &lt;&gt; 0), 0),0))</f>
        <v>44196</v>
      </c>
      <c r="C242" s="298">
        <v>0</v>
      </c>
      <c r="D242" s="298">
        <v>0</v>
      </c>
      <c r="E242" s="298">
        <v>0</v>
      </c>
      <c r="F242" s="298">
        <v>0</v>
      </c>
      <c r="G242" s="298">
        <v>120000</v>
      </c>
      <c r="H242" s="298">
        <v>105600</v>
      </c>
      <c r="I242" s="298">
        <v>121440</v>
      </c>
      <c r="J242" s="298">
        <v>139656</v>
      </c>
      <c r="K242" s="298">
        <v>139656</v>
      </c>
      <c r="L242" s="298">
        <v>184695</v>
      </c>
      <c r="M242" s="298">
        <v>244259.25</v>
      </c>
      <c r="N242" s="298">
        <v>214948</v>
      </c>
      <c r="O242" s="298">
        <v>214948</v>
      </c>
    </row>
    <row r="243" spans="1:15">
      <c r="A243" s="238">
        <f t="shared" si="4"/>
        <v>242</v>
      </c>
      <c r="B243" s="245" cm="1">
        <f t="array" ref="B243">INDEX(D$1:O$1, MATCH(TRUE, INDEX(($D243:$O243 &lt;&gt; 0), 0),0))</f>
        <v>44196</v>
      </c>
      <c r="C243" s="298">
        <v>0</v>
      </c>
      <c r="D243" s="298">
        <v>0</v>
      </c>
      <c r="E243" s="298">
        <v>0</v>
      </c>
      <c r="F243" s="298">
        <v>0</v>
      </c>
      <c r="G243" s="298">
        <v>120000</v>
      </c>
      <c r="H243" s="298">
        <v>121440</v>
      </c>
      <c r="I243" s="298">
        <v>160604.5</v>
      </c>
      <c r="J243" s="298">
        <v>160604.5</v>
      </c>
      <c r="K243" s="298">
        <v>162531.75</v>
      </c>
      <c r="L243" s="298">
        <v>162531.75</v>
      </c>
      <c r="M243" s="298">
        <v>0</v>
      </c>
      <c r="N243" s="298">
        <v>0</v>
      </c>
      <c r="O243" s="298">
        <v>0</v>
      </c>
    </row>
    <row r="244" spans="1:15">
      <c r="A244" s="238">
        <f t="shared" si="4"/>
        <v>243</v>
      </c>
      <c r="B244" s="245" cm="1">
        <f t="array" ref="B244">INDEX(D$1:O$1, MATCH(TRUE, INDEX(($D244:$O244 &lt;&gt; 0), 0),0))</f>
        <v>44469</v>
      </c>
      <c r="C244" s="298">
        <v>0</v>
      </c>
      <c r="D244" s="298">
        <v>0</v>
      </c>
      <c r="E244" s="298">
        <v>0</v>
      </c>
      <c r="F244" s="298">
        <v>0</v>
      </c>
      <c r="G244" s="298">
        <v>0</v>
      </c>
      <c r="H244" s="298">
        <v>0</v>
      </c>
      <c r="I244" s="298">
        <v>0</v>
      </c>
      <c r="J244" s="298">
        <v>120750</v>
      </c>
      <c r="K244" s="298">
        <v>138862.5</v>
      </c>
      <c r="L244" s="298">
        <v>123665.5</v>
      </c>
      <c r="M244" s="298">
        <v>142215.25</v>
      </c>
      <c r="N244" s="298">
        <v>163547.5</v>
      </c>
      <c r="O244" s="298">
        <v>216291.5</v>
      </c>
    </row>
    <row r="245" spans="1:15">
      <c r="A245" s="238">
        <f t="shared" si="4"/>
        <v>244</v>
      </c>
      <c r="B245" s="245" cm="1">
        <f t="array" ref="B245">INDEX(D$1:O$1, MATCH(TRUE, INDEX(($D245:$O245 &lt;&gt; 0), 0),0))</f>
        <v>44742</v>
      </c>
      <c r="C245" s="298">
        <v>0</v>
      </c>
      <c r="D245" s="298">
        <v>0</v>
      </c>
      <c r="E245" s="298">
        <v>0</v>
      </c>
      <c r="F245" s="298">
        <v>0</v>
      </c>
      <c r="G245" s="298">
        <v>0</v>
      </c>
      <c r="H245" s="298">
        <v>0</v>
      </c>
      <c r="I245" s="298">
        <v>0</v>
      </c>
      <c r="J245" s="298">
        <v>0</v>
      </c>
      <c r="K245" s="298">
        <v>0</v>
      </c>
      <c r="L245" s="298">
        <v>0</v>
      </c>
      <c r="M245" s="298">
        <v>120000</v>
      </c>
      <c r="N245" s="298">
        <v>158700</v>
      </c>
      <c r="O245" s="298">
        <v>182505</v>
      </c>
    </row>
    <row r="246" spans="1:15">
      <c r="A246" s="238">
        <f t="shared" si="4"/>
        <v>245</v>
      </c>
      <c r="B246" s="245" cm="1">
        <f t="array" ref="B246">INDEX(D$1:O$1, MATCH(TRUE, INDEX(($D246:$O246 &lt;&gt; 0), 0),0))</f>
        <v>44377</v>
      </c>
      <c r="C246" s="298">
        <v>0</v>
      </c>
      <c r="D246" s="298">
        <v>0</v>
      </c>
      <c r="E246" s="298">
        <v>0</v>
      </c>
      <c r="F246" s="298">
        <v>0</v>
      </c>
      <c r="G246" s="298">
        <v>0</v>
      </c>
      <c r="H246" s="298">
        <v>0</v>
      </c>
      <c r="I246" s="298">
        <v>105000</v>
      </c>
      <c r="J246" s="298">
        <v>120750</v>
      </c>
      <c r="K246" s="298">
        <v>120750</v>
      </c>
      <c r="L246" s="298">
        <v>120750</v>
      </c>
      <c r="M246" s="298">
        <v>120750</v>
      </c>
      <c r="N246" s="298">
        <v>120750</v>
      </c>
      <c r="O246" s="298">
        <v>138862.5</v>
      </c>
    </row>
    <row r="247" spans="1:15">
      <c r="A247" s="238">
        <f t="shared" si="4"/>
        <v>246</v>
      </c>
      <c r="B247" s="245" cm="1">
        <f t="array" ref="B247">INDEX(D$1:O$1, MATCH(TRUE, INDEX(($D247:$O247 &lt;&gt; 0), 0),0))</f>
        <v>44377</v>
      </c>
      <c r="C247" s="298">
        <v>0</v>
      </c>
      <c r="D247" s="298">
        <v>0</v>
      </c>
      <c r="E247" s="298">
        <v>0</v>
      </c>
      <c r="F247" s="298">
        <v>0</v>
      </c>
      <c r="G247" s="298">
        <v>0</v>
      </c>
      <c r="H247" s="298">
        <v>0</v>
      </c>
      <c r="I247" s="298">
        <v>60000</v>
      </c>
      <c r="J247" s="298">
        <v>69000</v>
      </c>
      <c r="K247" s="298">
        <v>69828</v>
      </c>
      <c r="L247" s="298">
        <v>70666</v>
      </c>
      <c r="M247" s="298">
        <v>70666</v>
      </c>
      <c r="N247" s="298">
        <v>81265.75</v>
      </c>
      <c r="O247" s="298">
        <v>81265.75</v>
      </c>
    </row>
    <row r="248" spans="1:15">
      <c r="A248" s="238">
        <f t="shared" si="4"/>
        <v>247</v>
      </c>
      <c r="B248" s="245" cm="1">
        <f t="array" ref="B248">INDEX(D$1:O$1, MATCH(TRUE, INDEX(($D248:$O248 &lt;&gt; 0), 0),0))</f>
        <v>44377</v>
      </c>
      <c r="C248" s="298">
        <v>0</v>
      </c>
      <c r="D248" s="298">
        <v>0</v>
      </c>
      <c r="E248" s="298">
        <v>0</v>
      </c>
      <c r="F248" s="298">
        <v>0</v>
      </c>
      <c r="G248" s="298">
        <v>0</v>
      </c>
      <c r="H248" s="298">
        <v>0</v>
      </c>
      <c r="I248" s="298">
        <v>60000</v>
      </c>
      <c r="J248" s="298">
        <v>69000</v>
      </c>
      <c r="K248" s="298">
        <v>79350</v>
      </c>
      <c r="L248" s="298">
        <v>80302.25</v>
      </c>
      <c r="M248" s="298">
        <v>92347.5</v>
      </c>
      <c r="N248" s="298">
        <v>106199.75</v>
      </c>
      <c r="O248" s="298">
        <v>122129.5</v>
      </c>
    </row>
    <row r="249" spans="1:15">
      <c r="A249" s="238">
        <f t="shared" si="4"/>
        <v>248</v>
      </c>
      <c r="B249" s="245" cm="1">
        <f t="array" ref="B249">INDEX(D$1:O$1, MATCH(TRUE, INDEX(($D249:$O249 &lt;&gt; 0), 0),0))</f>
        <v>44742</v>
      </c>
      <c r="C249" s="298">
        <v>0</v>
      </c>
      <c r="D249" s="298">
        <v>0</v>
      </c>
      <c r="E249" s="298">
        <v>0</v>
      </c>
      <c r="F249" s="298">
        <v>0</v>
      </c>
      <c r="G249" s="298">
        <v>0</v>
      </c>
      <c r="H249" s="298">
        <v>0</v>
      </c>
      <c r="I249" s="298">
        <v>0</v>
      </c>
      <c r="J249" s="298">
        <v>0</v>
      </c>
      <c r="K249" s="298">
        <v>0</v>
      </c>
      <c r="L249" s="298">
        <v>0</v>
      </c>
      <c r="M249" s="298">
        <v>138000</v>
      </c>
      <c r="N249" s="298">
        <v>139656</v>
      </c>
      <c r="O249" s="298">
        <v>141331.75</v>
      </c>
    </row>
    <row r="250" spans="1:15">
      <c r="A250" s="238">
        <f t="shared" si="4"/>
        <v>249</v>
      </c>
      <c r="B250" s="245" cm="1">
        <f t="array" ref="B250">INDEX(D$1:O$1, MATCH(TRUE, INDEX(($D250:$O250 &lt;&gt; 0), 0),0))</f>
        <v>44196</v>
      </c>
      <c r="C250" s="298">
        <v>0</v>
      </c>
      <c r="D250" s="298">
        <v>0</v>
      </c>
      <c r="E250" s="298">
        <v>0</v>
      </c>
      <c r="F250" s="298">
        <v>0</v>
      </c>
      <c r="G250" s="298">
        <v>105000</v>
      </c>
      <c r="H250" s="298">
        <v>105000</v>
      </c>
      <c r="I250" s="298">
        <v>120750</v>
      </c>
      <c r="J250" s="298">
        <v>120750</v>
      </c>
      <c r="K250" s="298">
        <v>138862.5</v>
      </c>
      <c r="L250" s="298">
        <v>159692</v>
      </c>
      <c r="M250" s="298">
        <v>159692</v>
      </c>
      <c r="N250" s="298">
        <v>183645.75</v>
      </c>
      <c r="O250" s="298">
        <v>242871.5</v>
      </c>
    </row>
    <row r="251" spans="1:15">
      <c r="A251" s="238">
        <f t="shared" si="4"/>
        <v>250</v>
      </c>
      <c r="B251" s="245" cm="1">
        <f t="array" ref="B251">INDEX(D$1:O$1, MATCH(TRUE, INDEX(($D251:$O251 &lt;&gt; 0), 0),0))</f>
        <v>44561</v>
      </c>
      <c r="C251" s="298">
        <v>0</v>
      </c>
      <c r="D251" s="298">
        <v>0</v>
      </c>
      <c r="E251" s="298">
        <v>0</v>
      </c>
      <c r="F251" s="298">
        <v>0</v>
      </c>
      <c r="G251" s="298">
        <v>0</v>
      </c>
      <c r="H251" s="298">
        <v>0</v>
      </c>
      <c r="I251" s="298">
        <v>0</v>
      </c>
      <c r="J251" s="298">
        <v>0</v>
      </c>
      <c r="K251" s="298">
        <v>105000</v>
      </c>
      <c r="L251" s="298">
        <v>159692</v>
      </c>
      <c r="M251" s="298">
        <v>159692</v>
      </c>
      <c r="N251" s="298">
        <v>183645.75</v>
      </c>
      <c r="O251" s="298">
        <v>183645.75</v>
      </c>
    </row>
    <row r="252" spans="1:15">
      <c r="A252" s="238">
        <f t="shared" si="4"/>
        <v>251</v>
      </c>
      <c r="B252" s="245" cm="1">
        <f t="array" ref="B252">INDEX(D$1:O$1, MATCH(TRUE, INDEX(($D252:$O252 &lt;&gt; 0), 0),0))</f>
        <v>44561</v>
      </c>
      <c r="C252" s="298">
        <v>0</v>
      </c>
      <c r="D252" s="298">
        <v>0</v>
      </c>
      <c r="E252" s="298">
        <v>0</v>
      </c>
      <c r="F252" s="298">
        <v>0</v>
      </c>
      <c r="G252" s="298">
        <v>0</v>
      </c>
      <c r="H252" s="298">
        <v>0</v>
      </c>
      <c r="I252" s="298">
        <v>0</v>
      </c>
      <c r="J252" s="298">
        <v>0</v>
      </c>
      <c r="K252" s="298">
        <v>105000</v>
      </c>
      <c r="L252" s="298">
        <v>120750</v>
      </c>
      <c r="M252" s="298">
        <v>120750</v>
      </c>
      <c r="N252" s="298">
        <v>138862.5</v>
      </c>
      <c r="O252" s="298">
        <v>138862.5</v>
      </c>
    </row>
    <row r="253" spans="1:15">
      <c r="A253" s="238">
        <f t="shared" si="4"/>
        <v>252</v>
      </c>
      <c r="B253" s="245" cm="1">
        <f t="array" ref="B253">INDEX(D$1:O$1, MATCH(TRUE, INDEX(($D253:$O253 &lt;&gt; 0), 0),0))</f>
        <v>44926</v>
      </c>
      <c r="C253" s="298">
        <v>0</v>
      </c>
      <c r="D253" s="298">
        <v>0</v>
      </c>
      <c r="E253" s="298">
        <v>0</v>
      </c>
      <c r="F253" s="298">
        <v>0</v>
      </c>
      <c r="G253" s="298">
        <v>0</v>
      </c>
      <c r="H253" s="298">
        <v>0</v>
      </c>
      <c r="I253" s="298">
        <v>0</v>
      </c>
      <c r="J253" s="298">
        <v>0</v>
      </c>
      <c r="K253" s="298">
        <v>0</v>
      </c>
      <c r="L253" s="298">
        <v>0</v>
      </c>
      <c r="M253" s="298">
        <v>0</v>
      </c>
      <c r="N253" s="298">
        <v>0</v>
      </c>
      <c r="O253" s="298">
        <v>105000</v>
      </c>
    </row>
    <row r="254" spans="1:15">
      <c r="A254" s="238">
        <f t="shared" si="4"/>
        <v>253</v>
      </c>
      <c r="B254" s="245" cm="1">
        <f t="array" ref="B254">INDEX(D$1:O$1, MATCH(TRUE, INDEX(($D254:$O254 &lt;&gt; 0), 0),0))</f>
        <v>43921</v>
      </c>
      <c r="C254" s="298">
        <v>211192.5</v>
      </c>
      <c r="D254" s="298">
        <v>211192.5</v>
      </c>
      <c r="E254" s="298">
        <v>211192.5</v>
      </c>
      <c r="F254" s="298">
        <v>211192.5</v>
      </c>
      <c r="G254" s="298">
        <v>213726.75</v>
      </c>
      <c r="H254" s="298">
        <v>216291.5</v>
      </c>
      <c r="I254" s="298">
        <v>216291.5</v>
      </c>
      <c r="J254" s="298">
        <v>248735.25</v>
      </c>
      <c r="K254" s="298">
        <v>328952.5</v>
      </c>
      <c r="L254" s="298">
        <v>378295.25</v>
      </c>
      <c r="M254" s="298">
        <v>435039.5</v>
      </c>
      <c r="N254" s="298">
        <v>435039.5</v>
      </c>
      <c r="O254" s="298">
        <v>440260</v>
      </c>
    </row>
    <row r="255" spans="1:15">
      <c r="A255" s="238">
        <f t="shared" si="4"/>
        <v>254</v>
      </c>
      <c r="B255" s="245" cm="1">
        <f t="array" ref="B255">INDEX(D$1:O$1, MATCH(TRUE, INDEX(($D255:$O255 &lt;&gt; 0), 0),0))</f>
        <v>44286</v>
      </c>
      <c r="C255" s="298">
        <v>0</v>
      </c>
      <c r="D255" s="298">
        <v>0</v>
      </c>
      <c r="E255" s="298">
        <v>0</v>
      </c>
      <c r="F255" s="298">
        <v>0</v>
      </c>
      <c r="G255" s="298">
        <v>0</v>
      </c>
      <c r="H255" s="298">
        <v>105000</v>
      </c>
      <c r="I255" s="298">
        <v>138862.5</v>
      </c>
      <c r="J255" s="298">
        <v>138862.5</v>
      </c>
      <c r="K255" s="298">
        <v>183645.75</v>
      </c>
      <c r="L255" s="298">
        <v>183645.75</v>
      </c>
      <c r="M255" s="298">
        <v>211192.5</v>
      </c>
      <c r="N255" s="298">
        <v>211192.5</v>
      </c>
      <c r="O255" s="298">
        <v>279302</v>
      </c>
    </row>
    <row r="256" spans="1:15">
      <c r="A256" s="238">
        <f t="shared" si="4"/>
        <v>255</v>
      </c>
      <c r="B256" s="245" cm="1">
        <f t="array" ref="B256">INDEX(D$1:O$1, MATCH(TRUE, INDEX(($D256:$O256 &lt;&gt; 0), 0),0))</f>
        <v>44926</v>
      </c>
      <c r="C256" s="298">
        <v>0</v>
      </c>
      <c r="D256" s="298">
        <v>0</v>
      </c>
      <c r="E256" s="298">
        <v>0</v>
      </c>
      <c r="F256" s="298">
        <v>0</v>
      </c>
      <c r="G256" s="298">
        <v>0</v>
      </c>
      <c r="H256" s="298">
        <v>0</v>
      </c>
      <c r="I256" s="298">
        <v>0</v>
      </c>
      <c r="J256" s="298">
        <v>0</v>
      </c>
      <c r="K256" s="298">
        <v>0</v>
      </c>
      <c r="L256" s="298">
        <v>0</v>
      </c>
      <c r="M256" s="298">
        <v>0</v>
      </c>
      <c r="N256" s="298">
        <v>0</v>
      </c>
      <c r="O256" s="298">
        <v>105000</v>
      </c>
    </row>
    <row r="257" spans="1:15">
      <c r="A257" s="238">
        <f t="shared" si="4"/>
        <v>256</v>
      </c>
      <c r="B257" s="245" cm="1">
        <f t="array" ref="B257">INDEX(D$1:O$1, MATCH(TRUE, INDEX(($D257:$O257 &lt;&gt; 0), 0),0))</f>
        <v>44926</v>
      </c>
      <c r="C257" s="298">
        <v>0</v>
      </c>
      <c r="D257" s="298">
        <v>0</v>
      </c>
      <c r="E257" s="298">
        <v>0</v>
      </c>
      <c r="F257" s="298">
        <v>0</v>
      </c>
      <c r="G257" s="298">
        <v>0</v>
      </c>
      <c r="H257" s="298">
        <v>0</v>
      </c>
      <c r="I257" s="298">
        <v>0</v>
      </c>
      <c r="J257" s="298">
        <v>0</v>
      </c>
      <c r="K257" s="298">
        <v>0</v>
      </c>
      <c r="L257" s="298">
        <v>0</v>
      </c>
      <c r="M257" s="298">
        <v>0</v>
      </c>
      <c r="N257" s="298">
        <v>0</v>
      </c>
      <c r="O257" s="298">
        <v>105000</v>
      </c>
    </row>
    <row r="258" spans="1:15">
      <c r="A258" s="238">
        <f t="shared" si="4"/>
        <v>257</v>
      </c>
      <c r="B258" s="245" cm="1">
        <f t="array" ref="B258">INDEX(D$1:O$1, MATCH(TRUE, INDEX(($D258:$O258 &lt;&gt; 0), 0),0))</f>
        <v>43921</v>
      </c>
      <c r="C258" s="298">
        <v>0</v>
      </c>
      <c r="D258" s="298">
        <v>120000</v>
      </c>
      <c r="E258" s="298">
        <v>138000</v>
      </c>
      <c r="F258" s="298">
        <v>138000</v>
      </c>
      <c r="G258" s="298">
        <v>138000</v>
      </c>
      <c r="H258" s="298">
        <v>138000</v>
      </c>
      <c r="I258" s="298">
        <v>158700</v>
      </c>
      <c r="J258" s="298">
        <v>182505</v>
      </c>
      <c r="K258" s="298">
        <v>182505</v>
      </c>
      <c r="L258" s="298">
        <v>209880.75</v>
      </c>
      <c r="M258" s="298">
        <v>277567.25</v>
      </c>
      <c r="N258" s="298">
        <v>277567.25</v>
      </c>
      <c r="O258" s="298">
        <v>277567.25</v>
      </c>
    </row>
    <row r="259" spans="1:15">
      <c r="A259" s="238">
        <f t="shared" ref="A259:A322" si="5">+A258+1</f>
        <v>258</v>
      </c>
      <c r="B259" s="245" cm="1">
        <f t="array" ref="B259">INDEX(D$1:O$1, MATCH(TRUE, INDEX(($D259:$O259 &lt;&gt; 0), 0),0))</f>
        <v>44926</v>
      </c>
      <c r="C259" s="298">
        <v>0</v>
      </c>
      <c r="D259" s="298">
        <v>0</v>
      </c>
      <c r="E259" s="298">
        <v>0</v>
      </c>
      <c r="F259" s="298">
        <v>0</v>
      </c>
      <c r="G259" s="298">
        <v>0</v>
      </c>
      <c r="H259" s="298">
        <v>0</v>
      </c>
      <c r="I259" s="298">
        <v>0</v>
      </c>
      <c r="J259" s="298">
        <v>0</v>
      </c>
      <c r="K259" s="298">
        <v>0</v>
      </c>
      <c r="L259" s="298">
        <v>0</v>
      </c>
      <c r="M259" s="298">
        <v>0</v>
      </c>
      <c r="N259" s="298">
        <v>0</v>
      </c>
      <c r="O259" s="298">
        <v>60000</v>
      </c>
    </row>
    <row r="260" spans="1:15">
      <c r="A260" s="238">
        <f t="shared" si="5"/>
        <v>259</v>
      </c>
      <c r="B260" s="245" cm="1">
        <f t="array" ref="B260">INDEX(D$1:O$1, MATCH(TRUE, INDEX(($D260:$O260 &lt;&gt; 0), 0),0))</f>
        <v>43921</v>
      </c>
      <c r="C260" s="298">
        <v>120000</v>
      </c>
      <c r="D260" s="298">
        <v>121440</v>
      </c>
      <c r="E260" s="298">
        <v>139656</v>
      </c>
      <c r="F260" s="298">
        <v>122897.25</v>
      </c>
      <c r="G260" s="298">
        <v>122897.25</v>
      </c>
      <c r="H260" s="298">
        <v>141331.75</v>
      </c>
      <c r="I260" s="298">
        <v>141331.75</v>
      </c>
      <c r="J260" s="298">
        <v>143027.75</v>
      </c>
      <c r="K260" s="298">
        <v>164482</v>
      </c>
      <c r="L260" s="298">
        <v>164482</v>
      </c>
      <c r="M260" s="298">
        <v>164482</v>
      </c>
      <c r="N260" s="298">
        <v>189154.25</v>
      </c>
      <c r="O260" s="298">
        <v>250156.5</v>
      </c>
    </row>
    <row r="261" spans="1:15">
      <c r="A261" s="238">
        <f t="shared" si="5"/>
        <v>260</v>
      </c>
      <c r="B261" s="245" cm="1">
        <f t="array" ref="B261">INDEX(D$1:O$1, MATCH(TRUE, INDEX(($D261:$O261 &lt;&gt; 0), 0),0))</f>
        <v>43921</v>
      </c>
      <c r="C261" s="298">
        <v>80302.25</v>
      </c>
      <c r="D261" s="298">
        <v>92347.5</v>
      </c>
      <c r="E261" s="298">
        <v>92347.5</v>
      </c>
      <c r="F261" s="298">
        <v>106199.75</v>
      </c>
      <c r="G261" s="298">
        <v>140449</v>
      </c>
      <c r="H261" s="298">
        <v>161516.5</v>
      </c>
      <c r="I261" s="298">
        <v>0</v>
      </c>
      <c r="J261" s="298">
        <v>0</v>
      </c>
      <c r="K261" s="298">
        <v>0</v>
      </c>
      <c r="L261" s="298">
        <v>0</v>
      </c>
      <c r="M261" s="298">
        <v>0</v>
      </c>
      <c r="N261" s="298">
        <v>0</v>
      </c>
      <c r="O261" s="298">
        <v>0</v>
      </c>
    </row>
    <row r="262" spans="1:15">
      <c r="A262" s="238">
        <f t="shared" si="5"/>
        <v>261</v>
      </c>
      <c r="B262" s="245" cm="1">
        <f t="array" ref="B262">INDEX(D$1:O$1, MATCH(TRUE, INDEX(($D262:$O262 &lt;&gt; 0), 0),0))</f>
        <v>44926</v>
      </c>
      <c r="C262" s="298">
        <v>0</v>
      </c>
      <c r="D262" s="298">
        <v>0</v>
      </c>
      <c r="E262" s="298">
        <v>0</v>
      </c>
      <c r="F262" s="298">
        <v>0</v>
      </c>
      <c r="G262" s="298">
        <v>0</v>
      </c>
      <c r="H262" s="298">
        <v>0</v>
      </c>
      <c r="I262" s="298">
        <v>0</v>
      </c>
      <c r="J262" s="298">
        <v>0</v>
      </c>
      <c r="K262" s="298">
        <v>0</v>
      </c>
      <c r="L262" s="298">
        <v>0</v>
      </c>
      <c r="M262" s="298">
        <v>0</v>
      </c>
      <c r="N262" s="298">
        <v>0</v>
      </c>
      <c r="O262" s="298">
        <v>105000</v>
      </c>
    </row>
    <row r="263" spans="1:15">
      <c r="A263" s="238">
        <f t="shared" si="5"/>
        <v>262</v>
      </c>
      <c r="B263" s="245" cm="1">
        <f t="array" ref="B263">INDEX(D$1:O$1, MATCH(TRUE, INDEX(($D263:$O263 &lt;&gt; 0), 0),0))</f>
        <v>44561</v>
      </c>
      <c r="C263" s="298">
        <v>0</v>
      </c>
      <c r="D263" s="298">
        <v>0</v>
      </c>
      <c r="E263" s="298">
        <v>0</v>
      </c>
      <c r="F263" s="298">
        <v>0</v>
      </c>
      <c r="G263" s="298">
        <v>0</v>
      </c>
      <c r="H263" s="298">
        <v>0</v>
      </c>
      <c r="I263" s="298">
        <v>0</v>
      </c>
      <c r="J263" s="298">
        <v>0</v>
      </c>
      <c r="K263" s="298">
        <v>120000</v>
      </c>
      <c r="L263" s="298">
        <v>105600</v>
      </c>
      <c r="M263" s="298">
        <v>105600</v>
      </c>
      <c r="N263" s="298">
        <v>105600</v>
      </c>
      <c r="O263" s="298">
        <v>121440</v>
      </c>
    </row>
    <row r="264" spans="1:15">
      <c r="A264" s="238">
        <f t="shared" si="5"/>
        <v>263</v>
      </c>
      <c r="B264" s="245" cm="1">
        <f t="array" ref="B264">INDEX(D$1:O$1, MATCH(TRUE, INDEX(($D264:$O264 &lt;&gt; 0), 0),0))</f>
        <v>43921</v>
      </c>
      <c r="C264" s="298">
        <v>0</v>
      </c>
      <c r="D264" s="298">
        <v>120000</v>
      </c>
      <c r="E264" s="298">
        <v>92928</v>
      </c>
      <c r="F264" s="298">
        <v>92928</v>
      </c>
      <c r="G264" s="298">
        <v>122897.25</v>
      </c>
      <c r="H264" s="298">
        <v>122897.25</v>
      </c>
      <c r="I264" s="298">
        <v>108149.5</v>
      </c>
      <c r="J264" s="298">
        <v>124372</v>
      </c>
      <c r="K264" s="298">
        <v>109447.5</v>
      </c>
      <c r="L264" s="298">
        <v>125864.5</v>
      </c>
      <c r="M264" s="298">
        <v>144744.25</v>
      </c>
      <c r="N264" s="298">
        <v>166455.75</v>
      </c>
      <c r="O264" s="298">
        <v>220137.75</v>
      </c>
    </row>
    <row r="265" spans="1:15">
      <c r="A265" s="238">
        <f t="shared" si="5"/>
        <v>264</v>
      </c>
      <c r="B265" s="245" cm="1">
        <f t="array" ref="B265">INDEX(D$1:O$1, MATCH(TRUE, INDEX(($D265:$O265 &lt;&gt; 0), 0),0))</f>
        <v>44834</v>
      </c>
      <c r="C265" s="298">
        <v>0</v>
      </c>
      <c r="D265" s="298">
        <v>0</v>
      </c>
      <c r="E265" s="298">
        <v>0</v>
      </c>
      <c r="F265" s="298">
        <v>0</v>
      </c>
      <c r="G265" s="298">
        <v>0</v>
      </c>
      <c r="H265" s="298">
        <v>0</v>
      </c>
      <c r="I265" s="298">
        <v>0</v>
      </c>
      <c r="J265" s="298">
        <v>0</v>
      </c>
      <c r="K265" s="298">
        <v>0</v>
      </c>
      <c r="L265" s="298">
        <v>0</v>
      </c>
      <c r="M265" s="298">
        <v>0</v>
      </c>
      <c r="N265" s="298">
        <v>60000</v>
      </c>
      <c r="O265" s="298">
        <v>69000</v>
      </c>
    </row>
    <row r="266" spans="1:15">
      <c r="A266" s="238">
        <f t="shared" si="5"/>
        <v>265</v>
      </c>
      <c r="B266" s="245" cm="1">
        <f t="array" ref="B266">INDEX(D$1:O$1, MATCH(TRUE, INDEX(($D266:$O266 &lt;&gt; 0), 0),0))</f>
        <v>44651</v>
      </c>
      <c r="C266" s="298">
        <v>0</v>
      </c>
      <c r="D266" s="298">
        <v>0</v>
      </c>
      <c r="E266" s="298">
        <v>0</v>
      </c>
      <c r="F266" s="298">
        <v>0</v>
      </c>
      <c r="G266" s="298">
        <v>0</v>
      </c>
      <c r="H266" s="298">
        <v>0</v>
      </c>
      <c r="I266" s="298">
        <v>0</v>
      </c>
      <c r="J266" s="298">
        <v>0</v>
      </c>
      <c r="K266" s="298">
        <v>0</v>
      </c>
      <c r="L266" s="298">
        <v>120000</v>
      </c>
      <c r="M266" s="298">
        <v>121440</v>
      </c>
      <c r="N266" s="298">
        <v>121440</v>
      </c>
      <c r="O266" s="298">
        <v>122897.25</v>
      </c>
    </row>
    <row r="267" spans="1:15">
      <c r="A267" s="238">
        <f t="shared" si="5"/>
        <v>266</v>
      </c>
      <c r="B267" s="245" cm="1">
        <f t="array" ref="B267">INDEX(D$1:O$1, MATCH(TRUE, INDEX(($D267:$O267 &lt;&gt; 0), 0),0))</f>
        <v>43921</v>
      </c>
      <c r="C267" s="298">
        <v>0</v>
      </c>
      <c r="D267" s="298">
        <v>69000</v>
      </c>
      <c r="E267" s="298">
        <v>60720</v>
      </c>
      <c r="F267" s="298">
        <v>69828</v>
      </c>
      <c r="G267" s="298">
        <v>69828</v>
      </c>
      <c r="H267" s="298">
        <v>80302.25</v>
      </c>
      <c r="I267" s="298">
        <v>80302.25</v>
      </c>
      <c r="J267" s="298">
        <v>80302.25</v>
      </c>
      <c r="K267" s="298">
        <v>81265.75</v>
      </c>
      <c r="L267" s="298">
        <v>107474</v>
      </c>
      <c r="M267" s="298">
        <v>107474</v>
      </c>
      <c r="N267" s="298">
        <v>95712</v>
      </c>
      <c r="O267" s="298">
        <v>126579.25</v>
      </c>
    </row>
    <row r="268" spans="1:15">
      <c r="A268" s="238">
        <f t="shared" si="5"/>
        <v>267</v>
      </c>
      <c r="B268" s="245" cm="1">
        <f t="array" ref="B268">INDEX(D$1:O$1, MATCH(TRUE, INDEX(($D268:$O268 &lt;&gt; 0), 0),0))</f>
        <v>44651</v>
      </c>
      <c r="C268" s="298">
        <v>0</v>
      </c>
      <c r="D268" s="298">
        <v>0</v>
      </c>
      <c r="E268" s="298">
        <v>0</v>
      </c>
      <c r="F268" s="298">
        <v>0</v>
      </c>
      <c r="G268" s="298">
        <v>0</v>
      </c>
      <c r="H268" s="298">
        <v>0</v>
      </c>
      <c r="I268" s="298">
        <v>0</v>
      </c>
      <c r="J268" s="298">
        <v>0</v>
      </c>
      <c r="K268" s="298">
        <v>0</v>
      </c>
      <c r="L268" s="298">
        <v>120000</v>
      </c>
      <c r="M268" s="298">
        <v>120000</v>
      </c>
      <c r="N268" s="298">
        <v>158700</v>
      </c>
      <c r="O268" s="298">
        <v>209880.75</v>
      </c>
    </row>
    <row r="269" spans="1:15">
      <c r="A269" s="238">
        <f t="shared" si="5"/>
        <v>268</v>
      </c>
      <c r="B269" s="245" cm="1">
        <f t="array" ref="B269">INDEX(D$1:O$1, MATCH(TRUE, INDEX(($D269:$O269 &lt;&gt; 0), 0),0))</f>
        <v>44196</v>
      </c>
      <c r="C269" s="298">
        <v>0</v>
      </c>
      <c r="D269" s="298">
        <v>0</v>
      </c>
      <c r="E269" s="298">
        <v>0</v>
      </c>
      <c r="F269" s="298">
        <v>0</v>
      </c>
      <c r="G269" s="298">
        <v>105000</v>
      </c>
      <c r="H269" s="298">
        <v>120750</v>
      </c>
      <c r="I269" s="298">
        <v>120750</v>
      </c>
      <c r="J269" s="298">
        <v>106260</v>
      </c>
      <c r="K269" s="298">
        <v>122199</v>
      </c>
      <c r="L269" s="298">
        <v>123665.5</v>
      </c>
      <c r="M269" s="298">
        <v>142215.25</v>
      </c>
      <c r="N269" s="298">
        <v>188079.5</v>
      </c>
      <c r="O269" s="298">
        <v>216291.5</v>
      </c>
    </row>
    <row r="270" spans="1:15">
      <c r="A270" s="238">
        <f t="shared" si="5"/>
        <v>269</v>
      </c>
      <c r="B270" s="245" cm="1">
        <f t="array" ref="B270">INDEX(D$1:O$1, MATCH(TRUE, INDEX(($D270:$O270 &lt;&gt; 0), 0),0))</f>
        <v>44651</v>
      </c>
      <c r="C270" s="298">
        <v>0</v>
      </c>
      <c r="D270" s="298">
        <v>0</v>
      </c>
      <c r="E270" s="298">
        <v>0</v>
      </c>
      <c r="F270" s="298">
        <v>0</v>
      </c>
      <c r="G270" s="298">
        <v>0</v>
      </c>
      <c r="H270" s="298">
        <v>0</v>
      </c>
      <c r="I270" s="298">
        <v>0</v>
      </c>
      <c r="J270" s="298">
        <v>0</v>
      </c>
      <c r="K270" s="298">
        <v>0</v>
      </c>
      <c r="L270" s="298">
        <v>120000</v>
      </c>
      <c r="M270" s="298">
        <v>138000</v>
      </c>
      <c r="N270" s="298">
        <v>121440</v>
      </c>
      <c r="O270" s="298">
        <v>139656</v>
      </c>
    </row>
    <row r="271" spans="1:15">
      <c r="A271" s="238">
        <f t="shared" si="5"/>
        <v>270</v>
      </c>
      <c r="B271" s="245" cm="1">
        <f t="array" ref="B271">INDEX(D$1:O$1, MATCH(TRUE, INDEX(($D271:$O271 &lt;&gt; 0), 0),0))</f>
        <v>44926</v>
      </c>
      <c r="C271" s="298">
        <v>0</v>
      </c>
      <c r="D271" s="298">
        <v>0</v>
      </c>
      <c r="E271" s="298">
        <v>0</v>
      </c>
      <c r="F271" s="298">
        <v>0</v>
      </c>
      <c r="G271" s="298">
        <v>0</v>
      </c>
      <c r="H271" s="298">
        <v>0</v>
      </c>
      <c r="I271" s="298">
        <v>0</v>
      </c>
      <c r="J271" s="298">
        <v>0</v>
      </c>
      <c r="K271" s="298">
        <v>0</v>
      </c>
      <c r="L271" s="298">
        <v>0</v>
      </c>
      <c r="M271" s="298">
        <v>0</v>
      </c>
      <c r="N271" s="298">
        <v>0</v>
      </c>
      <c r="O271" s="298">
        <v>60000</v>
      </c>
    </row>
    <row r="272" spans="1:15">
      <c r="A272" s="238">
        <f t="shared" si="5"/>
        <v>271</v>
      </c>
      <c r="B272" s="245" cm="1">
        <f t="array" ref="B272">INDEX(D$1:O$1, MATCH(TRUE, INDEX(($D272:$O272 &lt;&gt; 0), 0),0))</f>
        <v>44651</v>
      </c>
      <c r="C272" s="298">
        <v>0</v>
      </c>
      <c r="D272" s="298">
        <v>0</v>
      </c>
      <c r="E272" s="298">
        <v>0</v>
      </c>
      <c r="F272" s="298">
        <v>0</v>
      </c>
      <c r="G272" s="298">
        <v>0</v>
      </c>
      <c r="H272" s="298">
        <v>0</v>
      </c>
      <c r="I272" s="298">
        <v>0</v>
      </c>
      <c r="J272" s="298">
        <v>0</v>
      </c>
      <c r="K272" s="298">
        <v>0</v>
      </c>
      <c r="L272" s="298">
        <v>120750</v>
      </c>
      <c r="M272" s="298">
        <v>138862.5</v>
      </c>
      <c r="N272" s="298">
        <v>159692</v>
      </c>
      <c r="O272" s="298">
        <v>140528.75</v>
      </c>
    </row>
    <row r="273" spans="1:15">
      <c r="A273" s="238">
        <f t="shared" si="5"/>
        <v>272</v>
      </c>
      <c r="B273" s="245" cm="1">
        <f t="array" ref="B273">INDEX(D$1:O$1, MATCH(TRUE, INDEX(($D273:$O273 &lt;&gt; 0), 0),0))</f>
        <v>44286</v>
      </c>
      <c r="C273" s="298">
        <v>0</v>
      </c>
      <c r="D273" s="298">
        <v>0</v>
      </c>
      <c r="E273" s="298">
        <v>0</v>
      </c>
      <c r="F273" s="298">
        <v>0</v>
      </c>
      <c r="G273" s="298">
        <v>0</v>
      </c>
      <c r="H273" s="298">
        <v>138000</v>
      </c>
      <c r="I273" s="298">
        <v>182505</v>
      </c>
      <c r="J273" s="298">
        <v>241362.75</v>
      </c>
      <c r="K273" s="298">
        <v>277567.25</v>
      </c>
      <c r="L273" s="298">
        <v>277567.25</v>
      </c>
      <c r="M273" s="298">
        <v>277567.25</v>
      </c>
      <c r="N273" s="298">
        <v>277567.25</v>
      </c>
      <c r="O273" s="298">
        <v>277567.25</v>
      </c>
    </row>
    <row r="274" spans="1:15">
      <c r="A274" s="238">
        <f t="shared" si="5"/>
        <v>273</v>
      </c>
      <c r="B274" s="245" cm="1">
        <f t="array" ref="B274">INDEX(D$1:O$1, MATCH(TRUE, INDEX(($D274:$O274 &lt;&gt; 0), 0),0))</f>
        <v>44469</v>
      </c>
      <c r="C274" s="298">
        <v>0</v>
      </c>
      <c r="D274" s="298">
        <v>0</v>
      </c>
      <c r="E274" s="298">
        <v>0</v>
      </c>
      <c r="F274" s="298">
        <v>0</v>
      </c>
      <c r="G274" s="298">
        <v>0</v>
      </c>
      <c r="H274" s="298">
        <v>0</v>
      </c>
      <c r="I274" s="298">
        <v>0</v>
      </c>
      <c r="J274" s="298">
        <v>105000</v>
      </c>
      <c r="K274" s="298">
        <v>105000</v>
      </c>
      <c r="L274" s="298">
        <v>92400</v>
      </c>
      <c r="M274" s="298">
        <v>106260</v>
      </c>
      <c r="N274" s="298">
        <v>122199</v>
      </c>
      <c r="O274" s="298">
        <v>123665.5</v>
      </c>
    </row>
    <row r="275" spans="1:15">
      <c r="A275" s="238">
        <f t="shared" si="5"/>
        <v>274</v>
      </c>
      <c r="B275" s="245" cm="1">
        <f t="array" ref="B275">INDEX(D$1:O$1, MATCH(TRUE, INDEX(($D275:$O275 &lt;&gt; 0), 0),0))</f>
        <v>44651</v>
      </c>
      <c r="C275" s="298">
        <v>0</v>
      </c>
      <c r="D275" s="298">
        <v>0</v>
      </c>
      <c r="E275" s="298">
        <v>0</v>
      </c>
      <c r="F275" s="298">
        <v>0</v>
      </c>
      <c r="G275" s="298">
        <v>0</v>
      </c>
      <c r="H275" s="298">
        <v>0</v>
      </c>
      <c r="I275" s="298">
        <v>0</v>
      </c>
      <c r="J275" s="298">
        <v>0</v>
      </c>
      <c r="K275" s="298">
        <v>0</v>
      </c>
      <c r="L275" s="298">
        <v>120750</v>
      </c>
      <c r="M275" s="298">
        <v>120750</v>
      </c>
      <c r="N275" s="298">
        <v>138862.5</v>
      </c>
      <c r="O275" s="298">
        <v>183645.75</v>
      </c>
    </row>
    <row r="276" spans="1:15">
      <c r="A276" s="238">
        <f t="shared" si="5"/>
        <v>275</v>
      </c>
      <c r="B276" s="245" cm="1">
        <f t="array" ref="B276">INDEX(D$1:O$1, MATCH(TRUE, INDEX(($D276:$O276 &lt;&gt; 0), 0),0))</f>
        <v>44926</v>
      </c>
      <c r="C276" s="298">
        <v>0</v>
      </c>
      <c r="D276" s="298">
        <v>0</v>
      </c>
      <c r="E276" s="298">
        <v>0</v>
      </c>
      <c r="F276" s="298">
        <v>0</v>
      </c>
      <c r="G276" s="298">
        <v>0</v>
      </c>
      <c r="H276" s="298">
        <v>0</v>
      </c>
      <c r="I276" s="298">
        <v>0</v>
      </c>
      <c r="J276" s="298">
        <v>0</v>
      </c>
      <c r="K276" s="298">
        <v>0</v>
      </c>
      <c r="L276" s="298">
        <v>0</v>
      </c>
      <c r="M276" s="298">
        <v>0</v>
      </c>
      <c r="N276" s="298">
        <v>0</v>
      </c>
      <c r="O276" s="298">
        <v>105600</v>
      </c>
    </row>
    <row r="277" spans="1:15">
      <c r="A277" s="238">
        <f t="shared" si="5"/>
        <v>276</v>
      </c>
      <c r="B277" s="245" cm="1">
        <f t="array" ref="B277">INDEX(D$1:O$1, MATCH(TRUE, INDEX(($D277:$O277 &lt;&gt; 0), 0),0))</f>
        <v>44926</v>
      </c>
      <c r="C277" s="298">
        <v>0</v>
      </c>
      <c r="D277" s="298">
        <v>0</v>
      </c>
      <c r="E277" s="298">
        <v>0</v>
      </c>
      <c r="F277" s="298">
        <v>0</v>
      </c>
      <c r="G277" s="298">
        <v>0</v>
      </c>
      <c r="H277" s="298">
        <v>0</v>
      </c>
      <c r="I277" s="298">
        <v>0</v>
      </c>
      <c r="J277" s="298">
        <v>0</v>
      </c>
      <c r="K277" s="298">
        <v>0</v>
      </c>
      <c r="L277" s="298">
        <v>0</v>
      </c>
      <c r="M277" s="298">
        <v>0</v>
      </c>
      <c r="N277" s="298">
        <v>0</v>
      </c>
      <c r="O277" s="298">
        <v>105000</v>
      </c>
    </row>
    <row r="278" spans="1:15">
      <c r="A278" s="238">
        <f t="shared" si="5"/>
        <v>277</v>
      </c>
      <c r="B278" s="245" cm="1">
        <f t="array" ref="B278">INDEX(D$1:O$1, MATCH(TRUE, INDEX(($D278:$O278 &lt;&gt; 0), 0),0))</f>
        <v>44742</v>
      </c>
      <c r="C278" s="298">
        <v>0</v>
      </c>
      <c r="D278" s="298">
        <v>0</v>
      </c>
      <c r="E278" s="298">
        <v>0</v>
      </c>
      <c r="F278" s="298">
        <v>0</v>
      </c>
      <c r="G278" s="298">
        <v>0</v>
      </c>
      <c r="H278" s="298">
        <v>0</v>
      </c>
      <c r="I278" s="298">
        <v>0</v>
      </c>
      <c r="J278" s="298">
        <v>0</v>
      </c>
      <c r="K278" s="298">
        <v>0</v>
      </c>
      <c r="L278" s="298">
        <v>0</v>
      </c>
      <c r="M278" s="298">
        <v>92400</v>
      </c>
      <c r="N278" s="298">
        <v>140528.75</v>
      </c>
      <c r="O278" s="298">
        <v>140528.75</v>
      </c>
    </row>
    <row r="279" spans="1:15">
      <c r="A279" s="238">
        <f t="shared" si="5"/>
        <v>278</v>
      </c>
      <c r="B279" s="245" cm="1">
        <f t="array" ref="B279">INDEX(D$1:O$1, MATCH(TRUE, INDEX(($D279:$O279 &lt;&gt; 0), 0),0))</f>
        <v>44926</v>
      </c>
      <c r="C279" s="298">
        <v>0</v>
      </c>
      <c r="D279" s="298">
        <v>0</v>
      </c>
      <c r="E279" s="298">
        <v>0</v>
      </c>
      <c r="F279" s="298">
        <v>0</v>
      </c>
      <c r="G279" s="298">
        <v>0</v>
      </c>
      <c r="H279" s="298">
        <v>0</v>
      </c>
      <c r="I279" s="298">
        <v>0</v>
      </c>
      <c r="J279" s="298">
        <v>0</v>
      </c>
      <c r="K279" s="298">
        <v>0</v>
      </c>
      <c r="L279" s="298">
        <v>0</v>
      </c>
      <c r="M279" s="298">
        <v>0</v>
      </c>
      <c r="N279" s="298">
        <v>0</v>
      </c>
      <c r="O279" s="298">
        <v>105000</v>
      </c>
    </row>
    <row r="280" spans="1:15">
      <c r="A280" s="238">
        <f t="shared" si="5"/>
        <v>279</v>
      </c>
      <c r="B280" s="245" cm="1">
        <f t="array" ref="B280">INDEX(D$1:O$1, MATCH(TRUE, INDEX(($D280:$O280 &lt;&gt; 0), 0),0))</f>
        <v>44926</v>
      </c>
      <c r="C280" s="298">
        <v>0</v>
      </c>
      <c r="D280" s="298">
        <v>0</v>
      </c>
      <c r="E280" s="298">
        <v>0</v>
      </c>
      <c r="F280" s="298">
        <v>0</v>
      </c>
      <c r="G280" s="298">
        <v>0</v>
      </c>
      <c r="H280" s="298">
        <v>0</v>
      </c>
      <c r="I280" s="298">
        <v>0</v>
      </c>
      <c r="J280" s="298">
        <v>0</v>
      </c>
      <c r="K280" s="298">
        <v>0</v>
      </c>
      <c r="L280" s="298">
        <v>0</v>
      </c>
      <c r="M280" s="298">
        <v>0</v>
      </c>
      <c r="N280" s="298">
        <v>0</v>
      </c>
      <c r="O280" s="298">
        <v>120000</v>
      </c>
    </row>
    <row r="281" spans="1:15">
      <c r="A281" s="238">
        <f t="shared" si="5"/>
        <v>280</v>
      </c>
      <c r="B281" s="245" cm="1">
        <f t="array" ref="B281">INDEX(D$1:O$1, MATCH(TRUE, INDEX(($D281:$O281 &lt;&gt; 0), 0),0))</f>
        <v>44834</v>
      </c>
      <c r="C281" s="298">
        <v>0</v>
      </c>
      <c r="D281" s="298">
        <v>0</v>
      </c>
      <c r="E281" s="298">
        <v>0</v>
      </c>
      <c r="F281" s="298">
        <v>0</v>
      </c>
      <c r="G281" s="298">
        <v>0</v>
      </c>
      <c r="H281" s="298">
        <v>0</v>
      </c>
      <c r="I281" s="298">
        <v>0</v>
      </c>
      <c r="J281" s="298">
        <v>0</v>
      </c>
      <c r="K281" s="298">
        <v>0</v>
      </c>
      <c r="L281" s="298">
        <v>0</v>
      </c>
      <c r="M281" s="298">
        <v>0</v>
      </c>
      <c r="N281" s="298">
        <v>120000</v>
      </c>
      <c r="O281" s="298">
        <v>121440</v>
      </c>
    </row>
    <row r="282" spans="1:15">
      <c r="A282" s="238">
        <f t="shared" si="5"/>
        <v>281</v>
      </c>
      <c r="B282" s="245" cm="1">
        <f t="array" ref="B282">INDEX(D$1:O$1, MATCH(TRUE, INDEX(($D282:$O282 &lt;&gt; 0), 0),0))</f>
        <v>44651</v>
      </c>
      <c r="C282" s="298">
        <v>0</v>
      </c>
      <c r="D282" s="298">
        <v>0</v>
      </c>
      <c r="E282" s="298">
        <v>0</v>
      </c>
      <c r="F282" s="298">
        <v>0</v>
      </c>
      <c r="G282" s="298">
        <v>0</v>
      </c>
      <c r="H282" s="298">
        <v>0</v>
      </c>
      <c r="I282" s="298">
        <v>0</v>
      </c>
      <c r="J282" s="298">
        <v>0</v>
      </c>
      <c r="K282" s="298">
        <v>0</v>
      </c>
      <c r="L282" s="298">
        <v>60000</v>
      </c>
      <c r="M282" s="298">
        <v>79350</v>
      </c>
      <c r="N282" s="298">
        <v>80302.25</v>
      </c>
      <c r="O282" s="298">
        <v>92347.5</v>
      </c>
    </row>
    <row r="283" spans="1:15">
      <c r="A283" s="238">
        <f t="shared" si="5"/>
        <v>282</v>
      </c>
      <c r="B283" s="245" cm="1">
        <f t="array" ref="B283">INDEX(D$1:O$1, MATCH(TRUE, INDEX(($D283:$O283 &lt;&gt; 0), 0),0))</f>
        <v>43921</v>
      </c>
      <c r="C283" s="298">
        <v>160604.5</v>
      </c>
      <c r="D283" s="298">
        <v>160604.5</v>
      </c>
      <c r="E283" s="298">
        <v>184695</v>
      </c>
      <c r="F283" s="298">
        <v>212399.25</v>
      </c>
      <c r="G283" s="298">
        <v>164482</v>
      </c>
      <c r="H283" s="298">
        <v>189154.25</v>
      </c>
      <c r="I283" s="298">
        <v>217527.5</v>
      </c>
      <c r="J283" s="298">
        <v>217527.5</v>
      </c>
      <c r="K283" s="298">
        <v>217527.5</v>
      </c>
      <c r="L283" s="298">
        <v>250156.5</v>
      </c>
      <c r="M283" s="298">
        <v>250156.5</v>
      </c>
      <c r="N283" s="298">
        <v>287680</v>
      </c>
      <c r="O283" s="298">
        <v>287680</v>
      </c>
    </row>
    <row r="284" spans="1:15">
      <c r="A284" s="238">
        <f t="shared" si="5"/>
        <v>283</v>
      </c>
      <c r="B284" s="245" cm="1">
        <f t="array" ref="B284">INDEX(D$1:O$1, MATCH(TRUE, INDEX(($D284:$O284 &lt;&gt; 0), 0),0))</f>
        <v>44651</v>
      </c>
      <c r="C284" s="298">
        <v>0</v>
      </c>
      <c r="D284" s="298">
        <v>0</v>
      </c>
      <c r="E284" s="298">
        <v>0</v>
      </c>
      <c r="F284" s="298">
        <v>0</v>
      </c>
      <c r="G284" s="298">
        <v>0</v>
      </c>
      <c r="H284" s="298">
        <v>0</v>
      </c>
      <c r="I284" s="298">
        <v>0</v>
      </c>
      <c r="J284" s="298">
        <v>0</v>
      </c>
      <c r="K284" s="298">
        <v>0</v>
      </c>
      <c r="L284" s="298">
        <v>120000</v>
      </c>
      <c r="M284" s="298">
        <v>139656</v>
      </c>
      <c r="N284" s="298">
        <v>139656</v>
      </c>
      <c r="O284" s="298">
        <v>139656</v>
      </c>
    </row>
    <row r="285" spans="1:15">
      <c r="A285" s="238">
        <f t="shared" si="5"/>
        <v>284</v>
      </c>
      <c r="B285" s="245" cm="1">
        <f t="array" ref="B285">INDEX(D$1:O$1, MATCH(TRUE, INDEX(($D285:$O285 &lt;&gt; 0), 0),0))</f>
        <v>44286</v>
      </c>
      <c r="C285" s="298">
        <v>0</v>
      </c>
      <c r="D285" s="298">
        <v>0</v>
      </c>
      <c r="E285" s="298">
        <v>0</v>
      </c>
      <c r="F285" s="298">
        <v>0</v>
      </c>
      <c r="G285" s="298">
        <v>0</v>
      </c>
      <c r="H285" s="298">
        <v>120750</v>
      </c>
      <c r="I285" s="298">
        <v>138862.5</v>
      </c>
      <c r="J285" s="298">
        <v>138862.5</v>
      </c>
      <c r="K285" s="298">
        <v>183645.75</v>
      </c>
      <c r="L285" s="298">
        <v>211192.5</v>
      </c>
      <c r="M285" s="298">
        <v>279302</v>
      </c>
      <c r="N285" s="298">
        <v>369377</v>
      </c>
      <c r="O285" s="298">
        <v>424783.5</v>
      </c>
    </row>
    <row r="286" spans="1:15">
      <c r="A286" s="238">
        <f t="shared" si="5"/>
        <v>285</v>
      </c>
      <c r="B286" s="245" cm="1">
        <f t="array" ref="B286">INDEX(D$1:O$1, MATCH(TRUE, INDEX(($D286:$O286 &lt;&gt; 0), 0),0))</f>
        <v>44742</v>
      </c>
      <c r="C286" s="298">
        <v>0</v>
      </c>
      <c r="D286" s="298">
        <v>0</v>
      </c>
      <c r="E286" s="298">
        <v>0</v>
      </c>
      <c r="F286" s="298">
        <v>0</v>
      </c>
      <c r="G286" s="298">
        <v>0</v>
      </c>
      <c r="H286" s="298">
        <v>0</v>
      </c>
      <c r="I286" s="298">
        <v>0</v>
      </c>
      <c r="J286" s="298">
        <v>0</v>
      </c>
      <c r="K286" s="298">
        <v>0</v>
      </c>
      <c r="L286" s="298">
        <v>0</v>
      </c>
      <c r="M286" s="298">
        <v>120000</v>
      </c>
      <c r="N286" s="298">
        <v>138000</v>
      </c>
      <c r="O286" s="298">
        <v>160604.5</v>
      </c>
    </row>
    <row r="287" spans="1:15">
      <c r="A287" s="238">
        <f t="shared" si="5"/>
        <v>286</v>
      </c>
      <c r="B287" s="245" cm="1">
        <f t="array" ref="B287">INDEX(D$1:O$1, MATCH(TRUE, INDEX(($D287:$O287 &lt;&gt; 0), 0),0))</f>
        <v>44926</v>
      </c>
      <c r="C287" s="298">
        <v>0</v>
      </c>
      <c r="D287" s="298">
        <v>0</v>
      </c>
      <c r="E287" s="298">
        <v>0</v>
      </c>
      <c r="F287" s="298">
        <v>0</v>
      </c>
      <c r="G287" s="298">
        <v>0</v>
      </c>
      <c r="H287" s="298">
        <v>0</v>
      </c>
      <c r="I287" s="298">
        <v>0</v>
      </c>
      <c r="J287" s="298">
        <v>0</v>
      </c>
      <c r="K287" s="298">
        <v>0</v>
      </c>
      <c r="L287" s="298">
        <v>0</v>
      </c>
      <c r="M287" s="298">
        <v>0</v>
      </c>
      <c r="N287" s="298">
        <v>0</v>
      </c>
      <c r="O287" s="298">
        <v>120000</v>
      </c>
    </row>
    <row r="288" spans="1:15">
      <c r="A288" s="238">
        <f t="shared" si="5"/>
        <v>287</v>
      </c>
      <c r="B288" s="245" cm="1">
        <f t="array" ref="B288">INDEX(D$1:O$1, MATCH(TRUE, INDEX(($D288:$O288 &lt;&gt; 0), 0),0))</f>
        <v>44742</v>
      </c>
      <c r="C288" s="298">
        <v>0</v>
      </c>
      <c r="D288" s="298">
        <v>0</v>
      </c>
      <c r="E288" s="298">
        <v>0</v>
      </c>
      <c r="F288" s="298">
        <v>0</v>
      </c>
      <c r="G288" s="298">
        <v>0</v>
      </c>
      <c r="H288" s="298">
        <v>0</v>
      </c>
      <c r="I288" s="298">
        <v>0</v>
      </c>
      <c r="J288" s="298">
        <v>0</v>
      </c>
      <c r="K288" s="298">
        <v>0</v>
      </c>
      <c r="L288" s="298">
        <v>0</v>
      </c>
      <c r="M288" s="298">
        <v>120000</v>
      </c>
      <c r="N288" s="298">
        <v>120000</v>
      </c>
      <c r="O288" s="298">
        <v>120000</v>
      </c>
    </row>
    <row r="289" spans="1:15">
      <c r="A289" s="238">
        <f t="shared" si="5"/>
        <v>288</v>
      </c>
      <c r="B289" s="245" cm="1">
        <f t="array" ref="B289">INDEX(D$1:O$1, MATCH(TRUE, INDEX(($D289:$O289 &lt;&gt; 0), 0),0))</f>
        <v>44742</v>
      </c>
      <c r="C289" s="298">
        <v>0</v>
      </c>
      <c r="D289" s="298">
        <v>0</v>
      </c>
      <c r="E289" s="298">
        <v>0</v>
      </c>
      <c r="F289" s="298">
        <v>0</v>
      </c>
      <c r="G289" s="298">
        <v>0</v>
      </c>
      <c r="H289" s="298">
        <v>0</v>
      </c>
      <c r="I289" s="298">
        <v>0</v>
      </c>
      <c r="J289" s="298">
        <v>0</v>
      </c>
      <c r="K289" s="298">
        <v>0</v>
      </c>
      <c r="L289" s="298">
        <v>0</v>
      </c>
      <c r="M289" s="298">
        <v>60000</v>
      </c>
      <c r="N289" s="298">
        <v>69000</v>
      </c>
      <c r="O289" s="298">
        <v>91252.5</v>
      </c>
    </row>
    <row r="290" spans="1:15">
      <c r="A290" s="238">
        <f t="shared" si="5"/>
        <v>289</v>
      </c>
      <c r="B290" s="245" cm="1">
        <f t="array" ref="B290">INDEX(D$1:O$1, MATCH(TRUE, INDEX(($D290:$O290 &lt;&gt; 0), 0),0))</f>
        <v>44926</v>
      </c>
      <c r="C290" s="298">
        <v>0</v>
      </c>
      <c r="D290" s="298">
        <v>0</v>
      </c>
      <c r="E290" s="298">
        <v>0</v>
      </c>
      <c r="F290" s="298">
        <v>0</v>
      </c>
      <c r="G290" s="298">
        <v>0</v>
      </c>
      <c r="H290" s="298">
        <v>0</v>
      </c>
      <c r="I290" s="298">
        <v>0</v>
      </c>
      <c r="J290" s="298">
        <v>0</v>
      </c>
      <c r="K290" s="298">
        <v>0</v>
      </c>
      <c r="L290" s="298">
        <v>0</v>
      </c>
      <c r="M290" s="298">
        <v>0</v>
      </c>
      <c r="N290" s="298">
        <v>0</v>
      </c>
      <c r="O290" s="298">
        <v>158700</v>
      </c>
    </row>
    <row r="291" spans="1:15">
      <c r="A291" s="238">
        <f t="shared" si="5"/>
        <v>290</v>
      </c>
      <c r="B291" s="245" cm="1">
        <f t="array" ref="B291">INDEX(D$1:O$1, MATCH(TRUE, INDEX(($D291:$O291 &lt;&gt; 0), 0),0))</f>
        <v>44834</v>
      </c>
      <c r="C291" s="298">
        <v>0</v>
      </c>
      <c r="D291" s="298">
        <v>0</v>
      </c>
      <c r="E291" s="298">
        <v>0</v>
      </c>
      <c r="F291" s="298">
        <v>0</v>
      </c>
      <c r="G291" s="298">
        <v>0</v>
      </c>
      <c r="H291" s="298">
        <v>0</v>
      </c>
      <c r="I291" s="298">
        <v>0</v>
      </c>
      <c r="J291" s="298">
        <v>0</v>
      </c>
      <c r="K291" s="298">
        <v>0</v>
      </c>
      <c r="L291" s="298">
        <v>0</v>
      </c>
      <c r="M291" s="298">
        <v>0</v>
      </c>
      <c r="N291" s="298">
        <v>105000</v>
      </c>
      <c r="O291" s="298">
        <v>105000</v>
      </c>
    </row>
    <row r="292" spans="1:15">
      <c r="A292" s="238">
        <f t="shared" si="5"/>
        <v>291</v>
      </c>
      <c r="B292" s="245" cm="1">
        <f t="array" ref="B292">INDEX(D$1:O$1, MATCH(TRUE, INDEX(($D292:$O292 &lt;&gt; 0), 0),0))</f>
        <v>44561</v>
      </c>
      <c r="C292" s="298">
        <v>0</v>
      </c>
      <c r="D292" s="298">
        <v>0</v>
      </c>
      <c r="E292" s="298">
        <v>0</v>
      </c>
      <c r="F292" s="298">
        <v>0</v>
      </c>
      <c r="G292" s="298">
        <v>0</v>
      </c>
      <c r="H292" s="298">
        <v>0</v>
      </c>
      <c r="I292" s="298">
        <v>0</v>
      </c>
      <c r="J292" s="298">
        <v>0</v>
      </c>
      <c r="K292" s="298">
        <v>138000</v>
      </c>
      <c r="L292" s="298">
        <v>138000</v>
      </c>
      <c r="M292" s="298">
        <v>158700</v>
      </c>
      <c r="N292" s="298">
        <v>182505</v>
      </c>
      <c r="O292" s="298">
        <v>209880.75</v>
      </c>
    </row>
    <row r="293" spans="1:15">
      <c r="A293" s="238">
        <f t="shared" si="5"/>
        <v>292</v>
      </c>
      <c r="B293" s="245" cm="1">
        <f t="array" ref="B293">INDEX(D$1:O$1, MATCH(TRUE, INDEX(($D293:$O293 &lt;&gt; 0), 0),0))</f>
        <v>44561</v>
      </c>
      <c r="C293" s="298">
        <v>0</v>
      </c>
      <c r="D293" s="298">
        <v>0</v>
      </c>
      <c r="E293" s="298">
        <v>0</v>
      </c>
      <c r="F293" s="298">
        <v>0</v>
      </c>
      <c r="G293" s="298">
        <v>0</v>
      </c>
      <c r="H293" s="298">
        <v>0</v>
      </c>
      <c r="I293" s="298">
        <v>0</v>
      </c>
      <c r="J293" s="298">
        <v>0</v>
      </c>
      <c r="K293" s="298">
        <v>120000</v>
      </c>
      <c r="L293" s="298">
        <v>158700</v>
      </c>
      <c r="M293" s="298">
        <v>182505</v>
      </c>
      <c r="N293" s="298">
        <v>241362.75</v>
      </c>
      <c r="O293" s="298">
        <v>241362.75</v>
      </c>
    </row>
    <row r="294" spans="1:15">
      <c r="A294" s="238">
        <f t="shared" si="5"/>
        <v>293</v>
      </c>
      <c r="B294" s="245" cm="1">
        <f t="array" ref="B294">INDEX(D$1:O$1, MATCH(TRUE, INDEX(($D294:$O294 &lt;&gt; 0), 0),0))</f>
        <v>43921</v>
      </c>
      <c r="C294" s="298">
        <v>54723.75</v>
      </c>
      <c r="D294" s="298">
        <v>62932.25</v>
      </c>
      <c r="E294" s="298">
        <v>83228</v>
      </c>
      <c r="F294" s="298">
        <v>110069</v>
      </c>
      <c r="G294" s="298">
        <v>126579.25</v>
      </c>
      <c r="H294" s="298">
        <v>145566.25</v>
      </c>
      <c r="I294" s="298">
        <v>167401</v>
      </c>
      <c r="J294" s="298">
        <v>167401</v>
      </c>
      <c r="K294" s="298">
        <v>221388</v>
      </c>
      <c r="L294" s="298">
        <v>221388</v>
      </c>
      <c r="M294" s="298">
        <v>292785.5</v>
      </c>
      <c r="N294" s="298">
        <v>292785.5</v>
      </c>
      <c r="O294" s="298">
        <v>387208.75</v>
      </c>
    </row>
    <row r="295" spans="1:15">
      <c r="A295" s="238">
        <f t="shared" si="5"/>
        <v>294</v>
      </c>
      <c r="B295" s="245" cm="1">
        <f t="array" ref="B295">INDEX(D$1:O$1, MATCH(TRUE, INDEX(($D295:$O295 &lt;&gt; 0), 0),0))</f>
        <v>44377</v>
      </c>
      <c r="C295" s="298">
        <v>0</v>
      </c>
      <c r="D295" s="298">
        <v>0</v>
      </c>
      <c r="E295" s="298">
        <v>0</v>
      </c>
      <c r="F295" s="298">
        <v>0</v>
      </c>
      <c r="G295" s="298">
        <v>0</v>
      </c>
      <c r="H295" s="298">
        <v>0</v>
      </c>
      <c r="I295" s="298">
        <v>120000</v>
      </c>
      <c r="J295" s="298">
        <v>105600</v>
      </c>
      <c r="K295" s="298">
        <v>105600</v>
      </c>
      <c r="L295" s="298">
        <v>105600</v>
      </c>
      <c r="M295" s="298">
        <v>105600</v>
      </c>
      <c r="N295" s="298">
        <v>105600</v>
      </c>
      <c r="O295" s="298">
        <v>121440</v>
      </c>
    </row>
    <row r="296" spans="1:15">
      <c r="A296" s="238">
        <f t="shared" si="5"/>
        <v>295</v>
      </c>
      <c r="B296" s="245" cm="1">
        <f t="array" ref="B296">INDEX(D$1:O$1, MATCH(TRUE, INDEX(($D296:$O296 &lt;&gt; 0), 0),0))</f>
        <v>43921</v>
      </c>
      <c r="C296" s="298">
        <v>105000</v>
      </c>
      <c r="D296" s="298">
        <v>138862.5</v>
      </c>
      <c r="E296" s="298">
        <v>159692</v>
      </c>
      <c r="F296" s="298">
        <v>159692</v>
      </c>
      <c r="G296" s="298">
        <v>183645.75</v>
      </c>
      <c r="H296" s="298">
        <v>211192.5</v>
      </c>
      <c r="I296" s="298">
        <v>211192.5</v>
      </c>
      <c r="J296" s="298">
        <v>242871.5</v>
      </c>
      <c r="K296" s="298">
        <v>213726.75</v>
      </c>
      <c r="L296" s="298">
        <v>188079.5</v>
      </c>
      <c r="M296" s="298">
        <v>216291.5</v>
      </c>
      <c r="N296" s="298">
        <v>248735.25</v>
      </c>
      <c r="O296" s="298">
        <v>0</v>
      </c>
    </row>
    <row r="297" spans="1:15">
      <c r="A297" s="238">
        <f t="shared" si="5"/>
        <v>296</v>
      </c>
      <c r="B297" s="245" cm="1">
        <f t="array" ref="B297">INDEX(D$1:O$1, MATCH(TRUE, INDEX(($D297:$O297 &lt;&gt; 0), 0),0))</f>
        <v>44561</v>
      </c>
      <c r="C297" s="298">
        <v>0</v>
      </c>
      <c r="D297" s="298">
        <v>0</v>
      </c>
      <c r="E297" s="298">
        <v>0</v>
      </c>
      <c r="F297" s="298">
        <v>0</v>
      </c>
      <c r="G297" s="298">
        <v>0</v>
      </c>
      <c r="H297" s="298">
        <v>0</v>
      </c>
      <c r="I297" s="298">
        <v>0</v>
      </c>
      <c r="J297" s="298">
        <v>0</v>
      </c>
      <c r="K297" s="298">
        <v>69000</v>
      </c>
      <c r="L297" s="298">
        <v>79350</v>
      </c>
      <c r="M297" s="298">
        <v>91252.5</v>
      </c>
      <c r="N297" s="298">
        <v>104940.5</v>
      </c>
      <c r="O297" s="298">
        <v>120681.5</v>
      </c>
    </row>
    <row r="298" spans="1:15">
      <c r="A298" s="238">
        <f t="shared" si="5"/>
        <v>297</v>
      </c>
      <c r="B298" s="245" cm="1">
        <f t="array" ref="B298">INDEX(D$1:O$1, MATCH(TRUE, INDEX(($D298:$O298 &lt;&gt; 0), 0),0))</f>
        <v>44834</v>
      </c>
      <c r="C298" s="298">
        <v>0</v>
      </c>
      <c r="D298" s="298">
        <v>0</v>
      </c>
      <c r="E298" s="298">
        <v>0</v>
      </c>
      <c r="F298" s="298">
        <v>0</v>
      </c>
      <c r="G298" s="298">
        <v>0</v>
      </c>
      <c r="H298" s="298">
        <v>0</v>
      </c>
      <c r="I298" s="298">
        <v>0</v>
      </c>
      <c r="J298" s="298">
        <v>0</v>
      </c>
      <c r="K298" s="298">
        <v>0</v>
      </c>
      <c r="L298" s="298">
        <v>0</v>
      </c>
      <c r="M298" s="298">
        <v>0</v>
      </c>
      <c r="N298" s="298">
        <v>120000</v>
      </c>
      <c r="O298" s="298">
        <v>138000</v>
      </c>
    </row>
    <row r="299" spans="1:15">
      <c r="A299" s="238">
        <f t="shared" si="5"/>
        <v>298</v>
      </c>
      <c r="B299" s="245" cm="1">
        <f t="array" ref="B299">INDEX(D$1:O$1, MATCH(TRUE, INDEX(($D299:$O299 &lt;&gt; 0), 0),0))</f>
        <v>44651</v>
      </c>
      <c r="C299" s="298">
        <v>0</v>
      </c>
      <c r="D299" s="298">
        <v>0</v>
      </c>
      <c r="E299" s="298">
        <v>0</v>
      </c>
      <c r="F299" s="298">
        <v>0</v>
      </c>
      <c r="G299" s="298">
        <v>0</v>
      </c>
      <c r="H299" s="298">
        <v>0</v>
      </c>
      <c r="I299" s="298">
        <v>0</v>
      </c>
      <c r="J299" s="298">
        <v>0</v>
      </c>
      <c r="K299" s="298">
        <v>0</v>
      </c>
      <c r="L299" s="298">
        <v>138000</v>
      </c>
      <c r="M299" s="298">
        <v>158700</v>
      </c>
      <c r="N299" s="298">
        <v>182505</v>
      </c>
      <c r="O299" s="298">
        <v>209880.75</v>
      </c>
    </row>
    <row r="300" spans="1:15">
      <c r="A300" s="238">
        <f t="shared" si="5"/>
        <v>299</v>
      </c>
      <c r="B300" s="245" cm="1">
        <f t="array" ref="B300">INDEX(D$1:O$1, MATCH(TRUE, INDEX(($D300:$O300 &lt;&gt; 0), 0),0))</f>
        <v>44104</v>
      </c>
      <c r="C300" s="298">
        <v>0</v>
      </c>
      <c r="D300" s="298">
        <v>0</v>
      </c>
      <c r="E300" s="298">
        <v>0</v>
      </c>
      <c r="F300" s="298">
        <v>120000</v>
      </c>
      <c r="G300" s="298">
        <v>158700</v>
      </c>
      <c r="H300" s="298">
        <v>160604.5</v>
      </c>
      <c r="I300" s="298">
        <v>184695</v>
      </c>
      <c r="J300" s="298">
        <v>184695</v>
      </c>
      <c r="K300" s="298">
        <v>184695</v>
      </c>
      <c r="L300" s="298">
        <v>214948</v>
      </c>
      <c r="M300" s="298">
        <v>189154.25</v>
      </c>
      <c r="N300" s="298">
        <v>0</v>
      </c>
      <c r="O300" s="298">
        <v>0</v>
      </c>
    </row>
    <row r="301" spans="1:15">
      <c r="A301" s="238">
        <f t="shared" si="5"/>
        <v>300</v>
      </c>
      <c r="B301" s="245" cm="1">
        <f t="array" ref="B301">INDEX(D$1:O$1, MATCH(TRUE, INDEX(($D301:$O301 &lt;&gt; 0), 0),0))</f>
        <v>43921</v>
      </c>
      <c r="C301" s="298">
        <v>158700</v>
      </c>
      <c r="D301" s="298">
        <v>182505</v>
      </c>
      <c r="E301" s="298">
        <v>182505</v>
      </c>
      <c r="F301" s="298">
        <v>182505</v>
      </c>
      <c r="G301" s="298">
        <v>209880.75</v>
      </c>
      <c r="H301" s="298">
        <v>277567.25</v>
      </c>
      <c r="I301" s="298">
        <v>319202.5</v>
      </c>
      <c r="J301" s="298">
        <v>485467</v>
      </c>
      <c r="K301" s="298">
        <v>558287</v>
      </c>
      <c r="L301" s="298">
        <v>642030</v>
      </c>
      <c r="M301" s="298">
        <v>849084.75</v>
      </c>
      <c r="N301" s="298">
        <v>747194.5</v>
      </c>
      <c r="O301" s="298">
        <v>747194.5</v>
      </c>
    </row>
    <row r="302" spans="1:15">
      <c r="A302" s="238">
        <f t="shared" si="5"/>
        <v>301</v>
      </c>
      <c r="B302" s="245" cm="1">
        <f t="array" ref="B302">INDEX(D$1:O$1, MATCH(TRUE, INDEX(($D302:$O302 &lt;&gt; 0), 0),0))</f>
        <v>44926</v>
      </c>
      <c r="C302" s="298">
        <v>0</v>
      </c>
      <c r="D302" s="298">
        <v>0</v>
      </c>
      <c r="E302" s="298">
        <v>0</v>
      </c>
      <c r="F302" s="298">
        <v>0</v>
      </c>
      <c r="G302" s="298">
        <v>0</v>
      </c>
      <c r="H302" s="298">
        <v>0</v>
      </c>
      <c r="I302" s="298">
        <v>0</v>
      </c>
      <c r="J302" s="298">
        <v>0</v>
      </c>
      <c r="K302" s="298">
        <v>0</v>
      </c>
      <c r="L302" s="298">
        <v>0</v>
      </c>
      <c r="M302" s="298">
        <v>0</v>
      </c>
      <c r="N302" s="298">
        <v>0</v>
      </c>
      <c r="O302" s="298">
        <v>105000</v>
      </c>
    </row>
    <row r="303" spans="1:15">
      <c r="A303" s="238">
        <f t="shared" si="5"/>
        <v>302</v>
      </c>
      <c r="B303" s="245" cm="1">
        <f t="array" ref="B303">INDEX(D$1:O$1, MATCH(TRUE, INDEX(($D303:$O303 &lt;&gt; 0), 0),0))</f>
        <v>43921</v>
      </c>
      <c r="C303" s="298">
        <v>286045.5</v>
      </c>
      <c r="D303" s="298">
        <v>328952.5</v>
      </c>
      <c r="E303" s="298">
        <v>289478</v>
      </c>
      <c r="F303" s="298">
        <v>289478</v>
      </c>
      <c r="G303" s="298">
        <v>289478</v>
      </c>
      <c r="H303" s="298">
        <v>382834.75</v>
      </c>
      <c r="I303" s="298">
        <v>440260</v>
      </c>
      <c r="J303" s="298">
        <v>440260</v>
      </c>
      <c r="K303" s="298">
        <v>506299</v>
      </c>
      <c r="L303" s="298">
        <v>582243.75</v>
      </c>
      <c r="M303" s="298">
        <v>669580.5</v>
      </c>
      <c r="N303" s="298">
        <v>589230.75</v>
      </c>
      <c r="O303" s="298">
        <v>677615.5</v>
      </c>
    </row>
    <row r="304" spans="1:15">
      <c r="A304" s="238">
        <f t="shared" si="5"/>
        <v>303</v>
      </c>
      <c r="B304" s="245" cm="1">
        <f t="array" ref="B304">INDEX(D$1:O$1, MATCH(TRUE, INDEX(($D304:$O304 &lt;&gt; 0), 0),0))</f>
        <v>44742</v>
      </c>
      <c r="C304" s="298">
        <v>0</v>
      </c>
      <c r="D304" s="298">
        <v>0</v>
      </c>
      <c r="E304" s="298">
        <v>0</v>
      </c>
      <c r="F304" s="298">
        <v>0</v>
      </c>
      <c r="G304" s="298">
        <v>0</v>
      </c>
      <c r="H304" s="298">
        <v>0</v>
      </c>
      <c r="I304" s="298">
        <v>0</v>
      </c>
      <c r="J304" s="298">
        <v>0</v>
      </c>
      <c r="K304" s="298">
        <v>0</v>
      </c>
      <c r="L304" s="298">
        <v>0</v>
      </c>
      <c r="M304" s="298">
        <v>120000</v>
      </c>
      <c r="N304" s="298">
        <v>120000</v>
      </c>
      <c r="O304" s="298">
        <v>138000</v>
      </c>
    </row>
    <row r="305" spans="1:15">
      <c r="A305" s="238">
        <f t="shared" si="5"/>
        <v>304</v>
      </c>
      <c r="B305" s="245" cm="1">
        <f t="array" ref="B305">INDEX(D$1:O$1, MATCH(TRUE, INDEX(($D305:$O305 &lt;&gt; 0), 0),0))</f>
        <v>44469</v>
      </c>
      <c r="C305" s="298">
        <v>0</v>
      </c>
      <c r="D305" s="298">
        <v>0</v>
      </c>
      <c r="E305" s="298">
        <v>0</v>
      </c>
      <c r="F305" s="298">
        <v>0</v>
      </c>
      <c r="G305" s="298">
        <v>0</v>
      </c>
      <c r="H305" s="298">
        <v>0</v>
      </c>
      <c r="I305" s="298">
        <v>0</v>
      </c>
      <c r="J305" s="298">
        <v>60000</v>
      </c>
      <c r="K305" s="298">
        <v>69000</v>
      </c>
      <c r="L305" s="298">
        <v>69000</v>
      </c>
      <c r="M305" s="298">
        <v>79350</v>
      </c>
      <c r="N305" s="298">
        <v>104940.5</v>
      </c>
      <c r="O305" s="298">
        <v>92347.5</v>
      </c>
    </row>
    <row r="306" spans="1:15">
      <c r="A306" s="238">
        <f t="shared" si="5"/>
        <v>305</v>
      </c>
      <c r="B306" s="245" cm="1">
        <f t="array" ref="B306">INDEX(D$1:O$1, MATCH(TRUE, INDEX(($D306:$O306 &lt;&gt; 0), 0),0))</f>
        <v>44651</v>
      </c>
      <c r="C306" s="298">
        <v>0</v>
      </c>
      <c r="D306" s="298">
        <v>0</v>
      </c>
      <c r="E306" s="298">
        <v>0</v>
      </c>
      <c r="F306" s="298">
        <v>0</v>
      </c>
      <c r="G306" s="298">
        <v>0</v>
      </c>
      <c r="H306" s="298">
        <v>0</v>
      </c>
      <c r="I306" s="298">
        <v>0</v>
      </c>
      <c r="J306" s="298">
        <v>0</v>
      </c>
      <c r="K306" s="298">
        <v>0</v>
      </c>
      <c r="L306" s="298">
        <v>60000</v>
      </c>
      <c r="M306" s="298">
        <v>69000</v>
      </c>
      <c r="N306" s="298">
        <v>91252.5</v>
      </c>
      <c r="O306" s="298">
        <v>91252.5</v>
      </c>
    </row>
    <row r="307" spans="1:15">
      <c r="A307" s="238">
        <f t="shared" si="5"/>
        <v>306</v>
      </c>
      <c r="B307" s="245" cm="1">
        <f t="array" ref="B307">INDEX(D$1:O$1, MATCH(TRUE, INDEX(($D307:$O307 &lt;&gt; 0), 0),0))</f>
        <v>44561</v>
      </c>
      <c r="C307" s="298">
        <v>0</v>
      </c>
      <c r="D307" s="298">
        <v>0</v>
      </c>
      <c r="E307" s="298">
        <v>0</v>
      </c>
      <c r="F307" s="298">
        <v>0</v>
      </c>
      <c r="G307" s="298">
        <v>0</v>
      </c>
      <c r="H307" s="298">
        <v>0</v>
      </c>
      <c r="I307" s="298">
        <v>0</v>
      </c>
      <c r="J307" s="298">
        <v>0</v>
      </c>
      <c r="K307" s="298">
        <v>105000</v>
      </c>
      <c r="L307" s="298">
        <v>105000</v>
      </c>
      <c r="M307" s="298">
        <v>120750</v>
      </c>
      <c r="N307" s="298">
        <v>120750</v>
      </c>
      <c r="O307" s="298">
        <v>140528.75</v>
      </c>
    </row>
    <row r="308" spans="1:15">
      <c r="A308" s="238">
        <f t="shared" si="5"/>
        <v>307</v>
      </c>
      <c r="B308" s="245" cm="1">
        <f t="array" ref="B308">INDEX(D$1:O$1, MATCH(TRUE, INDEX(($D308:$O308 &lt;&gt; 0), 0),0))</f>
        <v>44834</v>
      </c>
      <c r="C308" s="298">
        <v>0</v>
      </c>
      <c r="D308" s="298">
        <v>0</v>
      </c>
      <c r="E308" s="298">
        <v>0</v>
      </c>
      <c r="F308" s="298">
        <v>0</v>
      </c>
      <c r="G308" s="298">
        <v>0</v>
      </c>
      <c r="H308" s="298">
        <v>0</v>
      </c>
      <c r="I308" s="298">
        <v>0</v>
      </c>
      <c r="J308" s="298">
        <v>0</v>
      </c>
      <c r="K308" s="298">
        <v>0</v>
      </c>
      <c r="L308" s="298">
        <v>0</v>
      </c>
      <c r="M308" s="298">
        <v>0</v>
      </c>
      <c r="N308" s="298">
        <v>120000</v>
      </c>
      <c r="O308" s="298">
        <v>105600</v>
      </c>
    </row>
    <row r="309" spans="1:15">
      <c r="A309" s="238">
        <f t="shared" si="5"/>
        <v>308</v>
      </c>
      <c r="B309" s="245" cm="1">
        <f t="array" ref="B309">INDEX(D$1:O$1, MATCH(TRUE, INDEX(($D309:$O309 &lt;&gt; 0), 0),0))</f>
        <v>44104</v>
      </c>
      <c r="C309" s="298">
        <v>0</v>
      </c>
      <c r="D309" s="298">
        <v>0</v>
      </c>
      <c r="E309" s="298">
        <v>0</v>
      </c>
      <c r="F309" s="298">
        <v>120000</v>
      </c>
      <c r="G309" s="298">
        <v>138000</v>
      </c>
      <c r="H309" s="298">
        <v>106867.25</v>
      </c>
      <c r="I309" s="298">
        <v>122897.25</v>
      </c>
      <c r="J309" s="298">
        <v>141331.75</v>
      </c>
      <c r="K309" s="298">
        <v>124372</v>
      </c>
      <c r="L309" s="298">
        <v>143027.75</v>
      </c>
      <c r="M309" s="298">
        <v>125864.5</v>
      </c>
      <c r="N309" s="298">
        <v>125864.5</v>
      </c>
      <c r="O309" s="298">
        <v>144744.25</v>
      </c>
    </row>
    <row r="310" spans="1:15">
      <c r="A310" s="238">
        <f t="shared" si="5"/>
        <v>309</v>
      </c>
      <c r="B310" s="245" cm="1">
        <f t="array" ref="B310">INDEX(D$1:O$1, MATCH(TRUE, INDEX(($D310:$O310 &lt;&gt; 0), 0),0))</f>
        <v>44651</v>
      </c>
      <c r="C310" s="298">
        <v>0</v>
      </c>
      <c r="D310" s="298">
        <v>0</v>
      </c>
      <c r="E310" s="298">
        <v>0</v>
      </c>
      <c r="F310" s="298">
        <v>0</v>
      </c>
      <c r="G310" s="298">
        <v>0</v>
      </c>
      <c r="H310" s="298">
        <v>0</v>
      </c>
      <c r="I310" s="298">
        <v>0</v>
      </c>
      <c r="J310" s="298">
        <v>0</v>
      </c>
      <c r="K310" s="298">
        <v>0</v>
      </c>
      <c r="L310" s="298">
        <v>105000</v>
      </c>
      <c r="M310" s="298">
        <v>92400</v>
      </c>
      <c r="N310" s="298">
        <v>122199</v>
      </c>
      <c r="O310" s="298">
        <v>122199</v>
      </c>
    </row>
    <row r="311" spans="1:15">
      <c r="A311" s="238">
        <f t="shared" si="5"/>
        <v>310</v>
      </c>
      <c r="B311" s="245" cm="1">
        <f t="array" ref="B311">INDEX(D$1:O$1, MATCH(TRUE, INDEX(($D311:$O311 &lt;&gt; 0), 0),0))</f>
        <v>43921</v>
      </c>
      <c r="C311" s="298">
        <v>158700</v>
      </c>
      <c r="D311" s="298">
        <v>182505</v>
      </c>
      <c r="E311" s="298">
        <v>241362.75</v>
      </c>
      <c r="F311" s="298">
        <v>277567.25</v>
      </c>
      <c r="G311" s="298">
        <v>319202.5</v>
      </c>
      <c r="H311" s="298">
        <v>319202.5</v>
      </c>
      <c r="I311" s="298">
        <v>367082.75</v>
      </c>
      <c r="J311" s="298">
        <v>367082.75</v>
      </c>
      <c r="K311" s="298">
        <v>367082.75</v>
      </c>
      <c r="L311" s="298">
        <v>371487.75</v>
      </c>
      <c r="M311" s="298">
        <v>491292.5</v>
      </c>
      <c r="N311" s="298">
        <v>564986.5</v>
      </c>
      <c r="O311" s="298">
        <v>859273.75</v>
      </c>
    </row>
    <row r="312" spans="1:15">
      <c r="A312" s="238">
        <f t="shared" si="5"/>
        <v>311</v>
      </c>
      <c r="B312" s="245" cm="1">
        <f t="array" ref="B312">INDEX(D$1:O$1, MATCH(TRUE, INDEX(($D312:$O312 &lt;&gt; 0), 0),0))</f>
        <v>44196</v>
      </c>
      <c r="C312" s="298">
        <v>0</v>
      </c>
      <c r="D312" s="298">
        <v>0</v>
      </c>
      <c r="E312" s="298">
        <v>0</v>
      </c>
      <c r="F312" s="298">
        <v>0</v>
      </c>
      <c r="G312" s="298">
        <v>92400</v>
      </c>
      <c r="H312" s="298">
        <v>106260</v>
      </c>
      <c r="I312" s="298">
        <v>106260</v>
      </c>
      <c r="J312" s="298">
        <v>106260</v>
      </c>
      <c r="K312" s="298">
        <v>123665.5</v>
      </c>
      <c r="L312" s="298">
        <v>123665.5</v>
      </c>
      <c r="M312" s="298">
        <v>142215.25</v>
      </c>
      <c r="N312" s="298">
        <v>163547.5</v>
      </c>
      <c r="O312" s="298">
        <v>188079.5</v>
      </c>
    </row>
    <row r="313" spans="1:15">
      <c r="A313" s="238">
        <f t="shared" si="5"/>
        <v>312</v>
      </c>
      <c r="B313" s="245" cm="1">
        <f t="array" ref="B313">INDEX(D$1:O$1, MATCH(TRUE, INDEX(($D313:$O313 &lt;&gt; 0), 0),0))</f>
        <v>44742</v>
      </c>
      <c r="C313" s="298">
        <v>0</v>
      </c>
      <c r="D313" s="298">
        <v>0</v>
      </c>
      <c r="E313" s="298">
        <v>0</v>
      </c>
      <c r="F313" s="298">
        <v>0</v>
      </c>
      <c r="G313" s="298">
        <v>0</v>
      </c>
      <c r="H313" s="298">
        <v>0</v>
      </c>
      <c r="I313" s="298">
        <v>0</v>
      </c>
      <c r="J313" s="298">
        <v>0</v>
      </c>
      <c r="K313" s="298">
        <v>0</v>
      </c>
      <c r="L313" s="298">
        <v>0</v>
      </c>
      <c r="M313" s="298">
        <v>60000</v>
      </c>
      <c r="N313" s="298">
        <v>69000</v>
      </c>
      <c r="O313" s="298">
        <v>69000</v>
      </c>
    </row>
    <row r="314" spans="1:15">
      <c r="A314" s="238">
        <f t="shared" si="5"/>
        <v>313</v>
      </c>
      <c r="B314" s="245" cm="1">
        <f t="array" ref="B314">INDEX(D$1:O$1, MATCH(TRUE, INDEX(($D314:$O314 &lt;&gt; 0), 0),0))</f>
        <v>43921</v>
      </c>
      <c r="C314" s="298">
        <v>93508.75</v>
      </c>
      <c r="D314" s="298">
        <v>107535</v>
      </c>
      <c r="E314" s="298">
        <v>107535</v>
      </c>
      <c r="F314" s="298">
        <v>123665.5</v>
      </c>
      <c r="G314" s="298">
        <v>108825.5</v>
      </c>
      <c r="H314" s="298">
        <v>165510</v>
      </c>
      <c r="I314" s="298">
        <v>165510</v>
      </c>
      <c r="J314" s="298">
        <v>145648.75</v>
      </c>
      <c r="K314" s="298">
        <v>145648.75</v>
      </c>
      <c r="L314" s="298">
        <v>0</v>
      </c>
      <c r="M314" s="298">
        <v>0</v>
      </c>
      <c r="N314" s="298">
        <v>0</v>
      </c>
      <c r="O314" s="298">
        <v>0</v>
      </c>
    </row>
    <row r="315" spans="1:15">
      <c r="A315" s="238">
        <f t="shared" si="5"/>
        <v>314</v>
      </c>
      <c r="B315" s="245" cm="1">
        <f t="array" ref="B315">INDEX(D$1:O$1, MATCH(TRUE, INDEX(($D315:$O315 &lt;&gt; 0), 0),0))</f>
        <v>44196</v>
      </c>
      <c r="C315" s="298">
        <v>0</v>
      </c>
      <c r="D315" s="298">
        <v>0</v>
      </c>
      <c r="E315" s="298">
        <v>0</v>
      </c>
      <c r="F315" s="298">
        <v>0</v>
      </c>
      <c r="G315" s="298">
        <v>120000</v>
      </c>
      <c r="H315" s="298">
        <v>138000</v>
      </c>
      <c r="I315" s="298">
        <v>138000</v>
      </c>
      <c r="J315" s="298">
        <v>182505</v>
      </c>
      <c r="K315" s="298">
        <v>209880.75</v>
      </c>
      <c r="L315" s="298">
        <v>241362.75</v>
      </c>
      <c r="M315" s="298">
        <v>277567.25</v>
      </c>
      <c r="N315" s="298">
        <v>367082.75</v>
      </c>
      <c r="O315" s="298">
        <v>422145.25</v>
      </c>
    </row>
    <row r="316" spans="1:15">
      <c r="A316" s="238">
        <f t="shared" si="5"/>
        <v>315</v>
      </c>
      <c r="B316" s="245" cm="1">
        <f t="array" ref="B316">INDEX(D$1:O$1, MATCH(TRUE, INDEX(($D316:$O316 &lt;&gt; 0), 0),0))</f>
        <v>44286</v>
      </c>
      <c r="C316" s="298">
        <v>0</v>
      </c>
      <c r="D316" s="298">
        <v>0</v>
      </c>
      <c r="E316" s="298">
        <v>0</v>
      </c>
      <c r="F316" s="298">
        <v>0</v>
      </c>
      <c r="G316" s="298">
        <v>0</v>
      </c>
      <c r="H316" s="298">
        <v>105000</v>
      </c>
      <c r="I316" s="298">
        <v>120750</v>
      </c>
      <c r="J316" s="298">
        <v>120750</v>
      </c>
      <c r="K316" s="298">
        <v>138862.5</v>
      </c>
      <c r="L316" s="298">
        <v>138862.5</v>
      </c>
      <c r="M316" s="298">
        <v>138862.5</v>
      </c>
      <c r="N316" s="298">
        <v>183645.75</v>
      </c>
      <c r="O316" s="298">
        <v>183645.75</v>
      </c>
    </row>
    <row r="317" spans="1:15">
      <c r="A317" s="238">
        <f t="shared" si="5"/>
        <v>316</v>
      </c>
      <c r="B317" s="245" cm="1">
        <f t="array" ref="B317">INDEX(D$1:O$1, MATCH(TRUE, INDEX(($D317:$O317 &lt;&gt; 0), 0),0))</f>
        <v>44196</v>
      </c>
      <c r="C317" s="298">
        <v>0</v>
      </c>
      <c r="D317" s="298">
        <v>0</v>
      </c>
      <c r="E317" s="298">
        <v>0</v>
      </c>
      <c r="F317" s="298">
        <v>0</v>
      </c>
      <c r="G317" s="298">
        <v>60000</v>
      </c>
      <c r="H317" s="298">
        <v>91252.5</v>
      </c>
      <c r="I317" s="298">
        <v>104940.5</v>
      </c>
      <c r="J317" s="298">
        <v>106199.75</v>
      </c>
      <c r="K317" s="298">
        <v>106199.75</v>
      </c>
      <c r="L317" s="298">
        <v>122129.5</v>
      </c>
      <c r="M317" s="298">
        <v>122129.5</v>
      </c>
      <c r="N317" s="298">
        <v>122129.5</v>
      </c>
      <c r="O317" s="298">
        <v>140449</v>
      </c>
    </row>
    <row r="318" spans="1:15">
      <c r="A318" s="238">
        <f t="shared" si="5"/>
        <v>317</v>
      </c>
      <c r="B318" s="245" cm="1">
        <f t="array" ref="B318">INDEX(D$1:O$1, MATCH(TRUE, INDEX(($D318:$O318 &lt;&gt; 0), 0),0))</f>
        <v>44926</v>
      </c>
      <c r="C318" s="298">
        <v>0</v>
      </c>
      <c r="D318" s="298">
        <v>0</v>
      </c>
      <c r="E318" s="298">
        <v>0</v>
      </c>
      <c r="F318" s="298">
        <v>0</v>
      </c>
      <c r="G318" s="298">
        <v>0</v>
      </c>
      <c r="H318" s="298">
        <v>0</v>
      </c>
      <c r="I318" s="298">
        <v>0</v>
      </c>
      <c r="J318" s="298">
        <v>0</v>
      </c>
      <c r="K318" s="298">
        <v>0</v>
      </c>
      <c r="L318" s="298">
        <v>0</v>
      </c>
      <c r="M318" s="298">
        <v>0</v>
      </c>
      <c r="N318" s="298">
        <v>0</v>
      </c>
      <c r="O318" s="298">
        <v>69000</v>
      </c>
    </row>
    <row r="319" spans="1:15">
      <c r="A319" s="238">
        <f t="shared" si="5"/>
        <v>318</v>
      </c>
      <c r="B319" s="245" cm="1">
        <f t="array" ref="B319">INDEX(D$1:O$1, MATCH(TRUE, INDEX(($D319:$O319 &lt;&gt; 0), 0),0))</f>
        <v>44561</v>
      </c>
      <c r="C319" s="298">
        <v>0</v>
      </c>
      <c r="D319" s="298">
        <v>0</v>
      </c>
      <c r="E319" s="298">
        <v>0</v>
      </c>
      <c r="F319" s="298">
        <v>0</v>
      </c>
      <c r="G319" s="298">
        <v>0</v>
      </c>
      <c r="H319" s="298">
        <v>0</v>
      </c>
      <c r="I319" s="298">
        <v>0</v>
      </c>
      <c r="J319" s="298">
        <v>0</v>
      </c>
      <c r="K319" s="298">
        <v>120000</v>
      </c>
      <c r="L319" s="298">
        <v>120000</v>
      </c>
      <c r="M319" s="298">
        <v>138000</v>
      </c>
      <c r="N319" s="298">
        <v>121440</v>
      </c>
      <c r="O319" s="298">
        <v>121440</v>
      </c>
    </row>
    <row r="320" spans="1:15">
      <c r="A320" s="238">
        <f t="shared" si="5"/>
        <v>319</v>
      </c>
      <c r="B320" s="245" cm="1">
        <f t="array" ref="B320">INDEX(D$1:O$1, MATCH(TRUE, INDEX(($D320:$O320 &lt;&gt; 0), 0),0))</f>
        <v>44926</v>
      </c>
      <c r="C320" s="298">
        <v>0</v>
      </c>
      <c r="D320" s="298">
        <v>0</v>
      </c>
      <c r="E320" s="298">
        <v>0</v>
      </c>
      <c r="F320" s="298">
        <v>0</v>
      </c>
      <c r="G320" s="298">
        <v>0</v>
      </c>
      <c r="H320" s="298">
        <v>0</v>
      </c>
      <c r="I320" s="298">
        <v>0</v>
      </c>
      <c r="J320" s="298">
        <v>0</v>
      </c>
      <c r="K320" s="298">
        <v>0</v>
      </c>
      <c r="L320" s="298">
        <v>0</v>
      </c>
      <c r="M320" s="298">
        <v>0</v>
      </c>
      <c r="N320" s="298">
        <v>0</v>
      </c>
      <c r="O320" s="298">
        <v>105000</v>
      </c>
    </row>
    <row r="321" spans="1:15">
      <c r="A321" s="238">
        <f t="shared" si="5"/>
        <v>320</v>
      </c>
      <c r="B321" s="245" cm="1">
        <f t="array" ref="B321">INDEX(D$1:O$1, MATCH(TRUE, INDEX(($D321:$O321 &lt;&gt; 0), 0),0))</f>
        <v>44012</v>
      </c>
      <c r="C321" s="298">
        <v>0</v>
      </c>
      <c r="D321" s="298">
        <v>0</v>
      </c>
      <c r="E321" s="298">
        <v>105000</v>
      </c>
      <c r="F321" s="298">
        <v>138862.5</v>
      </c>
      <c r="G321" s="298">
        <v>138862.5</v>
      </c>
      <c r="H321" s="298">
        <v>138862.5</v>
      </c>
      <c r="I321" s="298">
        <v>183645.75</v>
      </c>
      <c r="J321" s="298">
        <v>185849.5</v>
      </c>
      <c r="K321" s="298">
        <v>245785.75</v>
      </c>
      <c r="L321" s="298">
        <v>216291.5</v>
      </c>
      <c r="M321" s="298">
        <v>248735.25</v>
      </c>
      <c r="N321" s="298">
        <v>286045.5</v>
      </c>
      <c r="O321" s="298">
        <v>328952.5</v>
      </c>
    </row>
    <row r="322" spans="1:15">
      <c r="A322" s="238">
        <f t="shared" si="5"/>
        <v>321</v>
      </c>
      <c r="B322" s="245" cm="1">
        <f t="array" ref="B322">INDEX(D$1:O$1, MATCH(TRUE, INDEX(($D322:$O322 &lt;&gt; 0), 0),0))</f>
        <v>44561</v>
      </c>
      <c r="C322" s="298">
        <v>0</v>
      </c>
      <c r="D322" s="298">
        <v>0</v>
      </c>
      <c r="E322" s="298">
        <v>0</v>
      </c>
      <c r="F322" s="298">
        <v>0</v>
      </c>
      <c r="G322" s="298">
        <v>0</v>
      </c>
      <c r="H322" s="298">
        <v>0</v>
      </c>
      <c r="I322" s="298">
        <v>0</v>
      </c>
      <c r="J322" s="298">
        <v>0</v>
      </c>
      <c r="K322" s="298">
        <v>60000</v>
      </c>
      <c r="L322" s="298">
        <v>60000</v>
      </c>
      <c r="M322" s="298">
        <v>69000</v>
      </c>
      <c r="N322" s="298">
        <v>79350</v>
      </c>
      <c r="O322" s="298">
        <v>69828</v>
      </c>
    </row>
    <row r="323" spans="1:15">
      <c r="A323" s="238">
        <f t="shared" ref="A323:A386" si="6">+A322+1</f>
        <v>322</v>
      </c>
      <c r="B323" s="245" cm="1">
        <f t="array" ref="B323">INDEX(D$1:O$1, MATCH(TRUE, INDEX(($D323:$O323 &lt;&gt; 0), 0),0))</f>
        <v>44377</v>
      </c>
      <c r="C323" s="298">
        <v>0</v>
      </c>
      <c r="D323" s="298">
        <v>0</v>
      </c>
      <c r="E323" s="298">
        <v>0</v>
      </c>
      <c r="F323" s="298">
        <v>0</v>
      </c>
      <c r="G323" s="298">
        <v>0</v>
      </c>
      <c r="H323" s="298">
        <v>0</v>
      </c>
      <c r="I323" s="298">
        <v>105000</v>
      </c>
      <c r="J323" s="298">
        <v>120750</v>
      </c>
      <c r="K323" s="298">
        <v>120750</v>
      </c>
      <c r="L323" s="298">
        <v>138862.5</v>
      </c>
      <c r="M323" s="298">
        <v>140528.75</v>
      </c>
      <c r="N323" s="298">
        <v>123665.5</v>
      </c>
      <c r="O323" s="298">
        <v>163547.5</v>
      </c>
    </row>
    <row r="324" spans="1:15">
      <c r="A324" s="238">
        <f t="shared" si="6"/>
        <v>323</v>
      </c>
      <c r="B324" s="245" cm="1">
        <f t="array" ref="B324">INDEX(D$1:O$1, MATCH(TRUE, INDEX(($D324:$O324 &lt;&gt; 0), 0),0))</f>
        <v>44196</v>
      </c>
      <c r="C324" s="298">
        <v>0</v>
      </c>
      <c r="D324" s="298">
        <v>0</v>
      </c>
      <c r="E324" s="298">
        <v>0</v>
      </c>
      <c r="F324" s="298">
        <v>0</v>
      </c>
      <c r="G324" s="298">
        <v>120000</v>
      </c>
      <c r="H324" s="298">
        <v>120000</v>
      </c>
      <c r="I324" s="298">
        <v>120000</v>
      </c>
      <c r="J324" s="298">
        <v>105600</v>
      </c>
      <c r="K324" s="298">
        <v>105600</v>
      </c>
      <c r="L324" s="298">
        <v>139656</v>
      </c>
      <c r="M324" s="298">
        <v>139656</v>
      </c>
      <c r="N324" s="298">
        <v>160604.5</v>
      </c>
      <c r="O324" s="298">
        <v>184695</v>
      </c>
    </row>
    <row r="325" spans="1:15">
      <c r="A325" s="238">
        <f t="shared" si="6"/>
        <v>324</v>
      </c>
      <c r="B325" s="245" cm="1">
        <f t="array" ref="B325">INDEX(D$1:O$1, MATCH(TRUE, INDEX(($D325:$O325 &lt;&gt; 0), 0),0))</f>
        <v>44469</v>
      </c>
      <c r="C325" s="298">
        <v>0</v>
      </c>
      <c r="D325" s="298">
        <v>0</v>
      </c>
      <c r="E325" s="298">
        <v>0</v>
      </c>
      <c r="F325" s="298">
        <v>0</v>
      </c>
      <c r="G325" s="298">
        <v>0</v>
      </c>
      <c r="H325" s="298">
        <v>0</v>
      </c>
      <c r="I325" s="298">
        <v>0</v>
      </c>
      <c r="J325" s="298">
        <v>60000</v>
      </c>
      <c r="K325" s="298">
        <v>69000</v>
      </c>
      <c r="L325" s="298">
        <v>79350</v>
      </c>
      <c r="M325" s="298">
        <v>91252.5</v>
      </c>
      <c r="N325" s="298">
        <v>104940.5</v>
      </c>
      <c r="O325" s="298">
        <v>104940.5</v>
      </c>
    </row>
    <row r="326" spans="1:15">
      <c r="A326" s="238">
        <f t="shared" si="6"/>
        <v>325</v>
      </c>
      <c r="B326" s="245" cm="1">
        <f t="array" ref="B326">INDEX(D$1:O$1, MATCH(TRUE, INDEX(($D326:$O326 &lt;&gt; 0), 0),0))</f>
        <v>44926</v>
      </c>
      <c r="C326" s="298">
        <v>0</v>
      </c>
      <c r="D326" s="298">
        <v>0</v>
      </c>
      <c r="E326" s="298">
        <v>0</v>
      </c>
      <c r="F326" s="298">
        <v>0</v>
      </c>
      <c r="G326" s="298">
        <v>0</v>
      </c>
      <c r="H326" s="298">
        <v>0</v>
      </c>
      <c r="I326" s="298">
        <v>0</v>
      </c>
      <c r="J326" s="298">
        <v>0</v>
      </c>
      <c r="K326" s="298">
        <v>0</v>
      </c>
      <c r="L326" s="298">
        <v>0</v>
      </c>
      <c r="M326" s="298">
        <v>0</v>
      </c>
      <c r="N326" s="298">
        <v>0</v>
      </c>
      <c r="O326" s="298">
        <v>69000</v>
      </c>
    </row>
    <row r="327" spans="1:15">
      <c r="A327" s="238">
        <f t="shared" si="6"/>
        <v>326</v>
      </c>
      <c r="B327" s="245" cm="1">
        <f t="array" ref="B327">INDEX(D$1:O$1, MATCH(TRUE, INDEX(($D327:$O327 &lt;&gt; 0), 0),0))</f>
        <v>44561</v>
      </c>
      <c r="C327" s="298">
        <v>0</v>
      </c>
      <c r="D327" s="298">
        <v>0</v>
      </c>
      <c r="E327" s="298">
        <v>0</v>
      </c>
      <c r="F327" s="298">
        <v>0</v>
      </c>
      <c r="G327" s="298">
        <v>0</v>
      </c>
      <c r="H327" s="298">
        <v>0</v>
      </c>
      <c r="I327" s="298">
        <v>0</v>
      </c>
      <c r="J327" s="298">
        <v>0</v>
      </c>
      <c r="K327" s="298">
        <v>120750</v>
      </c>
      <c r="L327" s="298">
        <v>120750</v>
      </c>
      <c r="M327" s="298">
        <v>138862.5</v>
      </c>
      <c r="N327" s="298">
        <v>159692</v>
      </c>
      <c r="O327" s="298">
        <v>159692</v>
      </c>
    </row>
    <row r="328" spans="1:15">
      <c r="A328" s="238">
        <f t="shared" si="6"/>
        <v>327</v>
      </c>
      <c r="B328" s="245" cm="1">
        <f t="array" ref="B328">INDEX(D$1:O$1, MATCH(TRUE, INDEX(($D328:$O328 &lt;&gt; 0), 0),0))</f>
        <v>43921</v>
      </c>
      <c r="C328" s="298">
        <v>0</v>
      </c>
      <c r="D328" s="298">
        <v>120000</v>
      </c>
      <c r="E328" s="298">
        <v>138000</v>
      </c>
      <c r="F328" s="298">
        <v>138000</v>
      </c>
      <c r="G328" s="298">
        <v>182505</v>
      </c>
      <c r="H328" s="298">
        <v>182505</v>
      </c>
      <c r="I328" s="298">
        <v>209880.75</v>
      </c>
      <c r="J328" s="298">
        <v>241362.75</v>
      </c>
      <c r="K328" s="298">
        <v>241362.75</v>
      </c>
      <c r="L328" s="298">
        <v>244259.25</v>
      </c>
      <c r="M328" s="298">
        <v>280898</v>
      </c>
      <c r="N328" s="298">
        <v>280898</v>
      </c>
      <c r="O328" s="298">
        <v>323032.75</v>
      </c>
    </row>
    <row r="329" spans="1:15">
      <c r="A329" s="238">
        <f t="shared" si="6"/>
        <v>328</v>
      </c>
      <c r="B329" s="245" cm="1">
        <f t="array" ref="B329">INDEX(D$1:O$1, MATCH(TRUE, INDEX(($D329:$O329 &lt;&gt; 0), 0),0))</f>
        <v>44926</v>
      </c>
      <c r="C329" s="298">
        <v>0</v>
      </c>
      <c r="D329" s="298">
        <v>0</v>
      </c>
      <c r="E329" s="298">
        <v>0</v>
      </c>
      <c r="F329" s="298">
        <v>0</v>
      </c>
      <c r="G329" s="298">
        <v>0</v>
      </c>
      <c r="H329" s="298">
        <v>0</v>
      </c>
      <c r="I329" s="298">
        <v>0</v>
      </c>
      <c r="J329" s="298">
        <v>0</v>
      </c>
      <c r="K329" s="298">
        <v>0</v>
      </c>
      <c r="L329" s="298">
        <v>0</v>
      </c>
      <c r="M329" s="298">
        <v>0</v>
      </c>
      <c r="N329" s="298">
        <v>0</v>
      </c>
      <c r="O329" s="298">
        <v>120000</v>
      </c>
    </row>
    <row r="330" spans="1:15">
      <c r="A330" s="238">
        <f t="shared" si="6"/>
        <v>329</v>
      </c>
      <c r="B330" s="245" cm="1">
        <f t="array" ref="B330">INDEX(D$1:O$1, MATCH(TRUE, INDEX(($D330:$O330 &lt;&gt; 0), 0),0))</f>
        <v>44834</v>
      </c>
      <c r="C330" s="298">
        <v>0</v>
      </c>
      <c r="D330" s="298">
        <v>0</v>
      </c>
      <c r="E330" s="298">
        <v>0</v>
      </c>
      <c r="F330" s="298">
        <v>0</v>
      </c>
      <c r="G330" s="298">
        <v>0</v>
      </c>
      <c r="H330" s="298">
        <v>0</v>
      </c>
      <c r="I330" s="298">
        <v>0</v>
      </c>
      <c r="J330" s="298">
        <v>0</v>
      </c>
      <c r="K330" s="298">
        <v>0</v>
      </c>
      <c r="L330" s="298">
        <v>0</v>
      </c>
      <c r="M330" s="298">
        <v>0</v>
      </c>
      <c r="N330" s="298">
        <v>105000</v>
      </c>
      <c r="O330" s="298">
        <v>122199</v>
      </c>
    </row>
    <row r="331" spans="1:15">
      <c r="A331" s="238">
        <f t="shared" si="6"/>
        <v>330</v>
      </c>
      <c r="B331" s="245" cm="1">
        <f t="array" ref="B331">INDEX(D$1:O$1, MATCH(TRUE, INDEX(($D331:$O331 &lt;&gt; 0), 0),0))</f>
        <v>44469</v>
      </c>
      <c r="C331" s="298">
        <v>0</v>
      </c>
      <c r="D331" s="298">
        <v>0</v>
      </c>
      <c r="E331" s="298">
        <v>0</v>
      </c>
      <c r="F331" s="298">
        <v>0</v>
      </c>
      <c r="G331" s="298">
        <v>0</v>
      </c>
      <c r="H331" s="298">
        <v>0</v>
      </c>
      <c r="I331" s="298">
        <v>0</v>
      </c>
      <c r="J331" s="298">
        <v>105000</v>
      </c>
      <c r="K331" s="298">
        <v>105000</v>
      </c>
      <c r="L331" s="298">
        <v>105000</v>
      </c>
      <c r="M331" s="298">
        <v>138862.5</v>
      </c>
      <c r="N331" s="298">
        <v>122199</v>
      </c>
      <c r="O331" s="298">
        <v>122199</v>
      </c>
    </row>
    <row r="332" spans="1:15">
      <c r="A332" s="238">
        <f t="shared" si="6"/>
        <v>331</v>
      </c>
      <c r="B332" s="245" cm="1">
        <f t="array" ref="B332">INDEX(D$1:O$1, MATCH(TRUE, INDEX(($D332:$O332 &lt;&gt; 0), 0),0))</f>
        <v>44286</v>
      </c>
      <c r="C332" s="298">
        <v>0</v>
      </c>
      <c r="D332" s="298">
        <v>0</v>
      </c>
      <c r="E332" s="298">
        <v>0</v>
      </c>
      <c r="F332" s="298">
        <v>0</v>
      </c>
      <c r="G332" s="298">
        <v>0</v>
      </c>
      <c r="H332" s="298">
        <v>105000</v>
      </c>
      <c r="I332" s="298">
        <v>120750</v>
      </c>
      <c r="J332" s="298">
        <v>106260</v>
      </c>
      <c r="K332" s="298">
        <v>106260</v>
      </c>
      <c r="L332" s="298">
        <v>106260</v>
      </c>
      <c r="M332" s="298">
        <v>140528.75</v>
      </c>
      <c r="N332" s="298">
        <v>161608.25</v>
      </c>
      <c r="O332" s="298">
        <v>213726.75</v>
      </c>
    </row>
    <row r="333" spans="1:15">
      <c r="A333" s="238">
        <f t="shared" si="6"/>
        <v>332</v>
      </c>
      <c r="B333" s="245" cm="1">
        <f t="array" ref="B333">INDEX(D$1:O$1, MATCH(TRUE, INDEX(($D333:$O333 &lt;&gt; 0), 0),0))</f>
        <v>44834</v>
      </c>
      <c r="C333" s="298">
        <v>0</v>
      </c>
      <c r="D333" s="298">
        <v>0</v>
      </c>
      <c r="E333" s="298">
        <v>0</v>
      </c>
      <c r="F333" s="298">
        <v>0</v>
      </c>
      <c r="G333" s="298">
        <v>0</v>
      </c>
      <c r="H333" s="298">
        <v>0</v>
      </c>
      <c r="I333" s="298">
        <v>0</v>
      </c>
      <c r="J333" s="298">
        <v>0</v>
      </c>
      <c r="K333" s="298">
        <v>0</v>
      </c>
      <c r="L333" s="298">
        <v>0</v>
      </c>
      <c r="M333" s="298">
        <v>0</v>
      </c>
      <c r="N333" s="298">
        <v>105000</v>
      </c>
      <c r="O333" s="298">
        <v>105000</v>
      </c>
    </row>
    <row r="334" spans="1:15">
      <c r="A334" s="238">
        <f t="shared" si="6"/>
        <v>333</v>
      </c>
      <c r="B334" s="245" cm="1">
        <f t="array" ref="B334">INDEX(D$1:O$1, MATCH(TRUE, INDEX(($D334:$O334 &lt;&gt; 0), 0),0))</f>
        <v>44742</v>
      </c>
      <c r="C334" s="298">
        <v>0</v>
      </c>
      <c r="D334" s="298">
        <v>0</v>
      </c>
      <c r="E334" s="298">
        <v>0</v>
      </c>
      <c r="F334" s="298">
        <v>0</v>
      </c>
      <c r="G334" s="298">
        <v>0</v>
      </c>
      <c r="H334" s="298">
        <v>0</v>
      </c>
      <c r="I334" s="298">
        <v>0</v>
      </c>
      <c r="J334" s="298">
        <v>0</v>
      </c>
      <c r="K334" s="298">
        <v>0</v>
      </c>
      <c r="L334" s="298">
        <v>0</v>
      </c>
      <c r="M334" s="298">
        <v>120000</v>
      </c>
      <c r="N334" s="298">
        <v>120000</v>
      </c>
      <c r="O334" s="298">
        <v>138000</v>
      </c>
    </row>
    <row r="335" spans="1:15">
      <c r="A335" s="238">
        <f t="shared" si="6"/>
        <v>334</v>
      </c>
      <c r="B335" s="245" cm="1">
        <f t="array" ref="B335">INDEX(D$1:O$1, MATCH(TRUE, INDEX(($D335:$O335 &lt;&gt; 0), 0),0))</f>
        <v>43921</v>
      </c>
      <c r="C335" s="298">
        <v>69000</v>
      </c>
      <c r="D335" s="298">
        <v>53433.5</v>
      </c>
      <c r="E335" s="298">
        <v>61448.75</v>
      </c>
      <c r="F335" s="298">
        <v>70666</v>
      </c>
      <c r="G335" s="298">
        <v>71514</v>
      </c>
      <c r="H335" s="298">
        <v>71514</v>
      </c>
      <c r="I335" s="298">
        <v>62932.25</v>
      </c>
      <c r="J335" s="298">
        <v>62932.25</v>
      </c>
      <c r="K335" s="298">
        <v>72372</v>
      </c>
      <c r="L335" s="298">
        <v>95712</v>
      </c>
      <c r="M335" s="298">
        <v>110069</v>
      </c>
      <c r="N335" s="298">
        <v>111389.75</v>
      </c>
      <c r="O335" s="298">
        <v>128098.25</v>
      </c>
    </row>
    <row r="336" spans="1:15">
      <c r="A336" s="238">
        <f t="shared" si="6"/>
        <v>335</v>
      </c>
      <c r="B336" s="245" cm="1">
        <f t="array" ref="B336">INDEX(D$1:O$1, MATCH(TRUE, INDEX(($D336:$O336 &lt;&gt; 0), 0),0))</f>
        <v>44926</v>
      </c>
      <c r="C336" s="298">
        <v>0</v>
      </c>
      <c r="D336" s="298">
        <v>0</v>
      </c>
      <c r="E336" s="298">
        <v>0</v>
      </c>
      <c r="F336" s="298">
        <v>0</v>
      </c>
      <c r="G336" s="298">
        <v>0</v>
      </c>
      <c r="H336" s="298">
        <v>0</v>
      </c>
      <c r="I336" s="298">
        <v>0</v>
      </c>
      <c r="J336" s="298">
        <v>0</v>
      </c>
      <c r="K336" s="298">
        <v>0</v>
      </c>
      <c r="L336" s="298">
        <v>0</v>
      </c>
      <c r="M336" s="298">
        <v>0</v>
      </c>
      <c r="N336" s="298">
        <v>0</v>
      </c>
      <c r="O336" s="298">
        <v>121440</v>
      </c>
    </row>
    <row r="337" spans="1:15">
      <c r="A337" s="238">
        <f t="shared" si="6"/>
        <v>336</v>
      </c>
      <c r="B337" s="245" cm="1">
        <f t="array" ref="B337">INDEX(D$1:O$1, MATCH(TRUE, INDEX(($D337:$O337 &lt;&gt; 0), 0),0))</f>
        <v>44196</v>
      </c>
      <c r="C337" s="298">
        <v>0</v>
      </c>
      <c r="D337" s="298">
        <v>0</v>
      </c>
      <c r="E337" s="298">
        <v>0</v>
      </c>
      <c r="F337" s="298">
        <v>0</v>
      </c>
      <c r="G337" s="298">
        <v>138000</v>
      </c>
      <c r="H337" s="298">
        <v>138000</v>
      </c>
      <c r="I337" s="298">
        <v>158700</v>
      </c>
      <c r="J337" s="298">
        <v>158700</v>
      </c>
      <c r="K337" s="298">
        <v>160604.5</v>
      </c>
      <c r="L337" s="298">
        <v>184695</v>
      </c>
      <c r="M337" s="298">
        <v>212399.25</v>
      </c>
      <c r="N337" s="298">
        <v>244259.25</v>
      </c>
      <c r="O337" s="298">
        <v>323032.75</v>
      </c>
    </row>
    <row r="338" spans="1:15">
      <c r="A338" s="238">
        <f t="shared" si="6"/>
        <v>337</v>
      </c>
      <c r="B338" s="245" cm="1">
        <f t="array" ref="B338">INDEX(D$1:O$1, MATCH(TRUE, INDEX(($D338:$O338 &lt;&gt; 0), 0),0))</f>
        <v>44926</v>
      </c>
      <c r="C338" s="298">
        <v>0</v>
      </c>
      <c r="D338" s="298">
        <v>0</v>
      </c>
      <c r="E338" s="298">
        <v>0</v>
      </c>
      <c r="F338" s="298">
        <v>0</v>
      </c>
      <c r="G338" s="298">
        <v>0</v>
      </c>
      <c r="H338" s="298">
        <v>0</v>
      </c>
      <c r="I338" s="298">
        <v>0</v>
      </c>
      <c r="J338" s="298">
        <v>0</v>
      </c>
      <c r="K338" s="298">
        <v>0</v>
      </c>
      <c r="L338" s="298">
        <v>0</v>
      </c>
      <c r="M338" s="298">
        <v>0</v>
      </c>
      <c r="N338" s="298">
        <v>0</v>
      </c>
      <c r="O338" s="298">
        <v>138000</v>
      </c>
    </row>
    <row r="339" spans="1:15">
      <c r="A339" s="238">
        <f t="shared" si="6"/>
        <v>338</v>
      </c>
      <c r="B339" s="245" cm="1">
        <f t="array" ref="B339">INDEX(D$1:O$1, MATCH(TRUE, INDEX(($D339:$O339 &lt;&gt; 0), 0),0))</f>
        <v>44104</v>
      </c>
      <c r="C339" s="298">
        <v>0</v>
      </c>
      <c r="D339" s="298">
        <v>0</v>
      </c>
      <c r="E339" s="298">
        <v>0</v>
      </c>
      <c r="F339" s="298">
        <v>120000</v>
      </c>
      <c r="G339" s="298">
        <v>120000</v>
      </c>
      <c r="H339" s="298">
        <v>120000</v>
      </c>
      <c r="I339" s="298">
        <v>158700</v>
      </c>
      <c r="J339" s="298">
        <v>182505</v>
      </c>
      <c r="K339" s="298">
        <v>182505</v>
      </c>
      <c r="L339" s="298">
        <v>160604.5</v>
      </c>
      <c r="M339" s="298">
        <v>160604.5</v>
      </c>
      <c r="N339" s="298">
        <v>160604.5</v>
      </c>
      <c r="O339" s="298">
        <v>160604.5</v>
      </c>
    </row>
    <row r="340" spans="1:15">
      <c r="A340" s="238">
        <f t="shared" si="6"/>
        <v>339</v>
      </c>
      <c r="B340" s="245" cm="1">
        <f t="array" ref="B340">INDEX(D$1:O$1, MATCH(TRUE, INDEX(($D340:$O340 &lt;&gt; 0), 0),0))</f>
        <v>44561</v>
      </c>
      <c r="C340" s="298">
        <v>0</v>
      </c>
      <c r="D340" s="298">
        <v>0</v>
      </c>
      <c r="E340" s="298">
        <v>0</v>
      </c>
      <c r="F340" s="298">
        <v>0</v>
      </c>
      <c r="G340" s="298">
        <v>0</v>
      </c>
      <c r="H340" s="298">
        <v>0</v>
      </c>
      <c r="I340" s="298">
        <v>0</v>
      </c>
      <c r="J340" s="298">
        <v>0</v>
      </c>
      <c r="K340" s="298">
        <v>120000</v>
      </c>
      <c r="L340" s="298">
        <v>138000</v>
      </c>
      <c r="M340" s="298">
        <v>158700</v>
      </c>
      <c r="N340" s="298">
        <v>182505</v>
      </c>
      <c r="O340" s="298">
        <v>209880.75</v>
      </c>
    </row>
    <row r="341" spans="1:15">
      <c r="A341" s="238">
        <f t="shared" si="6"/>
        <v>340</v>
      </c>
      <c r="B341" s="245" cm="1">
        <f t="array" ref="B341">INDEX(D$1:O$1, MATCH(TRUE, INDEX(($D341:$O341 &lt;&gt; 0), 0),0))</f>
        <v>44561</v>
      </c>
      <c r="C341" s="298">
        <v>0</v>
      </c>
      <c r="D341" s="298">
        <v>0</v>
      </c>
      <c r="E341" s="298">
        <v>0</v>
      </c>
      <c r="F341" s="298">
        <v>0</v>
      </c>
      <c r="G341" s="298">
        <v>0</v>
      </c>
      <c r="H341" s="298">
        <v>0</v>
      </c>
      <c r="I341" s="298">
        <v>0</v>
      </c>
      <c r="J341" s="298">
        <v>0</v>
      </c>
      <c r="K341" s="298">
        <v>105000</v>
      </c>
      <c r="L341" s="298">
        <v>105000</v>
      </c>
      <c r="M341" s="298">
        <v>120750</v>
      </c>
      <c r="N341" s="298">
        <v>138862.5</v>
      </c>
      <c r="O341" s="298">
        <v>183645.75</v>
      </c>
    </row>
    <row r="342" spans="1:15">
      <c r="A342" s="238">
        <f t="shared" si="6"/>
        <v>341</v>
      </c>
      <c r="B342" s="245" cm="1">
        <f t="array" ref="B342">INDEX(D$1:O$1, MATCH(TRUE, INDEX(($D342:$O342 &lt;&gt; 0), 0),0))</f>
        <v>44926</v>
      </c>
      <c r="C342" s="298">
        <v>0</v>
      </c>
      <c r="D342" s="298">
        <v>0</v>
      </c>
      <c r="E342" s="298">
        <v>0</v>
      </c>
      <c r="F342" s="298">
        <v>0</v>
      </c>
      <c r="G342" s="298">
        <v>0</v>
      </c>
      <c r="H342" s="298">
        <v>0</v>
      </c>
      <c r="I342" s="298">
        <v>0</v>
      </c>
      <c r="J342" s="298">
        <v>0</v>
      </c>
      <c r="K342" s="298">
        <v>0</v>
      </c>
      <c r="L342" s="298">
        <v>0</v>
      </c>
      <c r="M342" s="298">
        <v>0</v>
      </c>
      <c r="N342" s="298">
        <v>0</v>
      </c>
      <c r="O342" s="298">
        <v>105000</v>
      </c>
    </row>
    <row r="343" spans="1:15">
      <c r="A343" s="238">
        <f t="shared" si="6"/>
        <v>342</v>
      </c>
      <c r="B343" s="245" cm="1">
        <f t="array" ref="B343">INDEX(D$1:O$1, MATCH(TRUE, INDEX(($D343:$O343 &lt;&gt; 0), 0),0))</f>
        <v>44742</v>
      </c>
      <c r="C343" s="298">
        <v>0</v>
      </c>
      <c r="D343" s="298">
        <v>0</v>
      </c>
      <c r="E343" s="298">
        <v>0</v>
      </c>
      <c r="F343" s="298">
        <v>0</v>
      </c>
      <c r="G343" s="298">
        <v>0</v>
      </c>
      <c r="H343" s="298">
        <v>0</v>
      </c>
      <c r="I343" s="298">
        <v>0</v>
      </c>
      <c r="J343" s="298">
        <v>0</v>
      </c>
      <c r="K343" s="298">
        <v>0</v>
      </c>
      <c r="L343" s="298">
        <v>0</v>
      </c>
      <c r="M343" s="298">
        <v>120000</v>
      </c>
      <c r="N343" s="298">
        <v>138000</v>
      </c>
      <c r="O343" s="298">
        <v>121440</v>
      </c>
    </row>
    <row r="344" spans="1:15">
      <c r="A344" s="238">
        <f t="shared" si="6"/>
        <v>343</v>
      </c>
      <c r="B344" s="245" cm="1">
        <f t="array" ref="B344">INDEX(D$1:O$1, MATCH(TRUE, INDEX(($D344:$O344 &lt;&gt; 0), 0),0))</f>
        <v>44742</v>
      </c>
      <c r="C344" s="298">
        <v>0</v>
      </c>
      <c r="D344" s="298">
        <v>0</v>
      </c>
      <c r="E344" s="298">
        <v>0</v>
      </c>
      <c r="F344" s="298">
        <v>0</v>
      </c>
      <c r="G344" s="298">
        <v>0</v>
      </c>
      <c r="H344" s="298">
        <v>0</v>
      </c>
      <c r="I344" s="298">
        <v>0</v>
      </c>
      <c r="J344" s="298">
        <v>0</v>
      </c>
      <c r="K344" s="298">
        <v>0</v>
      </c>
      <c r="L344" s="298">
        <v>0</v>
      </c>
      <c r="M344" s="298">
        <v>105000</v>
      </c>
      <c r="N344" s="298">
        <v>105000</v>
      </c>
      <c r="O344" s="298">
        <v>122199</v>
      </c>
    </row>
    <row r="345" spans="1:15">
      <c r="A345" s="238">
        <f t="shared" si="6"/>
        <v>344</v>
      </c>
      <c r="B345" s="245" cm="1">
        <f t="array" ref="B345">INDEX(D$1:O$1, MATCH(TRUE, INDEX(($D345:$O345 &lt;&gt; 0), 0),0))</f>
        <v>44469</v>
      </c>
      <c r="C345" s="298">
        <v>0</v>
      </c>
      <c r="D345" s="298">
        <v>0</v>
      </c>
      <c r="E345" s="298">
        <v>0</v>
      </c>
      <c r="F345" s="298">
        <v>0</v>
      </c>
      <c r="G345" s="298">
        <v>0</v>
      </c>
      <c r="H345" s="298">
        <v>0</v>
      </c>
      <c r="I345" s="298">
        <v>0</v>
      </c>
      <c r="J345" s="298">
        <v>120000</v>
      </c>
      <c r="K345" s="298">
        <v>138000</v>
      </c>
      <c r="L345" s="298">
        <v>138000</v>
      </c>
      <c r="M345" s="298">
        <v>138000</v>
      </c>
      <c r="N345" s="298">
        <v>158700</v>
      </c>
      <c r="O345" s="298">
        <v>241362.75</v>
      </c>
    </row>
    <row r="346" spans="1:15">
      <c r="A346" s="238">
        <f t="shared" si="6"/>
        <v>345</v>
      </c>
      <c r="B346" s="245" cm="1">
        <f t="array" ref="B346">INDEX(D$1:O$1, MATCH(TRUE, INDEX(($D346:$O346 &lt;&gt; 0), 0),0))</f>
        <v>43921</v>
      </c>
      <c r="C346" s="298">
        <v>188079.5</v>
      </c>
      <c r="D346" s="298">
        <v>218887</v>
      </c>
      <c r="E346" s="298">
        <v>218887</v>
      </c>
      <c r="F346" s="298">
        <v>218887</v>
      </c>
      <c r="G346" s="298">
        <v>289478</v>
      </c>
      <c r="H346" s="298">
        <v>289478</v>
      </c>
      <c r="I346" s="298">
        <v>292951.75</v>
      </c>
      <c r="J346" s="298">
        <v>292951.75</v>
      </c>
      <c r="K346" s="298">
        <v>296467.25</v>
      </c>
      <c r="L346" s="298">
        <v>296467.25</v>
      </c>
      <c r="M346" s="298">
        <v>296467.25</v>
      </c>
      <c r="N346" s="298">
        <v>340937.25</v>
      </c>
      <c r="O346" s="298">
        <v>0</v>
      </c>
    </row>
    <row r="347" spans="1:15">
      <c r="A347" s="238">
        <f t="shared" si="6"/>
        <v>346</v>
      </c>
      <c r="B347" s="245" cm="1">
        <f t="array" ref="B347">INDEX(D$1:O$1, MATCH(TRUE, INDEX(($D347:$O347 &lt;&gt; 0), 0),0))</f>
        <v>44196</v>
      </c>
      <c r="C347" s="298">
        <v>0</v>
      </c>
      <c r="D347" s="298">
        <v>0</v>
      </c>
      <c r="E347" s="298">
        <v>0</v>
      </c>
      <c r="F347" s="298">
        <v>0</v>
      </c>
      <c r="G347" s="298">
        <v>120750</v>
      </c>
      <c r="H347" s="298">
        <v>138862.5</v>
      </c>
      <c r="I347" s="298">
        <v>183645.75</v>
      </c>
      <c r="J347" s="298">
        <v>211192.5</v>
      </c>
      <c r="K347" s="298">
        <v>242871.5</v>
      </c>
      <c r="L347" s="298">
        <v>321197.5</v>
      </c>
      <c r="M347" s="298">
        <v>321197.5</v>
      </c>
      <c r="N347" s="298">
        <v>424783.5</v>
      </c>
      <c r="O347" s="298">
        <v>424783.5</v>
      </c>
    </row>
    <row r="348" spans="1:15">
      <c r="A348" s="238">
        <f t="shared" si="6"/>
        <v>347</v>
      </c>
      <c r="B348" s="245" cm="1">
        <f t="array" ref="B348">INDEX(D$1:O$1, MATCH(TRUE, INDEX(($D348:$O348 &lt;&gt; 0), 0),0))</f>
        <v>44742</v>
      </c>
      <c r="C348" s="298">
        <v>0</v>
      </c>
      <c r="D348" s="298">
        <v>0</v>
      </c>
      <c r="E348" s="298">
        <v>0</v>
      </c>
      <c r="F348" s="298">
        <v>0</v>
      </c>
      <c r="G348" s="298">
        <v>0</v>
      </c>
      <c r="H348" s="298">
        <v>0</v>
      </c>
      <c r="I348" s="298">
        <v>0</v>
      </c>
      <c r="J348" s="298">
        <v>0</v>
      </c>
      <c r="K348" s="298">
        <v>0</v>
      </c>
      <c r="L348" s="298">
        <v>0</v>
      </c>
      <c r="M348" s="298">
        <v>105000</v>
      </c>
      <c r="N348" s="298">
        <v>122199</v>
      </c>
      <c r="O348" s="298">
        <v>140528.75</v>
      </c>
    </row>
    <row r="349" spans="1:15">
      <c r="A349" s="238">
        <f t="shared" si="6"/>
        <v>348</v>
      </c>
      <c r="B349" s="245" cm="1">
        <f t="array" ref="B349">INDEX(D$1:O$1, MATCH(TRUE, INDEX(($D349:$O349 &lt;&gt; 0), 0),0))</f>
        <v>44834</v>
      </c>
      <c r="C349" s="298">
        <v>0</v>
      </c>
      <c r="D349" s="298">
        <v>0</v>
      </c>
      <c r="E349" s="298">
        <v>0</v>
      </c>
      <c r="F349" s="298">
        <v>0</v>
      </c>
      <c r="G349" s="298">
        <v>0</v>
      </c>
      <c r="H349" s="298">
        <v>0</v>
      </c>
      <c r="I349" s="298">
        <v>0</v>
      </c>
      <c r="J349" s="298">
        <v>0</v>
      </c>
      <c r="K349" s="298">
        <v>0</v>
      </c>
      <c r="L349" s="298">
        <v>0</v>
      </c>
      <c r="M349" s="298">
        <v>0</v>
      </c>
      <c r="N349" s="298">
        <v>120000</v>
      </c>
      <c r="O349" s="298">
        <v>138000</v>
      </c>
    </row>
    <row r="350" spans="1:15">
      <c r="A350" s="238">
        <f t="shared" si="6"/>
        <v>349</v>
      </c>
      <c r="B350" s="245" cm="1">
        <f t="array" ref="B350">INDEX(D$1:O$1, MATCH(TRUE, INDEX(($D350:$O350 &lt;&gt; 0), 0),0))</f>
        <v>44469</v>
      </c>
      <c r="C350" s="298">
        <v>0</v>
      </c>
      <c r="D350" s="298">
        <v>0</v>
      </c>
      <c r="E350" s="298">
        <v>0</v>
      </c>
      <c r="F350" s="298">
        <v>0</v>
      </c>
      <c r="G350" s="298">
        <v>0</v>
      </c>
      <c r="H350" s="298">
        <v>0</v>
      </c>
      <c r="I350" s="298">
        <v>0</v>
      </c>
      <c r="J350" s="298">
        <v>69000</v>
      </c>
      <c r="K350" s="298">
        <v>79350</v>
      </c>
      <c r="L350" s="298">
        <v>69828</v>
      </c>
      <c r="M350" s="298">
        <v>80302.25</v>
      </c>
      <c r="N350" s="298">
        <v>70666</v>
      </c>
      <c r="O350" s="298">
        <v>70666</v>
      </c>
    </row>
    <row r="351" spans="1:15">
      <c r="A351" s="238">
        <f t="shared" si="6"/>
        <v>350</v>
      </c>
      <c r="B351" s="245" cm="1">
        <f t="array" ref="B351">INDEX(D$1:O$1, MATCH(TRUE, INDEX(($D351:$O351 &lt;&gt; 0), 0),0))</f>
        <v>44561</v>
      </c>
      <c r="C351" s="298">
        <v>0</v>
      </c>
      <c r="D351" s="298">
        <v>0</v>
      </c>
      <c r="E351" s="298">
        <v>0</v>
      </c>
      <c r="F351" s="298">
        <v>0</v>
      </c>
      <c r="G351" s="298">
        <v>0</v>
      </c>
      <c r="H351" s="298">
        <v>0</v>
      </c>
      <c r="I351" s="298">
        <v>0</v>
      </c>
      <c r="J351" s="298">
        <v>0</v>
      </c>
      <c r="K351" s="298">
        <v>120000</v>
      </c>
      <c r="L351" s="298">
        <v>138000</v>
      </c>
      <c r="M351" s="298">
        <v>158700</v>
      </c>
      <c r="N351" s="298">
        <v>182505</v>
      </c>
      <c r="O351" s="298">
        <v>182505</v>
      </c>
    </row>
    <row r="352" spans="1:15">
      <c r="A352" s="238">
        <f t="shared" si="6"/>
        <v>351</v>
      </c>
      <c r="B352" s="245" cm="1">
        <f t="array" ref="B352">INDEX(D$1:O$1, MATCH(TRUE, INDEX(($D352:$O352 &lt;&gt; 0), 0),0))</f>
        <v>44377</v>
      </c>
      <c r="C352" s="298">
        <v>0</v>
      </c>
      <c r="D352" s="298">
        <v>0</v>
      </c>
      <c r="E352" s="298">
        <v>0</v>
      </c>
      <c r="F352" s="298">
        <v>0</v>
      </c>
      <c r="G352" s="298">
        <v>0</v>
      </c>
      <c r="H352" s="298">
        <v>0</v>
      </c>
      <c r="I352" s="298">
        <v>69000</v>
      </c>
      <c r="J352" s="298">
        <v>60720</v>
      </c>
      <c r="K352" s="298">
        <v>61448.75</v>
      </c>
      <c r="L352" s="298">
        <v>70666</v>
      </c>
      <c r="M352" s="298">
        <v>70666</v>
      </c>
      <c r="N352" s="298">
        <v>70666</v>
      </c>
      <c r="O352" s="298">
        <v>62186</v>
      </c>
    </row>
    <row r="353" spans="1:15">
      <c r="A353" s="238">
        <f t="shared" si="6"/>
        <v>352</v>
      </c>
      <c r="B353" s="245" cm="1">
        <f t="array" ref="B353">INDEX(D$1:O$1, MATCH(TRUE, INDEX(($D353:$O353 &lt;&gt; 0), 0),0))</f>
        <v>44286</v>
      </c>
      <c r="C353" s="298">
        <v>0</v>
      </c>
      <c r="D353" s="298">
        <v>0</v>
      </c>
      <c r="E353" s="298">
        <v>0</v>
      </c>
      <c r="F353" s="298">
        <v>0</v>
      </c>
      <c r="G353" s="298">
        <v>0</v>
      </c>
      <c r="H353" s="298">
        <v>52800</v>
      </c>
      <c r="I353" s="298">
        <v>53433.5</v>
      </c>
      <c r="J353" s="298">
        <v>61448.75</v>
      </c>
      <c r="K353" s="298">
        <v>61448.75</v>
      </c>
      <c r="L353" s="298">
        <v>70666</v>
      </c>
      <c r="M353" s="298">
        <v>70666</v>
      </c>
      <c r="N353" s="298">
        <v>70666</v>
      </c>
      <c r="O353" s="298">
        <v>81265.75</v>
      </c>
    </row>
    <row r="354" spans="1:15">
      <c r="A354" s="238">
        <f t="shared" si="6"/>
        <v>353</v>
      </c>
      <c r="B354" s="245" cm="1">
        <f t="array" ref="B354">INDEX(D$1:O$1, MATCH(TRUE, INDEX(($D354:$O354 &lt;&gt; 0), 0),0))</f>
        <v>43921</v>
      </c>
      <c r="C354" s="298">
        <v>182505</v>
      </c>
      <c r="D354" s="298">
        <v>209880.75</v>
      </c>
      <c r="E354" s="298">
        <v>241362.75</v>
      </c>
      <c r="F354" s="298">
        <v>212399.25</v>
      </c>
      <c r="G354" s="298">
        <v>244259.25</v>
      </c>
      <c r="H354" s="298">
        <v>371487.75</v>
      </c>
      <c r="I354" s="298">
        <v>375945.5</v>
      </c>
      <c r="J354" s="298">
        <v>432337.5</v>
      </c>
      <c r="K354" s="298">
        <v>571766.25</v>
      </c>
      <c r="L354" s="298">
        <v>571766.25</v>
      </c>
      <c r="M354" s="298">
        <v>756160.75</v>
      </c>
      <c r="N354" s="298">
        <v>756160.75</v>
      </c>
      <c r="O354" s="298">
        <v>756160.75</v>
      </c>
    </row>
    <row r="355" spans="1:15">
      <c r="A355" s="238">
        <f t="shared" si="6"/>
        <v>354</v>
      </c>
      <c r="B355" s="245" cm="1">
        <f t="array" ref="B355">INDEX(D$1:O$1, MATCH(TRUE, INDEX(($D355:$O355 &lt;&gt; 0), 0),0))</f>
        <v>43921</v>
      </c>
      <c r="C355" s="298">
        <v>120000</v>
      </c>
      <c r="D355" s="298">
        <v>120000</v>
      </c>
      <c r="E355" s="298">
        <v>138000</v>
      </c>
      <c r="F355" s="298">
        <v>138000</v>
      </c>
      <c r="G355" s="298">
        <v>138000</v>
      </c>
      <c r="H355" s="298">
        <v>138000</v>
      </c>
      <c r="I355" s="298">
        <v>182505</v>
      </c>
      <c r="J355" s="298">
        <v>182505</v>
      </c>
      <c r="K355" s="298">
        <v>212399.25</v>
      </c>
      <c r="L355" s="298">
        <v>244259.25</v>
      </c>
      <c r="M355" s="298">
        <v>244259.25</v>
      </c>
      <c r="N355" s="298">
        <v>189154.25</v>
      </c>
      <c r="O355" s="298">
        <v>217527.5</v>
      </c>
    </row>
    <row r="356" spans="1:15">
      <c r="A356" s="238">
        <f t="shared" si="6"/>
        <v>355</v>
      </c>
      <c r="B356" s="245" cm="1">
        <f t="array" ref="B356">INDEX(D$1:O$1, MATCH(TRUE, INDEX(($D356:$O356 &lt;&gt; 0), 0),0))</f>
        <v>43921</v>
      </c>
      <c r="C356" s="298">
        <v>214948</v>
      </c>
      <c r="D356" s="298">
        <v>284269</v>
      </c>
      <c r="E356" s="298">
        <v>284269</v>
      </c>
      <c r="F356" s="298">
        <v>250156.5</v>
      </c>
      <c r="G356" s="298">
        <v>330832</v>
      </c>
      <c r="H356" s="298">
        <v>330832</v>
      </c>
      <c r="I356" s="298">
        <v>380457</v>
      </c>
      <c r="J356" s="298">
        <v>437525.5</v>
      </c>
      <c r="K356" s="298">
        <v>503154.25</v>
      </c>
      <c r="L356" s="298">
        <v>578627.5</v>
      </c>
      <c r="M356" s="298">
        <v>585571</v>
      </c>
      <c r="N356" s="298">
        <v>673406.5</v>
      </c>
      <c r="O356" s="298">
        <v>774417.5</v>
      </c>
    </row>
    <row r="357" spans="1:15">
      <c r="A357" s="238">
        <f t="shared" si="6"/>
        <v>356</v>
      </c>
      <c r="B357" s="245" cm="1">
        <f t="array" ref="B357">INDEX(D$1:O$1, MATCH(TRUE, INDEX(($D357:$O357 &lt;&gt; 0), 0),0))</f>
        <v>44742</v>
      </c>
      <c r="C357" s="298">
        <v>0</v>
      </c>
      <c r="D357" s="298">
        <v>0</v>
      </c>
      <c r="E357" s="298">
        <v>0</v>
      </c>
      <c r="F357" s="298">
        <v>0</v>
      </c>
      <c r="G357" s="298">
        <v>0</v>
      </c>
      <c r="H357" s="298">
        <v>0</v>
      </c>
      <c r="I357" s="298">
        <v>0</v>
      </c>
      <c r="J357" s="298">
        <v>0</v>
      </c>
      <c r="K357" s="298">
        <v>0</v>
      </c>
      <c r="L357" s="298">
        <v>0</v>
      </c>
      <c r="M357" s="298">
        <v>105000</v>
      </c>
      <c r="N357" s="298">
        <v>120750</v>
      </c>
      <c r="O357" s="298">
        <v>159692</v>
      </c>
    </row>
    <row r="358" spans="1:15">
      <c r="A358" s="238">
        <f t="shared" si="6"/>
        <v>357</v>
      </c>
      <c r="B358" s="245" cm="1">
        <f t="array" ref="B358">INDEX(D$1:O$1, MATCH(TRUE, INDEX(($D358:$O358 &lt;&gt; 0), 0),0))</f>
        <v>44469</v>
      </c>
      <c r="C358" s="298">
        <v>0</v>
      </c>
      <c r="D358" s="298">
        <v>0</v>
      </c>
      <c r="E358" s="298">
        <v>0</v>
      </c>
      <c r="F358" s="298">
        <v>0</v>
      </c>
      <c r="G358" s="298">
        <v>0</v>
      </c>
      <c r="H358" s="298">
        <v>0</v>
      </c>
      <c r="I358" s="298">
        <v>0</v>
      </c>
      <c r="J358" s="298">
        <v>105000</v>
      </c>
      <c r="K358" s="298">
        <v>120750</v>
      </c>
      <c r="L358" s="298">
        <v>120750</v>
      </c>
      <c r="M358" s="298">
        <v>159692</v>
      </c>
      <c r="N358" s="298">
        <v>159692</v>
      </c>
      <c r="O358" s="298">
        <v>183645.75</v>
      </c>
    </row>
    <row r="359" spans="1:15">
      <c r="A359" s="238">
        <f t="shared" si="6"/>
        <v>358</v>
      </c>
      <c r="B359" s="245" cm="1">
        <f t="array" ref="B359">INDEX(D$1:O$1, MATCH(TRUE, INDEX(($D359:$O359 &lt;&gt; 0), 0),0))</f>
        <v>43921</v>
      </c>
      <c r="C359" s="298">
        <v>60000</v>
      </c>
      <c r="D359" s="298">
        <v>60000</v>
      </c>
      <c r="E359" s="298">
        <v>60000</v>
      </c>
      <c r="F359" s="298">
        <v>69000</v>
      </c>
      <c r="G359" s="298">
        <v>69000</v>
      </c>
      <c r="H359" s="298">
        <v>69000</v>
      </c>
      <c r="I359" s="298">
        <v>79350</v>
      </c>
      <c r="J359" s="298">
        <v>79350</v>
      </c>
      <c r="K359" s="298">
        <v>69828</v>
      </c>
      <c r="L359" s="298">
        <v>80302.25</v>
      </c>
      <c r="M359" s="298">
        <v>80302.25</v>
      </c>
      <c r="N359" s="298">
        <v>80302.25</v>
      </c>
      <c r="O359" s="298">
        <v>92347.5</v>
      </c>
    </row>
    <row r="360" spans="1:15">
      <c r="A360" s="238">
        <f t="shared" si="6"/>
        <v>359</v>
      </c>
      <c r="B360" s="245" cm="1">
        <f t="array" ref="B360">INDEX(D$1:O$1, MATCH(TRUE, INDEX(($D360:$O360 &lt;&gt; 0), 0),0))</f>
        <v>44834</v>
      </c>
      <c r="C360" s="298">
        <v>0</v>
      </c>
      <c r="D360" s="298">
        <v>0</v>
      </c>
      <c r="E360" s="298">
        <v>0</v>
      </c>
      <c r="F360" s="298">
        <v>0</v>
      </c>
      <c r="G360" s="298">
        <v>0</v>
      </c>
      <c r="H360" s="298">
        <v>0</v>
      </c>
      <c r="I360" s="298">
        <v>0</v>
      </c>
      <c r="J360" s="298">
        <v>0</v>
      </c>
      <c r="K360" s="298">
        <v>0</v>
      </c>
      <c r="L360" s="298">
        <v>0</v>
      </c>
      <c r="M360" s="298">
        <v>0</v>
      </c>
      <c r="N360" s="298">
        <v>105000</v>
      </c>
      <c r="O360" s="298">
        <v>106260</v>
      </c>
    </row>
    <row r="361" spans="1:15">
      <c r="A361" s="238">
        <f t="shared" si="6"/>
        <v>360</v>
      </c>
      <c r="B361" s="245" cm="1">
        <f t="array" ref="B361">INDEX(D$1:O$1, MATCH(TRUE, INDEX(($D361:$O361 &lt;&gt; 0), 0),0))</f>
        <v>44104</v>
      </c>
      <c r="C361" s="298">
        <v>0</v>
      </c>
      <c r="D361" s="298">
        <v>0</v>
      </c>
      <c r="E361" s="298">
        <v>0</v>
      </c>
      <c r="F361" s="298">
        <v>120000</v>
      </c>
      <c r="G361" s="298">
        <v>138000</v>
      </c>
      <c r="H361" s="298">
        <v>158700</v>
      </c>
      <c r="I361" s="298">
        <v>182505</v>
      </c>
      <c r="J361" s="298">
        <v>182505</v>
      </c>
      <c r="K361" s="298">
        <v>182505</v>
      </c>
      <c r="L361" s="298">
        <v>209880.75</v>
      </c>
      <c r="M361" s="298">
        <v>209880.75</v>
      </c>
      <c r="N361" s="298">
        <v>209880.75</v>
      </c>
      <c r="O361" s="298">
        <v>241362.75</v>
      </c>
    </row>
    <row r="362" spans="1:15">
      <c r="A362" s="238">
        <f t="shared" si="6"/>
        <v>361</v>
      </c>
      <c r="B362" s="245" cm="1">
        <f t="array" ref="B362">INDEX(D$1:O$1, MATCH(TRUE, INDEX(($D362:$O362 &lt;&gt; 0), 0),0))</f>
        <v>44561</v>
      </c>
      <c r="C362" s="298">
        <v>0</v>
      </c>
      <c r="D362" s="298">
        <v>0</v>
      </c>
      <c r="E362" s="298">
        <v>0</v>
      </c>
      <c r="F362" s="298">
        <v>0</v>
      </c>
      <c r="G362" s="298">
        <v>0</v>
      </c>
      <c r="H362" s="298">
        <v>0</v>
      </c>
      <c r="I362" s="298">
        <v>0</v>
      </c>
      <c r="J362" s="298">
        <v>0</v>
      </c>
      <c r="K362" s="298">
        <v>105000</v>
      </c>
      <c r="L362" s="298">
        <v>105000</v>
      </c>
      <c r="M362" s="298">
        <v>120750</v>
      </c>
      <c r="N362" s="298">
        <v>93508.75</v>
      </c>
      <c r="O362" s="298">
        <v>107535</v>
      </c>
    </row>
    <row r="363" spans="1:15">
      <c r="A363" s="238">
        <f t="shared" si="6"/>
        <v>362</v>
      </c>
      <c r="B363" s="245" cm="1">
        <f t="array" ref="B363">INDEX(D$1:O$1, MATCH(TRUE, INDEX(($D363:$O363 &lt;&gt; 0), 0),0))</f>
        <v>44377</v>
      </c>
      <c r="C363" s="298">
        <v>0</v>
      </c>
      <c r="D363" s="298">
        <v>0</v>
      </c>
      <c r="E363" s="298">
        <v>0</v>
      </c>
      <c r="F363" s="298">
        <v>0</v>
      </c>
      <c r="G363" s="298">
        <v>0</v>
      </c>
      <c r="H363" s="298">
        <v>0</v>
      </c>
      <c r="I363" s="298">
        <v>138000</v>
      </c>
      <c r="J363" s="298">
        <v>138000</v>
      </c>
      <c r="K363" s="298">
        <v>158700</v>
      </c>
      <c r="L363" s="298">
        <v>158700</v>
      </c>
      <c r="M363" s="298">
        <v>158700</v>
      </c>
      <c r="N363" s="298">
        <v>158700</v>
      </c>
      <c r="O363" s="298">
        <v>158700</v>
      </c>
    </row>
    <row r="364" spans="1:15">
      <c r="A364" s="238">
        <f t="shared" si="6"/>
        <v>363</v>
      </c>
      <c r="B364" s="245" cm="1">
        <f t="array" ref="B364">INDEX(D$1:O$1, MATCH(TRUE, INDEX(($D364:$O364 &lt;&gt; 0), 0),0))</f>
        <v>44834</v>
      </c>
      <c r="C364" s="298">
        <v>0</v>
      </c>
      <c r="D364" s="298">
        <v>0</v>
      </c>
      <c r="E364" s="298">
        <v>0</v>
      </c>
      <c r="F364" s="298">
        <v>0</v>
      </c>
      <c r="G364" s="298">
        <v>0</v>
      </c>
      <c r="H364" s="298">
        <v>0</v>
      </c>
      <c r="I364" s="298">
        <v>0</v>
      </c>
      <c r="J364" s="298">
        <v>0</v>
      </c>
      <c r="K364" s="298">
        <v>0</v>
      </c>
      <c r="L364" s="298">
        <v>0</v>
      </c>
      <c r="M364" s="298">
        <v>0</v>
      </c>
      <c r="N364" s="298">
        <v>105000</v>
      </c>
      <c r="O364" s="298">
        <v>120750</v>
      </c>
    </row>
    <row r="365" spans="1:15">
      <c r="A365" s="238">
        <f t="shared" si="6"/>
        <v>364</v>
      </c>
      <c r="B365" s="245" cm="1">
        <f t="array" ref="B365">INDEX(D$1:O$1, MATCH(TRUE, INDEX(($D365:$O365 &lt;&gt; 0), 0),0))</f>
        <v>43921</v>
      </c>
      <c r="C365" s="298">
        <v>159692</v>
      </c>
      <c r="D365" s="298">
        <v>211192.5</v>
      </c>
      <c r="E365" s="298">
        <v>242871.5</v>
      </c>
      <c r="F365" s="298">
        <v>321197.5</v>
      </c>
      <c r="G365" s="298">
        <v>321197.5</v>
      </c>
      <c r="H365" s="298">
        <v>369377</v>
      </c>
      <c r="I365" s="298">
        <v>325051.75</v>
      </c>
      <c r="J365" s="298">
        <v>373809.5</v>
      </c>
      <c r="K365" s="298">
        <v>373809.5</v>
      </c>
      <c r="L365" s="298">
        <v>429881</v>
      </c>
      <c r="M365" s="298">
        <v>378295.25</v>
      </c>
      <c r="N365" s="298">
        <v>435039.5</v>
      </c>
      <c r="O365" s="298">
        <v>500295.5</v>
      </c>
    </row>
    <row r="366" spans="1:15">
      <c r="A366" s="238">
        <f t="shared" si="6"/>
        <v>365</v>
      </c>
      <c r="B366" s="245" cm="1">
        <f t="array" ref="B366">INDEX(D$1:O$1, MATCH(TRUE, INDEX(($D366:$O366 &lt;&gt; 0), 0),0))</f>
        <v>44926</v>
      </c>
      <c r="C366" s="298">
        <v>0</v>
      </c>
      <c r="D366" s="298">
        <v>0</v>
      </c>
      <c r="E366" s="298">
        <v>0</v>
      </c>
      <c r="F366" s="298">
        <v>0</v>
      </c>
      <c r="G366" s="298">
        <v>0</v>
      </c>
      <c r="H366" s="298">
        <v>0</v>
      </c>
      <c r="I366" s="298">
        <v>0</v>
      </c>
      <c r="J366" s="298">
        <v>0</v>
      </c>
      <c r="K366" s="298">
        <v>0</v>
      </c>
      <c r="L366" s="298">
        <v>0</v>
      </c>
      <c r="M366" s="298">
        <v>0</v>
      </c>
      <c r="N366" s="298">
        <v>0</v>
      </c>
      <c r="O366" s="298">
        <v>120750</v>
      </c>
    </row>
    <row r="367" spans="1:15">
      <c r="A367" s="238">
        <f t="shared" si="6"/>
        <v>366</v>
      </c>
      <c r="B367" s="245" t="e" cm="1">
        <f t="array" ref="B367">INDEX(D$1:O$1, MATCH(TRUE, INDEX(($D367:$O367 &lt;&gt; 0), 0),0))</f>
        <v>#N/A</v>
      </c>
      <c r="C367" s="298">
        <v>0</v>
      </c>
      <c r="D367" s="298">
        <v>0</v>
      </c>
      <c r="E367" s="298">
        <v>0</v>
      </c>
      <c r="F367" s="298">
        <v>0</v>
      </c>
      <c r="G367" s="298">
        <v>0</v>
      </c>
      <c r="H367" s="298">
        <v>0</v>
      </c>
      <c r="I367" s="298">
        <v>0</v>
      </c>
      <c r="J367" s="298">
        <v>0</v>
      </c>
      <c r="K367" s="298">
        <v>0</v>
      </c>
      <c r="L367" s="298">
        <v>0</v>
      </c>
      <c r="M367" s="298">
        <v>0</v>
      </c>
      <c r="N367" s="298">
        <v>0</v>
      </c>
      <c r="O367" s="298">
        <v>0</v>
      </c>
    </row>
    <row r="368" spans="1:15">
      <c r="A368" s="238">
        <f t="shared" si="6"/>
        <v>367</v>
      </c>
      <c r="B368" s="245" cm="1">
        <f t="array" ref="B368">INDEX(D$1:O$1, MATCH(TRUE, INDEX(($D368:$O368 &lt;&gt; 0), 0),0))</f>
        <v>44012</v>
      </c>
      <c r="C368" s="298">
        <v>0</v>
      </c>
      <c r="D368" s="298">
        <v>0</v>
      </c>
      <c r="E368" s="298">
        <v>105000</v>
      </c>
      <c r="F368" s="298">
        <v>105000</v>
      </c>
      <c r="G368" s="298">
        <v>120750</v>
      </c>
      <c r="H368" s="298">
        <v>120750</v>
      </c>
      <c r="I368" s="298">
        <v>106260</v>
      </c>
      <c r="J368" s="298">
        <v>106260</v>
      </c>
      <c r="K368" s="298">
        <v>122199</v>
      </c>
      <c r="L368" s="298">
        <v>122199</v>
      </c>
      <c r="M368" s="298">
        <v>122199</v>
      </c>
      <c r="N368" s="298">
        <v>161608.25</v>
      </c>
      <c r="O368" s="298">
        <v>142215.25</v>
      </c>
    </row>
    <row r="369" spans="1:15">
      <c r="A369" s="238">
        <f t="shared" si="6"/>
        <v>368</v>
      </c>
      <c r="B369" s="245" cm="1">
        <f t="array" ref="B369">INDEX(D$1:O$1, MATCH(TRUE, INDEX(($D369:$O369 &lt;&gt; 0), 0),0))</f>
        <v>44926</v>
      </c>
      <c r="C369" s="298">
        <v>0</v>
      </c>
      <c r="D369" s="298">
        <v>0</v>
      </c>
      <c r="E369" s="298">
        <v>0</v>
      </c>
      <c r="F369" s="298">
        <v>0</v>
      </c>
      <c r="G369" s="298">
        <v>0</v>
      </c>
      <c r="H369" s="298">
        <v>0</v>
      </c>
      <c r="I369" s="298">
        <v>0</v>
      </c>
      <c r="J369" s="298">
        <v>0</v>
      </c>
      <c r="K369" s="298">
        <v>0</v>
      </c>
      <c r="L369" s="298">
        <v>0</v>
      </c>
      <c r="M369" s="298">
        <v>0</v>
      </c>
      <c r="N369" s="298">
        <v>0</v>
      </c>
      <c r="O369" s="298">
        <v>105000</v>
      </c>
    </row>
    <row r="370" spans="1:15">
      <c r="A370" s="238">
        <f t="shared" si="6"/>
        <v>369</v>
      </c>
      <c r="B370" s="245" cm="1">
        <f t="array" ref="B370">INDEX(D$1:O$1, MATCH(TRUE, INDEX(($D370:$O370 &lt;&gt; 0), 0),0))</f>
        <v>44469</v>
      </c>
      <c r="C370" s="298">
        <v>0</v>
      </c>
      <c r="D370" s="298">
        <v>0</v>
      </c>
      <c r="E370" s="298">
        <v>0</v>
      </c>
      <c r="F370" s="298">
        <v>0</v>
      </c>
      <c r="G370" s="298">
        <v>0</v>
      </c>
      <c r="H370" s="298">
        <v>0</v>
      </c>
      <c r="I370" s="298">
        <v>0</v>
      </c>
      <c r="J370" s="298">
        <v>105000</v>
      </c>
      <c r="K370" s="298">
        <v>120750</v>
      </c>
      <c r="L370" s="298">
        <v>120750</v>
      </c>
      <c r="M370" s="298">
        <v>120750</v>
      </c>
      <c r="N370" s="298">
        <v>0</v>
      </c>
      <c r="O370" s="298">
        <v>0</v>
      </c>
    </row>
    <row r="371" spans="1:15">
      <c r="A371" s="238">
        <f t="shared" si="6"/>
        <v>370</v>
      </c>
      <c r="B371" s="245" cm="1">
        <f t="array" ref="B371">INDEX(D$1:O$1, MATCH(TRUE, INDEX(($D371:$O371 &lt;&gt; 0), 0),0))</f>
        <v>43921</v>
      </c>
      <c r="C371" s="298">
        <v>138000</v>
      </c>
      <c r="D371" s="298">
        <v>121440</v>
      </c>
      <c r="E371" s="298">
        <v>139656</v>
      </c>
      <c r="F371" s="298">
        <v>139656</v>
      </c>
      <c r="G371" s="298">
        <v>160604.5</v>
      </c>
      <c r="H371" s="298">
        <v>184695</v>
      </c>
      <c r="I371" s="298">
        <v>212399.25</v>
      </c>
      <c r="J371" s="298">
        <v>212399.25</v>
      </c>
      <c r="K371" s="298">
        <v>212399.25</v>
      </c>
      <c r="L371" s="298">
        <v>280898</v>
      </c>
      <c r="M371" s="298">
        <v>280898</v>
      </c>
      <c r="N371" s="298">
        <v>280898</v>
      </c>
      <c r="O371" s="298">
        <v>323032.75</v>
      </c>
    </row>
    <row r="372" spans="1:15">
      <c r="A372" s="238">
        <f t="shared" si="6"/>
        <v>371</v>
      </c>
      <c r="B372" s="245" cm="1">
        <f t="array" ref="B372">INDEX(D$1:O$1, MATCH(TRUE, INDEX(($D372:$O372 &lt;&gt; 0), 0),0))</f>
        <v>44834</v>
      </c>
      <c r="C372" s="298">
        <v>0</v>
      </c>
      <c r="D372" s="298">
        <v>0</v>
      </c>
      <c r="E372" s="298">
        <v>0</v>
      </c>
      <c r="F372" s="298">
        <v>0</v>
      </c>
      <c r="G372" s="298">
        <v>0</v>
      </c>
      <c r="H372" s="298">
        <v>0</v>
      </c>
      <c r="I372" s="298">
        <v>0</v>
      </c>
      <c r="J372" s="298">
        <v>0</v>
      </c>
      <c r="K372" s="298">
        <v>0</v>
      </c>
      <c r="L372" s="298">
        <v>0</v>
      </c>
      <c r="M372" s="298">
        <v>0</v>
      </c>
      <c r="N372" s="298">
        <v>105000</v>
      </c>
      <c r="O372" s="298">
        <v>120750</v>
      </c>
    </row>
    <row r="373" spans="1:15">
      <c r="A373" s="238">
        <f t="shared" si="6"/>
        <v>372</v>
      </c>
      <c r="B373" s="245" cm="1">
        <f t="array" ref="B373">INDEX(D$1:O$1, MATCH(TRUE, INDEX(($D373:$O373 &lt;&gt; 0), 0),0))</f>
        <v>43921</v>
      </c>
      <c r="C373" s="298">
        <v>60720</v>
      </c>
      <c r="D373" s="298">
        <v>53433.5</v>
      </c>
      <c r="E373" s="298">
        <v>47021.5</v>
      </c>
      <c r="F373" s="298">
        <v>54074.75</v>
      </c>
      <c r="G373" s="298">
        <v>54074.75</v>
      </c>
      <c r="H373" s="298">
        <v>54074.75</v>
      </c>
      <c r="I373" s="298">
        <v>47585.75</v>
      </c>
      <c r="J373" s="298">
        <v>41875.5</v>
      </c>
      <c r="K373" s="298">
        <v>48156.75</v>
      </c>
      <c r="L373" s="298">
        <v>48156.75</v>
      </c>
      <c r="M373" s="298">
        <v>48156.75</v>
      </c>
      <c r="N373" s="298">
        <v>56045</v>
      </c>
      <c r="O373" s="298">
        <v>56045</v>
      </c>
    </row>
    <row r="374" spans="1:15">
      <c r="A374" s="238">
        <f t="shared" si="6"/>
        <v>373</v>
      </c>
      <c r="B374" s="245" cm="1">
        <f t="array" ref="B374">INDEX(D$1:O$1, MATCH(TRUE, INDEX(($D374:$O374 &lt;&gt; 0), 0),0))</f>
        <v>44561</v>
      </c>
      <c r="C374" s="298">
        <v>0</v>
      </c>
      <c r="D374" s="298">
        <v>0</v>
      </c>
      <c r="E374" s="298">
        <v>0</v>
      </c>
      <c r="F374" s="298">
        <v>0</v>
      </c>
      <c r="G374" s="298">
        <v>0</v>
      </c>
      <c r="H374" s="298">
        <v>0</v>
      </c>
      <c r="I374" s="298">
        <v>0</v>
      </c>
      <c r="J374" s="298">
        <v>0</v>
      </c>
      <c r="K374" s="298">
        <v>120000</v>
      </c>
      <c r="L374" s="298">
        <v>138000</v>
      </c>
      <c r="M374" s="298">
        <v>138000</v>
      </c>
      <c r="N374" s="298">
        <v>138000</v>
      </c>
      <c r="O374" s="298">
        <v>158700</v>
      </c>
    </row>
    <row r="375" spans="1:15">
      <c r="A375" s="238">
        <f t="shared" si="6"/>
        <v>374</v>
      </c>
      <c r="B375" s="245" cm="1">
        <f t="array" ref="B375">INDEX(D$1:O$1, MATCH(TRUE, INDEX(($D375:$O375 &lt;&gt; 0), 0),0))</f>
        <v>44012</v>
      </c>
      <c r="C375" s="298">
        <v>0</v>
      </c>
      <c r="D375" s="298">
        <v>0</v>
      </c>
      <c r="E375" s="298">
        <v>105000</v>
      </c>
      <c r="F375" s="298">
        <v>105000</v>
      </c>
      <c r="G375" s="298">
        <v>105000</v>
      </c>
      <c r="H375" s="298">
        <v>138862.5</v>
      </c>
      <c r="I375" s="298">
        <v>211192.5</v>
      </c>
      <c r="J375" s="298">
        <v>211192.5</v>
      </c>
      <c r="K375" s="298">
        <v>242871.5</v>
      </c>
      <c r="L375" s="298">
        <v>213726.75</v>
      </c>
      <c r="M375" s="298">
        <v>213726.75</v>
      </c>
      <c r="N375" s="298">
        <v>0</v>
      </c>
      <c r="O375" s="298">
        <v>0</v>
      </c>
    </row>
    <row r="376" spans="1:15">
      <c r="A376" s="238">
        <f t="shared" si="6"/>
        <v>375</v>
      </c>
      <c r="B376" s="245" cm="1">
        <f t="array" ref="B376">INDEX(D$1:O$1, MATCH(TRUE, INDEX(($D376:$O376 &lt;&gt; 0), 0),0))</f>
        <v>43921</v>
      </c>
      <c r="C376" s="298">
        <v>160604.5</v>
      </c>
      <c r="D376" s="298">
        <v>141331.75</v>
      </c>
      <c r="E376" s="298">
        <v>162531.75</v>
      </c>
      <c r="F376" s="298">
        <v>186911.5</v>
      </c>
      <c r="G376" s="298">
        <v>186911.5</v>
      </c>
      <c r="H376" s="298">
        <v>214948</v>
      </c>
      <c r="I376" s="298">
        <v>189154.25</v>
      </c>
      <c r="J376" s="298">
        <v>189154.25</v>
      </c>
      <c r="K376" s="298">
        <v>0</v>
      </c>
      <c r="L376" s="298">
        <v>0</v>
      </c>
      <c r="M376" s="298">
        <v>0</v>
      </c>
      <c r="N376" s="298">
        <v>0</v>
      </c>
      <c r="O376" s="298">
        <v>0</v>
      </c>
    </row>
    <row r="377" spans="1:15">
      <c r="A377" s="238">
        <f t="shared" si="6"/>
        <v>376</v>
      </c>
      <c r="B377" s="245" cm="1">
        <f t="array" ref="B377">INDEX(D$1:O$1, MATCH(TRUE, INDEX(($D377:$O377 &lt;&gt; 0), 0),0))</f>
        <v>44742</v>
      </c>
      <c r="C377" s="298">
        <v>0</v>
      </c>
      <c r="D377" s="298">
        <v>0</v>
      </c>
      <c r="E377" s="298">
        <v>0</v>
      </c>
      <c r="F377" s="298">
        <v>0</v>
      </c>
      <c r="G377" s="298">
        <v>0</v>
      </c>
      <c r="H377" s="298">
        <v>0</v>
      </c>
      <c r="I377" s="298">
        <v>0</v>
      </c>
      <c r="J377" s="298">
        <v>0</v>
      </c>
      <c r="K377" s="298">
        <v>0</v>
      </c>
      <c r="L377" s="298">
        <v>0</v>
      </c>
      <c r="M377" s="298">
        <v>138000</v>
      </c>
      <c r="N377" s="298">
        <v>106867.25</v>
      </c>
      <c r="O377" s="298">
        <v>106867.25</v>
      </c>
    </row>
    <row r="378" spans="1:15">
      <c r="A378" s="238">
        <f t="shared" si="6"/>
        <v>377</v>
      </c>
      <c r="B378" s="245" cm="1">
        <f t="array" ref="B378">INDEX(D$1:O$1, MATCH(TRUE, INDEX(($D378:$O378 &lt;&gt; 0), 0),0))</f>
        <v>44742</v>
      </c>
      <c r="C378" s="298">
        <v>0</v>
      </c>
      <c r="D378" s="298">
        <v>0</v>
      </c>
      <c r="E378" s="298">
        <v>0</v>
      </c>
      <c r="F378" s="298">
        <v>0</v>
      </c>
      <c r="G378" s="298">
        <v>0</v>
      </c>
      <c r="H378" s="298">
        <v>0</v>
      </c>
      <c r="I378" s="298">
        <v>0</v>
      </c>
      <c r="J378" s="298">
        <v>0</v>
      </c>
      <c r="K378" s="298">
        <v>0</v>
      </c>
      <c r="L378" s="298">
        <v>0</v>
      </c>
      <c r="M378" s="298">
        <v>105000</v>
      </c>
      <c r="N378" s="298">
        <v>105000</v>
      </c>
      <c r="O378" s="298">
        <v>105000</v>
      </c>
    </row>
    <row r="379" spans="1:15">
      <c r="A379" s="238">
        <f t="shared" si="6"/>
        <v>378</v>
      </c>
      <c r="B379" s="245" cm="1">
        <f t="array" ref="B379">INDEX(D$1:O$1, MATCH(TRUE, INDEX(($D379:$O379 &lt;&gt; 0), 0),0))</f>
        <v>44742</v>
      </c>
      <c r="C379" s="298">
        <v>0</v>
      </c>
      <c r="D379" s="298">
        <v>0</v>
      </c>
      <c r="E379" s="298">
        <v>0</v>
      </c>
      <c r="F379" s="298">
        <v>0</v>
      </c>
      <c r="G379" s="298">
        <v>0</v>
      </c>
      <c r="H379" s="298">
        <v>0</v>
      </c>
      <c r="I379" s="298">
        <v>0</v>
      </c>
      <c r="J379" s="298">
        <v>0</v>
      </c>
      <c r="K379" s="298">
        <v>0</v>
      </c>
      <c r="L379" s="298">
        <v>0</v>
      </c>
      <c r="M379" s="298">
        <v>120000</v>
      </c>
      <c r="N379" s="298">
        <v>138000</v>
      </c>
      <c r="O379" s="298">
        <v>160604.5</v>
      </c>
    </row>
    <row r="380" spans="1:15">
      <c r="A380" s="238">
        <f t="shared" si="6"/>
        <v>379</v>
      </c>
      <c r="B380" s="245" cm="1">
        <f t="array" ref="B380">INDEX(D$1:O$1, MATCH(TRUE, INDEX(($D380:$O380 &lt;&gt; 0), 0),0))</f>
        <v>44561</v>
      </c>
      <c r="C380" s="298">
        <v>0</v>
      </c>
      <c r="D380" s="298">
        <v>0</v>
      </c>
      <c r="E380" s="298">
        <v>0</v>
      </c>
      <c r="F380" s="298">
        <v>0</v>
      </c>
      <c r="G380" s="298">
        <v>0</v>
      </c>
      <c r="H380" s="298">
        <v>0</v>
      </c>
      <c r="I380" s="298">
        <v>0</v>
      </c>
      <c r="J380" s="298">
        <v>0</v>
      </c>
      <c r="K380" s="298">
        <v>105000</v>
      </c>
      <c r="L380" s="298">
        <v>106260</v>
      </c>
      <c r="M380" s="298">
        <v>140528.75</v>
      </c>
      <c r="N380" s="298">
        <v>140528.75</v>
      </c>
      <c r="O380" s="298">
        <v>140528.75</v>
      </c>
    </row>
    <row r="381" spans="1:15">
      <c r="A381" s="238">
        <f t="shared" si="6"/>
        <v>380</v>
      </c>
      <c r="B381" s="245" cm="1">
        <f t="array" ref="B381">INDEX(D$1:O$1, MATCH(TRUE, INDEX(($D381:$O381 &lt;&gt; 0), 0),0))</f>
        <v>44742</v>
      </c>
      <c r="C381" s="298">
        <v>0</v>
      </c>
      <c r="D381" s="298">
        <v>0</v>
      </c>
      <c r="E381" s="298">
        <v>0</v>
      </c>
      <c r="F381" s="298">
        <v>0</v>
      </c>
      <c r="G381" s="298">
        <v>0</v>
      </c>
      <c r="H381" s="298">
        <v>0</v>
      </c>
      <c r="I381" s="298">
        <v>0</v>
      </c>
      <c r="J381" s="298">
        <v>0</v>
      </c>
      <c r="K381" s="298">
        <v>0</v>
      </c>
      <c r="L381" s="298">
        <v>0</v>
      </c>
      <c r="M381" s="298">
        <v>105000</v>
      </c>
      <c r="N381" s="298">
        <v>92400</v>
      </c>
      <c r="O381" s="298">
        <v>92400</v>
      </c>
    </row>
    <row r="382" spans="1:15">
      <c r="A382" s="238">
        <f t="shared" si="6"/>
        <v>381</v>
      </c>
      <c r="B382" s="245" cm="1">
        <f t="array" ref="B382">INDEX(D$1:O$1, MATCH(TRUE, INDEX(($D382:$O382 &lt;&gt; 0), 0),0))</f>
        <v>44742</v>
      </c>
      <c r="C382" s="298">
        <v>0</v>
      </c>
      <c r="D382" s="298">
        <v>0</v>
      </c>
      <c r="E382" s="298">
        <v>0</v>
      </c>
      <c r="F382" s="298">
        <v>0</v>
      </c>
      <c r="G382" s="298">
        <v>0</v>
      </c>
      <c r="H382" s="298">
        <v>0</v>
      </c>
      <c r="I382" s="298">
        <v>0</v>
      </c>
      <c r="J382" s="298">
        <v>0</v>
      </c>
      <c r="K382" s="298">
        <v>0</v>
      </c>
      <c r="L382" s="298">
        <v>0</v>
      </c>
      <c r="M382" s="298">
        <v>105000</v>
      </c>
      <c r="N382" s="298">
        <v>120750</v>
      </c>
      <c r="O382" s="298">
        <v>120750</v>
      </c>
    </row>
    <row r="383" spans="1:15">
      <c r="A383" s="238">
        <f t="shared" si="6"/>
        <v>382</v>
      </c>
      <c r="B383" s="245" cm="1">
        <f t="array" ref="B383">INDEX(D$1:O$1, MATCH(TRUE, INDEX(($D383:$O383 &lt;&gt; 0), 0),0))</f>
        <v>44834</v>
      </c>
      <c r="C383" s="298">
        <v>0</v>
      </c>
      <c r="D383" s="298">
        <v>0</v>
      </c>
      <c r="E383" s="298">
        <v>0</v>
      </c>
      <c r="F383" s="298">
        <v>0</v>
      </c>
      <c r="G383" s="298">
        <v>0</v>
      </c>
      <c r="H383" s="298">
        <v>0</v>
      </c>
      <c r="I383" s="298">
        <v>0</v>
      </c>
      <c r="J383" s="298">
        <v>0</v>
      </c>
      <c r="K383" s="298">
        <v>0</v>
      </c>
      <c r="L383" s="298">
        <v>0</v>
      </c>
      <c r="M383" s="298">
        <v>0</v>
      </c>
      <c r="N383" s="298">
        <v>60000</v>
      </c>
      <c r="O383" s="298">
        <v>60000</v>
      </c>
    </row>
    <row r="384" spans="1:15">
      <c r="A384" s="238">
        <f t="shared" si="6"/>
        <v>383</v>
      </c>
      <c r="B384" s="245" cm="1">
        <f t="array" ref="B384">INDEX(D$1:O$1, MATCH(TRUE, INDEX(($D384:$O384 &lt;&gt; 0), 0),0))</f>
        <v>44469</v>
      </c>
      <c r="C384" s="298">
        <v>0</v>
      </c>
      <c r="D384" s="298">
        <v>0</v>
      </c>
      <c r="E384" s="298">
        <v>0</v>
      </c>
      <c r="F384" s="298">
        <v>0</v>
      </c>
      <c r="G384" s="298">
        <v>0</v>
      </c>
      <c r="H384" s="298">
        <v>0</v>
      </c>
      <c r="I384" s="298">
        <v>0</v>
      </c>
      <c r="J384" s="298">
        <v>105000</v>
      </c>
      <c r="K384" s="298">
        <v>120750</v>
      </c>
      <c r="L384" s="298">
        <v>159692</v>
      </c>
      <c r="M384" s="298">
        <v>159692</v>
      </c>
      <c r="N384" s="298">
        <v>140528.75</v>
      </c>
      <c r="O384" s="298">
        <v>161608.25</v>
      </c>
    </row>
    <row r="385" spans="1:15">
      <c r="A385" s="238">
        <f t="shared" si="6"/>
        <v>384</v>
      </c>
      <c r="B385" s="245" cm="1">
        <f t="array" ref="B385">INDEX(D$1:O$1, MATCH(TRUE, INDEX(($D385:$O385 &lt;&gt; 0), 0),0))</f>
        <v>44286</v>
      </c>
      <c r="C385" s="298">
        <v>0</v>
      </c>
      <c r="D385" s="298">
        <v>0</v>
      </c>
      <c r="E385" s="298">
        <v>0</v>
      </c>
      <c r="F385" s="298">
        <v>0</v>
      </c>
      <c r="G385" s="298">
        <v>0</v>
      </c>
      <c r="H385" s="298">
        <v>138000</v>
      </c>
      <c r="I385" s="298">
        <v>158700</v>
      </c>
      <c r="J385" s="298">
        <v>209880.75</v>
      </c>
      <c r="K385" s="298">
        <v>209880.75</v>
      </c>
      <c r="L385" s="298">
        <v>209880.75</v>
      </c>
      <c r="M385" s="298">
        <v>184695</v>
      </c>
      <c r="N385" s="298">
        <v>212399.25</v>
      </c>
      <c r="O385" s="298">
        <v>280898</v>
      </c>
    </row>
    <row r="386" spans="1:15">
      <c r="A386" s="238">
        <f t="shared" si="6"/>
        <v>385</v>
      </c>
      <c r="B386" s="245" cm="1">
        <f t="array" ref="B386">INDEX(D$1:O$1, MATCH(TRUE, INDEX(($D386:$O386 &lt;&gt; 0), 0),0))</f>
        <v>44196</v>
      </c>
      <c r="C386" s="298">
        <v>0</v>
      </c>
      <c r="D386" s="298">
        <v>0</v>
      </c>
      <c r="E386" s="298">
        <v>0</v>
      </c>
      <c r="F386" s="298">
        <v>0</v>
      </c>
      <c r="G386" s="298">
        <v>105000</v>
      </c>
      <c r="H386" s="298">
        <v>105000</v>
      </c>
      <c r="I386" s="298">
        <v>120750</v>
      </c>
      <c r="J386" s="298">
        <v>120750</v>
      </c>
      <c r="K386" s="298">
        <v>120750</v>
      </c>
      <c r="L386" s="298">
        <v>120750</v>
      </c>
      <c r="M386" s="298">
        <v>120750</v>
      </c>
      <c r="N386" s="298">
        <v>159692</v>
      </c>
      <c r="O386" s="298">
        <v>159692</v>
      </c>
    </row>
    <row r="387" spans="1:15">
      <c r="A387" s="238">
        <f t="shared" ref="A387:A422" si="7">+A386+1</f>
        <v>386</v>
      </c>
      <c r="B387" s="245" cm="1">
        <f t="array" ref="B387">INDEX(D$1:O$1, MATCH(TRUE, INDEX(($D387:$O387 &lt;&gt; 0), 0),0))</f>
        <v>43921</v>
      </c>
      <c r="C387" s="298">
        <v>92400</v>
      </c>
      <c r="D387" s="298">
        <v>92400</v>
      </c>
      <c r="E387" s="298">
        <v>106260</v>
      </c>
      <c r="F387" s="298">
        <v>122199</v>
      </c>
      <c r="G387" s="298">
        <v>140528.75</v>
      </c>
      <c r="H387" s="298">
        <v>185849.5</v>
      </c>
      <c r="I387" s="298">
        <v>185849.5</v>
      </c>
      <c r="J387" s="298">
        <v>213726.75</v>
      </c>
      <c r="K387" s="298">
        <v>245785.75</v>
      </c>
      <c r="L387" s="298">
        <v>216291.5</v>
      </c>
      <c r="M387" s="298">
        <v>216291.5</v>
      </c>
      <c r="N387" s="298">
        <v>216291.5</v>
      </c>
      <c r="O387" s="298">
        <v>218887</v>
      </c>
    </row>
    <row r="388" spans="1:15">
      <c r="A388" s="238">
        <f t="shared" si="7"/>
        <v>387</v>
      </c>
      <c r="B388" s="245" cm="1">
        <f t="array" ref="B388">INDEX(D$1:O$1, MATCH(TRUE, INDEX(($D388:$O388 &lt;&gt; 0), 0),0))</f>
        <v>44196</v>
      </c>
      <c r="C388" s="298">
        <v>0</v>
      </c>
      <c r="D388" s="298">
        <v>0</v>
      </c>
      <c r="E388" s="298">
        <v>0</v>
      </c>
      <c r="F388" s="298">
        <v>0</v>
      </c>
      <c r="G388" s="298">
        <v>138000</v>
      </c>
      <c r="H388" s="298">
        <v>138000</v>
      </c>
      <c r="I388" s="298">
        <v>182505</v>
      </c>
      <c r="J388" s="298">
        <v>182505</v>
      </c>
      <c r="K388" s="298">
        <v>182505</v>
      </c>
      <c r="L388" s="298">
        <v>241362.75</v>
      </c>
      <c r="M388" s="298">
        <v>277567.25</v>
      </c>
      <c r="N388" s="298">
        <v>367082.75</v>
      </c>
      <c r="O388" s="298">
        <v>485467</v>
      </c>
    </row>
    <row r="389" spans="1:15">
      <c r="A389" s="238">
        <f t="shared" si="7"/>
        <v>388</v>
      </c>
      <c r="B389" s="245" cm="1">
        <f t="array" ref="B389">INDEX(D$1:O$1, MATCH(TRUE, INDEX(($D389:$O389 &lt;&gt; 0), 0),0))</f>
        <v>44469</v>
      </c>
      <c r="C389" s="298">
        <v>0</v>
      </c>
      <c r="D389" s="298">
        <v>0</v>
      </c>
      <c r="E389" s="298">
        <v>0</v>
      </c>
      <c r="F389" s="298">
        <v>0</v>
      </c>
      <c r="G389" s="298">
        <v>0</v>
      </c>
      <c r="H389" s="298">
        <v>0</v>
      </c>
      <c r="I389" s="298">
        <v>0</v>
      </c>
      <c r="J389" s="298">
        <v>105000</v>
      </c>
      <c r="K389" s="298">
        <v>120750</v>
      </c>
      <c r="L389" s="298">
        <v>138862.5</v>
      </c>
      <c r="M389" s="298">
        <v>159692</v>
      </c>
      <c r="N389" s="298">
        <v>183645.75</v>
      </c>
      <c r="O389" s="298">
        <v>183645.75</v>
      </c>
    </row>
    <row r="390" spans="1:15">
      <c r="A390" s="238">
        <f t="shared" si="7"/>
        <v>389</v>
      </c>
      <c r="B390" s="245" cm="1">
        <f t="array" ref="B390">INDEX(D$1:O$1, MATCH(TRUE, INDEX(($D390:$O390 &lt;&gt; 0), 0),0))</f>
        <v>44742</v>
      </c>
      <c r="C390" s="298">
        <v>0</v>
      </c>
      <c r="D390" s="298">
        <v>0</v>
      </c>
      <c r="E390" s="298">
        <v>0</v>
      </c>
      <c r="F390" s="298">
        <v>0</v>
      </c>
      <c r="G390" s="298">
        <v>0</v>
      </c>
      <c r="H390" s="298">
        <v>0</v>
      </c>
      <c r="I390" s="298">
        <v>0</v>
      </c>
      <c r="J390" s="298">
        <v>0</v>
      </c>
      <c r="K390" s="298">
        <v>0</v>
      </c>
      <c r="L390" s="298">
        <v>0</v>
      </c>
      <c r="M390" s="298">
        <v>60000</v>
      </c>
      <c r="N390" s="298">
        <v>60000</v>
      </c>
      <c r="O390" s="298">
        <v>60000</v>
      </c>
    </row>
    <row r="391" spans="1:15">
      <c r="A391" s="238">
        <f t="shared" si="7"/>
        <v>390</v>
      </c>
      <c r="B391" s="245" cm="1">
        <f t="array" ref="B391">INDEX(D$1:O$1, MATCH(TRUE, INDEX(($D391:$O391 &lt;&gt; 0), 0),0))</f>
        <v>43921</v>
      </c>
      <c r="C391" s="298">
        <v>138000</v>
      </c>
      <c r="D391" s="298">
        <v>138000</v>
      </c>
      <c r="E391" s="298">
        <v>138000</v>
      </c>
      <c r="F391" s="298">
        <v>182505</v>
      </c>
      <c r="G391" s="298">
        <v>209880.75</v>
      </c>
      <c r="H391" s="298">
        <v>241362.75</v>
      </c>
      <c r="I391" s="298">
        <v>241362.75</v>
      </c>
      <c r="J391" s="298">
        <v>277567.25</v>
      </c>
      <c r="K391" s="298">
        <v>319202.5</v>
      </c>
      <c r="L391" s="298">
        <v>323032.75</v>
      </c>
      <c r="M391" s="298">
        <v>323032.75</v>
      </c>
      <c r="N391" s="298">
        <v>323032.75</v>
      </c>
      <c r="O391" s="298">
        <v>371487.75</v>
      </c>
    </row>
    <row r="392" spans="1:15">
      <c r="A392" s="238">
        <f t="shared" si="7"/>
        <v>391</v>
      </c>
      <c r="B392" s="245" cm="1">
        <f t="array" ref="B392">INDEX(D$1:O$1, MATCH(TRUE, INDEX(($D392:$O392 &lt;&gt; 0), 0),0))</f>
        <v>44104</v>
      </c>
      <c r="C392" s="298">
        <v>0</v>
      </c>
      <c r="D392" s="298">
        <v>0</v>
      </c>
      <c r="E392" s="298">
        <v>0</v>
      </c>
      <c r="F392" s="298">
        <v>120000</v>
      </c>
      <c r="G392" s="298">
        <v>182505</v>
      </c>
      <c r="H392" s="298">
        <v>182505</v>
      </c>
      <c r="I392" s="298">
        <v>184695</v>
      </c>
      <c r="J392" s="298">
        <v>212399.25</v>
      </c>
      <c r="K392" s="298">
        <v>244259.25</v>
      </c>
      <c r="L392" s="298">
        <v>244259.25</v>
      </c>
      <c r="M392" s="298">
        <v>244259.25</v>
      </c>
      <c r="N392" s="298">
        <v>244259.25</v>
      </c>
      <c r="O392" s="298">
        <v>214948</v>
      </c>
    </row>
    <row r="393" spans="1:15">
      <c r="A393" s="238">
        <f t="shared" si="7"/>
        <v>392</v>
      </c>
      <c r="B393" s="245" cm="1">
        <f t="array" ref="B393">INDEX(D$1:O$1, MATCH(TRUE, INDEX(($D393:$O393 &lt;&gt; 0), 0),0))</f>
        <v>44104</v>
      </c>
      <c r="C393" s="298">
        <v>0</v>
      </c>
      <c r="D393" s="298">
        <v>0</v>
      </c>
      <c r="E393" s="298">
        <v>0</v>
      </c>
      <c r="F393" s="298">
        <v>120750</v>
      </c>
      <c r="G393" s="298">
        <v>120750</v>
      </c>
      <c r="H393" s="298">
        <v>120750</v>
      </c>
      <c r="I393" s="298">
        <v>120750</v>
      </c>
      <c r="J393" s="298">
        <v>138862.5</v>
      </c>
      <c r="K393" s="298">
        <v>138862.5</v>
      </c>
      <c r="L393" s="298">
        <v>159692</v>
      </c>
      <c r="M393" s="298">
        <v>211192.5</v>
      </c>
      <c r="N393" s="298">
        <v>242871.5</v>
      </c>
      <c r="O393" s="298">
        <v>321197.5</v>
      </c>
    </row>
    <row r="394" spans="1:15">
      <c r="A394" s="238">
        <f t="shared" si="7"/>
        <v>393</v>
      </c>
      <c r="B394" s="245" cm="1">
        <f t="array" ref="B394">INDEX(D$1:O$1, MATCH(TRUE, INDEX(($D394:$O394 &lt;&gt; 0), 0),0))</f>
        <v>43921</v>
      </c>
      <c r="C394" s="298">
        <v>0</v>
      </c>
      <c r="D394" s="298">
        <v>105000</v>
      </c>
      <c r="E394" s="298">
        <v>120750</v>
      </c>
      <c r="F394" s="298">
        <v>138862.5</v>
      </c>
      <c r="G394" s="298">
        <v>159692</v>
      </c>
      <c r="H394" s="298">
        <v>159692</v>
      </c>
      <c r="I394" s="298">
        <v>183645.75</v>
      </c>
      <c r="J394" s="298">
        <v>183645.75</v>
      </c>
      <c r="K394" s="298">
        <v>211192.5</v>
      </c>
      <c r="L394" s="298">
        <v>242871.5</v>
      </c>
      <c r="M394" s="298">
        <v>279302</v>
      </c>
      <c r="N394" s="298">
        <v>369377</v>
      </c>
      <c r="O394" s="298">
        <v>561776.25</v>
      </c>
    </row>
    <row r="395" spans="1:15">
      <c r="A395" s="238">
        <f t="shared" si="7"/>
        <v>394</v>
      </c>
      <c r="B395" s="245" cm="1">
        <f t="array" ref="B395">INDEX(D$1:O$1, MATCH(TRUE, INDEX(($D395:$O395 &lt;&gt; 0), 0),0))</f>
        <v>44104</v>
      </c>
      <c r="C395" s="298">
        <v>0</v>
      </c>
      <c r="D395" s="298">
        <v>0</v>
      </c>
      <c r="E395" s="298">
        <v>0</v>
      </c>
      <c r="F395" s="298">
        <v>105000</v>
      </c>
      <c r="G395" s="298">
        <v>138862.5</v>
      </c>
      <c r="H395" s="298">
        <v>161608.25</v>
      </c>
      <c r="I395" s="298">
        <v>185849.5</v>
      </c>
      <c r="J395" s="298">
        <v>213726.75</v>
      </c>
      <c r="K395" s="298">
        <v>245785.75</v>
      </c>
      <c r="L395" s="298">
        <v>0</v>
      </c>
      <c r="M395" s="298">
        <v>0</v>
      </c>
      <c r="N395" s="298">
        <v>0</v>
      </c>
      <c r="O395" s="298">
        <v>0</v>
      </c>
    </row>
    <row r="396" spans="1:15">
      <c r="A396" s="238">
        <f t="shared" si="7"/>
        <v>395</v>
      </c>
      <c r="B396" s="245" cm="1">
        <f t="array" ref="B396">INDEX(D$1:O$1, MATCH(TRUE, INDEX(($D396:$O396 &lt;&gt; 0), 0),0))</f>
        <v>44926</v>
      </c>
      <c r="C396" s="298">
        <v>0</v>
      </c>
      <c r="D396" s="298">
        <v>0</v>
      </c>
      <c r="E396" s="298">
        <v>0</v>
      </c>
      <c r="F396" s="298">
        <v>0</v>
      </c>
      <c r="G396" s="298">
        <v>0</v>
      </c>
      <c r="H396" s="298">
        <v>0</v>
      </c>
      <c r="I396" s="298">
        <v>0</v>
      </c>
      <c r="J396" s="298">
        <v>0</v>
      </c>
      <c r="K396" s="298">
        <v>0</v>
      </c>
      <c r="L396" s="298">
        <v>0</v>
      </c>
      <c r="M396" s="298">
        <v>0</v>
      </c>
      <c r="N396" s="298">
        <v>0</v>
      </c>
      <c r="O396" s="298">
        <v>138000</v>
      </c>
    </row>
    <row r="397" spans="1:15">
      <c r="A397" s="238">
        <f t="shared" si="7"/>
        <v>396</v>
      </c>
      <c r="B397" s="245" cm="1">
        <f t="array" ref="B397">INDEX(D$1:O$1, MATCH(TRUE, INDEX(($D397:$O397 &lt;&gt; 0), 0),0))</f>
        <v>44651</v>
      </c>
      <c r="C397" s="298">
        <v>0</v>
      </c>
      <c r="D397" s="298">
        <v>0</v>
      </c>
      <c r="E397" s="298">
        <v>0</v>
      </c>
      <c r="F397" s="298">
        <v>0</v>
      </c>
      <c r="G397" s="298">
        <v>0</v>
      </c>
      <c r="H397" s="298">
        <v>0</v>
      </c>
      <c r="I397" s="298">
        <v>0</v>
      </c>
      <c r="J397" s="298">
        <v>0</v>
      </c>
      <c r="K397" s="298">
        <v>0</v>
      </c>
      <c r="L397" s="298">
        <v>60000</v>
      </c>
      <c r="M397" s="298">
        <v>52800</v>
      </c>
      <c r="N397" s="298">
        <v>52800</v>
      </c>
      <c r="O397" s="298">
        <v>60720</v>
      </c>
    </row>
    <row r="398" spans="1:15">
      <c r="A398" s="238">
        <f t="shared" si="7"/>
        <v>397</v>
      </c>
      <c r="B398" s="245" cm="1">
        <f t="array" ref="B398">INDEX(D$1:O$1, MATCH(TRUE, INDEX(($D398:$O398 &lt;&gt; 0), 0),0))</f>
        <v>43921</v>
      </c>
      <c r="C398" s="298">
        <v>0</v>
      </c>
      <c r="D398" s="298">
        <v>105000</v>
      </c>
      <c r="E398" s="298">
        <v>105000</v>
      </c>
      <c r="F398" s="298">
        <v>120750</v>
      </c>
      <c r="G398" s="298">
        <v>93508.75</v>
      </c>
      <c r="H398" s="298">
        <v>123665.5</v>
      </c>
      <c r="I398" s="298">
        <v>142215.25</v>
      </c>
      <c r="J398" s="298">
        <v>142215.25</v>
      </c>
      <c r="K398" s="298">
        <v>188079.5</v>
      </c>
      <c r="L398" s="298">
        <v>216291.5</v>
      </c>
      <c r="M398" s="298">
        <v>248735.25</v>
      </c>
      <c r="N398" s="298">
        <v>328952.5</v>
      </c>
      <c r="O398" s="298">
        <v>289478</v>
      </c>
    </row>
    <row r="399" spans="1:15">
      <c r="A399" s="238">
        <f t="shared" si="7"/>
        <v>398</v>
      </c>
      <c r="B399" s="245" cm="1">
        <f t="array" ref="B399">INDEX(D$1:O$1, MATCH(TRUE, INDEX(($D399:$O399 &lt;&gt; 0), 0),0))</f>
        <v>44926</v>
      </c>
      <c r="C399" s="298">
        <v>0</v>
      </c>
      <c r="D399" s="298">
        <v>0</v>
      </c>
      <c r="E399" s="298">
        <v>0</v>
      </c>
      <c r="F399" s="298">
        <v>0</v>
      </c>
      <c r="G399" s="298">
        <v>0</v>
      </c>
      <c r="H399" s="298">
        <v>0</v>
      </c>
      <c r="I399" s="298">
        <v>0</v>
      </c>
      <c r="J399" s="298">
        <v>0</v>
      </c>
      <c r="K399" s="298">
        <v>0</v>
      </c>
      <c r="L399" s="298">
        <v>0</v>
      </c>
      <c r="M399" s="298">
        <v>0</v>
      </c>
      <c r="N399" s="298">
        <v>0</v>
      </c>
      <c r="O399" s="298">
        <v>120000</v>
      </c>
    </row>
    <row r="400" spans="1:15">
      <c r="A400" s="238">
        <f t="shared" si="7"/>
        <v>399</v>
      </c>
      <c r="B400" s="245" cm="1">
        <f t="array" ref="B400">INDEX(D$1:O$1, MATCH(TRUE, INDEX(($D400:$O400 &lt;&gt; 0), 0),0))</f>
        <v>44834</v>
      </c>
      <c r="C400" s="298">
        <v>0</v>
      </c>
      <c r="D400" s="298">
        <v>0</v>
      </c>
      <c r="E400" s="298">
        <v>0</v>
      </c>
      <c r="F400" s="298">
        <v>0</v>
      </c>
      <c r="G400" s="298">
        <v>0</v>
      </c>
      <c r="H400" s="298">
        <v>0</v>
      </c>
      <c r="I400" s="298">
        <v>0</v>
      </c>
      <c r="J400" s="298">
        <v>0</v>
      </c>
      <c r="K400" s="298">
        <v>0</v>
      </c>
      <c r="L400" s="298">
        <v>0</v>
      </c>
      <c r="M400" s="298">
        <v>0</v>
      </c>
      <c r="N400" s="298">
        <v>105000</v>
      </c>
      <c r="O400" s="298">
        <v>106260</v>
      </c>
    </row>
    <row r="401" spans="1:15">
      <c r="A401" s="238">
        <f t="shared" si="7"/>
        <v>400</v>
      </c>
      <c r="B401" s="245" cm="1">
        <f t="array" ref="B401">INDEX(D$1:O$1, MATCH(TRUE, INDEX(($D401:$O401 &lt;&gt; 0), 0),0))</f>
        <v>44742</v>
      </c>
      <c r="C401" s="298">
        <v>0</v>
      </c>
      <c r="D401" s="298">
        <v>0</v>
      </c>
      <c r="E401" s="298">
        <v>0</v>
      </c>
      <c r="F401" s="298">
        <v>0</v>
      </c>
      <c r="G401" s="298">
        <v>0</v>
      </c>
      <c r="H401" s="298">
        <v>0</v>
      </c>
      <c r="I401" s="298">
        <v>0</v>
      </c>
      <c r="J401" s="298">
        <v>0</v>
      </c>
      <c r="K401" s="298">
        <v>0</v>
      </c>
      <c r="L401" s="298">
        <v>0</v>
      </c>
      <c r="M401" s="298">
        <v>105000</v>
      </c>
      <c r="N401" s="298">
        <v>105000</v>
      </c>
      <c r="O401" s="298">
        <v>105000</v>
      </c>
    </row>
    <row r="402" spans="1:15">
      <c r="A402" s="238">
        <f t="shared" si="7"/>
        <v>401</v>
      </c>
      <c r="B402" s="245" cm="1">
        <f t="array" ref="B402">INDEX(D$1:O$1, MATCH(TRUE, INDEX(($D402:$O402 &lt;&gt; 0), 0),0))</f>
        <v>44651</v>
      </c>
      <c r="C402" s="298">
        <v>0</v>
      </c>
      <c r="D402" s="298">
        <v>0</v>
      </c>
      <c r="E402" s="298">
        <v>0</v>
      </c>
      <c r="F402" s="298">
        <v>0</v>
      </c>
      <c r="G402" s="298">
        <v>0</v>
      </c>
      <c r="H402" s="298">
        <v>0</v>
      </c>
      <c r="I402" s="298">
        <v>0</v>
      </c>
      <c r="J402" s="298">
        <v>0</v>
      </c>
      <c r="K402" s="298">
        <v>0</v>
      </c>
      <c r="L402" s="298">
        <v>92400</v>
      </c>
      <c r="M402" s="298">
        <v>106260</v>
      </c>
      <c r="N402" s="298">
        <v>106260</v>
      </c>
      <c r="O402" s="298">
        <v>106260</v>
      </c>
    </row>
    <row r="403" spans="1:15">
      <c r="A403" s="238">
        <f t="shared" si="7"/>
        <v>402</v>
      </c>
      <c r="B403" s="245" t="e" cm="1">
        <f t="array" ref="B403">INDEX(D$1:O$1, MATCH(TRUE, INDEX(($D403:$O403 &lt;&gt; 0), 0),0))</f>
        <v>#N/A</v>
      </c>
      <c r="C403" s="298">
        <v>0</v>
      </c>
      <c r="D403" s="298">
        <v>0</v>
      </c>
      <c r="E403" s="298">
        <v>0</v>
      </c>
      <c r="F403" s="298">
        <v>0</v>
      </c>
      <c r="G403" s="298">
        <v>0</v>
      </c>
      <c r="H403" s="298">
        <v>0</v>
      </c>
      <c r="I403" s="298">
        <v>0</v>
      </c>
      <c r="J403" s="298">
        <v>0</v>
      </c>
      <c r="K403" s="298">
        <v>0</v>
      </c>
      <c r="L403" s="298">
        <v>0</v>
      </c>
      <c r="M403" s="298">
        <v>0</v>
      </c>
      <c r="N403" s="298">
        <v>0</v>
      </c>
      <c r="O403" s="298">
        <v>0</v>
      </c>
    </row>
    <row r="404" spans="1:15">
      <c r="A404" s="238">
        <f t="shared" si="7"/>
        <v>403</v>
      </c>
      <c r="B404" s="245" cm="1">
        <f t="array" ref="B404">INDEX(D$1:O$1, MATCH(TRUE, INDEX(($D404:$O404 &lt;&gt; 0), 0),0))</f>
        <v>43921</v>
      </c>
      <c r="C404" s="298">
        <v>0</v>
      </c>
      <c r="D404" s="298">
        <v>105000</v>
      </c>
      <c r="E404" s="298">
        <v>138862.5</v>
      </c>
      <c r="F404" s="298">
        <v>159692</v>
      </c>
      <c r="G404" s="298">
        <v>183645.75</v>
      </c>
      <c r="H404" s="298">
        <v>185849.5</v>
      </c>
      <c r="I404" s="298">
        <v>213726.75</v>
      </c>
      <c r="J404" s="298">
        <v>213726.75</v>
      </c>
      <c r="K404" s="298">
        <v>282653.75</v>
      </c>
      <c r="L404" s="298">
        <v>325051.75</v>
      </c>
      <c r="M404" s="298">
        <v>328952.5</v>
      </c>
      <c r="N404" s="298">
        <v>378295.25</v>
      </c>
      <c r="O404" s="298">
        <v>435039.5</v>
      </c>
    </row>
    <row r="405" spans="1:15">
      <c r="A405" s="238">
        <f t="shared" si="7"/>
        <v>404</v>
      </c>
      <c r="B405" s="245" cm="1">
        <f t="array" ref="B405">INDEX(D$1:O$1, MATCH(TRUE, INDEX(($D405:$O405 &lt;&gt; 0), 0),0))</f>
        <v>43921</v>
      </c>
      <c r="C405" s="298">
        <v>139656</v>
      </c>
      <c r="D405" s="298">
        <v>139656</v>
      </c>
      <c r="E405" s="298">
        <v>160604.5</v>
      </c>
      <c r="F405" s="298">
        <v>160604.5</v>
      </c>
      <c r="G405" s="298">
        <v>160604.5</v>
      </c>
      <c r="H405" s="298">
        <v>141331.75</v>
      </c>
      <c r="I405" s="298">
        <v>162531.75</v>
      </c>
      <c r="J405" s="298">
        <v>214948</v>
      </c>
      <c r="K405" s="298">
        <v>214948</v>
      </c>
      <c r="L405" s="298">
        <v>284269</v>
      </c>
      <c r="M405" s="298">
        <v>326909.25</v>
      </c>
      <c r="N405" s="298">
        <v>326909.25</v>
      </c>
      <c r="O405" s="298">
        <v>330832</v>
      </c>
    </row>
    <row r="406" spans="1:15">
      <c r="A406" s="238">
        <f t="shared" si="7"/>
        <v>405</v>
      </c>
      <c r="B406" s="245" cm="1">
        <f t="array" ref="B406">INDEX(D$1:O$1, MATCH(TRUE, INDEX(($D406:$O406 &lt;&gt; 0), 0),0))</f>
        <v>44561</v>
      </c>
      <c r="C406" s="298">
        <v>0</v>
      </c>
      <c r="D406" s="298">
        <v>0</v>
      </c>
      <c r="E406" s="298">
        <v>0</v>
      </c>
      <c r="F406" s="298">
        <v>0</v>
      </c>
      <c r="G406" s="298">
        <v>0</v>
      </c>
      <c r="H406" s="298">
        <v>0</v>
      </c>
      <c r="I406" s="298">
        <v>0</v>
      </c>
      <c r="J406" s="298">
        <v>0</v>
      </c>
      <c r="K406" s="298">
        <v>60000</v>
      </c>
      <c r="L406" s="298">
        <v>69000</v>
      </c>
      <c r="M406" s="298">
        <v>91252.5</v>
      </c>
      <c r="N406" s="298">
        <v>91252.5</v>
      </c>
      <c r="O406" s="298">
        <v>104940.5</v>
      </c>
    </row>
    <row r="407" spans="1:15">
      <c r="A407" s="238">
        <f t="shared" si="7"/>
        <v>406</v>
      </c>
      <c r="B407" s="245" cm="1">
        <f t="array" ref="B407">INDEX(D$1:O$1, MATCH(TRUE, INDEX(($D407:$O407 &lt;&gt; 0), 0),0))</f>
        <v>44834</v>
      </c>
      <c r="C407" s="298">
        <v>0</v>
      </c>
      <c r="D407" s="298">
        <v>0</v>
      </c>
      <c r="E407" s="298">
        <v>0</v>
      </c>
      <c r="F407" s="298">
        <v>0</v>
      </c>
      <c r="G407" s="298">
        <v>0</v>
      </c>
      <c r="H407" s="298">
        <v>0</v>
      </c>
      <c r="I407" s="298">
        <v>0</v>
      </c>
      <c r="J407" s="298">
        <v>0</v>
      </c>
      <c r="K407" s="298">
        <v>0</v>
      </c>
      <c r="L407" s="298">
        <v>0</v>
      </c>
      <c r="M407" s="298">
        <v>0</v>
      </c>
      <c r="N407" s="298">
        <v>120000</v>
      </c>
      <c r="O407" s="298">
        <v>158700</v>
      </c>
    </row>
    <row r="408" spans="1:15">
      <c r="A408" s="238">
        <f t="shared" si="7"/>
        <v>407</v>
      </c>
      <c r="B408" s="245" cm="1">
        <f t="array" ref="B408">INDEX(D$1:O$1, MATCH(TRUE, INDEX(($D408:$O408 &lt;&gt; 0), 0),0))</f>
        <v>43921</v>
      </c>
      <c r="C408" s="298">
        <v>91252.5</v>
      </c>
      <c r="D408" s="298">
        <v>91252.5</v>
      </c>
      <c r="E408" s="298">
        <v>104940.5</v>
      </c>
      <c r="F408" s="298">
        <v>92347.5</v>
      </c>
      <c r="G408" s="298">
        <v>81265.75</v>
      </c>
      <c r="H408" s="298">
        <v>94577.25</v>
      </c>
      <c r="I408" s="298">
        <v>108763.75</v>
      </c>
      <c r="J408" s="298">
        <v>125078.25</v>
      </c>
      <c r="K408" s="298">
        <v>143840</v>
      </c>
      <c r="L408" s="298">
        <v>218762.75</v>
      </c>
      <c r="M408" s="298">
        <v>289313.75</v>
      </c>
      <c r="N408" s="298">
        <v>332710.75</v>
      </c>
      <c r="O408" s="298">
        <v>332710.75</v>
      </c>
    </row>
    <row r="409" spans="1:15">
      <c r="A409" s="238">
        <f t="shared" si="7"/>
        <v>408</v>
      </c>
      <c r="B409" s="245" cm="1">
        <f t="array" ref="B409">INDEX(D$1:O$1, MATCH(TRUE, INDEX(($D409:$O409 &lt;&gt; 0), 0),0))</f>
        <v>44834</v>
      </c>
      <c r="C409" s="298">
        <v>0</v>
      </c>
      <c r="D409" s="298">
        <v>0</v>
      </c>
      <c r="E409" s="298">
        <v>0</v>
      </c>
      <c r="F409" s="298">
        <v>0</v>
      </c>
      <c r="G409" s="298">
        <v>0</v>
      </c>
      <c r="H409" s="298">
        <v>0</v>
      </c>
      <c r="I409" s="298">
        <v>0</v>
      </c>
      <c r="J409" s="298">
        <v>0</v>
      </c>
      <c r="K409" s="298">
        <v>0</v>
      </c>
      <c r="L409" s="298">
        <v>0</v>
      </c>
      <c r="M409" s="298">
        <v>0</v>
      </c>
      <c r="N409" s="298">
        <v>60000</v>
      </c>
      <c r="O409" s="298">
        <v>60000</v>
      </c>
    </row>
    <row r="410" spans="1:15">
      <c r="A410" s="238">
        <f t="shared" si="7"/>
        <v>409</v>
      </c>
      <c r="B410" s="245" cm="1">
        <f t="array" ref="B410">INDEX(D$1:O$1, MATCH(TRUE, INDEX(($D410:$O410 &lt;&gt; 0), 0),0))</f>
        <v>44469</v>
      </c>
      <c r="C410" s="298">
        <v>0</v>
      </c>
      <c r="D410" s="298">
        <v>0</v>
      </c>
      <c r="E410" s="298">
        <v>0</v>
      </c>
      <c r="F410" s="298">
        <v>0</v>
      </c>
      <c r="G410" s="298">
        <v>0</v>
      </c>
      <c r="H410" s="298">
        <v>0</v>
      </c>
      <c r="I410" s="298">
        <v>0</v>
      </c>
      <c r="J410" s="298">
        <v>120750</v>
      </c>
      <c r="K410" s="298">
        <v>120750</v>
      </c>
      <c r="L410" s="298">
        <v>138862.5</v>
      </c>
      <c r="M410" s="298">
        <v>138862.5</v>
      </c>
      <c r="N410" s="298">
        <v>138862.5</v>
      </c>
      <c r="O410" s="298">
        <v>138862.5</v>
      </c>
    </row>
    <row r="411" spans="1:15">
      <c r="A411" s="238">
        <f t="shared" si="7"/>
        <v>410</v>
      </c>
      <c r="B411" s="245" cm="1">
        <f t="array" ref="B411">INDEX(D$1:O$1, MATCH(TRUE, INDEX(($D411:$O411 &lt;&gt; 0), 0),0))</f>
        <v>44196</v>
      </c>
      <c r="C411" s="298">
        <v>0</v>
      </c>
      <c r="D411" s="298">
        <v>0</v>
      </c>
      <c r="E411" s="298">
        <v>0</v>
      </c>
      <c r="F411" s="298">
        <v>0</v>
      </c>
      <c r="G411" s="298">
        <v>60000</v>
      </c>
      <c r="H411" s="298">
        <v>91252.5</v>
      </c>
      <c r="I411" s="298">
        <v>104940.5</v>
      </c>
      <c r="J411" s="298">
        <v>138783.75</v>
      </c>
      <c r="K411" s="298">
        <v>138783.75</v>
      </c>
      <c r="L411" s="298">
        <v>138783.75</v>
      </c>
      <c r="M411" s="298">
        <v>138783.75</v>
      </c>
      <c r="N411" s="298">
        <v>138783.75</v>
      </c>
      <c r="O411" s="298">
        <v>159601.25</v>
      </c>
    </row>
    <row r="412" spans="1:15">
      <c r="A412" s="238">
        <f t="shared" si="7"/>
        <v>411</v>
      </c>
      <c r="B412" s="245" cm="1">
        <f t="array" ref="B412">INDEX(D$1:O$1, MATCH(TRUE, INDEX(($D412:$O412 &lt;&gt; 0), 0),0))</f>
        <v>44561</v>
      </c>
      <c r="C412" s="298">
        <v>0</v>
      </c>
      <c r="D412" s="298">
        <v>0</v>
      </c>
      <c r="E412" s="298">
        <v>0</v>
      </c>
      <c r="F412" s="298">
        <v>0</v>
      </c>
      <c r="G412" s="298">
        <v>0</v>
      </c>
      <c r="H412" s="298">
        <v>0</v>
      </c>
      <c r="I412" s="298">
        <v>0</v>
      </c>
      <c r="J412" s="298">
        <v>0</v>
      </c>
      <c r="K412" s="298">
        <v>105000</v>
      </c>
      <c r="L412" s="298">
        <v>106260</v>
      </c>
      <c r="M412" s="298">
        <v>122199</v>
      </c>
      <c r="N412" s="298">
        <v>122199</v>
      </c>
      <c r="O412" s="298">
        <v>107535</v>
      </c>
    </row>
    <row r="413" spans="1:15">
      <c r="A413" s="238">
        <f t="shared" si="7"/>
        <v>412</v>
      </c>
      <c r="B413" s="245" cm="1">
        <f t="array" ref="B413">INDEX(D$1:O$1, MATCH(TRUE, INDEX(($D413:$O413 &lt;&gt; 0), 0),0))</f>
        <v>44926</v>
      </c>
      <c r="C413" s="298">
        <v>0</v>
      </c>
      <c r="D413" s="298">
        <v>0</v>
      </c>
      <c r="E413" s="298">
        <v>0</v>
      </c>
      <c r="F413" s="298">
        <v>0</v>
      </c>
      <c r="G413" s="298">
        <v>0</v>
      </c>
      <c r="H413" s="298">
        <v>0</v>
      </c>
      <c r="I413" s="298">
        <v>0</v>
      </c>
      <c r="J413" s="298">
        <v>0</v>
      </c>
      <c r="K413" s="298">
        <v>0</v>
      </c>
      <c r="L413" s="298">
        <v>0</v>
      </c>
      <c r="M413" s="298">
        <v>0</v>
      </c>
      <c r="N413" s="298">
        <v>0</v>
      </c>
      <c r="O413" s="298">
        <v>120000</v>
      </c>
    </row>
    <row r="414" spans="1:15">
      <c r="A414" s="238">
        <f t="shared" si="7"/>
        <v>413</v>
      </c>
      <c r="B414" s="245" cm="1">
        <f t="array" ref="B414">INDEX(D$1:O$1, MATCH(TRUE, INDEX(($D414:$O414 &lt;&gt; 0), 0),0))</f>
        <v>44377</v>
      </c>
      <c r="C414" s="298">
        <v>0</v>
      </c>
      <c r="D414" s="298">
        <v>0</v>
      </c>
      <c r="E414" s="298">
        <v>0</v>
      </c>
      <c r="F414" s="298">
        <v>0</v>
      </c>
      <c r="G414" s="298">
        <v>0</v>
      </c>
      <c r="H414" s="298">
        <v>0</v>
      </c>
      <c r="I414" s="298">
        <v>105000</v>
      </c>
      <c r="J414" s="298">
        <v>92400</v>
      </c>
      <c r="K414" s="298">
        <v>92400</v>
      </c>
      <c r="L414" s="298">
        <v>92400</v>
      </c>
      <c r="M414" s="298">
        <v>106260</v>
      </c>
      <c r="N414" s="298">
        <v>122199</v>
      </c>
      <c r="O414" s="298">
        <v>140528.75</v>
      </c>
    </row>
    <row r="415" spans="1:15">
      <c r="A415" s="238">
        <f t="shared" si="7"/>
        <v>414</v>
      </c>
      <c r="B415" s="245" cm="1">
        <f t="array" ref="B415">INDEX(D$1:O$1, MATCH(TRUE, INDEX(($D415:$O415 &lt;&gt; 0), 0),0))</f>
        <v>44377</v>
      </c>
      <c r="C415" s="298">
        <v>0</v>
      </c>
      <c r="D415" s="298">
        <v>0</v>
      </c>
      <c r="E415" s="298">
        <v>0</v>
      </c>
      <c r="F415" s="298">
        <v>0</v>
      </c>
      <c r="G415" s="298">
        <v>0</v>
      </c>
      <c r="H415" s="298">
        <v>0</v>
      </c>
      <c r="I415" s="298">
        <v>120750</v>
      </c>
      <c r="J415" s="298">
        <v>120750</v>
      </c>
      <c r="K415" s="298">
        <v>122199</v>
      </c>
      <c r="L415" s="298">
        <v>122199</v>
      </c>
      <c r="M415" s="298">
        <v>0</v>
      </c>
      <c r="N415" s="298">
        <v>0</v>
      </c>
      <c r="O415" s="298">
        <v>0</v>
      </c>
    </row>
    <row r="416" spans="1:15">
      <c r="A416" s="238">
        <f t="shared" si="7"/>
        <v>415</v>
      </c>
      <c r="B416" s="245" cm="1">
        <f t="array" ref="B416">INDEX(D$1:O$1, MATCH(TRUE, INDEX(($D416:$O416 &lt;&gt; 0), 0),0))</f>
        <v>43921</v>
      </c>
      <c r="C416" s="298">
        <v>120000</v>
      </c>
      <c r="D416" s="298">
        <v>138000</v>
      </c>
      <c r="E416" s="298">
        <v>158700</v>
      </c>
      <c r="F416" s="298">
        <v>158700</v>
      </c>
      <c r="G416" s="298">
        <v>209880.75</v>
      </c>
      <c r="H416" s="298">
        <v>241362.75</v>
      </c>
      <c r="I416" s="298">
        <v>212399.25</v>
      </c>
      <c r="J416" s="298">
        <v>212399.25</v>
      </c>
      <c r="K416" s="298">
        <v>244259.25</v>
      </c>
      <c r="L416" s="298">
        <v>280898</v>
      </c>
      <c r="M416" s="298">
        <v>427211</v>
      </c>
      <c r="N416" s="298">
        <v>491292.5</v>
      </c>
      <c r="O416" s="298">
        <v>491292.5</v>
      </c>
    </row>
    <row r="417" spans="1:15">
      <c r="A417" s="238">
        <f t="shared" si="7"/>
        <v>416</v>
      </c>
      <c r="B417" s="245" cm="1">
        <f t="array" ref="B417">INDEX(D$1:O$1, MATCH(TRUE, INDEX(($D417:$O417 &lt;&gt; 0), 0),0))</f>
        <v>44834</v>
      </c>
      <c r="C417" s="298">
        <v>0</v>
      </c>
      <c r="D417" s="298">
        <v>0</v>
      </c>
      <c r="E417" s="298">
        <v>0</v>
      </c>
      <c r="F417" s="298">
        <v>0</v>
      </c>
      <c r="G417" s="298">
        <v>0</v>
      </c>
      <c r="H417" s="298">
        <v>0</v>
      </c>
      <c r="I417" s="298">
        <v>0</v>
      </c>
      <c r="J417" s="298">
        <v>0</v>
      </c>
      <c r="K417" s="298">
        <v>0</v>
      </c>
      <c r="L417" s="298">
        <v>0</v>
      </c>
      <c r="M417" s="298">
        <v>0</v>
      </c>
      <c r="N417" s="298">
        <v>120000</v>
      </c>
      <c r="O417" s="298">
        <v>120000</v>
      </c>
    </row>
    <row r="418" spans="1:15">
      <c r="A418" s="238">
        <f t="shared" si="7"/>
        <v>417</v>
      </c>
      <c r="B418" s="245" cm="1">
        <f t="array" ref="B418">INDEX(D$1:O$1, MATCH(TRUE, INDEX(($D418:$O418 &lt;&gt; 0), 0),0))</f>
        <v>44834</v>
      </c>
      <c r="C418" s="298">
        <v>0</v>
      </c>
      <c r="D418" s="298">
        <v>0</v>
      </c>
      <c r="E418" s="298">
        <v>0</v>
      </c>
      <c r="F418" s="298">
        <v>0</v>
      </c>
      <c r="G418" s="298">
        <v>0</v>
      </c>
      <c r="H418" s="298">
        <v>0</v>
      </c>
      <c r="I418" s="298">
        <v>0</v>
      </c>
      <c r="J418" s="298">
        <v>0</v>
      </c>
      <c r="K418" s="298">
        <v>0</v>
      </c>
      <c r="L418" s="298">
        <v>0</v>
      </c>
      <c r="M418" s="298">
        <v>0</v>
      </c>
      <c r="N418" s="298">
        <v>120000</v>
      </c>
      <c r="O418" s="298">
        <v>158700</v>
      </c>
    </row>
    <row r="419" spans="1:15">
      <c r="A419" s="238">
        <f t="shared" si="7"/>
        <v>418</v>
      </c>
      <c r="B419" s="245" cm="1">
        <f t="array" ref="B419">INDEX(D$1:O$1, MATCH(TRUE, INDEX(($D419:$O419 &lt;&gt; 0), 0),0))</f>
        <v>44377</v>
      </c>
      <c r="C419" s="298">
        <v>0</v>
      </c>
      <c r="D419" s="298">
        <v>0</v>
      </c>
      <c r="E419" s="298">
        <v>0</v>
      </c>
      <c r="F419" s="298">
        <v>0</v>
      </c>
      <c r="G419" s="298">
        <v>0</v>
      </c>
      <c r="H419" s="298">
        <v>0</v>
      </c>
      <c r="I419" s="298">
        <v>105000</v>
      </c>
      <c r="J419" s="298">
        <v>105000</v>
      </c>
      <c r="K419" s="298">
        <v>81312</v>
      </c>
      <c r="L419" s="298">
        <v>81312</v>
      </c>
      <c r="M419" s="298">
        <v>93508.75</v>
      </c>
      <c r="N419" s="298">
        <v>107535</v>
      </c>
      <c r="O419" s="298">
        <v>123665.5</v>
      </c>
    </row>
    <row r="420" spans="1:15">
      <c r="A420" s="238">
        <f t="shared" si="7"/>
        <v>419</v>
      </c>
      <c r="B420" s="245" cm="1">
        <f t="array" ref="B420">INDEX(D$1:O$1, MATCH(TRUE, INDEX(($D420:$O420 &lt;&gt; 0), 0),0))</f>
        <v>43921</v>
      </c>
      <c r="C420" s="298">
        <v>213726.75</v>
      </c>
      <c r="D420" s="298">
        <v>188079.5</v>
      </c>
      <c r="E420" s="298">
        <v>188079.5</v>
      </c>
      <c r="F420" s="298">
        <v>188079.5</v>
      </c>
      <c r="G420" s="298">
        <v>216291.5</v>
      </c>
      <c r="H420" s="298">
        <v>0</v>
      </c>
      <c r="I420" s="298">
        <v>0</v>
      </c>
      <c r="J420" s="298">
        <v>0</v>
      </c>
      <c r="K420" s="298">
        <v>0</v>
      </c>
      <c r="L420" s="298">
        <v>0</v>
      </c>
      <c r="M420" s="298">
        <v>0</v>
      </c>
      <c r="N420" s="298">
        <v>0</v>
      </c>
      <c r="O420" s="298">
        <v>0</v>
      </c>
    </row>
    <row r="421" spans="1:15">
      <c r="A421" s="238">
        <f t="shared" si="7"/>
        <v>420</v>
      </c>
      <c r="B421" s="245" cm="1">
        <f t="array" ref="B421">INDEX(D$1:O$1, MATCH(TRUE, INDEX(($D421:$O421 &lt;&gt; 0), 0),0))</f>
        <v>43921</v>
      </c>
      <c r="C421" s="298">
        <v>105000</v>
      </c>
      <c r="D421" s="298">
        <v>105000</v>
      </c>
      <c r="E421" s="298">
        <v>105000</v>
      </c>
      <c r="F421" s="298">
        <v>105000</v>
      </c>
      <c r="G421" s="298">
        <v>106260</v>
      </c>
      <c r="H421" s="298">
        <v>161608.25</v>
      </c>
      <c r="I421" s="298">
        <v>142215.25</v>
      </c>
      <c r="J421" s="298">
        <v>165510</v>
      </c>
      <c r="K421" s="298">
        <v>145648.75</v>
      </c>
      <c r="L421" s="298">
        <v>192620.5</v>
      </c>
      <c r="M421" s="298">
        <v>192620.5</v>
      </c>
      <c r="N421" s="298">
        <v>169506</v>
      </c>
      <c r="O421" s="298">
        <v>169506</v>
      </c>
    </row>
    <row r="422" spans="1:15">
      <c r="A422" s="238">
        <f t="shared" si="7"/>
        <v>421</v>
      </c>
      <c r="B422" s="245" cm="1">
        <f t="array" ref="B422">INDEX(D$1:O$1, MATCH(TRUE, INDEX(($D422:$O422 &lt;&gt; 0), 0),0))</f>
        <v>43921</v>
      </c>
      <c r="C422" s="298">
        <v>143921.75</v>
      </c>
      <c r="D422" s="298">
        <v>126651.25</v>
      </c>
      <c r="E422" s="298">
        <v>111453</v>
      </c>
      <c r="F422" s="298">
        <v>111453</v>
      </c>
      <c r="G422" s="298">
        <v>128171</v>
      </c>
      <c r="H422" s="298">
        <v>128171</v>
      </c>
      <c r="I422" s="298">
        <v>128171</v>
      </c>
      <c r="J422" s="298">
        <v>147396.75</v>
      </c>
      <c r="K422" s="298">
        <v>169506</v>
      </c>
      <c r="L422" s="298">
        <v>194932</v>
      </c>
      <c r="M422" s="298">
        <v>226862</v>
      </c>
      <c r="N422" s="298">
        <v>226862</v>
      </c>
      <c r="O422" s="298">
        <v>226862</v>
      </c>
    </row>
  </sheetData>
  <pageMargins left="0.25" right="0.25" top="0.5" bottom="0.25" header="0.3" footer="0.3"/>
  <pageSetup scale="1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Resources</vt:lpstr>
      <vt:lpstr>Start -&gt;</vt:lpstr>
      <vt:lpstr>Model (Start)</vt:lpstr>
      <vt:lpstr>Primary Assumptions (Start)</vt:lpstr>
      <vt:lpstr>End -&gt;</vt:lpstr>
      <vt:lpstr>Transaction</vt:lpstr>
      <vt:lpstr>Model</vt:lpstr>
      <vt:lpstr>Billing Waterfall</vt:lpstr>
      <vt:lpstr>Capitalizations</vt:lpstr>
      <vt:lpstr>SaaS Metrics</vt:lpstr>
      <vt:lpstr>Cohorts</vt:lpstr>
      <vt:lpstr>ARR Waterfall</vt:lpstr>
      <vt:lpstr>Raw Customer ARR</vt:lpstr>
      <vt:lpstr>mike</vt:lpstr>
      <vt:lpstr>'ARR Waterfall'!Print_Area</vt:lpstr>
      <vt:lpstr>'Billing Waterfall'!Print_Area</vt:lpstr>
      <vt:lpstr>Capitalizations!Print_Area</vt:lpstr>
      <vt:lpstr>Cohorts!Print_Area</vt:lpstr>
      <vt:lpstr>Model!Print_Area</vt:lpstr>
      <vt:lpstr>'Model (Start)'!Print_Area</vt:lpstr>
      <vt:lpstr>'SaaS Metrics'!Print_Area</vt:lpstr>
      <vt:lpstr>Transaction!Print_Area</vt:lpstr>
      <vt:lpstr>'ARR Waterfall'!unit</vt:lpstr>
      <vt:lpstr>Cohorts!unit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2024-01-12T21:46:26Z</dcterms:modified>
</cp:coreProperties>
</file>